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ctor Solorzano\Desktop\Mis_Proyectos_ConIA\GAC Motors\Inventario Almacen\"/>
    </mc:Choice>
  </mc:AlternateContent>
  <xr:revisionPtr revIDLastSave="0" documentId="13_ncr:1_{764CE96C-5111-4CD8-968A-570594CCFA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uestos" sheetId="5" r:id="rId1"/>
    <sheet name="Base_Datos" sheetId="6" r:id="rId2"/>
  </sheets>
  <calcPr calcId="191029"/>
  <customWorkbookViews>
    <customWorkbookView name="SISTEMA_PERSONAL filter view" guid="{B21E661E-450E-4DA7-B85F-D571371E46C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6" l="1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H64" i="6"/>
  <c r="G64" i="6"/>
  <c r="F64" i="6"/>
  <c r="H63" i="6"/>
  <c r="G63" i="6"/>
  <c r="F63" i="6"/>
  <c r="H62" i="6"/>
  <c r="G62" i="6"/>
  <c r="F62" i="6"/>
  <c r="H61" i="6"/>
  <c r="G61" i="6"/>
  <c r="F61" i="6"/>
  <c r="H60" i="6"/>
  <c r="G60" i="6"/>
  <c r="F60" i="6"/>
  <c r="H59" i="6"/>
  <c r="G59" i="6"/>
  <c r="F59" i="6"/>
  <c r="H58" i="6"/>
  <c r="G58" i="6"/>
  <c r="F58" i="6"/>
  <c r="H57" i="6"/>
  <c r="G57" i="6"/>
  <c r="F57" i="6"/>
  <c r="H56" i="6"/>
  <c r="G56" i="6"/>
  <c r="F56" i="6"/>
  <c r="H55" i="6"/>
  <c r="G55" i="6"/>
  <c r="F55" i="6"/>
  <c r="H54" i="6"/>
  <c r="G54" i="6"/>
  <c r="F54" i="6"/>
  <c r="H53" i="6"/>
  <c r="G53" i="6"/>
  <c r="F53" i="6"/>
  <c r="H52" i="6"/>
  <c r="G52" i="6"/>
  <c r="F52" i="6"/>
  <c r="H51" i="6"/>
  <c r="G51" i="6"/>
  <c r="F51" i="6"/>
  <c r="H50" i="6"/>
  <c r="G50" i="6"/>
  <c r="F50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14" i="6"/>
  <c r="G14" i="6"/>
  <c r="F14" i="6"/>
  <c r="H13" i="6"/>
  <c r="G13" i="6"/>
  <c r="F13" i="6"/>
  <c r="H12" i="6"/>
  <c r="G12" i="6"/>
  <c r="F12" i="6"/>
  <c r="H11" i="6"/>
  <c r="G11" i="6"/>
  <c r="F11" i="6"/>
  <c r="H10" i="6"/>
  <c r="G10" i="6"/>
  <c r="F10" i="6"/>
  <c r="H9" i="6"/>
  <c r="G9" i="6"/>
  <c r="F9" i="6"/>
  <c r="H8" i="6"/>
  <c r="G8" i="6"/>
  <c r="F8" i="6"/>
  <c r="H7" i="6"/>
  <c r="G7" i="6"/>
  <c r="F7" i="6"/>
  <c r="H6" i="6"/>
  <c r="G6" i="6"/>
  <c r="F6" i="6"/>
  <c r="H5" i="6"/>
  <c r="G5" i="6"/>
  <c r="F5" i="6"/>
  <c r="H4" i="6"/>
  <c r="G4" i="6"/>
  <c r="F4" i="6"/>
  <c r="H3" i="6"/>
  <c r="G3" i="6"/>
  <c r="F3" i="6"/>
  <c r="H2" i="6"/>
  <c r="G2" i="6"/>
  <c r="F2" i="6"/>
  <c r="J3876" i="5"/>
  <c r="H3876" i="5" a="1"/>
  <c r="H3876" i="5"/>
  <c r="G3876" i="5" a="1"/>
  <c r="G3876" i="5"/>
  <c r="F3876" i="5"/>
  <c r="J3875" i="5"/>
  <c r="H3875" i="5" a="1"/>
  <c r="H3875" i="5"/>
  <c r="G3875" i="5" a="1"/>
  <c r="G3875" i="5"/>
  <c r="F3875" i="5"/>
  <c r="J3874" i="5"/>
  <c r="H3874" i="5" a="1"/>
  <c r="H3874" i="5"/>
  <c r="G3874" i="5" a="1"/>
  <c r="G3874" i="5"/>
  <c r="F3874" i="5"/>
  <c r="J3873" i="5"/>
  <c r="H3873" i="5" a="1"/>
  <c r="H3873" i="5"/>
  <c r="G3873" i="5" a="1"/>
  <c r="G3873" i="5"/>
  <c r="F3873" i="5"/>
  <c r="J3872" i="5"/>
  <c r="H3872" i="5" a="1"/>
  <c r="H3872" i="5"/>
  <c r="G3872" i="5" a="1"/>
  <c r="G3872" i="5"/>
  <c r="F3872" i="5"/>
  <c r="J3871" i="5"/>
  <c r="H3871" i="5" a="1"/>
  <c r="H3871" i="5"/>
  <c r="G3871" i="5" a="1"/>
  <c r="G3871" i="5"/>
  <c r="F3871" i="5"/>
  <c r="J3870" i="5"/>
  <c r="H3870" i="5" a="1"/>
  <c r="H3870" i="5"/>
  <c r="G3870" i="5" a="1"/>
  <c r="G3870" i="5"/>
  <c r="F3870" i="5"/>
  <c r="J3869" i="5"/>
  <c r="H3869" i="5" a="1"/>
  <c r="H3869" i="5"/>
  <c r="G3869" i="5" a="1"/>
  <c r="G3869" i="5"/>
  <c r="F3869" i="5"/>
  <c r="J3868" i="5"/>
  <c r="H3868" i="5" a="1"/>
  <c r="H3868" i="5"/>
  <c r="G3868" i="5" a="1"/>
  <c r="G3868" i="5"/>
  <c r="F3868" i="5"/>
  <c r="J3867" i="5"/>
  <c r="H3867" i="5" a="1"/>
  <c r="H3867" i="5"/>
  <c r="G3867" i="5" a="1"/>
  <c r="G3867" i="5"/>
  <c r="F3867" i="5"/>
  <c r="J3866" i="5"/>
  <c r="H3866" i="5" a="1"/>
  <c r="H3866" i="5"/>
  <c r="G3866" i="5" a="1"/>
  <c r="G3866" i="5"/>
  <c r="F3866" i="5"/>
  <c r="J3865" i="5"/>
  <c r="H3865" i="5" a="1"/>
  <c r="H3865" i="5"/>
  <c r="G3865" i="5" a="1"/>
  <c r="G3865" i="5"/>
  <c r="F3865" i="5"/>
  <c r="J3864" i="5"/>
  <c r="H3864" i="5" a="1"/>
  <c r="H3864" i="5"/>
  <c r="G3864" i="5" a="1"/>
  <c r="G3864" i="5"/>
  <c r="F3864" i="5"/>
  <c r="J3863" i="5"/>
  <c r="H3863" i="5" a="1"/>
  <c r="H3863" i="5"/>
  <c r="G3863" i="5" a="1"/>
  <c r="G3863" i="5"/>
  <c r="F3863" i="5"/>
  <c r="J3862" i="5"/>
  <c r="H3862" i="5" a="1"/>
  <c r="H3862" i="5"/>
  <c r="G3862" i="5" a="1"/>
  <c r="G3862" i="5"/>
  <c r="F3862" i="5"/>
  <c r="J3861" i="5"/>
  <c r="H3861" i="5" a="1"/>
  <c r="H3861" i="5"/>
  <c r="G3861" i="5" a="1"/>
  <c r="G3861" i="5"/>
  <c r="F3861" i="5"/>
  <c r="J3860" i="5"/>
  <c r="H3860" i="5" a="1"/>
  <c r="H3860" i="5"/>
  <c r="G3860" i="5" a="1"/>
  <c r="G3860" i="5"/>
  <c r="F3860" i="5"/>
  <c r="J3859" i="5"/>
  <c r="H3859" i="5" a="1"/>
  <c r="H3859" i="5"/>
  <c r="G3859" i="5" a="1"/>
  <c r="G3859" i="5"/>
  <c r="F3859" i="5"/>
  <c r="J3858" i="5"/>
  <c r="H3858" i="5" a="1"/>
  <c r="H3858" i="5"/>
  <c r="G3858" i="5" a="1"/>
  <c r="G3858" i="5"/>
  <c r="F3858" i="5"/>
  <c r="J3857" i="5"/>
  <c r="H3857" i="5" a="1"/>
  <c r="H3857" i="5"/>
  <c r="G3857" i="5" a="1"/>
  <c r="G3857" i="5"/>
  <c r="F3857" i="5"/>
  <c r="J3856" i="5"/>
  <c r="H3856" i="5" a="1"/>
  <c r="H3856" i="5"/>
  <c r="G3856" i="5" a="1"/>
  <c r="G3856" i="5"/>
  <c r="F3856" i="5"/>
  <c r="J3855" i="5"/>
  <c r="H3855" i="5" a="1"/>
  <c r="H3855" i="5"/>
  <c r="G3855" i="5" a="1"/>
  <c r="G3855" i="5"/>
  <c r="F3855" i="5"/>
  <c r="J3854" i="5"/>
  <c r="H3854" i="5" a="1"/>
  <c r="H3854" i="5"/>
  <c r="G3854" i="5" a="1"/>
  <c r="G3854" i="5"/>
  <c r="F3854" i="5"/>
  <c r="J3853" i="5"/>
  <c r="H3853" i="5" a="1"/>
  <c r="H3853" i="5"/>
  <c r="G3853" i="5" a="1"/>
  <c r="G3853" i="5"/>
  <c r="F3853" i="5"/>
  <c r="J3852" i="5"/>
  <c r="H3852" i="5" a="1"/>
  <c r="H3852" i="5"/>
  <c r="G3852" i="5" a="1"/>
  <c r="G3852" i="5"/>
  <c r="F3852" i="5"/>
  <c r="J3851" i="5"/>
  <c r="H3851" i="5" a="1"/>
  <c r="H3851" i="5"/>
  <c r="G3851" i="5" a="1"/>
  <c r="G3851" i="5"/>
  <c r="F3851" i="5"/>
  <c r="J3850" i="5"/>
  <c r="H3850" i="5" a="1"/>
  <c r="H3850" i="5"/>
  <c r="G3850" i="5" a="1"/>
  <c r="G3850" i="5"/>
  <c r="F3850" i="5"/>
  <c r="J3849" i="5"/>
  <c r="H3849" i="5" a="1"/>
  <c r="H3849" i="5"/>
  <c r="G3849" i="5" a="1"/>
  <c r="G3849" i="5"/>
  <c r="F3849" i="5"/>
  <c r="J3848" i="5"/>
  <c r="H3848" i="5" a="1"/>
  <c r="H3848" i="5"/>
  <c r="G3848" i="5" a="1"/>
  <c r="G3848" i="5"/>
  <c r="F3848" i="5"/>
  <c r="J3847" i="5"/>
  <c r="H3847" i="5" a="1"/>
  <c r="H3847" i="5"/>
  <c r="G3847" i="5" a="1"/>
  <c r="G3847" i="5"/>
  <c r="F3847" i="5"/>
  <c r="J3846" i="5"/>
  <c r="H3846" i="5" a="1"/>
  <c r="H3846" i="5"/>
  <c r="G3846" i="5" a="1"/>
  <c r="G3846" i="5"/>
  <c r="F3846" i="5"/>
  <c r="J3845" i="5"/>
  <c r="H3845" i="5" a="1"/>
  <c r="H3845" i="5"/>
  <c r="G3845" i="5" a="1"/>
  <c r="G3845" i="5"/>
  <c r="F3845" i="5"/>
  <c r="J3844" i="5"/>
  <c r="H3844" i="5" a="1"/>
  <c r="H3844" i="5"/>
  <c r="G3844" i="5" a="1"/>
  <c r="G3844" i="5"/>
  <c r="F3844" i="5"/>
  <c r="J3843" i="5"/>
  <c r="H3843" i="5" a="1"/>
  <c r="H3843" i="5"/>
  <c r="G3843" i="5" a="1"/>
  <c r="G3843" i="5"/>
  <c r="F3843" i="5"/>
  <c r="J3842" i="5"/>
  <c r="H3842" i="5" a="1"/>
  <c r="H3842" i="5"/>
  <c r="G3842" i="5" a="1"/>
  <c r="G3842" i="5"/>
  <c r="F3842" i="5"/>
  <c r="J3841" i="5"/>
  <c r="H3841" i="5" a="1"/>
  <c r="H3841" i="5"/>
  <c r="G3841" i="5" a="1"/>
  <c r="G3841" i="5"/>
  <c r="F3841" i="5"/>
  <c r="J3840" i="5"/>
  <c r="H3840" i="5" a="1"/>
  <c r="H3840" i="5"/>
  <c r="G3840" i="5" a="1"/>
  <c r="G3840" i="5"/>
  <c r="F3840" i="5"/>
  <c r="J3839" i="5"/>
  <c r="H3839" i="5" a="1"/>
  <c r="H3839" i="5"/>
  <c r="G3839" i="5" a="1"/>
  <c r="G3839" i="5"/>
  <c r="F3839" i="5"/>
  <c r="J3838" i="5"/>
  <c r="H3838" i="5" a="1"/>
  <c r="H3838" i="5"/>
  <c r="G3838" i="5" a="1"/>
  <c r="G3838" i="5"/>
  <c r="F3838" i="5"/>
  <c r="J3837" i="5"/>
  <c r="H3837" i="5" a="1"/>
  <c r="H3837" i="5"/>
  <c r="G3837" i="5" a="1"/>
  <c r="G3837" i="5"/>
  <c r="F3837" i="5"/>
  <c r="J3836" i="5"/>
  <c r="H3836" i="5" a="1"/>
  <c r="H3836" i="5"/>
  <c r="G3836" i="5" a="1"/>
  <c r="G3836" i="5"/>
  <c r="F3836" i="5"/>
  <c r="J3835" i="5"/>
  <c r="H3835" i="5" a="1"/>
  <c r="H3835" i="5"/>
  <c r="G3835" i="5" a="1"/>
  <c r="G3835" i="5"/>
  <c r="F3835" i="5"/>
  <c r="J3834" i="5"/>
  <c r="H3834" i="5" a="1"/>
  <c r="H3834" i="5"/>
  <c r="G3834" i="5" a="1"/>
  <c r="G3834" i="5"/>
  <c r="F3834" i="5"/>
  <c r="J3833" i="5"/>
  <c r="H3833" i="5" a="1"/>
  <c r="H3833" i="5"/>
  <c r="G3833" i="5" a="1"/>
  <c r="G3833" i="5"/>
  <c r="F3833" i="5"/>
  <c r="J3832" i="5"/>
  <c r="H3832" i="5" a="1"/>
  <c r="H3832" i="5"/>
  <c r="G3832" i="5" a="1"/>
  <c r="G3832" i="5"/>
  <c r="F3832" i="5"/>
  <c r="J3831" i="5"/>
  <c r="H3831" i="5" a="1"/>
  <c r="H3831" i="5"/>
  <c r="G3831" i="5" a="1"/>
  <c r="G3831" i="5"/>
  <c r="F3831" i="5"/>
  <c r="J3830" i="5"/>
  <c r="H3830" i="5" a="1"/>
  <c r="H3830" i="5"/>
  <c r="G3830" i="5" a="1"/>
  <c r="G3830" i="5"/>
  <c r="F3830" i="5"/>
  <c r="J3829" i="5"/>
  <c r="H3829" i="5" a="1"/>
  <c r="H3829" i="5"/>
  <c r="G3829" i="5" a="1"/>
  <c r="G3829" i="5"/>
  <c r="F3829" i="5"/>
  <c r="J3828" i="5"/>
  <c r="H3828" i="5" a="1"/>
  <c r="H3828" i="5"/>
  <c r="G3828" i="5" a="1"/>
  <c r="G3828" i="5"/>
  <c r="F3828" i="5"/>
  <c r="J3827" i="5"/>
  <c r="H3827" i="5" a="1"/>
  <c r="H3827" i="5"/>
  <c r="G3827" i="5" a="1"/>
  <c r="G3827" i="5"/>
  <c r="F3827" i="5"/>
  <c r="J3826" i="5"/>
  <c r="H3826" i="5" a="1"/>
  <c r="H3826" i="5"/>
  <c r="G3826" i="5" a="1"/>
  <c r="G3826" i="5"/>
  <c r="F3826" i="5"/>
  <c r="J3825" i="5"/>
  <c r="H3825" i="5" a="1"/>
  <c r="H3825" i="5"/>
  <c r="G3825" i="5" a="1"/>
  <c r="G3825" i="5"/>
  <c r="F3825" i="5"/>
  <c r="J3824" i="5"/>
  <c r="H3824" i="5" a="1"/>
  <c r="H3824" i="5"/>
  <c r="G3824" i="5" a="1"/>
  <c r="G3824" i="5"/>
  <c r="F3824" i="5"/>
  <c r="J3823" i="5"/>
  <c r="H3823" i="5" a="1"/>
  <c r="H3823" i="5"/>
  <c r="G3823" i="5" a="1"/>
  <c r="G3823" i="5"/>
  <c r="F3823" i="5"/>
  <c r="J3822" i="5"/>
  <c r="H3822" i="5" a="1"/>
  <c r="H3822" i="5"/>
  <c r="G3822" i="5" a="1"/>
  <c r="G3822" i="5"/>
  <c r="F3822" i="5"/>
  <c r="J3821" i="5"/>
  <c r="H3821" i="5" a="1"/>
  <c r="H3821" i="5"/>
  <c r="G3821" i="5" a="1"/>
  <c r="G3821" i="5"/>
  <c r="F3821" i="5"/>
  <c r="J3820" i="5"/>
  <c r="H3820" i="5" a="1"/>
  <c r="H3820" i="5"/>
  <c r="G3820" i="5" a="1"/>
  <c r="G3820" i="5"/>
  <c r="F3820" i="5"/>
  <c r="J3819" i="5"/>
  <c r="H3819" i="5" a="1"/>
  <c r="H3819" i="5"/>
  <c r="G3819" i="5" a="1"/>
  <c r="G3819" i="5"/>
  <c r="F3819" i="5"/>
  <c r="J3818" i="5"/>
  <c r="H3818" i="5" a="1"/>
  <c r="H3818" i="5"/>
  <c r="G3818" i="5" a="1"/>
  <c r="G3818" i="5"/>
  <c r="F3818" i="5"/>
  <c r="J3817" i="5"/>
  <c r="H3817" i="5" a="1"/>
  <c r="H3817" i="5"/>
  <c r="G3817" i="5" a="1"/>
  <c r="G3817" i="5"/>
  <c r="F3817" i="5"/>
  <c r="J3816" i="5"/>
  <c r="H3816" i="5" a="1"/>
  <c r="H3816" i="5"/>
  <c r="G3816" i="5" a="1"/>
  <c r="G3816" i="5"/>
  <c r="F3816" i="5"/>
  <c r="J3815" i="5"/>
  <c r="H3815" i="5" a="1"/>
  <c r="H3815" i="5"/>
  <c r="G3815" i="5" a="1"/>
  <c r="G3815" i="5"/>
  <c r="F3815" i="5"/>
  <c r="J3814" i="5"/>
  <c r="H3814" i="5" a="1"/>
  <c r="H3814" i="5"/>
  <c r="G3814" i="5" a="1"/>
  <c r="G3814" i="5"/>
  <c r="F3814" i="5"/>
  <c r="J3813" i="5"/>
  <c r="H3813" i="5" a="1"/>
  <c r="H3813" i="5"/>
  <c r="G3813" i="5" a="1"/>
  <c r="G3813" i="5"/>
  <c r="F3813" i="5"/>
  <c r="J3812" i="5"/>
  <c r="H3812" i="5" a="1"/>
  <c r="H3812" i="5"/>
  <c r="G3812" i="5" a="1"/>
  <c r="G3812" i="5"/>
  <c r="F3812" i="5"/>
  <c r="J3811" i="5"/>
  <c r="H3811" i="5" a="1"/>
  <c r="H3811" i="5"/>
  <c r="G3811" i="5" a="1"/>
  <c r="G3811" i="5"/>
  <c r="F3811" i="5"/>
  <c r="J3810" i="5"/>
  <c r="H3810" i="5" a="1"/>
  <c r="H3810" i="5"/>
  <c r="G3810" i="5" a="1"/>
  <c r="G3810" i="5"/>
  <c r="F3810" i="5"/>
  <c r="J3809" i="5"/>
  <c r="H3809" i="5" a="1"/>
  <c r="H3809" i="5"/>
  <c r="G3809" i="5" a="1"/>
  <c r="G3809" i="5"/>
  <c r="F3809" i="5"/>
  <c r="J3808" i="5"/>
  <c r="H3808" i="5" a="1"/>
  <c r="H3808" i="5"/>
  <c r="G3808" i="5" a="1"/>
  <c r="G3808" i="5"/>
  <c r="F3808" i="5"/>
  <c r="J3807" i="5"/>
  <c r="H3807" i="5" a="1"/>
  <c r="H3807" i="5"/>
  <c r="G3807" i="5" a="1"/>
  <c r="G3807" i="5"/>
  <c r="F3807" i="5"/>
  <c r="J3806" i="5"/>
  <c r="H3806" i="5" a="1"/>
  <c r="H3806" i="5"/>
  <c r="G3806" i="5" a="1"/>
  <c r="G3806" i="5"/>
  <c r="F3806" i="5"/>
  <c r="J3805" i="5"/>
  <c r="H3805" i="5" a="1"/>
  <c r="H3805" i="5"/>
  <c r="G3805" i="5" a="1"/>
  <c r="G3805" i="5"/>
  <c r="F3805" i="5"/>
  <c r="J3804" i="5"/>
  <c r="H3804" i="5" a="1"/>
  <c r="H3804" i="5"/>
  <c r="G3804" i="5" a="1"/>
  <c r="G3804" i="5"/>
  <c r="F3804" i="5"/>
  <c r="J3803" i="5"/>
  <c r="H3803" i="5" a="1"/>
  <c r="H3803" i="5"/>
  <c r="G3803" i="5" a="1"/>
  <c r="G3803" i="5"/>
  <c r="F3803" i="5"/>
  <c r="J3802" i="5"/>
  <c r="H3802" i="5" a="1"/>
  <c r="H3802" i="5"/>
  <c r="G3802" i="5" a="1"/>
  <c r="G3802" i="5"/>
  <c r="F3802" i="5"/>
  <c r="J3801" i="5"/>
  <c r="H3801" i="5" a="1"/>
  <c r="H3801" i="5"/>
  <c r="G3801" i="5" a="1"/>
  <c r="G3801" i="5"/>
  <c r="F3801" i="5"/>
  <c r="J3800" i="5"/>
  <c r="H3800" i="5" a="1"/>
  <c r="H3800" i="5"/>
  <c r="G3800" i="5" a="1"/>
  <c r="G3800" i="5"/>
  <c r="F3800" i="5"/>
  <c r="J3799" i="5"/>
  <c r="H3799" i="5" a="1"/>
  <c r="H3799" i="5"/>
  <c r="G3799" i="5" a="1"/>
  <c r="G3799" i="5"/>
  <c r="F3799" i="5"/>
  <c r="J3798" i="5"/>
  <c r="H3798" i="5" a="1"/>
  <c r="H3798" i="5"/>
  <c r="G3798" i="5" a="1"/>
  <c r="G3798" i="5"/>
  <c r="F3798" i="5"/>
  <c r="J3797" i="5"/>
  <c r="H3797" i="5" a="1"/>
  <c r="H3797" i="5"/>
  <c r="G3797" i="5" a="1"/>
  <c r="G3797" i="5"/>
  <c r="F3797" i="5"/>
  <c r="J3796" i="5"/>
  <c r="H3796" i="5" a="1"/>
  <c r="H3796" i="5"/>
  <c r="G3796" i="5" a="1"/>
  <c r="G3796" i="5"/>
  <c r="F3796" i="5"/>
  <c r="J3795" i="5"/>
  <c r="H3795" i="5" a="1"/>
  <c r="H3795" i="5"/>
  <c r="G3795" i="5" a="1"/>
  <c r="G3795" i="5"/>
  <c r="F3795" i="5"/>
  <c r="J3794" i="5"/>
  <c r="H3794" i="5" a="1"/>
  <c r="H3794" i="5"/>
  <c r="G3794" i="5" a="1"/>
  <c r="G3794" i="5"/>
  <c r="F3794" i="5"/>
  <c r="J3793" i="5"/>
  <c r="H3793" i="5" a="1"/>
  <c r="H3793" i="5"/>
  <c r="G3793" i="5" a="1"/>
  <c r="G3793" i="5"/>
  <c r="F3793" i="5"/>
  <c r="J3792" i="5"/>
  <c r="H3792" i="5" a="1"/>
  <c r="H3792" i="5"/>
  <c r="G3792" i="5" a="1"/>
  <c r="G3792" i="5"/>
  <c r="F3792" i="5"/>
  <c r="J3791" i="5"/>
  <c r="H3791" i="5" a="1"/>
  <c r="H3791" i="5"/>
  <c r="G3791" i="5" a="1"/>
  <c r="G3791" i="5"/>
  <c r="F3791" i="5"/>
  <c r="J3790" i="5"/>
  <c r="H3790" i="5" a="1"/>
  <c r="H3790" i="5"/>
  <c r="G3790" i="5" a="1"/>
  <c r="G3790" i="5"/>
  <c r="F3790" i="5"/>
  <c r="J3789" i="5"/>
  <c r="H3789" i="5" a="1"/>
  <c r="H3789" i="5"/>
  <c r="G3789" i="5" a="1"/>
  <c r="G3789" i="5"/>
  <c r="F3789" i="5"/>
  <c r="J3788" i="5"/>
  <c r="H3788" i="5" a="1"/>
  <c r="H3788" i="5"/>
  <c r="G3788" i="5" a="1"/>
  <c r="G3788" i="5"/>
  <c r="F3788" i="5"/>
  <c r="J3787" i="5"/>
  <c r="H3787" i="5" a="1"/>
  <c r="H3787" i="5"/>
  <c r="G3787" i="5" a="1"/>
  <c r="G3787" i="5"/>
  <c r="F3787" i="5"/>
  <c r="J3786" i="5"/>
  <c r="H3786" i="5" a="1"/>
  <c r="H3786" i="5"/>
  <c r="G3786" i="5" a="1"/>
  <c r="G3786" i="5"/>
  <c r="F3786" i="5"/>
  <c r="J3785" i="5"/>
  <c r="H3785" i="5" a="1"/>
  <c r="H3785" i="5"/>
  <c r="G3785" i="5" a="1"/>
  <c r="G3785" i="5"/>
  <c r="F3785" i="5"/>
  <c r="J3784" i="5"/>
  <c r="H3784" i="5" a="1"/>
  <c r="H3784" i="5"/>
  <c r="G3784" i="5" a="1"/>
  <c r="G3784" i="5"/>
  <c r="F3784" i="5"/>
  <c r="J3783" i="5"/>
  <c r="H3783" i="5" a="1"/>
  <c r="H3783" i="5"/>
  <c r="G3783" i="5" a="1"/>
  <c r="G3783" i="5"/>
  <c r="F3783" i="5"/>
  <c r="J3782" i="5"/>
  <c r="H3782" i="5" a="1"/>
  <c r="H3782" i="5"/>
  <c r="G3782" i="5" a="1"/>
  <c r="G3782" i="5"/>
  <c r="F3782" i="5"/>
  <c r="J3781" i="5"/>
  <c r="H3781" i="5" a="1"/>
  <c r="H3781" i="5"/>
  <c r="G3781" i="5" a="1"/>
  <c r="G3781" i="5"/>
  <c r="F3781" i="5"/>
  <c r="J3780" i="5"/>
  <c r="H3780" i="5" a="1"/>
  <c r="H3780" i="5"/>
  <c r="G3780" i="5" a="1"/>
  <c r="G3780" i="5"/>
  <c r="F3780" i="5"/>
  <c r="J3779" i="5"/>
  <c r="H3779" i="5" a="1"/>
  <c r="H3779" i="5"/>
  <c r="G3779" i="5" a="1"/>
  <c r="G3779" i="5"/>
  <c r="F3779" i="5"/>
  <c r="J3778" i="5"/>
  <c r="H3778" i="5" a="1"/>
  <c r="H3778" i="5"/>
  <c r="G3778" i="5" a="1"/>
  <c r="G3778" i="5"/>
  <c r="F3778" i="5"/>
  <c r="J3777" i="5"/>
  <c r="H3777" i="5" a="1"/>
  <c r="H3777" i="5"/>
  <c r="G3777" i="5" a="1"/>
  <c r="G3777" i="5"/>
  <c r="F3777" i="5"/>
  <c r="J3776" i="5"/>
  <c r="H3776" i="5" a="1"/>
  <c r="H3776" i="5"/>
  <c r="G3776" i="5" a="1"/>
  <c r="G3776" i="5"/>
  <c r="F3776" i="5"/>
  <c r="J3775" i="5"/>
  <c r="H3775" i="5" a="1"/>
  <c r="H3775" i="5"/>
  <c r="G3775" i="5" a="1"/>
  <c r="G3775" i="5"/>
  <c r="F3775" i="5"/>
  <c r="J3774" i="5"/>
  <c r="H3774" i="5" a="1"/>
  <c r="H3774" i="5"/>
  <c r="G3774" i="5" a="1"/>
  <c r="G3774" i="5"/>
  <c r="F3774" i="5"/>
  <c r="J3773" i="5"/>
  <c r="H3773" i="5" a="1"/>
  <c r="H3773" i="5"/>
  <c r="G3773" i="5" a="1"/>
  <c r="G3773" i="5"/>
  <c r="F3773" i="5"/>
  <c r="J3772" i="5"/>
  <c r="H3772" i="5" a="1"/>
  <c r="H3772" i="5"/>
  <c r="G3772" i="5" a="1"/>
  <c r="G3772" i="5"/>
  <c r="F3772" i="5"/>
  <c r="J3771" i="5"/>
  <c r="H3771" i="5" a="1"/>
  <c r="H3771" i="5"/>
  <c r="G3771" i="5" a="1"/>
  <c r="G3771" i="5"/>
  <c r="F3771" i="5"/>
  <c r="J3770" i="5"/>
  <c r="H3770" i="5" a="1"/>
  <c r="H3770" i="5"/>
  <c r="G3770" i="5" a="1"/>
  <c r="G3770" i="5"/>
  <c r="F3770" i="5"/>
  <c r="J3769" i="5"/>
  <c r="H3769" i="5" a="1"/>
  <c r="H3769" i="5"/>
  <c r="G3769" i="5" a="1"/>
  <c r="G3769" i="5"/>
  <c r="F3769" i="5"/>
  <c r="J3768" i="5"/>
  <c r="H3768" i="5" a="1"/>
  <c r="H3768" i="5"/>
  <c r="G3768" i="5" a="1"/>
  <c r="G3768" i="5"/>
  <c r="F3768" i="5"/>
  <c r="J3767" i="5"/>
  <c r="H3767" i="5" a="1"/>
  <c r="H3767" i="5"/>
  <c r="G3767" i="5" a="1"/>
  <c r="G3767" i="5"/>
  <c r="F3767" i="5"/>
  <c r="J3766" i="5"/>
  <c r="H3766" i="5" a="1"/>
  <c r="H3766" i="5"/>
  <c r="G3766" i="5" a="1"/>
  <c r="G3766" i="5"/>
  <c r="F3766" i="5"/>
  <c r="J3765" i="5"/>
  <c r="H3765" i="5" a="1"/>
  <c r="H3765" i="5"/>
  <c r="G3765" i="5" a="1"/>
  <c r="G3765" i="5"/>
  <c r="F3765" i="5"/>
  <c r="J3764" i="5"/>
  <c r="H3764" i="5" a="1"/>
  <c r="H3764" i="5"/>
  <c r="G3764" i="5" a="1"/>
  <c r="G3764" i="5"/>
  <c r="F3764" i="5"/>
  <c r="J3763" i="5"/>
  <c r="H3763" i="5" a="1"/>
  <c r="H3763" i="5"/>
  <c r="G3763" i="5" a="1"/>
  <c r="G3763" i="5"/>
  <c r="F3763" i="5"/>
  <c r="J3762" i="5"/>
  <c r="H3762" i="5" a="1"/>
  <c r="H3762" i="5"/>
  <c r="G3762" i="5" a="1"/>
  <c r="G3762" i="5"/>
  <c r="F3762" i="5"/>
  <c r="J3761" i="5"/>
  <c r="H3761" i="5" a="1"/>
  <c r="H3761" i="5"/>
  <c r="G3761" i="5" a="1"/>
  <c r="G3761" i="5"/>
  <c r="F3761" i="5"/>
  <c r="J3760" i="5"/>
  <c r="H3760" i="5" a="1"/>
  <c r="H3760" i="5"/>
  <c r="G3760" i="5" a="1"/>
  <c r="G3760" i="5"/>
  <c r="F3760" i="5"/>
  <c r="J3759" i="5"/>
  <c r="H3759" i="5" a="1"/>
  <c r="H3759" i="5"/>
  <c r="G3759" i="5" a="1"/>
  <c r="G3759" i="5"/>
  <c r="F3759" i="5"/>
  <c r="J3758" i="5"/>
  <c r="H3758" i="5" a="1"/>
  <c r="H3758" i="5"/>
  <c r="G3758" i="5" a="1"/>
  <c r="G3758" i="5"/>
  <c r="F3758" i="5"/>
  <c r="J3757" i="5"/>
  <c r="H3757" i="5" a="1"/>
  <c r="H3757" i="5"/>
  <c r="G3757" i="5" a="1"/>
  <c r="G3757" i="5"/>
  <c r="F3757" i="5"/>
  <c r="J3756" i="5"/>
  <c r="H3756" i="5" a="1"/>
  <c r="H3756" i="5"/>
  <c r="G3756" i="5" a="1"/>
  <c r="G3756" i="5"/>
  <c r="F3756" i="5"/>
  <c r="J3755" i="5"/>
  <c r="H3755" i="5" a="1"/>
  <c r="H3755" i="5"/>
  <c r="G3755" i="5" a="1"/>
  <c r="G3755" i="5"/>
  <c r="F3755" i="5"/>
  <c r="J3754" i="5"/>
  <c r="H3754" i="5" a="1"/>
  <c r="H3754" i="5"/>
  <c r="G3754" i="5" a="1"/>
  <c r="G3754" i="5"/>
  <c r="F3754" i="5"/>
  <c r="J3753" i="5"/>
  <c r="H3753" i="5" a="1"/>
  <c r="H3753" i="5"/>
  <c r="G3753" i="5" a="1"/>
  <c r="G3753" i="5"/>
  <c r="F3753" i="5"/>
  <c r="J3752" i="5"/>
  <c r="H3752" i="5" a="1"/>
  <c r="H3752" i="5"/>
  <c r="G3752" i="5" a="1"/>
  <c r="G3752" i="5"/>
  <c r="F3752" i="5"/>
  <c r="J3751" i="5"/>
  <c r="H3751" i="5" a="1"/>
  <c r="H3751" i="5"/>
  <c r="G3751" i="5" a="1"/>
  <c r="G3751" i="5"/>
  <c r="F3751" i="5"/>
  <c r="J3750" i="5"/>
  <c r="H3750" i="5" a="1"/>
  <c r="H3750" i="5"/>
  <c r="G3750" i="5" a="1"/>
  <c r="G3750" i="5"/>
  <c r="F3750" i="5"/>
  <c r="J3749" i="5"/>
  <c r="H3749" i="5" a="1"/>
  <c r="H3749" i="5"/>
  <c r="G3749" i="5" a="1"/>
  <c r="G3749" i="5"/>
  <c r="F3749" i="5"/>
  <c r="J3748" i="5"/>
  <c r="H3748" i="5" a="1"/>
  <c r="H3748" i="5"/>
  <c r="G3748" i="5" a="1"/>
  <c r="G3748" i="5"/>
  <c r="F3748" i="5"/>
  <c r="J3747" i="5"/>
  <c r="H3747" i="5" a="1"/>
  <c r="H3747" i="5"/>
  <c r="G3747" i="5" a="1"/>
  <c r="G3747" i="5"/>
  <c r="F3747" i="5"/>
  <c r="J3746" i="5"/>
  <c r="H3746" i="5" a="1"/>
  <c r="H3746" i="5"/>
  <c r="G3746" i="5" a="1"/>
  <c r="G3746" i="5"/>
  <c r="F3746" i="5"/>
  <c r="J3745" i="5"/>
  <c r="H3745" i="5" a="1"/>
  <c r="H3745" i="5"/>
  <c r="G3745" i="5" a="1"/>
  <c r="G3745" i="5"/>
  <c r="F3745" i="5"/>
  <c r="J3744" i="5"/>
  <c r="H3744" i="5" a="1"/>
  <c r="H3744" i="5"/>
  <c r="G3744" i="5" a="1"/>
  <c r="G3744" i="5"/>
  <c r="F3744" i="5"/>
  <c r="J3743" i="5"/>
  <c r="H3743" i="5" a="1"/>
  <c r="H3743" i="5"/>
  <c r="G3743" i="5" a="1"/>
  <c r="G3743" i="5"/>
  <c r="F3743" i="5"/>
  <c r="J3742" i="5"/>
  <c r="H3742" i="5" a="1"/>
  <c r="H3742" i="5"/>
  <c r="G3742" i="5" a="1"/>
  <c r="G3742" i="5"/>
  <c r="F3742" i="5"/>
  <c r="J3741" i="5"/>
  <c r="H3741" i="5" a="1"/>
  <c r="H3741" i="5"/>
  <c r="G3741" i="5" a="1"/>
  <c r="G3741" i="5"/>
  <c r="F3741" i="5"/>
  <c r="J3740" i="5"/>
  <c r="H3740" i="5" a="1"/>
  <c r="H3740" i="5"/>
  <c r="G3740" i="5" a="1"/>
  <c r="G3740" i="5"/>
  <c r="F3740" i="5"/>
  <c r="J3739" i="5"/>
  <c r="H3739" i="5" a="1"/>
  <c r="H3739" i="5"/>
  <c r="G3739" i="5" a="1"/>
  <c r="G3739" i="5"/>
  <c r="F3739" i="5"/>
  <c r="J3738" i="5"/>
  <c r="H3738" i="5" a="1"/>
  <c r="H3738" i="5"/>
  <c r="G3738" i="5" a="1"/>
  <c r="G3738" i="5"/>
  <c r="F3738" i="5"/>
  <c r="J3737" i="5"/>
  <c r="H3737" i="5" a="1"/>
  <c r="H3737" i="5"/>
  <c r="G3737" i="5" a="1"/>
  <c r="G3737" i="5"/>
  <c r="F3737" i="5"/>
  <c r="J3736" i="5"/>
  <c r="H3736" i="5" a="1"/>
  <c r="H3736" i="5"/>
  <c r="G3736" i="5" a="1"/>
  <c r="G3736" i="5"/>
  <c r="F3736" i="5"/>
  <c r="J3735" i="5"/>
  <c r="H3735" i="5" a="1"/>
  <c r="H3735" i="5"/>
  <c r="G3735" i="5" a="1"/>
  <c r="G3735" i="5"/>
  <c r="F3735" i="5"/>
  <c r="J3734" i="5"/>
  <c r="H3734" i="5" a="1"/>
  <c r="H3734" i="5"/>
  <c r="G3734" i="5" a="1"/>
  <c r="G3734" i="5"/>
  <c r="F3734" i="5"/>
  <c r="J3733" i="5"/>
  <c r="H3733" i="5" a="1"/>
  <c r="H3733" i="5"/>
  <c r="G3733" i="5" a="1"/>
  <c r="G3733" i="5"/>
  <c r="F3733" i="5"/>
  <c r="J3732" i="5"/>
  <c r="H3732" i="5" a="1"/>
  <c r="H3732" i="5"/>
  <c r="G3732" i="5" a="1"/>
  <c r="G3732" i="5"/>
  <c r="F3732" i="5"/>
  <c r="J3731" i="5"/>
  <c r="H3731" i="5" a="1"/>
  <c r="H3731" i="5"/>
  <c r="G3731" i="5" a="1"/>
  <c r="G3731" i="5"/>
  <c r="F3731" i="5"/>
  <c r="J3730" i="5"/>
  <c r="H3730" i="5" a="1"/>
  <c r="H3730" i="5"/>
  <c r="G3730" i="5" a="1"/>
  <c r="G3730" i="5"/>
  <c r="F3730" i="5"/>
  <c r="J3729" i="5"/>
  <c r="H3729" i="5" a="1"/>
  <c r="H3729" i="5"/>
  <c r="G3729" i="5" a="1"/>
  <c r="G3729" i="5"/>
  <c r="F3729" i="5"/>
  <c r="J3728" i="5"/>
  <c r="H3728" i="5" a="1"/>
  <c r="H3728" i="5"/>
  <c r="G3728" i="5" a="1"/>
  <c r="G3728" i="5"/>
  <c r="F3728" i="5"/>
  <c r="J3727" i="5"/>
  <c r="H3727" i="5" a="1"/>
  <c r="H3727" i="5"/>
  <c r="G3727" i="5" a="1"/>
  <c r="G3727" i="5"/>
  <c r="F3727" i="5"/>
  <c r="J3726" i="5"/>
  <c r="H3726" i="5" a="1"/>
  <c r="H3726" i="5"/>
  <c r="G3726" i="5" a="1"/>
  <c r="G3726" i="5"/>
  <c r="F3726" i="5"/>
  <c r="J3725" i="5"/>
  <c r="H3725" i="5" a="1"/>
  <c r="H3725" i="5"/>
  <c r="G3725" i="5" a="1"/>
  <c r="G3725" i="5"/>
  <c r="F3725" i="5"/>
  <c r="J3724" i="5"/>
  <c r="H3724" i="5" a="1"/>
  <c r="H3724" i="5"/>
  <c r="G3724" i="5" a="1"/>
  <c r="G3724" i="5"/>
  <c r="F3724" i="5"/>
  <c r="J3723" i="5"/>
  <c r="H3723" i="5" a="1"/>
  <c r="H3723" i="5"/>
  <c r="G3723" i="5" a="1"/>
  <c r="G3723" i="5"/>
  <c r="F3723" i="5"/>
  <c r="J3722" i="5"/>
  <c r="H3722" i="5" a="1"/>
  <c r="H3722" i="5"/>
  <c r="G3722" i="5" a="1"/>
  <c r="G3722" i="5"/>
  <c r="F3722" i="5"/>
  <c r="J3721" i="5"/>
  <c r="H3721" i="5" a="1"/>
  <c r="H3721" i="5"/>
  <c r="G3721" i="5" a="1"/>
  <c r="G3721" i="5"/>
  <c r="F3721" i="5"/>
  <c r="J3720" i="5"/>
  <c r="H3720" i="5" a="1"/>
  <c r="H3720" i="5"/>
  <c r="G3720" i="5" a="1"/>
  <c r="G3720" i="5"/>
  <c r="F3720" i="5"/>
  <c r="J3719" i="5"/>
  <c r="H3719" i="5" a="1"/>
  <c r="H3719" i="5"/>
  <c r="G3719" i="5" a="1"/>
  <c r="G3719" i="5"/>
  <c r="F3719" i="5"/>
  <c r="J3718" i="5"/>
  <c r="H3718" i="5" a="1"/>
  <c r="H3718" i="5"/>
  <c r="G3718" i="5" a="1"/>
  <c r="G3718" i="5"/>
  <c r="F3718" i="5"/>
  <c r="J3717" i="5"/>
  <c r="H3717" i="5" a="1"/>
  <c r="H3717" i="5"/>
  <c r="G3717" i="5" a="1"/>
  <c r="G3717" i="5"/>
  <c r="F3717" i="5"/>
  <c r="J3716" i="5"/>
  <c r="H3716" i="5" a="1"/>
  <c r="H3716" i="5"/>
  <c r="G3716" i="5" a="1"/>
  <c r="G3716" i="5"/>
  <c r="F3716" i="5"/>
  <c r="J3715" i="5"/>
  <c r="H3715" i="5" a="1"/>
  <c r="H3715" i="5"/>
  <c r="G3715" i="5" a="1"/>
  <c r="G3715" i="5"/>
  <c r="F3715" i="5"/>
  <c r="J3714" i="5"/>
  <c r="H3714" i="5" a="1"/>
  <c r="H3714" i="5"/>
  <c r="G3714" i="5" a="1"/>
  <c r="G3714" i="5"/>
  <c r="F3714" i="5"/>
  <c r="J3713" i="5"/>
  <c r="H3713" i="5" a="1"/>
  <c r="H3713" i="5"/>
  <c r="G3713" i="5" a="1"/>
  <c r="G3713" i="5"/>
  <c r="F3713" i="5"/>
  <c r="J3712" i="5"/>
  <c r="H3712" i="5" a="1"/>
  <c r="H3712" i="5"/>
  <c r="G3712" i="5" a="1"/>
  <c r="G3712" i="5"/>
  <c r="F3712" i="5"/>
  <c r="J3711" i="5"/>
  <c r="H3711" i="5" a="1"/>
  <c r="H3711" i="5"/>
  <c r="G3711" i="5" a="1"/>
  <c r="G3711" i="5"/>
  <c r="F3711" i="5"/>
  <c r="J3710" i="5"/>
  <c r="H3710" i="5" a="1"/>
  <c r="H3710" i="5"/>
  <c r="G3710" i="5" a="1"/>
  <c r="G3710" i="5"/>
  <c r="F3710" i="5"/>
  <c r="J3709" i="5"/>
  <c r="H3709" i="5" a="1"/>
  <c r="H3709" i="5"/>
  <c r="G3709" i="5" a="1"/>
  <c r="G3709" i="5"/>
  <c r="F3709" i="5"/>
  <c r="J3708" i="5"/>
  <c r="H3708" i="5" a="1"/>
  <c r="H3708" i="5"/>
  <c r="G3708" i="5" a="1"/>
  <c r="G3708" i="5"/>
  <c r="F3708" i="5"/>
  <c r="J3707" i="5"/>
  <c r="H3707" i="5" a="1"/>
  <c r="H3707" i="5"/>
  <c r="G3707" i="5" a="1"/>
  <c r="G3707" i="5"/>
  <c r="F3707" i="5"/>
  <c r="J3706" i="5"/>
  <c r="H3706" i="5" a="1"/>
  <c r="H3706" i="5"/>
  <c r="G3706" i="5" a="1"/>
  <c r="G3706" i="5"/>
  <c r="F3706" i="5"/>
  <c r="J3705" i="5"/>
  <c r="H3705" i="5" a="1"/>
  <c r="H3705" i="5"/>
  <c r="G3705" i="5" a="1"/>
  <c r="G3705" i="5"/>
  <c r="F3705" i="5"/>
  <c r="J3704" i="5"/>
  <c r="H3704" i="5" a="1"/>
  <c r="H3704" i="5"/>
  <c r="G3704" i="5" a="1"/>
  <c r="G3704" i="5"/>
  <c r="F3704" i="5"/>
  <c r="J3703" i="5"/>
  <c r="H3703" i="5" a="1"/>
  <c r="H3703" i="5"/>
  <c r="G3703" i="5" a="1"/>
  <c r="G3703" i="5"/>
  <c r="F3703" i="5"/>
  <c r="J3702" i="5"/>
  <c r="H3702" i="5" a="1"/>
  <c r="H3702" i="5"/>
  <c r="G3702" i="5" a="1"/>
  <c r="G3702" i="5"/>
  <c r="F3702" i="5"/>
  <c r="J3701" i="5"/>
  <c r="H3701" i="5" a="1"/>
  <c r="H3701" i="5"/>
  <c r="G3701" i="5" a="1"/>
  <c r="G3701" i="5"/>
  <c r="F3701" i="5"/>
  <c r="J3700" i="5"/>
  <c r="H3700" i="5" a="1"/>
  <c r="H3700" i="5"/>
  <c r="G3700" i="5" a="1"/>
  <c r="G3700" i="5"/>
  <c r="F3700" i="5"/>
  <c r="J3699" i="5"/>
  <c r="H3699" i="5" a="1"/>
  <c r="H3699" i="5"/>
  <c r="G3699" i="5" a="1"/>
  <c r="G3699" i="5"/>
  <c r="F3699" i="5"/>
  <c r="J3698" i="5"/>
  <c r="H3698" i="5" a="1"/>
  <c r="H3698" i="5"/>
  <c r="G3698" i="5" a="1"/>
  <c r="G3698" i="5"/>
  <c r="F3698" i="5"/>
  <c r="J3697" i="5"/>
  <c r="H3697" i="5" a="1"/>
  <c r="H3697" i="5"/>
  <c r="G3697" i="5" a="1"/>
  <c r="G3697" i="5"/>
  <c r="F3697" i="5"/>
  <c r="J3696" i="5"/>
  <c r="H3696" i="5" a="1"/>
  <c r="H3696" i="5"/>
  <c r="G3696" i="5" a="1"/>
  <c r="G3696" i="5"/>
  <c r="F3696" i="5"/>
  <c r="J3695" i="5"/>
  <c r="H3695" i="5" a="1"/>
  <c r="H3695" i="5"/>
  <c r="G3695" i="5" a="1"/>
  <c r="G3695" i="5"/>
  <c r="F3695" i="5"/>
  <c r="J3694" i="5"/>
  <c r="H3694" i="5" a="1"/>
  <c r="H3694" i="5"/>
  <c r="G3694" i="5" a="1"/>
  <c r="G3694" i="5"/>
  <c r="F3694" i="5"/>
  <c r="J3693" i="5"/>
  <c r="H3693" i="5" a="1"/>
  <c r="H3693" i="5"/>
  <c r="G3693" i="5" a="1"/>
  <c r="G3693" i="5"/>
  <c r="F3693" i="5"/>
  <c r="J3692" i="5"/>
  <c r="H3692" i="5" a="1"/>
  <c r="H3692" i="5"/>
  <c r="G3692" i="5" a="1"/>
  <c r="G3692" i="5"/>
  <c r="F3692" i="5"/>
  <c r="J3691" i="5"/>
  <c r="H3691" i="5" a="1"/>
  <c r="H3691" i="5"/>
  <c r="G3691" i="5" a="1"/>
  <c r="G3691" i="5"/>
  <c r="F3691" i="5"/>
  <c r="J3690" i="5"/>
  <c r="H3690" i="5" a="1"/>
  <c r="H3690" i="5"/>
  <c r="G3690" i="5" a="1"/>
  <c r="G3690" i="5"/>
  <c r="F3690" i="5"/>
  <c r="J3689" i="5"/>
  <c r="H3689" i="5" a="1"/>
  <c r="H3689" i="5"/>
  <c r="G3689" i="5" a="1"/>
  <c r="G3689" i="5"/>
  <c r="F3689" i="5"/>
  <c r="J3688" i="5"/>
  <c r="H3688" i="5" a="1"/>
  <c r="H3688" i="5"/>
  <c r="G3688" i="5" a="1"/>
  <c r="G3688" i="5"/>
  <c r="F3688" i="5"/>
  <c r="J3687" i="5"/>
  <c r="H3687" i="5" a="1"/>
  <c r="H3687" i="5"/>
  <c r="G3687" i="5" a="1"/>
  <c r="G3687" i="5"/>
  <c r="F3687" i="5"/>
  <c r="J3686" i="5"/>
  <c r="H3686" i="5" a="1"/>
  <c r="H3686" i="5"/>
  <c r="G3686" i="5" a="1"/>
  <c r="G3686" i="5"/>
  <c r="F3686" i="5"/>
  <c r="J3685" i="5"/>
  <c r="H3685" i="5" a="1"/>
  <c r="H3685" i="5"/>
  <c r="G3685" i="5" a="1"/>
  <c r="G3685" i="5"/>
  <c r="F3685" i="5"/>
  <c r="J3684" i="5"/>
  <c r="H3684" i="5" a="1"/>
  <c r="H3684" i="5"/>
  <c r="G3684" i="5" a="1"/>
  <c r="G3684" i="5"/>
  <c r="F3684" i="5"/>
  <c r="J3683" i="5"/>
  <c r="H3683" i="5" a="1"/>
  <c r="H3683" i="5"/>
  <c r="G3683" i="5" a="1"/>
  <c r="G3683" i="5"/>
  <c r="F3683" i="5"/>
  <c r="J3682" i="5"/>
  <c r="H3682" i="5" a="1"/>
  <c r="H3682" i="5"/>
  <c r="G3682" i="5" a="1"/>
  <c r="G3682" i="5"/>
  <c r="F3682" i="5"/>
  <c r="J3681" i="5"/>
  <c r="H3681" i="5" a="1"/>
  <c r="H3681" i="5"/>
  <c r="G3681" i="5" a="1"/>
  <c r="G3681" i="5"/>
  <c r="F3681" i="5"/>
  <c r="J3680" i="5"/>
  <c r="H3680" i="5" a="1"/>
  <c r="H3680" i="5"/>
  <c r="G3680" i="5" a="1"/>
  <c r="G3680" i="5"/>
  <c r="F3680" i="5"/>
  <c r="J3679" i="5"/>
  <c r="H3679" i="5" a="1"/>
  <c r="H3679" i="5"/>
  <c r="G3679" i="5" a="1"/>
  <c r="G3679" i="5"/>
  <c r="F3679" i="5"/>
  <c r="J3678" i="5"/>
  <c r="H3678" i="5" a="1"/>
  <c r="H3678" i="5"/>
  <c r="G3678" i="5" a="1"/>
  <c r="G3678" i="5"/>
  <c r="F3678" i="5"/>
  <c r="J3677" i="5"/>
  <c r="H3677" i="5" a="1"/>
  <c r="H3677" i="5"/>
  <c r="G3677" i="5" a="1"/>
  <c r="G3677" i="5"/>
  <c r="F3677" i="5"/>
  <c r="J3676" i="5"/>
  <c r="H3676" i="5" a="1"/>
  <c r="H3676" i="5"/>
  <c r="G3676" i="5" a="1"/>
  <c r="G3676" i="5"/>
  <c r="F3676" i="5"/>
  <c r="J3675" i="5"/>
  <c r="H3675" i="5" a="1"/>
  <c r="H3675" i="5"/>
  <c r="G3675" i="5" a="1"/>
  <c r="G3675" i="5"/>
  <c r="F3675" i="5"/>
  <c r="J3674" i="5"/>
  <c r="H3674" i="5" a="1"/>
  <c r="H3674" i="5"/>
  <c r="G3674" i="5" a="1"/>
  <c r="G3674" i="5"/>
  <c r="F3674" i="5"/>
  <c r="J3673" i="5"/>
  <c r="H3673" i="5" a="1"/>
  <c r="H3673" i="5"/>
  <c r="G3673" i="5" a="1"/>
  <c r="G3673" i="5"/>
  <c r="F3673" i="5"/>
  <c r="J3672" i="5"/>
  <c r="H3672" i="5" a="1"/>
  <c r="H3672" i="5"/>
  <c r="G3672" i="5" a="1"/>
  <c r="G3672" i="5"/>
  <c r="F3672" i="5"/>
  <c r="J3671" i="5"/>
  <c r="H3671" i="5" a="1"/>
  <c r="H3671" i="5"/>
  <c r="G3671" i="5" a="1"/>
  <c r="G3671" i="5"/>
  <c r="F3671" i="5"/>
  <c r="J3670" i="5"/>
  <c r="H3670" i="5" a="1"/>
  <c r="H3670" i="5"/>
  <c r="G3670" i="5" a="1"/>
  <c r="G3670" i="5"/>
  <c r="F3670" i="5"/>
  <c r="J3669" i="5"/>
  <c r="H3669" i="5" a="1"/>
  <c r="H3669" i="5"/>
  <c r="G3669" i="5" a="1"/>
  <c r="G3669" i="5"/>
  <c r="F3669" i="5"/>
  <c r="J3668" i="5"/>
  <c r="H3668" i="5" a="1"/>
  <c r="H3668" i="5"/>
  <c r="G3668" i="5" a="1"/>
  <c r="G3668" i="5"/>
  <c r="F3668" i="5"/>
  <c r="J3667" i="5"/>
  <c r="H3667" i="5" a="1"/>
  <c r="H3667" i="5"/>
  <c r="G3667" i="5" a="1"/>
  <c r="G3667" i="5"/>
  <c r="F3667" i="5"/>
  <c r="J3666" i="5"/>
  <c r="H3666" i="5" a="1"/>
  <c r="H3666" i="5"/>
  <c r="G3666" i="5" a="1"/>
  <c r="G3666" i="5"/>
  <c r="F3666" i="5"/>
  <c r="J3665" i="5"/>
  <c r="H3665" i="5" a="1"/>
  <c r="H3665" i="5"/>
  <c r="G3665" i="5" a="1"/>
  <c r="G3665" i="5"/>
  <c r="F3665" i="5"/>
  <c r="J3664" i="5"/>
  <c r="H3664" i="5" a="1"/>
  <c r="H3664" i="5"/>
  <c r="G3664" i="5" a="1"/>
  <c r="G3664" i="5"/>
  <c r="F3664" i="5"/>
  <c r="J3663" i="5"/>
  <c r="H3663" i="5" a="1"/>
  <c r="H3663" i="5"/>
  <c r="G3663" i="5" a="1"/>
  <c r="G3663" i="5"/>
  <c r="F3663" i="5"/>
  <c r="J3662" i="5"/>
  <c r="H3662" i="5" a="1"/>
  <c r="H3662" i="5"/>
  <c r="G3662" i="5" a="1"/>
  <c r="G3662" i="5"/>
  <c r="F3662" i="5"/>
  <c r="J3661" i="5"/>
  <c r="H3661" i="5" a="1"/>
  <c r="H3661" i="5"/>
  <c r="G3661" i="5" a="1"/>
  <c r="G3661" i="5"/>
  <c r="F3661" i="5"/>
  <c r="J3660" i="5"/>
  <c r="H3660" i="5" a="1"/>
  <c r="H3660" i="5"/>
  <c r="G3660" i="5" a="1"/>
  <c r="G3660" i="5"/>
  <c r="F3660" i="5"/>
  <c r="J3659" i="5"/>
  <c r="H3659" i="5" a="1"/>
  <c r="H3659" i="5"/>
  <c r="G3659" i="5" a="1"/>
  <c r="G3659" i="5"/>
  <c r="F3659" i="5"/>
  <c r="J3658" i="5"/>
  <c r="H3658" i="5" a="1"/>
  <c r="H3658" i="5"/>
  <c r="G3658" i="5" a="1"/>
  <c r="G3658" i="5"/>
  <c r="F3658" i="5"/>
  <c r="J3657" i="5"/>
  <c r="H3657" i="5" a="1"/>
  <c r="H3657" i="5"/>
  <c r="G3657" i="5" a="1"/>
  <c r="G3657" i="5"/>
  <c r="F3657" i="5"/>
  <c r="J3656" i="5"/>
  <c r="H3656" i="5" a="1"/>
  <c r="H3656" i="5"/>
  <c r="G3656" i="5" a="1"/>
  <c r="G3656" i="5"/>
  <c r="F3656" i="5"/>
  <c r="J3655" i="5"/>
  <c r="H3655" i="5" a="1"/>
  <c r="H3655" i="5"/>
  <c r="G3655" i="5" a="1"/>
  <c r="G3655" i="5"/>
  <c r="F3655" i="5"/>
  <c r="J3654" i="5"/>
  <c r="H3654" i="5" a="1"/>
  <c r="H3654" i="5"/>
  <c r="G3654" i="5" a="1"/>
  <c r="G3654" i="5"/>
  <c r="F3654" i="5"/>
  <c r="J3653" i="5"/>
  <c r="H3653" i="5" a="1"/>
  <c r="H3653" i="5"/>
  <c r="G3653" i="5" a="1"/>
  <c r="G3653" i="5"/>
  <c r="F3653" i="5"/>
  <c r="J3652" i="5"/>
  <c r="H3652" i="5" a="1"/>
  <c r="H3652" i="5"/>
  <c r="G3652" i="5" a="1"/>
  <c r="G3652" i="5"/>
  <c r="F3652" i="5"/>
  <c r="J3651" i="5"/>
  <c r="H3651" i="5" a="1"/>
  <c r="H3651" i="5"/>
  <c r="G3651" i="5" a="1"/>
  <c r="G3651" i="5"/>
  <c r="F3651" i="5"/>
  <c r="J3650" i="5"/>
  <c r="H3650" i="5" a="1"/>
  <c r="H3650" i="5"/>
  <c r="G3650" i="5" a="1"/>
  <c r="G3650" i="5"/>
  <c r="F3650" i="5"/>
  <c r="J3649" i="5"/>
  <c r="H3649" i="5" a="1"/>
  <c r="H3649" i="5"/>
  <c r="G3649" i="5" a="1"/>
  <c r="G3649" i="5"/>
  <c r="F3649" i="5"/>
  <c r="J3648" i="5"/>
  <c r="H3648" i="5" a="1"/>
  <c r="H3648" i="5"/>
  <c r="G3648" i="5" a="1"/>
  <c r="G3648" i="5"/>
  <c r="F3648" i="5"/>
  <c r="J3647" i="5"/>
  <c r="H3647" i="5" a="1"/>
  <c r="H3647" i="5"/>
  <c r="G3647" i="5" a="1"/>
  <c r="G3647" i="5"/>
  <c r="F3647" i="5"/>
  <c r="J3646" i="5"/>
  <c r="H3646" i="5" a="1"/>
  <c r="H3646" i="5"/>
  <c r="G3646" i="5" a="1"/>
  <c r="G3646" i="5"/>
  <c r="F3646" i="5"/>
  <c r="J3645" i="5"/>
  <c r="H3645" i="5" a="1"/>
  <c r="H3645" i="5"/>
  <c r="G3645" i="5" a="1"/>
  <c r="G3645" i="5"/>
  <c r="F3645" i="5"/>
  <c r="J3644" i="5"/>
  <c r="H3644" i="5" a="1"/>
  <c r="H3644" i="5"/>
  <c r="G3644" i="5" a="1"/>
  <c r="G3644" i="5"/>
  <c r="F3644" i="5"/>
  <c r="J3643" i="5"/>
  <c r="H3643" i="5" a="1"/>
  <c r="H3643" i="5"/>
  <c r="G3643" i="5" a="1"/>
  <c r="G3643" i="5"/>
  <c r="F3643" i="5"/>
  <c r="J3642" i="5"/>
  <c r="H3642" i="5" a="1"/>
  <c r="H3642" i="5"/>
  <c r="G3642" i="5" a="1"/>
  <c r="G3642" i="5"/>
  <c r="F3642" i="5"/>
  <c r="J3641" i="5"/>
  <c r="H3641" i="5" a="1"/>
  <c r="H3641" i="5"/>
  <c r="G3641" i="5" a="1"/>
  <c r="G3641" i="5"/>
  <c r="F3641" i="5"/>
  <c r="J3640" i="5"/>
  <c r="H3640" i="5" a="1"/>
  <c r="H3640" i="5"/>
  <c r="G3640" i="5" a="1"/>
  <c r="G3640" i="5"/>
  <c r="F3640" i="5"/>
  <c r="J3639" i="5"/>
  <c r="H3639" i="5" a="1"/>
  <c r="H3639" i="5"/>
  <c r="G3639" i="5" a="1"/>
  <c r="G3639" i="5"/>
  <c r="F3639" i="5"/>
  <c r="J3638" i="5"/>
  <c r="H3638" i="5" a="1"/>
  <c r="H3638" i="5"/>
  <c r="G3638" i="5" a="1"/>
  <c r="G3638" i="5"/>
  <c r="F3638" i="5"/>
  <c r="J3637" i="5"/>
  <c r="H3637" i="5" a="1"/>
  <c r="H3637" i="5"/>
  <c r="G3637" i="5" a="1"/>
  <c r="G3637" i="5"/>
  <c r="F3637" i="5"/>
  <c r="J3636" i="5"/>
  <c r="H3636" i="5" a="1"/>
  <c r="H3636" i="5"/>
  <c r="G3636" i="5" a="1"/>
  <c r="G3636" i="5"/>
  <c r="F3636" i="5"/>
  <c r="J3635" i="5"/>
  <c r="H3635" i="5" a="1"/>
  <c r="H3635" i="5"/>
  <c r="G3635" i="5" a="1"/>
  <c r="G3635" i="5"/>
  <c r="F3635" i="5"/>
  <c r="J3634" i="5"/>
  <c r="H3634" i="5" a="1"/>
  <c r="H3634" i="5"/>
  <c r="G3634" i="5" a="1"/>
  <c r="G3634" i="5"/>
  <c r="F3634" i="5"/>
  <c r="J3633" i="5"/>
  <c r="H3633" i="5" a="1"/>
  <c r="H3633" i="5"/>
  <c r="G3633" i="5" a="1"/>
  <c r="G3633" i="5"/>
  <c r="F3633" i="5"/>
  <c r="J3632" i="5"/>
  <c r="H3632" i="5" a="1"/>
  <c r="H3632" i="5"/>
  <c r="G3632" i="5" a="1"/>
  <c r="G3632" i="5"/>
  <c r="F3632" i="5"/>
  <c r="J3631" i="5"/>
  <c r="H3631" i="5" a="1"/>
  <c r="H3631" i="5"/>
  <c r="G3631" i="5" a="1"/>
  <c r="G3631" i="5"/>
  <c r="F3631" i="5"/>
  <c r="J3630" i="5"/>
  <c r="H3630" i="5" a="1"/>
  <c r="H3630" i="5"/>
  <c r="G3630" i="5" a="1"/>
  <c r="G3630" i="5"/>
  <c r="F3630" i="5"/>
  <c r="J3629" i="5"/>
  <c r="H3629" i="5" a="1"/>
  <c r="H3629" i="5"/>
  <c r="G3629" i="5" a="1"/>
  <c r="G3629" i="5"/>
  <c r="F3629" i="5"/>
  <c r="J3628" i="5"/>
  <c r="H3628" i="5" a="1"/>
  <c r="H3628" i="5"/>
  <c r="G3628" i="5" a="1"/>
  <c r="G3628" i="5"/>
  <c r="F3628" i="5"/>
  <c r="J3627" i="5"/>
  <c r="H3627" i="5" a="1"/>
  <c r="H3627" i="5"/>
  <c r="G3627" i="5" a="1"/>
  <c r="G3627" i="5"/>
  <c r="F3627" i="5"/>
  <c r="J3626" i="5"/>
  <c r="H3626" i="5" a="1"/>
  <c r="H3626" i="5"/>
  <c r="G3626" i="5" a="1"/>
  <c r="G3626" i="5"/>
  <c r="F3626" i="5"/>
  <c r="J3625" i="5"/>
  <c r="H3625" i="5" a="1"/>
  <c r="H3625" i="5"/>
  <c r="G3625" i="5" a="1"/>
  <c r="G3625" i="5"/>
  <c r="F3625" i="5"/>
  <c r="J3624" i="5"/>
  <c r="H3624" i="5" a="1"/>
  <c r="H3624" i="5"/>
  <c r="G3624" i="5" a="1"/>
  <c r="G3624" i="5"/>
  <c r="F3624" i="5"/>
  <c r="J3623" i="5"/>
  <c r="H3623" i="5" a="1"/>
  <c r="H3623" i="5"/>
  <c r="G3623" i="5" a="1"/>
  <c r="G3623" i="5"/>
  <c r="F3623" i="5"/>
  <c r="J3622" i="5"/>
  <c r="H3622" i="5" a="1"/>
  <c r="H3622" i="5"/>
  <c r="G3622" i="5" a="1"/>
  <c r="G3622" i="5"/>
  <c r="F3622" i="5"/>
  <c r="J3621" i="5"/>
  <c r="H3621" i="5" a="1"/>
  <c r="H3621" i="5"/>
  <c r="G3621" i="5" a="1"/>
  <c r="G3621" i="5"/>
  <c r="F3621" i="5"/>
  <c r="J3620" i="5"/>
  <c r="H3620" i="5" a="1"/>
  <c r="H3620" i="5"/>
  <c r="G3620" i="5" a="1"/>
  <c r="G3620" i="5"/>
  <c r="F3620" i="5"/>
  <c r="J3619" i="5"/>
  <c r="H3619" i="5" a="1"/>
  <c r="H3619" i="5"/>
  <c r="G3619" i="5" a="1"/>
  <c r="G3619" i="5"/>
  <c r="F3619" i="5"/>
  <c r="J3618" i="5"/>
  <c r="H3618" i="5" a="1"/>
  <c r="H3618" i="5"/>
  <c r="G3618" i="5" a="1"/>
  <c r="G3618" i="5"/>
  <c r="F3618" i="5"/>
  <c r="J3617" i="5"/>
  <c r="H3617" i="5" a="1"/>
  <c r="H3617" i="5"/>
  <c r="G3617" i="5" a="1"/>
  <c r="G3617" i="5"/>
  <c r="F3617" i="5"/>
  <c r="J3616" i="5"/>
  <c r="H3616" i="5" a="1"/>
  <c r="H3616" i="5"/>
  <c r="G3616" i="5" a="1"/>
  <c r="G3616" i="5"/>
  <c r="F3616" i="5"/>
  <c r="J3615" i="5"/>
  <c r="H3615" i="5" a="1"/>
  <c r="H3615" i="5"/>
  <c r="G3615" i="5" a="1"/>
  <c r="G3615" i="5"/>
  <c r="F3615" i="5"/>
  <c r="J3614" i="5"/>
  <c r="H3614" i="5" a="1"/>
  <c r="H3614" i="5"/>
  <c r="G3614" i="5" a="1"/>
  <c r="G3614" i="5"/>
  <c r="F3614" i="5"/>
  <c r="J3613" i="5"/>
  <c r="H3613" i="5" a="1"/>
  <c r="H3613" i="5"/>
  <c r="G3613" i="5" a="1"/>
  <c r="G3613" i="5"/>
  <c r="F3613" i="5"/>
  <c r="J3612" i="5"/>
  <c r="H3612" i="5" a="1"/>
  <c r="H3612" i="5"/>
  <c r="G3612" i="5" a="1"/>
  <c r="G3612" i="5"/>
  <c r="F3612" i="5"/>
  <c r="J3611" i="5"/>
  <c r="H3611" i="5" a="1"/>
  <c r="H3611" i="5"/>
  <c r="G3611" i="5" a="1"/>
  <c r="G3611" i="5"/>
  <c r="F3611" i="5"/>
  <c r="J3610" i="5"/>
  <c r="H3610" i="5" a="1"/>
  <c r="H3610" i="5"/>
  <c r="G3610" i="5" a="1"/>
  <c r="G3610" i="5"/>
  <c r="F3610" i="5"/>
  <c r="J3609" i="5"/>
  <c r="H3609" i="5" a="1"/>
  <c r="H3609" i="5"/>
  <c r="G3609" i="5" a="1"/>
  <c r="G3609" i="5"/>
  <c r="F3609" i="5"/>
  <c r="J3608" i="5"/>
  <c r="H3608" i="5" a="1"/>
  <c r="H3608" i="5"/>
  <c r="G3608" i="5" a="1"/>
  <c r="G3608" i="5"/>
  <c r="F3608" i="5"/>
  <c r="J3607" i="5"/>
  <c r="H3607" i="5" a="1"/>
  <c r="H3607" i="5"/>
  <c r="G3607" i="5" a="1"/>
  <c r="G3607" i="5"/>
  <c r="F3607" i="5"/>
  <c r="J3606" i="5"/>
  <c r="H3606" i="5" a="1"/>
  <c r="H3606" i="5"/>
  <c r="G3606" i="5" a="1"/>
  <c r="G3606" i="5"/>
  <c r="F3606" i="5"/>
  <c r="J3605" i="5"/>
  <c r="H3605" i="5" a="1"/>
  <c r="H3605" i="5"/>
  <c r="G3605" i="5" a="1"/>
  <c r="G3605" i="5"/>
  <c r="F3605" i="5"/>
  <c r="J3604" i="5"/>
  <c r="H3604" i="5" a="1"/>
  <c r="H3604" i="5"/>
  <c r="G3604" i="5" a="1"/>
  <c r="G3604" i="5"/>
  <c r="F3604" i="5"/>
  <c r="J3603" i="5"/>
  <c r="H3603" i="5" a="1"/>
  <c r="H3603" i="5"/>
  <c r="G3603" i="5" a="1"/>
  <c r="G3603" i="5"/>
  <c r="F3603" i="5"/>
  <c r="J3602" i="5"/>
  <c r="H3602" i="5" a="1"/>
  <c r="H3602" i="5"/>
  <c r="G3602" i="5" a="1"/>
  <c r="G3602" i="5"/>
  <c r="F3602" i="5"/>
  <c r="J3601" i="5"/>
  <c r="H3601" i="5" a="1"/>
  <c r="H3601" i="5"/>
  <c r="G3601" i="5" a="1"/>
  <c r="G3601" i="5"/>
  <c r="F3601" i="5"/>
  <c r="J3600" i="5"/>
  <c r="H3600" i="5" a="1"/>
  <c r="H3600" i="5"/>
  <c r="G3600" i="5" a="1"/>
  <c r="G3600" i="5"/>
  <c r="F3600" i="5"/>
  <c r="J3599" i="5"/>
  <c r="H3599" i="5" a="1"/>
  <c r="H3599" i="5"/>
  <c r="G3599" i="5" a="1"/>
  <c r="G3599" i="5"/>
  <c r="F3599" i="5"/>
  <c r="J3598" i="5"/>
  <c r="H3598" i="5" a="1"/>
  <c r="H3598" i="5"/>
  <c r="G3598" i="5" a="1"/>
  <c r="G3598" i="5"/>
  <c r="F3598" i="5"/>
  <c r="J3597" i="5"/>
  <c r="H3597" i="5" a="1"/>
  <c r="H3597" i="5"/>
  <c r="G3597" i="5" a="1"/>
  <c r="G3597" i="5"/>
  <c r="F3597" i="5"/>
  <c r="J3596" i="5"/>
  <c r="H3596" i="5" a="1"/>
  <c r="H3596" i="5"/>
  <c r="G3596" i="5" a="1"/>
  <c r="G3596" i="5"/>
  <c r="F3596" i="5"/>
  <c r="J3595" i="5"/>
  <c r="H3595" i="5" a="1"/>
  <c r="H3595" i="5"/>
  <c r="G3595" i="5" a="1"/>
  <c r="G3595" i="5"/>
  <c r="F3595" i="5"/>
  <c r="J3594" i="5"/>
  <c r="H3594" i="5" a="1"/>
  <c r="H3594" i="5"/>
  <c r="G3594" i="5" a="1"/>
  <c r="G3594" i="5"/>
  <c r="F3594" i="5"/>
  <c r="J3593" i="5"/>
  <c r="H3593" i="5" a="1"/>
  <c r="H3593" i="5"/>
  <c r="G3593" i="5" a="1"/>
  <c r="G3593" i="5"/>
  <c r="F3593" i="5"/>
  <c r="J3592" i="5"/>
  <c r="H3592" i="5" a="1"/>
  <c r="H3592" i="5"/>
  <c r="G3592" i="5" a="1"/>
  <c r="G3592" i="5"/>
  <c r="F3592" i="5"/>
  <c r="J3591" i="5"/>
  <c r="H3591" i="5" a="1"/>
  <c r="H3591" i="5"/>
  <c r="G3591" i="5" a="1"/>
  <c r="G3591" i="5"/>
  <c r="F3591" i="5"/>
  <c r="J3590" i="5"/>
  <c r="H3590" i="5" a="1"/>
  <c r="H3590" i="5"/>
  <c r="G3590" i="5" a="1"/>
  <c r="G3590" i="5"/>
  <c r="F3590" i="5"/>
  <c r="J3589" i="5"/>
  <c r="H3589" i="5" a="1"/>
  <c r="H3589" i="5"/>
  <c r="G3589" i="5" a="1"/>
  <c r="G3589" i="5"/>
  <c r="F3589" i="5"/>
  <c r="J3588" i="5"/>
  <c r="H3588" i="5" a="1"/>
  <c r="H3588" i="5"/>
  <c r="G3588" i="5" a="1"/>
  <c r="G3588" i="5"/>
  <c r="F3588" i="5"/>
  <c r="J3587" i="5"/>
  <c r="H3587" i="5" a="1"/>
  <c r="H3587" i="5"/>
  <c r="G3587" i="5" a="1"/>
  <c r="G3587" i="5"/>
  <c r="F3587" i="5"/>
  <c r="J3586" i="5"/>
  <c r="H3586" i="5" a="1"/>
  <c r="H3586" i="5"/>
  <c r="G3586" i="5" a="1"/>
  <c r="G3586" i="5"/>
  <c r="F3586" i="5"/>
  <c r="J3585" i="5"/>
  <c r="H3585" i="5" a="1"/>
  <c r="H3585" i="5"/>
  <c r="G3585" i="5" a="1"/>
  <c r="G3585" i="5"/>
  <c r="F3585" i="5"/>
  <c r="J3584" i="5"/>
  <c r="H3584" i="5" a="1"/>
  <c r="H3584" i="5"/>
  <c r="G3584" i="5" a="1"/>
  <c r="G3584" i="5"/>
  <c r="F3584" i="5"/>
  <c r="J3583" i="5"/>
  <c r="H3583" i="5" a="1"/>
  <c r="H3583" i="5"/>
  <c r="G3583" i="5" a="1"/>
  <c r="G3583" i="5"/>
  <c r="F3583" i="5"/>
  <c r="J3582" i="5"/>
  <c r="H3582" i="5" a="1"/>
  <c r="H3582" i="5"/>
  <c r="G3582" i="5" a="1"/>
  <c r="G3582" i="5"/>
  <c r="F3582" i="5"/>
  <c r="J3581" i="5"/>
  <c r="H3581" i="5" a="1"/>
  <c r="H3581" i="5"/>
  <c r="G3581" i="5" a="1"/>
  <c r="G3581" i="5"/>
  <c r="F3581" i="5"/>
  <c r="J3580" i="5"/>
  <c r="H3580" i="5" a="1"/>
  <c r="H3580" i="5"/>
  <c r="G3580" i="5" a="1"/>
  <c r="G3580" i="5"/>
  <c r="F3580" i="5"/>
  <c r="J3579" i="5"/>
  <c r="H3579" i="5" a="1"/>
  <c r="H3579" i="5"/>
  <c r="G3579" i="5" a="1"/>
  <c r="G3579" i="5"/>
  <c r="F3579" i="5"/>
  <c r="J3578" i="5"/>
  <c r="H3578" i="5" a="1"/>
  <c r="H3578" i="5"/>
  <c r="G3578" i="5" a="1"/>
  <c r="G3578" i="5"/>
  <c r="F3578" i="5"/>
  <c r="J3577" i="5"/>
  <c r="H3577" i="5" a="1"/>
  <c r="H3577" i="5"/>
  <c r="G3577" i="5" a="1"/>
  <c r="G3577" i="5"/>
  <c r="F3577" i="5"/>
  <c r="J3576" i="5"/>
  <c r="H3576" i="5" a="1"/>
  <c r="H3576" i="5"/>
  <c r="G3576" i="5" a="1"/>
  <c r="G3576" i="5"/>
  <c r="F3576" i="5"/>
  <c r="J3575" i="5"/>
  <c r="H3575" i="5" a="1"/>
  <c r="H3575" i="5"/>
  <c r="G3575" i="5" a="1"/>
  <c r="G3575" i="5"/>
  <c r="F3575" i="5"/>
  <c r="J3574" i="5"/>
  <c r="H3574" i="5" a="1"/>
  <c r="H3574" i="5"/>
  <c r="G3574" i="5" a="1"/>
  <c r="G3574" i="5"/>
  <c r="F3574" i="5"/>
  <c r="J3573" i="5"/>
  <c r="H3573" i="5" a="1"/>
  <c r="H3573" i="5"/>
  <c r="G3573" i="5" a="1"/>
  <c r="G3573" i="5"/>
  <c r="F3573" i="5"/>
  <c r="J3572" i="5"/>
  <c r="H3572" i="5" a="1"/>
  <c r="H3572" i="5"/>
  <c r="G3572" i="5" a="1"/>
  <c r="G3572" i="5"/>
  <c r="F3572" i="5"/>
  <c r="J3571" i="5"/>
  <c r="H3571" i="5" a="1"/>
  <c r="H3571" i="5"/>
  <c r="G3571" i="5" a="1"/>
  <c r="G3571" i="5"/>
  <c r="F3571" i="5"/>
  <c r="J3570" i="5"/>
  <c r="H3570" i="5" a="1"/>
  <c r="H3570" i="5"/>
  <c r="G3570" i="5" a="1"/>
  <c r="G3570" i="5"/>
  <c r="F3570" i="5"/>
  <c r="J3569" i="5"/>
  <c r="H3569" i="5" a="1"/>
  <c r="H3569" i="5"/>
  <c r="G3569" i="5" a="1"/>
  <c r="G3569" i="5"/>
  <c r="F3569" i="5"/>
  <c r="J3568" i="5"/>
  <c r="H3568" i="5" a="1"/>
  <c r="H3568" i="5"/>
  <c r="G3568" i="5" a="1"/>
  <c r="G3568" i="5"/>
  <c r="F3568" i="5"/>
  <c r="J3567" i="5"/>
  <c r="H3567" i="5" a="1"/>
  <c r="H3567" i="5"/>
  <c r="G3567" i="5" a="1"/>
  <c r="G3567" i="5"/>
  <c r="F3567" i="5"/>
  <c r="J3566" i="5"/>
  <c r="H3566" i="5" a="1"/>
  <c r="H3566" i="5"/>
  <c r="G3566" i="5" a="1"/>
  <c r="G3566" i="5"/>
  <c r="F3566" i="5"/>
  <c r="J3565" i="5"/>
  <c r="H3565" i="5" a="1"/>
  <c r="H3565" i="5"/>
  <c r="G3565" i="5" a="1"/>
  <c r="G3565" i="5"/>
  <c r="F3565" i="5"/>
  <c r="J3564" i="5"/>
  <c r="H3564" i="5" a="1"/>
  <c r="H3564" i="5"/>
  <c r="G3564" i="5" a="1"/>
  <c r="G3564" i="5"/>
  <c r="F3564" i="5"/>
  <c r="J3563" i="5"/>
  <c r="H3563" i="5" a="1"/>
  <c r="H3563" i="5"/>
  <c r="G3563" i="5" a="1"/>
  <c r="G3563" i="5"/>
  <c r="F3563" i="5"/>
  <c r="J3562" i="5"/>
  <c r="H3562" i="5" a="1"/>
  <c r="H3562" i="5"/>
  <c r="G3562" i="5" a="1"/>
  <c r="G3562" i="5"/>
  <c r="F3562" i="5"/>
  <c r="J3561" i="5"/>
  <c r="H3561" i="5" a="1"/>
  <c r="H3561" i="5"/>
  <c r="G3561" i="5" a="1"/>
  <c r="G3561" i="5"/>
  <c r="F3561" i="5"/>
  <c r="J3560" i="5"/>
  <c r="H3560" i="5" a="1"/>
  <c r="H3560" i="5"/>
  <c r="G3560" i="5" a="1"/>
  <c r="G3560" i="5"/>
  <c r="F3560" i="5"/>
  <c r="J3559" i="5"/>
  <c r="H3559" i="5" a="1"/>
  <c r="H3559" i="5"/>
  <c r="G3559" i="5" a="1"/>
  <c r="G3559" i="5"/>
  <c r="F3559" i="5"/>
  <c r="J3558" i="5"/>
  <c r="H3558" i="5" a="1"/>
  <c r="H3558" i="5"/>
  <c r="G3558" i="5" a="1"/>
  <c r="G3558" i="5"/>
  <c r="F3558" i="5"/>
  <c r="J3557" i="5"/>
  <c r="H3557" i="5" a="1"/>
  <c r="H3557" i="5"/>
  <c r="G3557" i="5" a="1"/>
  <c r="G3557" i="5"/>
  <c r="F3557" i="5"/>
  <c r="J3556" i="5"/>
  <c r="H3556" i="5" a="1"/>
  <c r="H3556" i="5"/>
  <c r="G3556" i="5" a="1"/>
  <c r="G3556" i="5"/>
  <c r="F3556" i="5"/>
  <c r="J3555" i="5"/>
  <c r="H3555" i="5" a="1"/>
  <c r="H3555" i="5"/>
  <c r="G3555" i="5" a="1"/>
  <c r="G3555" i="5"/>
  <c r="F3555" i="5"/>
  <c r="J3554" i="5"/>
  <c r="H3554" i="5" a="1"/>
  <c r="H3554" i="5"/>
  <c r="G3554" i="5" a="1"/>
  <c r="G3554" i="5"/>
  <c r="F3554" i="5"/>
  <c r="J3553" i="5"/>
  <c r="H3553" i="5" a="1"/>
  <c r="H3553" i="5"/>
  <c r="G3553" i="5" a="1"/>
  <c r="G3553" i="5"/>
  <c r="F3553" i="5"/>
  <c r="J3552" i="5"/>
  <c r="H3552" i="5" a="1"/>
  <c r="H3552" i="5"/>
  <c r="G3552" i="5" a="1"/>
  <c r="G3552" i="5"/>
  <c r="F3552" i="5"/>
  <c r="J3551" i="5"/>
  <c r="H3551" i="5" a="1"/>
  <c r="H3551" i="5"/>
  <c r="G3551" i="5" a="1"/>
  <c r="G3551" i="5"/>
  <c r="F3551" i="5"/>
  <c r="J3550" i="5"/>
  <c r="H3550" i="5" a="1"/>
  <c r="H3550" i="5"/>
  <c r="G3550" i="5" a="1"/>
  <c r="G3550" i="5"/>
  <c r="F3550" i="5"/>
  <c r="J3549" i="5"/>
  <c r="H3549" i="5" a="1"/>
  <c r="H3549" i="5"/>
  <c r="G3549" i="5" a="1"/>
  <c r="G3549" i="5"/>
  <c r="F3549" i="5"/>
  <c r="J3548" i="5"/>
  <c r="H3548" i="5" a="1"/>
  <c r="H3548" i="5"/>
  <c r="G3548" i="5" a="1"/>
  <c r="G3548" i="5"/>
  <c r="F3548" i="5"/>
  <c r="J3547" i="5"/>
  <c r="H3547" i="5" a="1"/>
  <c r="H3547" i="5"/>
  <c r="G3547" i="5" a="1"/>
  <c r="G3547" i="5"/>
  <c r="F3547" i="5"/>
  <c r="J3546" i="5"/>
  <c r="H3546" i="5" a="1"/>
  <c r="H3546" i="5"/>
  <c r="G3546" i="5" a="1"/>
  <c r="G3546" i="5"/>
  <c r="F3546" i="5"/>
  <c r="J3545" i="5"/>
  <c r="H3545" i="5" a="1"/>
  <c r="H3545" i="5"/>
  <c r="G3545" i="5" a="1"/>
  <c r="G3545" i="5"/>
  <c r="F3545" i="5"/>
  <c r="J3544" i="5"/>
  <c r="H3544" i="5" a="1"/>
  <c r="H3544" i="5"/>
  <c r="G3544" i="5" a="1"/>
  <c r="G3544" i="5"/>
  <c r="F3544" i="5"/>
  <c r="J3543" i="5"/>
  <c r="H3543" i="5" a="1"/>
  <c r="H3543" i="5"/>
  <c r="G3543" i="5" a="1"/>
  <c r="G3543" i="5"/>
  <c r="F3543" i="5"/>
  <c r="J3542" i="5"/>
  <c r="H3542" i="5" a="1"/>
  <c r="H3542" i="5"/>
  <c r="G3542" i="5" a="1"/>
  <c r="G3542" i="5"/>
  <c r="F3542" i="5"/>
  <c r="J3541" i="5"/>
  <c r="H3541" i="5" a="1"/>
  <c r="H3541" i="5"/>
  <c r="G3541" i="5" a="1"/>
  <c r="G3541" i="5"/>
  <c r="F3541" i="5"/>
  <c r="J3540" i="5"/>
  <c r="H3540" i="5" a="1"/>
  <c r="H3540" i="5"/>
  <c r="G3540" i="5" a="1"/>
  <c r="G3540" i="5"/>
  <c r="F3540" i="5"/>
  <c r="J3539" i="5"/>
  <c r="H3539" i="5" a="1"/>
  <c r="H3539" i="5"/>
  <c r="G3539" i="5" a="1"/>
  <c r="G3539" i="5"/>
  <c r="F3539" i="5"/>
  <c r="J3538" i="5"/>
  <c r="H3538" i="5" a="1"/>
  <c r="H3538" i="5"/>
  <c r="G3538" i="5" a="1"/>
  <c r="G3538" i="5"/>
  <c r="F3538" i="5"/>
  <c r="J3537" i="5"/>
  <c r="H3537" i="5" a="1"/>
  <c r="H3537" i="5"/>
  <c r="G3537" i="5" a="1"/>
  <c r="G3537" i="5"/>
  <c r="F3537" i="5"/>
  <c r="J3536" i="5"/>
  <c r="H3536" i="5" a="1"/>
  <c r="H3536" i="5"/>
  <c r="G3536" i="5" a="1"/>
  <c r="G3536" i="5"/>
  <c r="F3536" i="5"/>
  <c r="J3535" i="5"/>
  <c r="H3535" i="5" a="1"/>
  <c r="H3535" i="5"/>
  <c r="G3535" i="5" a="1"/>
  <c r="G3535" i="5"/>
  <c r="F3535" i="5"/>
  <c r="J3534" i="5"/>
  <c r="H3534" i="5" a="1"/>
  <c r="H3534" i="5"/>
  <c r="G3534" i="5" a="1"/>
  <c r="G3534" i="5"/>
  <c r="F3534" i="5"/>
  <c r="J3533" i="5"/>
  <c r="H3533" i="5" a="1"/>
  <c r="H3533" i="5"/>
  <c r="G3533" i="5" a="1"/>
  <c r="G3533" i="5"/>
  <c r="F3533" i="5"/>
  <c r="J3532" i="5"/>
  <c r="H3532" i="5" a="1"/>
  <c r="H3532" i="5"/>
  <c r="G3532" i="5" a="1"/>
  <c r="G3532" i="5"/>
  <c r="F3532" i="5"/>
  <c r="J3531" i="5"/>
  <c r="H3531" i="5" a="1"/>
  <c r="H3531" i="5"/>
  <c r="G3531" i="5" a="1"/>
  <c r="G3531" i="5"/>
  <c r="F3531" i="5"/>
  <c r="J3530" i="5"/>
  <c r="H3530" i="5" a="1"/>
  <c r="H3530" i="5"/>
  <c r="G3530" i="5" a="1"/>
  <c r="G3530" i="5"/>
  <c r="F3530" i="5"/>
  <c r="J3529" i="5"/>
  <c r="H3529" i="5" a="1"/>
  <c r="H3529" i="5"/>
  <c r="G3529" i="5" a="1"/>
  <c r="G3529" i="5"/>
  <c r="F3529" i="5"/>
  <c r="J3528" i="5"/>
  <c r="H3528" i="5" a="1"/>
  <c r="H3528" i="5"/>
  <c r="G3528" i="5" a="1"/>
  <c r="G3528" i="5"/>
  <c r="F3528" i="5"/>
  <c r="J3527" i="5"/>
  <c r="H3527" i="5" a="1"/>
  <c r="H3527" i="5"/>
  <c r="G3527" i="5" a="1"/>
  <c r="G3527" i="5"/>
  <c r="F3527" i="5"/>
  <c r="J3526" i="5"/>
  <c r="H3526" i="5" a="1"/>
  <c r="H3526" i="5"/>
  <c r="G3526" i="5" a="1"/>
  <c r="G3526" i="5"/>
  <c r="F3526" i="5"/>
  <c r="J3525" i="5"/>
  <c r="H3525" i="5" a="1"/>
  <c r="H3525" i="5"/>
  <c r="G3525" i="5" a="1"/>
  <c r="G3525" i="5"/>
  <c r="F3525" i="5"/>
  <c r="J3524" i="5"/>
  <c r="H3524" i="5" a="1"/>
  <c r="H3524" i="5"/>
  <c r="G3524" i="5" a="1"/>
  <c r="G3524" i="5"/>
  <c r="F3524" i="5"/>
  <c r="J3523" i="5"/>
  <c r="H3523" i="5" a="1"/>
  <c r="H3523" i="5"/>
  <c r="G3523" i="5" a="1"/>
  <c r="G3523" i="5"/>
  <c r="F3523" i="5"/>
  <c r="J3522" i="5"/>
  <c r="H3522" i="5" a="1"/>
  <c r="H3522" i="5"/>
  <c r="G3522" i="5" a="1"/>
  <c r="G3522" i="5"/>
  <c r="F3522" i="5"/>
  <c r="J3521" i="5"/>
  <c r="H3521" i="5" a="1"/>
  <c r="H3521" i="5"/>
  <c r="G3521" i="5" a="1"/>
  <c r="G3521" i="5"/>
  <c r="F3521" i="5"/>
  <c r="J3520" i="5"/>
  <c r="H3520" i="5" a="1"/>
  <c r="H3520" i="5"/>
  <c r="G3520" i="5" a="1"/>
  <c r="G3520" i="5"/>
  <c r="F3520" i="5"/>
  <c r="J3519" i="5"/>
  <c r="H3519" i="5" a="1"/>
  <c r="H3519" i="5"/>
  <c r="G3519" i="5" a="1"/>
  <c r="G3519" i="5"/>
  <c r="F3519" i="5"/>
  <c r="J3518" i="5"/>
  <c r="H3518" i="5" a="1"/>
  <c r="H3518" i="5"/>
  <c r="G3518" i="5" a="1"/>
  <c r="G3518" i="5"/>
  <c r="F3518" i="5"/>
  <c r="J3517" i="5"/>
  <c r="H3517" i="5" a="1"/>
  <c r="H3517" i="5"/>
  <c r="G3517" i="5" a="1"/>
  <c r="G3517" i="5"/>
  <c r="F3517" i="5"/>
  <c r="J3516" i="5"/>
  <c r="H3516" i="5" a="1"/>
  <c r="H3516" i="5"/>
  <c r="G3516" i="5" a="1"/>
  <c r="G3516" i="5"/>
  <c r="F3516" i="5"/>
  <c r="J3515" i="5"/>
  <c r="H3515" i="5" a="1"/>
  <c r="H3515" i="5"/>
  <c r="G3515" i="5" a="1"/>
  <c r="G3515" i="5"/>
  <c r="F3515" i="5"/>
  <c r="J3514" i="5"/>
  <c r="H3514" i="5" a="1"/>
  <c r="H3514" i="5"/>
  <c r="G3514" i="5" a="1"/>
  <c r="G3514" i="5"/>
  <c r="F3514" i="5"/>
  <c r="J3513" i="5"/>
  <c r="H3513" i="5" a="1"/>
  <c r="H3513" i="5"/>
  <c r="G3513" i="5" a="1"/>
  <c r="G3513" i="5"/>
  <c r="F3513" i="5"/>
  <c r="J3512" i="5"/>
  <c r="H3512" i="5" a="1"/>
  <c r="H3512" i="5"/>
  <c r="G3512" i="5" a="1"/>
  <c r="G3512" i="5"/>
  <c r="F3512" i="5"/>
  <c r="J3511" i="5"/>
  <c r="H3511" i="5" a="1"/>
  <c r="H3511" i="5"/>
  <c r="G3511" i="5" a="1"/>
  <c r="G3511" i="5"/>
  <c r="F3511" i="5"/>
  <c r="J3510" i="5"/>
  <c r="H3510" i="5" a="1"/>
  <c r="H3510" i="5"/>
  <c r="G3510" i="5" a="1"/>
  <c r="G3510" i="5"/>
  <c r="F3510" i="5"/>
  <c r="J3509" i="5"/>
  <c r="H3509" i="5" a="1"/>
  <c r="H3509" i="5"/>
  <c r="G3509" i="5" a="1"/>
  <c r="G3509" i="5"/>
  <c r="F3509" i="5"/>
  <c r="J3508" i="5"/>
  <c r="H3508" i="5" a="1"/>
  <c r="H3508" i="5"/>
  <c r="G3508" i="5" a="1"/>
  <c r="G3508" i="5"/>
  <c r="F3508" i="5"/>
  <c r="J3507" i="5"/>
  <c r="H3507" i="5" a="1"/>
  <c r="H3507" i="5"/>
  <c r="G3507" i="5" a="1"/>
  <c r="G3507" i="5"/>
  <c r="F3507" i="5"/>
  <c r="J3506" i="5"/>
  <c r="H3506" i="5" a="1"/>
  <c r="H3506" i="5"/>
  <c r="G3506" i="5" a="1"/>
  <c r="G3506" i="5"/>
  <c r="F3506" i="5"/>
  <c r="J3505" i="5"/>
  <c r="H3505" i="5" a="1"/>
  <c r="H3505" i="5"/>
  <c r="G3505" i="5" a="1"/>
  <c r="G3505" i="5"/>
  <c r="F3505" i="5"/>
  <c r="J3504" i="5"/>
  <c r="H3504" i="5" a="1"/>
  <c r="H3504" i="5"/>
  <c r="G3504" i="5" a="1"/>
  <c r="G3504" i="5"/>
  <c r="F3504" i="5"/>
  <c r="J3503" i="5"/>
  <c r="H3503" i="5" a="1"/>
  <c r="H3503" i="5"/>
  <c r="G3503" i="5" a="1"/>
  <c r="G3503" i="5"/>
  <c r="F3503" i="5"/>
  <c r="J3502" i="5"/>
  <c r="H3502" i="5" a="1"/>
  <c r="H3502" i="5"/>
  <c r="G3502" i="5" a="1"/>
  <c r="G3502" i="5"/>
  <c r="F3502" i="5"/>
  <c r="J3501" i="5"/>
  <c r="H3501" i="5" a="1"/>
  <c r="H3501" i="5"/>
  <c r="G3501" i="5" a="1"/>
  <c r="G3501" i="5"/>
  <c r="F3501" i="5"/>
  <c r="J3500" i="5"/>
  <c r="H3500" i="5" a="1"/>
  <c r="H3500" i="5"/>
  <c r="G3500" i="5" a="1"/>
  <c r="G3500" i="5"/>
  <c r="F3500" i="5"/>
  <c r="J3499" i="5"/>
  <c r="H3499" i="5" a="1"/>
  <c r="H3499" i="5"/>
  <c r="G3499" i="5" a="1"/>
  <c r="G3499" i="5"/>
  <c r="F3499" i="5"/>
  <c r="J3498" i="5"/>
  <c r="H3498" i="5" a="1"/>
  <c r="H3498" i="5"/>
  <c r="G3498" i="5" a="1"/>
  <c r="G3498" i="5"/>
  <c r="F3498" i="5"/>
  <c r="J3497" i="5"/>
  <c r="H3497" i="5" a="1"/>
  <c r="H3497" i="5"/>
  <c r="G3497" i="5" a="1"/>
  <c r="G3497" i="5"/>
  <c r="F3497" i="5"/>
  <c r="J3496" i="5"/>
  <c r="H3496" i="5" a="1"/>
  <c r="H3496" i="5"/>
  <c r="G3496" i="5" a="1"/>
  <c r="G3496" i="5"/>
  <c r="F3496" i="5"/>
  <c r="J3495" i="5"/>
  <c r="H3495" i="5" a="1"/>
  <c r="H3495" i="5"/>
  <c r="G3495" i="5" a="1"/>
  <c r="G3495" i="5"/>
  <c r="F3495" i="5"/>
  <c r="J3494" i="5"/>
  <c r="H3494" i="5" a="1"/>
  <c r="H3494" i="5"/>
  <c r="G3494" i="5" a="1"/>
  <c r="G3494" i="5"/>
  <c r="F3494" i="5"/>
  <c r="J3493" i="5"/>
  <c r="H3493" i="5" a="1"/>
  <c r="H3493" i="5"/>
  <c r="G3493" i="5" a="1"/>
  <c r="G3493" i="5"/>
  <c r="F3493" i="5"/>
  <c r="J3492" i="5"/>
  <c r="H3492" i="5" a="1"/>
  <c r="H3492" i="5"/>
  <c r="G3492" i="5" a="1"/>
  <c r="G3492" i="5"/>
  <c r="F3492" i="5"/>
  <c r="J3491" i="5"/>
  <c r="H3491" i="5" a="1"/>
  <c r="H3491" i="5"/>
  <c r="G3491" i="5" a="1"/>
  <c r="G3491" i="5"/>
  <c r="F3491" i="5"/>
  <c r="J3490" i="5"/>
  <c r="H3490" i="5" a="1"/>
  <c r="H3490" i="5"/>
  <c r="G3490" i="5" a="1"/>
  <c r="G3490" i="5"/>
  <c r="F3490" i="5"/>
  <c r="J3489" i="5"/>
  <c r="H3489" i="5" a="1"/>
  <c r="H3489" i="5"/>
  <c r="G3489" i="5" a="1"/>
  <c r="G3489" i="5"/>
  <c r="F3489" i="5"/>
  <c r="J3488" i="5"/>
  <c r="H3488" i="5" a="1"/>
  <c r="H3488" i="5"/>
  <c r="G3488" i="5" a="1"/>
  <c r="G3488" i="5"/>
  <c r="F3488" i="5"/>
  <c r="J3487" i="5"/>
  <c r="H3487" i="5" a="1"/>
  <c r="H3487" i="5"/>
  <c r="G3487" i="5" a="1"/>
  <c r="G3487" i="5"/>
  <c r="F3487" i="5"/>
  <c r="J3486" i="5"/>
  <c r="H3486" i="5" a="1"/>
  <c r="H3486" i="5"/>
  <c r="G3486" i="5" a="1"/>
  <c r="G3486" i="5"/>
  <c r="F3486" i="5"/>
  <c r="J3485" i="5"/>
  <c r="H3485" i="5" a="1"/>
  <c r="H3485" i="5"/>
  <c r="G3485" i="5" a="1"/>
  <c r="G3485" i="5"/>
  <c r="F3485" i="5"/>
  <c r="J3484" i="5"/>
  <c r="H3484" i="5" a="1"/>
  <c r="H3484" i="5"/>
  <c r="G3484" i="5" a="1"/>
  <c r="G3484" i="5"/>
  <c r="F3484" i="5"/>
  <c r="J3483" i="5"/>
  <c r="H3483" i="5" a="1"/>
  <c r="H3483" i="5"/>
  <c r="G3483" i="5" a="1"/>
  <c r="G3483" i="5"/>
  <c r="F3483" i="5"/>
  <c r="J3482" i="5"/>
  <c r="H3482" i="5" a="1"/>
  <c r="H3482" i="5"/>
  <c r="G3482" i="5" a="1"/>
  <c r="G3482" i="5"/>
  <c r="F3482" i="5"/>
  <c r="J3481" i="5"/>
  <c r="H3481" i="5" a="1"/>
  <c r="H3481" i="5"/>
  <c r="G3481" i="5" a="1"/>
  <c r="G3481" i="5"/>
  <c r="F3481" i="5"/>
  <c r="J3480" i="5"/>
  <c r="H3480" i="5" a="1"/>
  <c r="H3480" i="5"/>
  <c r="G3480" i="5" a="1"/>
  <c r="G3480" i="5"/>
  <c r="F3480" i="5"/>
  <c r="J3479" i="5"/>
  <c r="H3479" i="5" a="1"/>
  <c r="H3479" i="5"/>
  <c r="G3479" i="5" a="1"/>
  <c r="G3479" i="5"/>
  <c r="F3479" i="5"/>
  <c r="J3478" i="5"/>
  <c r="H3478" i="5" a="1"/>
  <c r="H3478" i="5"/>
  <c r="G3478" i="5" a="1"/>
  <c r="G3478" i="5"/>
  <c r="F3478" i="5"/>
  <c r="J3477" i="5"/>
  <c r="H3477" i="5" a="1"/>
  <c r="H3477" i="5"/>
  <c r="G3477" i="5" a="1"/>
  <c r="G3477" i="5"/>
  <c r="F3477" i="5"/>
  <c r="J3476" i="5"/>
  <c r="H3476" i="5" a="1"/>
  <c r="H3476" i="5"/>
  <c r="G3476" i="5" a="1"/>
  <c r="G3476" i="5"/>
  <c r="F3476" i="5"/>
  <c r="J3475" i="5"/>
  <c r="H3475" i="5" a="1"/>
  <c r="H3475" i="5"/>
  <c r="G3475" i="5" a="1"/>
  <c r="G3475" i="5"/>
  <c r="F3475" i="5"/>
  <c r="J3474" i="5"/>
  <c r="H3474" i="5" a="1"/>
  <c r="H3474" i="5"/>
  <c r="G3474" i="5" a="1"/>
  <c r="G3474" i="5"/>
  <c r="F3474" i="5"/>
  <c r="J3473" i="5"/>
  <c r="H3473" i="5" a="1"/>
  <c r="H3473" i="5"/>
  <c r="G3473" i="5" a="1"/>
  <c r="G3473" i="5"/>
  <c r="F3473" i="5"/>
  <c r="J3472" i="5"/>
  <c r="H3472" i="5" a="1"/>
  <c r="H3472" i="5"/>
  <c r="G3472" i="5" a="1"/>
  <c r="G3472" i="5"/>
  <c r="F3472" i="5"/>
  <c r="J3471" i="5"/>
  <c r="H3471" i="5" a="1"/>
  <c r="H3471" i="5"/>
  <c r="G3471" i="5" a="1"/>
  <c r="G3471" i="5"/>
  <c r="F3471" i="5"/>
  <c r="J3470" i="5"/>
  <c r="H3470" i="5" a="1"/>
  <c r="H3470" i="5"/>
  <c r="G3470" i="5" a="1"/>
  <c r="G3470" i="5"/>
  <c r="F3470" i="5"/>
  <c r="J3469" i="5"/>
  <c r="H3469" i="5" a="1"/>
  <c r="H3469" i="5"/>
  <c r="G3469" i="5" a="1"/>
  <c r="G3469" i="5"/>
  <c r="F3469" i="5"/>
  <c r="J3468" i="5"/>
  <c r="H3468" i="5" a="1"/>
  <c r="H3468" i="5"/>
  <c r="G3468" i="5" a="1"/>
  <c r="G3468" i="5"/>
  <c r="F3468" i="5"/>
  <c r="J3467" i="5"/>
  <c r="H3467" i="5" a="1"/>
  <c r="H3467" i="5"/>
  <c r="G3467" i="5" a="1"/>
  <c r="G3467" i="5"/>
  <c r="F3467" i="5"/>
  <c r="J3466" i="5"/>
  <c r="H3466" i="5" a="1"/>
  <c r="H3466" i="5"/>
  <c r="G3466" i="5" a="1"/>
  <c r="G3466" i="5"/>
  <c r="F3466" i="5"/>
  <c r="J3465" i="5"/>
  <c r="H3465" i="5" a="1"/>
  <c r="H3465" i="5"/>
  <c r="G3465" i="5" a="1"/>
  <c r="G3465" i="5"/>
  <c r="F3465" i="5"/>
  <c r="J3464" i="5"/>
  <c r="H3464" i="5" a="1"/>
  <c r="H3464" i="5"/>
  <c r="G3464" i="5" a="1"/>
  <c r="G3464" i="5"/>
  <c r="F3464" i="5"/>
  <c r="J3463" i="5"/>
  <c r="H3463" i="5" a="1"/>
  <c r="H3463" i="5"/>
  <c r="G3463" i="5" a="1"/>
  <c r="G3463" i="5"/>
  <c r="F3463" i="5"/>
  <c r="J3462" i="5"/>
  <c r="H3462" i="5" a="1"/>
  <c r="H3462" i="5"/>
  <c r="G3462" i="5" a="1"/>
  <c r="G3462" i="5"/>
  <c r="F3462" i="5"/>
  <c r="J3461" i="5"/>
  <c r="H3461" i="5" a="1"/>
  <c r="H3461" i="5"/>
  <c r="G3461" i="5" a="1"/>
  <c r="G3461" i="5"/>
  <c r="F3461" i="5"/>
  <c r="J3460" i="5"/>
  <c r="H3460" i="5" a="1"/>
  <c r="H3460" i="5"/>
  <c r="G3460" i="5" a="1"/>
  <c r="G3460" i="5"/>
  <c r="F3460" i="5"/>
  <c r="J3459" i="5"/>
  <c r="H3459" i="5" a="1"/>
  <c r="H3459" i="5"/>
  <c r="G3459" i="5" a="1"/>
  <c r="G3459" i="5"/>
  <c r="F3459" i="5"/>
  <c r="J3458" i="5"/>
  <c r="H3458" i="5" a="1"/>
  <c r="H3458" i="5"/>
  <c r="G3458" i="5" a="1"/>
  <c r="G3458" i="5"/>
  <c r="F3458" i="5"/>
  <c r="J3457" i="5"/>
  <c r="H3457" i="5" a="1"/>
  <c r="H3457" i="5"/>
  <c r="G3457" i="5" a="1"/>
  <c r="G3457" i="5"/>
  <c r="F3457" i="5"/>
  <c r="J3456" i="5"/>
  <c r="H3456" i="5" a="1"/>
  <c r="H3456" i="5"/>
  <c r="G3456" i="5" a="1"/>
  <c r="G3456" i="5"/>
  <c r="F3456" i="5"/>
  <c r="J3455" i="5"/>
  <c r="H3455" i="5" a="1"/>
  <c r="H3455" i="5"/>
  <c r="G3455" i="5" a="1"/>
  <c r="G3455" i="5"/>
  <c r="F3455" i="5"/>
  <c r="J3454" i="5"/>
  <c r="H3454" i="5" a="1"/>
  <c r="H3454" i="5"/>
  <c r="G3454" i="5" a="1"/>
  <c r="G3454" i="5"/>
  <c r="F3454" i="5"/>
  <c r="J3453" i="5"/>
  <c r="H3453" i="5" a="1"/>
  <c r="H3453" i="5"/>
  <c r="G3453" i="5" a="1"/>
  <c r="G3453" i="5"/>
  <c r="F3453" i="5"/>
  <c r="J3452" i="5"/>
  <c r="H3452" i="5" a="1"/>
  <c r="H3452" i="5"/>
  <c r="G3452" i="5" a="1"/>
  <c r="G3452" i="5"/>
  <c r="F3452" i="5"/>
  <c r="J3451" i="5"/>
  <c r="H3451" i="5" a="1"/>
  <c r="H3451" i="5"/>
  <c r="G3451" i="5" a="1"/>
  <c r="G3451" i="5"/>
  <c r="F3451" i="5"/>
  <c r="J3450" i="5"/>
  <c r="H3450" i="5" a="1"/>
  <c r="H3450" i="5"/>
  <c r="G3450" i="5" a="1"/>
  <c r="G3450" i="5"/>
  <c r="F3450" i="5"/>
  <c r="J3449" i="5"/>
  <c r="H3449" i="5" a="1"/>
  <c r="H3449" i="5"/>
  <c r="G3449" i="5" a="1"/>
  <c r="G3449" i="5"/>
  <c r="F3449" i="5"/>
  <c r="J3448" i="5"/>
  <c r="H3448" i="5" a="1"/>
  <c r="H3448" i="5"/>
  <c r="G3448" i="5" a="1"/>
  <c r="G3448" i="5"/>
  <c r="F3448" i="5"/>
  <c r="J3447" i="5"/>
  <c r="H3447" i="5" a="1"/>
  <c r="H3447" i="5"/>
  <c r="G3447" i="5" a="1"/>
  <c r="G3447" i="5"/>
  <c r="F3447" i="5"/>
  <c r="J3446" i="5"/>
  <c r="H3446" i="5" a="1"/>
  <c r="H3446" i="5"/>
  <c r="G3446" i="5" a="1"/>
  <c r="G3446" i="5"/>
  <c r="F3446" i="5"/>
  <c r="J3445" i="5"/>
  <c r="H3445" i="5" a="1"/>
  <c r="H3445" i="5"/>
  <c r="G3445" i="5" a="1"/>
  <c r="G3445" i="5"/>
  <c r="F3445" i="5"/>
  <c r="J3444" i="5"/>
  <c r="H3444" i="5" a="1"/>
  <c r="H3444" i="5"/>
  <c r="G3444" i="5" a="1"/>
  <c r="G3444" i="5"/>
  <c r="F3444" i="5"/>
  <c r="J3443" i="5"/>
  <c r="H3443" i="5" a="1"/>
  <c r="H3443" i="5"/>
  <c r="G3443" i="5" a="1"/>
  <c r="G3443" i="5"/>
  <c r="F3443" i="5"/>
  <c r="J3442" i="5"/>
  <c r="H3442" i="5" a="1"/>
  <c r="H3442" i="5"/>
  <c r="G3442" i="5" a="1"/>
  <c r="G3442" i="5"/>
  <c r="F3442" i="5"/>
  <c r="J3441" i="5"/>
  <c r="H3441" i="5" a="1"/>
  <c r="H3441" i="5"/>
  <c r="G3441" i="5" a="1"/>
  <c r="G3441" i="5"/>
  <c r="F3441" i="5"/>
  <c r="J3440" i="5"/>
  <c r="H3440" i="5" a="1"/>
  <c r="H3440" i="5"/>
  <c r="G3440" i="5" a="1"/>
  <c r="G3440" i="5"/>
  <c r="F3440" i="5"/>
  <c r="J3439" i="5"/>
  <c r="H3439" i="5" a="1"/>
  <c r="H3439" i="5"/>
  <c r="G3439" i="5" a="1"/>
  <c r="G3439" i="5"/>
  <c r="F3439" i="5"/>
  <c r="J3438" i="5"/>
  <c r="H3438" i="5" a="1"/>
  <c r="H3438" i="5"/>
  <c r="G3438" i="5" a="1"/>
  <c r="G3438" i="5"/>
  <c r="F3438" i="5"/>
  <c r="J3437" i="5"/>
  <c r="H3437" i="5" a="1"/>
  <c r="H3437" i="5"/>
  <c r="G3437" i="5" a="1"/>
  <c r="G3437" i="5"/>
  <c r="F3437" i="5"/>
  <c r="J3436" i="5"/>
  <c r="H3436" i="5" a="1"/>
  <c r="H3436" i="5"/>
  <c r="G3436" i="5" a="1"/>
  <c r="G3436" i="5"/>
  <c r="F3436" i="5"/>
  <c r="J3435" i="5"/>
  <c r="H3435" i="5" a="1"/>
  <c r="H3435" i="5"/>
  <c r="G3435" i="5" a="1"/>
  <c r="G3435" i="5"/>
  <c r="F3435" i="5"/>
  <c r="J3434" i="5"/>
  <c r="H3434" i="5" a="1"/>
  <c r="H3434" i="5"/>
  <c r="G3434" i="5" a="1"/>
  <c r="G3434" i="5"/>
  <c r="F3434" i="5"/>
  <c r="J3433" i="5"/>
  <c r="H3433" i="5" a="1"/>
  <c r="H3433" i="5"/>
  <c r="G3433" i="5" a="1"/>
  <c r="G3433" i="5"/>
  <c r="F3433" i="5"/>
  <c r="J3432" i="5"/>
  <c r="H3432" i="5" a="1"/>
  <c r="H3432" i="5"/>
  <c r="G3432" i="5" a="1"/>
  <c r="G3432" i="5"/>
  <c r="F3432" i="5"/>
  <c r="J3431" i="5"/>
  <c r="H3431" i="5" a="1"/>
  <c r="H3431" i="5"/>
  <c r="G3431" i="5" a="1"/>
  <c r="G3431" i="5"/>
  <c r="F3431" i="5"/>
  <c r="J3430" i="5"/>
  <c r="H3430" i="5" a="1"/>
  <c r="H3430" i="5"/>
  <c r="G3430" i="5" a="1"/>
  <c r="G3430" i="5"/>
  <c r="F3430" i="5"/>
  <c r="J3429" i="5"/>
  <c r="H3429" i="5" a="1"/>
  <c r="H3429" i="5"/>
  <c r="G3429" i="5" a="1"/>
  <c r="G3429" i="5"/>
  <c r="F3429" i="5"/>
  <c r="J3428" i="5"/>
  <c r="H3428" i="5" a="1"/>
  <c r="H3428" i="5"/>
  <c r="G3428" i="5" a="1"/>
  <c r="G3428" i="5"/>
  <c r="F3428" i="5"/>
  <c r="J3427" i="5"/>
  <c r="H3427" i="5" a="1"/>
  <c r="H3427" i="5"/>
  <c r="G3427" i="5" a="1"/>
  <c r="G3427" i="5"/>
  <c r="F3427" i="5"/>
  <c r="J3426" i="5"/>
  <c r="H3426" i="5" a="1"/>
  <c r="H3426" i="5"/>
  <c r="G3426" i="5" a="1"/>
  <c r="G3426" i="5"/>
  <c r="F3426" i="5"/>
  <c r="J3425" i="5"/>
  <c r="H3425" i="5" a="1"/>
  <c r="H3425" i="5"/>
  <c r="G3425" i="5" a="1"/>
  <c r="G3425" i="5"/>
  <c r="F3425" i="5"/>
  <c r="J3424" i="5"/>
  <c r="H3424" i="5" a="1"/>
  <c r="H3424" i="5"/>
  <c r="G3424" i="5" a="1"/>
  <c r="G3424" i="5"/>
  <c r="F3424" i="5"/>
  <c r="J3423" i="5"/>
  <c r="H3423" i="5" a="1"/>
  <c r="H3423" i="5"/>
  <c r="G3423" i="5" a="1"/>
  <c r="G3423" i="5"/>
  <c r="F3423" i="5"/>
  <c r="J3422" i="5"/>
  <c r="H3422" i="5" a="1"/>
  <c r="H3422" i="5"/>
  <c r="G3422" i="5" a="1"/>
  <c r="G3422" i="5"/>
  <c r="F3422" i="5"/>
  <c r="J3421" i="5"/>
  <c r="H3421" i="5" a="1"/>
  <c r="H3421" i="5"/>
  <c r="G3421" i="5" a="1"/>
  <c r="G3421" i="5"/>
  <c r="F3421" i="5"/>
  <c r="J3420" i="5"/>
  <c r="H3420" i="5" a="1"/>
  <c r="H3420" i="5"/>
  <c r="G3420" i="5" a="1"/>
  <c r="G3420" i="5"/>
  <c r="F3420" i="5"/>
  <c r="J3419" i="5"/>
  <c r="H3419" i="5" a="1"/>
  <c r="H3419" i="5"/>
  <c r="G3419" i="5" a="1"/>
  <c r="G3419" i="5"/>
  <c r="F3419" i="5"/>
  <c r="J3418" i="5"/>
  <c r="H3418" i="5" a="1"/>
  <c r="H3418" i="5"/>
  <c r="G3418" i="5" a="1"/>
  <c r="G3418" i="5"/>
  <c r="F3418" i="5"/>
  <c r="J3417" i="5"/>
  <c r="H3417" i="5" a="1"/>
  <c r="H3417" i="5"/>
  <c r="G3417" i="5" a="1"/>
  <c r="G3417" i="5"/>
  <c r="F3417" i="5"/>
  <c r="J3416" i="5"/>
  <c r="H3416" i="5" a="1"/>
  <c r="H3416" i="5"/>
  <c r="G3416" i="5" a="1"/>
  <c r="G3416" i="5"/>
  <c r="F3416" i="5"/>
  <c r="J3415" i="5"/>
  <c r="H3415" i="5" a="1"/>
  <c r="H3415" i="5"/>
  <c r="G3415" i="5" a="1"/>
  <c r="G3415" i="5"/>
  <c r="F3415" i="5"/>
  <c r="J3414" i="5"/>
  <c r="H3414" i="5" a="1"/>
  <c r="H3414" i="5"/>
  <c r="G3414" i="5" a="1"/>
  <c r="G3414" i="5"/>
  <c r="F3414" i="5"/>
  <c r="J3413" i="5"/>
  <c r="H3413" i="5" a="1"/>
  <c r="H3413" i="5"/>
  <c r="G3413" i="5" a="1"/>
  <c r="G3413" i="5"/>
  <c r="F3413" i="5"/>
  <c r="J3412" i="5"/>
  <c r="H3412" i="5" a="1"/>
  <c r="H3412" i="5"/>
  <c r="G3412" i="5" a="1"/>
  <c r="G3412" i="5"/>
  <c r="F3412" i="5"/>
  <c r="J3411" i="5"/>
  <c r="H3411" i="5" a="1"/>
  <c r="H3411" i="5"/>
  <c r="G3411" i="5" a="1"/>
  <c r="G3411" i="5"/>
  <c r="F3411" i="5"/>
  <c r="J3410" i="5"/>
  <c r="H3410" i="5" a="1"/>
  <c r="H3410" i="5"/>
  <c r="G3410" i="5" a="1"/>
  <c r="G3410" i="5"/>
  <c r="F3410" i="5"/>
  <c r="J3409" i="5"/>
  <c r="H3409" i="5" a="1"/>
  <c r="H3409" i="5"/>
  <c r="G3409" i="5" a="1"/>
  <c r="G3409" i="5"/>
  <c r="F3409" i="5"/>
  <c r="J3408" i="5"/>
  <c r="H3408" i="5" a="1"/>
  <c r="H3408" i="5"/>
  <c r="G3408" i="5" a="1"/>
  <c r="G3408" i="5"/>
  <c r="F3408" i="5"/>
  <c r="J3407" i="5"/>
  <c r="H3407" i="5" a="1"/>
  <c r="H3407" i="5"/>
  <c r="G3407" i="5" a="1"/>
  <c r="G3407" i="5"/>
  <c r="F3407" i="5"/>
  <c r="J3406" i="5"/>
  <c r="H3406" i="5" a="1"/>
  <c r="H3406" i="5"/>
  <c r="G3406" i="5" a="1"/>
  <c r="G3406" i="5"/>
  <c r="F3406" i="5"/>
  <c r="J3405" i="5"/>
  <c r="H3405" i="5" a="1"/>
  <c r="H3405" i="5"/>
  <c r="G3405" i="5" a="1"/>
  <c r="G3405" i="5"/>
  <c r="F3405" i="5"/>
  <c r="J3404" i="5"/>
  <c r="H3404" i="5" a="1"/>
  <c r="H3404" i="5"/>
  <c r="G3404" i="5" a="1"/>
  <c r="G3404" i="5"/>
  <c r="F3404" i="5"/>
  <c r="J3403" i="5"/>
  <c r="H3403" i="5" a="1"/>
  <c r="H3403" i="5"/>
  <c r="G3403" i="5" a="1"/>
  <c r="G3403" i="5"/>
  <c r="F3403" i="5"/>
  <c r="J3402" i="5"/>
  <c r="H3402" i="5" a="1"/>
  <c r="H3402" i="5"/>
  <c r="G3402" i="5" a="1"/>
  <c r="G3402" i="5"/>
  <c r="F3402" i="5"/>
  <c r="J3401" i="5"/>
  <c r="H3401" i="5" a="1"/>
  <c r="H3401" i="5"/>
  <c r="G3401" i="5" a="1"/>
  <c r="G3401" i="5"/>
  <c r="F3401" i="5"/>
  <c r="J3400" i="5"/>
  <c r="H3400" i="5" a="1"/>
  <c r="H3400" i="5"/>
  <c r="G3400" i="5" a="1"/>
  <c r="G3400" i="5"/>
  <c r="F3400" i="5"/>
  <c r="J3399" i="5"/>
  <c r="H3399" i="5" a="1"/>
  <c r="H3399" i="5"/>
  <c r="G3399" i="5" a="1"/>
  <c r="G3399" i="5"/>
  <c r="F3399" i="5"/>
  <c r="J3398" i="5"/>
  <c r="H3398" i="5" a="1"/>
  <c r="H3398" i="5"/>
  <c r="G3398" i="5" a="1"/>
  <c r="G3398" i="5"/>
  <c r="F3398" i="5"/>
  <c r="J3397" i="5"/>
  <c r="H3397" i="5" a="1"/>
  <c r="H3397" i="5"/>
  <c r="G3397" i="5" a="1"/>
  <c r="G3397" i="5"/>
  <c r="F3397" i="5"/>
  <c r="J3396" i="5"/>
  <c r="H3396" i="5" a="1"/>
  <c r="H3396" i="5"/>
  <c r="G3396" i="5" a="1"/>
  <c r="G3396" i="5"/>
  <c r="F3396" i="5"/>
  <c r="J3395" i="5"/>
  <c r="H3395" i="5" a="1"/>
  <c r="H3395" i="5"/>
  <c r="G3395" i="5" a="1"/>
  <c r="G3395" i="5"/>
  <c r="F3395" i="5"/>
  <c r="J3394" i="5"/>
  <c r="H3394" i="5" a="1"/>
  <c r="H3394" i="5"/>
  <c r="G3394" i="5" a="1"/>
  <c r="G3394" i="5"/>
  <c r="F3394" i="5"/>
  <c r="J3393" i="5"/>
  <c r="H3393" i="5" a="1"/>
  <c r="H3393" i="5"/>
  <c r="G3393" i="5" a="1"/>
  <c r="G3393" i="5"/>
  <c r="F3393" i="5"/>
  <c r="J3392" i="5"/>
  <c r="H3392" i="5" a="1"/>
  <c r="H3392" i="5"/>
  <c r="G3392" i="5" a="1"/>
  <c r="G3392" i="5"/>
  <c r="F3392" i="5"/>
  <c r="J3391" i="5"/>
  <c r="H3391" i="5" a="1"/>
  <c r="H3391" i="5"/>
  <c r="G3391" i="5" a="1"/>
  <c r="G3391" i="5"/>
  <c r="F3391" i="5"/>
  <c r="J3390" i="5"/>
  <c r="H3390" i="5" a="1"/>
  <c r="H3390" i="5"/>
  <c r="G3390" i="5" a="1"/>
  <c r="G3390" i="5"/>
  <c r="F3390" i="5"/>
  <c r="J3389" i="5"/>
  <c r="H3389" i="5" a="1"/>
  <c r="H3389" i="5"/>
  <c r="G3389" i="5" a="1"/>
  <c r="G3389" i="5"/>
  <c r="F3389" i="5"/>
  <c r="J3388" i="5"/>
  <c r="H3388" i="5" a="1"/>
  <c r="H3388" i="5"/>
  <c r="G3388" i="5" a="1"/>
  <c r="G3388" i="5"/>
  <c r="F3388" i="5"/>
  <c r="J3387" i="5"/>
  <c r="H3387" i="5" a="1"/>
  <c r="H3387" i="5"/>
  <c r="G3387" i="5" a="1"/>
  <c r="G3387" i="5"/>
  <c r="F3387" i="5"/>
  <c r="J3386" i="5"/>
  <c r="H3386" i="5" a="1"/>
  <c r="H3386" i="5"/>
  <c r="G3386" i="5" a="1"/>
  <c r="G3386" i="5"/>
  <c r="F3386" i="5"/>
  <c r="J3385" i="5"/>
  <c r="H3385" i="5" a="1"/>
  <c r="H3385" i="5"/>
  <c r="G3385" i="5" a="1"/>
  <c r="G3385" i="5"/>
  <c r="F3385" i="5"/>
  <c r="J3384" i="5"/>
  <c r="H3384" i="5" a="1"/>
  <c r="H3384" i="5"/>
  <c r="G3384" i="5" a="1"/>
  <c r="G3384" i="5"/>
  <c r="F3384" i="5"/>
  <c r="J3383" i="5"/>
  <c r="H3383" i="5" a="1"/>
  <c r="H3383" i="5"/>
  <c r="G3383" i="5" a="1"/>
  <c r="G3383" i="5"/>
  <c r="F3383" i="5"/>
  <c r="J3382" i="5"/>
  <c r="H3382" i="5" a="1"/>
  <c r="H3382" i="5"/>
  <c r="G3382" i="5" a="1"/>
  <c r="G3382" i="5"/>
  <c r="F3382" i="5"/>
  <c r="J3381" i="5"/>
  <c r="H3381" i="5" a="1"/>
  <c r="H3381" i="5"/>
  <c r="G3381" i="5" a="1"/>
  <c r="G3381" i="5"/>
  <c r="F3381" i="5"/>
  <c r="J3380" i="5"/>
  <c r="H3380" i="5" a="1"/>
  <c r="H3380" i="5"/>
  <c r="G3380" i="5" a="1"/>
  <c r="G3380" i="5"/>
  <c r="F3380" i="5"/>
  <c r="J3379" i="5"/>
  <c r="H3379" i="5" a="1"/>
  <c r="H3379" i="5"/>
  <c r="G3379" i="5" a="1"/>
  <c r="G3379" i="5"/>
  <c r="F3379" i="5"/>
  <c r="J3378" i="5"/>
  <c r="H3378" i="5" a="1"/>
  <c r="H3378" i="5"/>
  <c r="G3378" i="5" a="1"/>
  <c r="G3378" i="5"/>
  <c r="F3378" i="5"/>
  <c r="J3377" i="5"/>
  <c r="H3377" i="5" a="1"/>
  <c r="H3377" i="5"/>
  <c r="G3377" i="5" a="1"/>
  <c r="G3377" i="5"/>
  <c r="F3377" i="5"/>
  <c r="J3376" i="5"/>
  <c r="H3376" i="5" a="1"/>
  <c r="H3376" i="5"/>
  <c r="G3376" i="5" a="1"/>
  <c r="G3376" i="5"/>
  <c r="F3376" i="5"/>
  <c r="J3375" i="5"/>
  <c r="H3375" i="5" a="1"/>
  <c r="H3375" i="5"/>
  <c r="G3375" i="5" a="1"/>
  <c r="G3375" i="5"/>
  <c r="F3375" i="5"/>
  <c r="J3374" i="5"/>
  <c r="H3374" i="5" a="1"/>
  <c r="H3374" i="5"/>
  <c r="G3374" i="5" a="1"/>
  <c r="G3374" i="5"/>
  <c r="F3374" i="5"/>
  <c r="J3373" i="5"/>
  <c r="H3373" i="5" a="1"/>
  <c r="H3373" i="5"/>
  <c r="G3373" i="5" a="1"/>
  <c r="G3373" i="5"/>
  <c r="F3373" i="5"/>
  <c r="J3372" i="5"/>
  <c r="H3372" i="5" a="1"/>
  <c r="H3372" i="5"/>
  <c r="G3372" i="5" a="1"/>
  <c r="G3372" i="5"/>
  <c r="F3372" i="5"/>
  <c r="J3371" i="5"/>
  <c r="H3371" i="5" a="1"/>
  <c r="H3371" i="5"/>
  <c r="G3371" i="5" a="1"/>
  <c r="G3371" i="5"/>
  <c r="F3371" i="5"/>
  <c r="J3370" i="5"/>
  <c r="H3370" i="5" a="1"/>
  <c r="H3370" i="5"/>
  <c r="G3370" i="5" a="1"/>
  <c r="G3370" i="5"/>
  <c r="F3370" i="5"/>
  <c r="J3369" i="5"/>
  <c r="H3369" i="5" a="1"/>
  <c r="H3369" i="5"/>
  <c r="G3369" i="5" a="1"/>
  <c r="G3369" i="5"/>
  <c r="F3369" i="5"/>
  <c r="J3368" i="5"/>
  <c r="H3368" i="5" a="1"/>
  <c r="H3368" i="5"/>
  <c r="G3368" i="5" a="1"/>
  <c r="G3368" i="5"/>
  <c r="F3368" i="5"/>
  <c r="J3367" i="5"/>
  <c r="H3367" i="5" a="1"/>
  <c r="H3367" i="5"/>
  <c r="G3367" i="5" a="1"/>
  <c r="G3367" i="5"/>
  <c r="F3367" i="5"/>
  <c r="J3366" i="5"/>
  <c r="H3366" i="5" a="1"/>
  <c r="H3366" i="5"/>
  <c r="G3366" i="5" a="1"/>
  <c r="G3366" i="5"/>
  <c r="F3366" i="5"/>
  <c r="J3365" i="5"/>
  <c r="H3365" i="5" a="1"/>
  <c r="H3365" i="5"/>
  <c r="G3365" i="5" a="1"/>
  <c r="G3365" i="5"/>
  <c r="F3365" i="5"/>
  <c r="J3364" i="5"/>
  <c r="H3364" i="5" a="1"/>
  <c r="H3364" i="5"/>
  <c r="G3364" i="5" a="1"/>
  <c r="G3364" i="5"/>
  <c r="F3364" i="5"/>
  <c r="J3363" i="5"/>
  <c r="H3363" i="5" a="1"/>
  <c r="H3363" i="5"/>
  <c r="G3363" i="5" a="1"/>
  <c r="G3363" i="5"/>
  <c r="F3363" i="5"/>
  <c r="J3362" i="5"/>
  <c r="H3362" i="5" a="1"/>
  <c r="H3362" i="5"/>
  <c r="G3362" i="5" a="1"/>
  <c r="G3362" i="5"/>
  <c r="F3362" i="5"/>
  <c r="J3361" i="5"/>
  <c r="H3361" i="5" a="1"/>
  <c r="H3361" i="5"/>
  <c r="G3361" i="5" a="1"/>
  <c r="G3361" i="5"/>
  <c r="F3361" i="5"/>
  <c r="J3360" i="5"/>
  <c r="H3360" i="5" a="1"/>
  <c r="H3360" i="5"/>
  <c r="G3360" i="5" a="1"/>
  <c r="G3360" i="5"/>
  <c r="F3360" i="5"/>
  <c r="J3359" i="5"/>
  <c r="H3359" i="5" a="1"/>
  <c r="H3359" i="5"/>
  <c r="G3359" i="5" a="1"/>
  <c r="G3359" i="5"/>
  <c r="F3359" i="5"/>
  <c r="J3358" i="5"/>
  <c r="H3358" i="5" a="1"/>
  <c r="H3358" i="5"/>
  <c r="G3358" i="5" a="1"/>
  <c r="G3358" i="5"/>
  <c r="F3358" i="5"/>
  <c r="J3357" i="5"/>
  <c r="H3357" i="5" a="1"/>
  <c r="H3357" i="5"/>
  <c r="G3357" i="5" a="1"/>
  <c r="G3357" i="5"/>
  <c r="F3357" i="5"/>
  <c r="J3356" i="5"/>
  <c r="H3356" i="5" a="1"/>
  <c r="H3356" i="5"/>
  <c r="G3356" i="5" a="1"/>
  <c r="G3356" i="5"/>
  <c r="F3356" i="5"/>
  <c r="J3355" i="5"/>
  <c r="H3355" i="5" a="1"/>
  <c r="H3355" i="5"/>
  <c r="G3355" i="5" a="1"/>
  <c r="G3355" i="5"/>
  <c r="F3355" i="5"/>
  <c r="J3354" i="5"/>
  <c r="H3354" i="5" a="1"/>
  <c r="H3354" i="5"/>
  <c r="G3354" i="5" a="1"/>
  <c r="G3354" i="5"/>
  <c r="F3354" i="5"/>
  <c r="J3353" i="5"/>
  <c r="H3353" i="5" a="1"/>
  <c r="H3353" i="5"/>
  <c r="G3353" i="5" a="1"/>
  <c r="G3353" i="5"/>
  <c r="F3353" i="5"/>
  <c r="J3352" i="5"/>
  <c r="H3352" i="5" a="1"/>
  <c r="H3352" i="5"/>
  <c r="G3352" i="5" a="1"/>
  <c r="G3352" i="5"/>
  <c r="F3352" i="5"/>
  <c r="J3351" i="5"/>
  <c r="H3351" i="5" a="1"/>
  <c r="H3351" i="5"/>
  <c r="G3351" i="5" a="1"/>
  <c r="G3351" i="5"/>
  <c r="F3351" i="5"/>
  <c r="J3350" i="5"/>
  <c r="H3350" i="5" a="1"/>
  <c r="H3350" i="5"/>
  <c r="G3350" i="5" a="1"/>
  <c r="G3350" i="5"/>
  <c r="F3350" i="5"/>
  <c r="J3349" i="5"/>
  <c r="H3349" i="5" a="1"/>
  <c r="H3349" i="5"/>
  <c r="G3349" i="5" a="1"/>
  <c r="G3349" i="5"/>
  <c r="F3349" i="5"/>
  <c r="J3348" i="5"/>
  <c r="H3348" i="5" a="1"/>
  <c r="H3348" i="5"/>
  <c r="G3348" i="5" a="1"/>
  <c r="G3348" i="5"/>
  <c r="F3348" i="5"/>
  <c r="J3347" i="5"/>
  <c r="H3347" i="5" a="1"/>
  <c r="H3347" i="5"/>
  <c r="G3347" i="5" a="1"/>
  <c r="G3347" i="5"/>
  <c r="F3347" i="5"/>
  <c r="J3346" i="5"/>
  <c r="H3346" i="5" a="1"/>
  <c r="H3346" i="5"/>
  <c r="G3346" i="5" a="1"/>
  <c r="G3346" i="5"/>
  <c r="F3346" i="5"/>
  <c r="J3345" i="5"/>
  <c r="H3345" i="5" a="1"/>
  <c r="H3345" i="5"/>
  <c r="G3345" i="5" a="1"/>
  <c r="G3345" i="5"/>
  <c r="F3345" i="5"/>
  <c r="J3344" i="5"/>
  <c r="H3344" i="5" a="1"/>
  <c r="H3344" i="5"/>
  <c r="G3344" i="5" a="1"/>
  <c r="G3344" i="5"/>
  <c r="F3344" i="5"/>
  <c r="J3343" i="5"/>
  <c r="H3343" i="5" a="1"/>
  <c r="H3343" i="5"/>
  <c r="G3343" i="5" a="1"/>
  <c r="G3343" i="5"/>
  <c r="F3343" i="5"/>
  <c r="J3342" i="5"/>
  <c r="H3342" i="5" a="1"/>
  <c r="H3342" i="5"/>
  <c r="G3342" i="5" a="1"/>
  <c r="G3342" i="5"/>
  <c r="F3342" i="5"/>
  <c r="J3341" i="5"/>
  <c r="H3341" i="5" a="1"/>
  <c r="H3341" i="5"/>
  <c r="G3341" i="5" a="1"/>
  <c r="G3341" i="5"/>
  <c r="F3341" i="5"/>
  <c r="J3340" i="5"/>
  <c r="H3340" i="5" a="1"/>
  <c r="H3340" i="5"/>
  <c r="G3340" i="5" a="1"/>
  <c r="G3340" i="5"/>
  <c r="F3340" i="5"/>
  <c r="J3339" i="5"/>
  <c r="H3339" i="5" a="1"/>
  <c r="H3339" i="5"/>
  <c r="G3339" i="5" a="1"/>
  <c r="G3339" i="5"/>
  <c r="F3339" i="5"/>
  <c r="J3338" i="5"/>
  <c r="H3338" i="5" a="1"/>
  <c r="H3338" i="5"/>
  <c r="G3338" i="5" a="1"/>
  <c r="G3338" i="5"/>
  <c r="F3338" i="5"/>
  <c r="J3337" i="5"/>
  <c r="H3337" i="5" a="1"/>
  <c r="H3337" i="5"/>
  <c r="G3337" i="5" a="1"/>
  <c r="G3337" i="5"/>
  <c r="F3337" i="5"/>
  <c r="J3336" i="5"/>
  <c r="H3336" i="5" a="1"/>
  <c r="H3336" i="5"/>
  <c r="G3336" i="5" a="1"/>
  <c r="G3336" i="5"/>
  <c r="F3336" i="5"/>
  <c r="J3335" i="5"/>
  <c r="H3335" i="5" a="1"/>
  <c r="H3335" i="5"/>
  <c r="G3335" i="5" a="1"/>
  <c r="G3335" i="5"/>
  <c r="F3335" i="5"/>
  <c r="J3334" i="5"/>
  <c r="H3334" i="5" a="1"/>
  <c r="H3334" i="5"/>
  <c r="G3334" i="5" a="1"/>
  <c r="G3334" i="5"/>
  <c r="F3334" i="5"/>
  <c r="J3333" i="5"/>
  <c r="H3333" i="5" a="1"/>
  <c r="H3333" i="5"/>
  <c r="G3333" i="5" a="1"/>
  <c r="G3333" i="5"/>
  <c r="F3333" i="5"/>
  <c r="J3332" i="5"/>
  <c r="H3332" i="5" a="1"/>
  <c r="H3332" i="5"/>
  <c r="G3332" i="5" a="1"/>
  <c r="G3332" i="5"/>
  <c r="F3332" i="5"/>
  <c r="J3331" i="5"/>
  <c r="H3331" i="5" a="1"/>
  <c r="H3331" i="5"/>
  <c r="G3331" i="5" a="1"/>
  <c r="G3331" i="5"/>
  <c r="F3331" i="5"/>
  <c r="J3330" i="5"/>
  <c r="H3330" i="5" a="1"/>
  <c r="H3330" i="5"/>
  <c r="G3330" i="5" a="1"/>
  <c r="G3330" i="5"/>
  <c r="F3330" i="5"/>
  <c r="J3329" i="5"/>
  <c r="H3329" i="5" a="1"/>
  <c r="H3329" i="5"/>
  <c r="G3329" i="5" a="1"/>
  <c r="G3329" i="5"/>
  <c r="F3329" i="5"/>
  <c r="J3328" i="5"/>
  <c r="H3328" i="5" a="1"/>
  <c r="H3328" i="5"/>
  <c r="G3328" i="5" a="1"/>
  <c r="G3328" i="5"/>
  <c r="F3328" i="5"/>
  <c r="J3327" i="5"/>
  <c r="H3327" i="5" a="1"/>
  <c r="H3327" i="5"/>
  <c r="G3327" i="5" a="1"/>
  <c r="G3327" i="5"/>
  <c r="F3327" i="5"/>
  <c r="J3326" i="5"/>
  <c r="H3326" i="5" a="1"/>
  <c r="H3326" i="5"/>
  <c r="G3326" i="5" a="1"/>
  <c r="G3326" i="5"/>
  <c r="F3326" i="5"/>
  <c r="J3325" i="5"/>
  <c r="H3325" i="5" a="1"/>
  <c r="H3325" i="5"/>
  <c r="G3325" i="5" a="1"/>
  <c r="G3325" i="5"/>
  <c r="F3325" i="5"/>
  <c r="J3324" i="5"/>
  <c r="H3324" i="5" a="1"/>
  <c r="H3324" i="5"/>
  <c r="G3324" i="5" a="1"/>
  <c r="G3324" i="5"/>
  <c r="F3324" i="5"/>
  <c r="J3323" i="5"/>
  <c r="H3323" i="5" a="1"/>
  <c r="H3323" i="5"/>
  <c r="G3323" i="5" a="1"/>
  <c r="G3323" i="5"/>
  <c r="F3323" i="5"/>
  <c r="J3322" i="5"/>
  <c r="H3322" i="5" a="1"/>
  <c r="H3322" i="5"/>
  <c r="G3322" i="5" a="1"/>
  <c r="G3322" i="5"/>
  <c r="F3322" i="5"/>
  <c r="J3321" i="5"/>
  <c r="H3321" i="5" a="1"/>
  <c r="H3321" i="5"/>
  <c r="G3321" i="5" a="1"/>
  <c r="G3321" i="5"/>
  <c r="F3321" i="5"/>
  <c r="J3320" i="5"/>
  <c r="H3320" i="5" a="1"/>
  <c r="H3320" i="5"/>
  <c r="G3320" i="5" a="1"/>
  <c r="G3320" i="5"/>
  <c r="F3320" i="5"/>
  <c r="J3319" i="5"/>
  <c r="H3319" i="5" a="1"/>
  <c r="H3319" i="5"/>
  <c r="G3319" i="5" a="1"/>
  <c r="G3319" i="5"/>
  <c r="F3319" i="5"/>
  <c r="J3318" i="5"/>
  <c r="H3318" i="5" a="1"/>
  <c r="H3318" i="5"/>
  <c r="G3318" i="5" a="1"/>
  <c r="G3318" i="5"/>
  <c r="F3318" i="5"/>
  <c r="J3317" i="5"/>
  <c r="H3317" i="5" a="1"/>
  <c r="H3317" i="5"/>
  <c r="G3317" i="5" a="1"/>
  <c r="G3317" i="5"/>
  <c r="F3317" i="5"/>
  <c r="J3316" i="5"/>
  <c r="H3316" i="5" a="1"/>
  <c r="H3316" i="5"/>
  <c r="G3316" i="5" a="1"/>
  <c r="G3316" i="5"/>
  <c r="F3316" i="5"/>
  <c r="J3315" i="5"/>
  <c r="H3315" i="5" a="1"/>
  <c r="H3315" i="5"/>
  <c r="G3315" i="5" a="1"/>
  <c r="G3315" i="5"/>
  <c r="F3315" i="5"/>
  <c r="J3314" i="5"/>
  <c r="H3314" i="5" a="1"/>
  <c r="H3314" i="5"/>
  <c r="G3314" i="5" a="1"/>
  <c r="G3314" i="5"/>
  <c r="F3314" i="5"/>
  <c r="J3313" i="5"/>
  <c r="H3313" i="5" a="1"/>
  <c r="H3313" i="5"/>
  <c r="G3313" i="5" a="1"/>
  <c r="G3313" i="5"/>
  <c r="F3313" i="5"/>
  <c r="J3312" i="5"/>
  <c r="H3312" i="5" a="1"/>
  <c r="H3312" i="5"/>
  <c r="G3312" i="5" a="1"/>
  <c r="G3312" i="5"/>
  <c r="F3312" i="5"/>
  <c r="J3311" i="5"/>
  <c r="H3311" i="5" a="1"/>
  <c r="H3311" i="5"/>
  <c r="G3311" i="5" a="1"/>
  <c r="G3311" i="5"/>
  <c r="F3311" i="5"/>
  <c r="J3310" i="5"/>
  <c r="H3310" i="5" a="1"/>
  <c r="H3310" i="5"/>
  <c r="G3310" i="5" a="1"/>
  <c r="G3310" i="5"/>
  <c r="F3310" i="5"/>
  <c r="J3309" i="5"/>
  <c r="H3309" i="5" a="1"/>
  <c r="H3309" i="5"/>
  <c r="G3309" i="5" a="1"/>
  <c r="G3309" i="5"/>
  <c r="F3309" i="5"/>
  <c r="J3308" i="5"/>
  <c r="H3308" i="5" a="1"/>
  <c r="H3308" i="5"/>
  <c r="G3308" i="5" a="1"/>
  <c r="G3308" i="5"/>
  <c r="F3308" i="5"/>
  <c r="J3307" i="5"/>
  <c r="H3307" i="5" a="1"/>
  <c r="H3307" i="5"/>
  <c r="G3307" i="5" a="1"/>
  <c r="G3307" i="5"/>
  <c r="F3307" i="5"/>
  <c r="J3306" i="5"/>
  <c r="H3306" i="5" a="1"/>
  <c r="H3306" i="5"/>
  <c r="G3306" i="5" a="1"/>
  <c r="G3306" i="5"/>
  <c r="F3306" i="5"/>
  <c r="J3305" i="5"/>
  <c r="H3305" i="5" a="1"/>
  <c r="H3305" i="5"/>
  <c r="G3305" i="5" a="1"/>
  <c r="G3305" i="5"/>
  <c r="F3305" i="5"/>
  <c r="J3304" i="5"/>
  <c r="H3304" i="5" a="1"/>
  <c r="H3304" i="5"/>
  <c r="G3304" i="5" a="1"/>
  <c r="G3304" i="5"/>
  <c r="F3304" i="5"/>
  <c r="J3303" i="5"/>
  <c r="H3303" i="5" a="1"/>
  <c r="H3303" i="5"/>
  <c r="G3303" i="5" a="1"/>
  <c r="G3303" i="5"/>
  <c r="F3303" i="5"/>
  <c r="J3302" i="5"/>
  <c r="H3302" i="5" a="1"/>
  <c r="H3302" i="5"/>
  <c r="G3302" i="5" a="1"/>
  <c r="G3302" i="5"/>
  <c r="F3302" i="5"/>
  <c r="J3301" i="5"/>
  <c r="H3301" i="5" a="1"/>
  <c r="H3301" i="5"/>
  <c r="G3301" i="5" a="1"/>
  <c r="G3301" i="5"/>
  <c r="F3301" i="5"/>
  <c r="J3300" i="5"/>
  <c r="H3300" i="5" a="1"/>
  <c r="H3300" i="5"/>
  <c r="G3300" i="5" a="1"/>
  <c r="G3300" i="5"/>
  <c r="F3300" i="5"/>
  <c r="J3299" i="5"/>
  <c r="H3299" i="5" a="1"/>
  <c r="H3299" i="5"/>
  <c r="G3299" i="5" a="1"/>
  <c r="G3299" i="5"/>
  <c r="F3299" i="5"/>
  <c r="J3298" i="5"/>
  <c r="H3298" i="5" a="1"/>
  <c r="H3298" i="5"/>
  <c r="G3298" i="5" a="1"/>
  <c r="G3298" i="5"/>
  <c r="F3298" i="5"/>
  <c r="J3297" i="5"/>
  <c r="H3297" i="5" a="1"/>
  <c r="H3297" i="5"/>
  <c r="G3297" i="5" a="1"/>
  <c r="G3297" i="5"/>
  <c r="F3297" i="5"/>
  <c r="J3296" i="5"/>
  <c r="H3296" i="5" a="1"/>
  <c r="H3296" i="5"/>
  <c r="G3296" i="5" a="1"/>
  <c r="G3296" i="5"/>
  <c r="F3296" i="5"/>
  <c r="J3295" i="5"/>
  <c r="H3295" i="5" a="1"/>
  <c r="H3295" i="5"/>
  <c r="G3295" i="5" a="1"/>
  <c r="G3295" i="5"/>
  <c r="F3295" i="5"/>
  <c r="J3294" i="5"/>
  <c r="H3294" i="5" a="1"/>
  <c r="H3294" i="5"/>
  <c r="G3294" i="5" a="1"/>
  <c r="G3294" i="5"/>
  <c r="F3294" i="5"/>
  <c r="J3293" i="5"/>
  <c r="H3293" i="5" a="1"/>
  <c r="H3293" i="5"/>
  <c r="G3293" i="5" a="1"/>
  <c r="G3293" i="5"/>
  <c r="F3293" i="5"/>
  <c r="J3292" i="5"/>
  <c r="H3292" i="5" a="1"/>
  <c r="H3292" i="5"/>
  <c r="G3292" i="5" a="1"/>
  <c r="G3292" i="5"/>
  <c r="F3292" i="5"/>
  <c r="J3291" i="5"/>
  <c r="H3291" i="5" a="1"/>
  <c r="H3291" i="5"/>
  <c r="G3291" i="5" a="1"/>
  <c r="G3291" i="5"/>
  <c r="F3291" i="5"/>
  <c r="J3290" i="5"/>
  <c r="H3290" i="5" a="1"/>
  <c r="H3290" i="5"/>
  <c r="G3290" i="5" a="1"/>
  <c r="G3290" i="5"/>
  <c r="F3290" i="5"/>
  <c r="J3289" i="5"/>
  <c r="H3289" i="5" a="1"/>
  <c r="H3289" i="5"/>
  <c r="G3289" i="5" a="1"/>
  <c r="G3289" i="5"/>
  <c r="F3289" i="5"/>
  <c r="J3288" i="5"/>
  <c r="H3288" i="5" a="1"/>
  <c r="H3288" i="5"/>
  <c r="G3288" i="5" a="1"/>
  <c r="G3288" i="5"/>
  <c r="F3288" i="5"/>
  <c r="J3287" i="5"/>
  <c r="H3287" i="5" a="1"/>
  <c r="H3287" i="5"/>
  <c r="G3287" i="5" a="1"/>
  <c r="G3287" i="5"/>
  <c r="F3287" i="5"/>
  <c r="J3286" i="5"/>
  <c r="H3286" i="5" a="1"/>
  <c r="H3286" i="5"/>
  <c r="G3286" i="5" a="1"/>
  <c r="G3286" i="5"/>
  <c r="F3286" i="5"/>
  <c r="J3285" i="5"/>
  <c r="H3285" i="5" a="1"/>
  <c r="H3285" i="5"/>
  <c r="G3285" i="5" a="1"/>
  <c r="G3285" i="5"/>
  <c r="F3285" i="5"/>
  <c r="J3284" i="5"/>
  <c r="H3284" i="5" a="1"/>
  <c r="H3284" i="5"/>
  <c r="G3284" i="5" a="1"/>
  <c r="G3284" i="5"/>
  <c r="F3284" i="5"/>
  <c r="J3283" i="5"/>
  <c r="H3283" i="5" a="1"/>
  <c r="H3283" i="5"/>
  <c r="G3283" i="5" a="1"/>
  <c r="G3283" i="5"/>
  <c r="F3283" i="5"/>
  <c r="J3282" i="5"/>
  <c r="H3282" i="5" a="1"/>
  <c r="H3282" i="5"/>
  <c r="G3282" i="5" a="1"/>
  <c r="G3282" i="5"/>
  <c r="F3282" i="5"/>
  <c r="J3281" i="5"/>
  <c r="H3281" i="5" a="1"/>
  <c r="H3281" i="5"/>
  <c r="G3281" i="5" a="1"/>
  <c r="G3281" i="5"/>
  <c r="F3281" i="5"/>
  <c r="J3280" i="5"/>
  <c r="H3280" i="5" a="1"/>
  <c r="H3280" i="5"/>
  <c r="G3280" i="5" a="1"/>
  <c r="G3280" i="5"/>
  <c r="F3280" i="5"/>
  <c r="J3279" i="5"/>
  <c r="H3279" i="5" a="1"/>
  <c r="H3279" i="5"/>
  <c r="G3279" i="5" a="1"/>
  <c r="G3279" i="5"/>
  <c r="F3279" i="5"/>
  <c r="J3278" i="5"/>
  <c r="H3278" i="5" a="1"/>
  <c r="H3278" i="5"/>
  <c r="G3278" i="5" a="1"/>
  <c r="G3278" i="5"/>
  <c r="F3278" i="5"/>
  <c r="J3277" i="5"/>
  <c r="H3277" i="5" a="1"/>
  <c r="H3277" i="5"/>
  <c r="G3277" i="5" a="1"/>
  <c r="G3277" i="5"/>
  <c r="F3277" i="5"/>
  <c r="J3276" i="5"/>
  <c r="H3276" i="5" a="1"/>
  <c r="H3276" i="5"/>
  <c r="G3276" i="5" a="1"/>
  <c r="G3276" i="5"/>
  <c r="F3276" i="5"/>
  <c r="J3275" i="5"/>
  <c r="H3275" i="5" a="1"/>
  <c r="H3275" i="5"/>
  <c r="G3275" i="5" a="1"/>
  <c r="G3275" i="5"/>
  <c r="F3275" i="5"/>
  <c r="J3274" i="5"/>
  <c r="H3274" i="5" a="1"/>
  <c r="H3274" i="5"/>
  <c r="G3274" i="5" a="1"/>
  <c r="G3274" i="5"/>
  <c r="F3274" i="5"/>
  <c r="J3273" i="5"/>
  <c r="H3273" i="5" a="1"/>
  <c r="H3273" i="5"/>
  <c r="G3273" i="5" a="1"/>
  <c r="G3273" i="5"/>
  <c r="F3273" i="5"/>
  <c r="J3272" i="5"/>
  <c r="H3272" i="5" a="1"/>
  <c r="H3272" i="5"/>
  <c r="G3272" i="5" a="1"/>
  <c r="G3272" i="5"/>
  <c r="F3272" i="5"/>
  <c r="J3271" i="5"/>
  <c r="H3271" i="5" a="1"/>
  <c r="H3271" i="5"/>
  <c r="G3271" i="5" a="1"/>
  <c r="G3271" i="5"/>
  <c r="F3271" i="5"/>
  <c r="J3270" i="5"/>
  <c r="H3270" i="5" a="1"/>
  <c r="H3270" i="5"/>
  <c r="G3270" i="5" a="1"/>
  <c r="G3270" i="5"/>
  <c r="F3270" i="5"/>
  <c r="J3269" i="5"/>
  <c r="H3269" i="5" a="1"/>
  <c r="H3269" i="5"/>
  <c r="G3269" i="5" a="1"/>
  <c r="G3269" i="5"/>
  <c r="F3269" i="5"/>
  <c r="J3268" i="5"/>
  <c r="H3268" i="5" a="1"/>
  <c r="H3268" i="5"/>
  <c r="G3268" i="5" a="1"/>
  <c r="G3268" i="5"/>
  <c r="F3268" i="5"/>
  <c r="J3267" i="5"/>
  <c r="H3267" i="5" a="1"/>
  <c r="H3267" i="5"/>
  <c r="G3267" i="5" a="1"/>
  <c r="G3267" i="5"/>
  <c r="F3267" i="5"/>
  <c r="J3266" i="5"/>
  <c r="H3266" i="5" a="1"/>
  <c r="H3266" i="5"/>
  <c r="G3266" i="5" a="1"/>
  <c r="G3266" i="5"/>
  <c r="F3266" i="5"/>
  <c r="J3265" i="5"/>
  <c r="H3265" i="5" a="1"/>
  <c r="H3265" i="5"/>
  <c r="G3265" i="5" a="1"/>
  <c r="G3265" i="5"/>
  <c r="F3265" i="5"/>
  <c r="J3264" i="5"/>
  <c r="H3264" i="5" a="1"/>
  <c r="H3264" i="5"/>
  <c r="G3264" i="5" a="1"/>
  <c r="G3264" i="5"/>
  <c r="F3264" i="5"/>
  <c r="J3263" i="5"/>
  <c r="H3263" i="5" a="1"/>
  <c r="H3263" i="5"/>
  <c r="G3263" i="5" a="1"/>
  <c r="G3263" i="5"/>
  <c r="F3263" i="5"/>
  <c r="J3262" i="5"/>
  <c r="H3262" i="5" a="1"/>
  <c r="H3262" i="5"/>
  <c r="G3262" i="5" a="1"/>
  <c r="G3262" i="5"/>
  <c r="F3262" i="5"/>
  <c r="J3261" i="5"/>
  <c r="H3261" i="5" a="1"/>
  <c r="H3261" i="5"/>
  <c r="G3261" i="5" a="1"/>
  <c r="G3261" i="5"/>
  <c r="F3261" i="5"/>
  <c r="J3260" i="5"/>
  <c r="H3260" i="5" a="1"/>
  <c r="H3260" i="5"/>
  <c r="G3260" i="5" a="1"/>
  <c r="G3260" i="5"/>
  <c r="F3260" i="5"/>
  <c r="J3259" i="5"/>
  <c r="H3259" i="5" a="1"/>
  <c r="H3259" i="5"/>
  <c r="G3259" i="5" a="1"/>
  <c r="G3259" i="5"/>
  <c r="F3259" i="5"/>
  <c r="J3258" i="5"/>
  <c r="H3258" i="5" a="1"/>
  <c r="H3258" i="5"/>
  <c r="G3258" i="5" a="1"/>
  <c r="G3258" i="5"/>
  <c r="F3258" i="5"/>
  <c r="J3257" i="5"/>
  <c r="H3257" i="5" a="1"/>
  <c r="H3257" i="5"/>
  <c r="G3257" i="5" a="1"/>
  <c r="G3257" i="5"/>
  <c r="F3257" i="5"/>
  <c r="J3256" i="5"/>
  <c r="H3256" i="5" a="1"/>
  <c r="H3256" i="5"/>
  <c r="G3256" i="5" a="1"/>
  <c r="G3256" i="5"/>
  <c r="F3256" i="5"/>
  <c r="J3255" i="5"/>
  <c r="H3255" i="5" a="1"/>
  <c r="H3255" i="5"/>
  <c r="G3255" i="5" a="1"/>
  <c r="G3255" i="5"/>
  <c r="F3255" i="5"/>
  <c r="J3254" i="5"/>
  <c r="H3254" i="5" a="1"/>
  <c r="H3254" i="5"/>
  <c r="G3254" i="5" a="1"/>
  <c r="G3254" i="5"/>
  <c r="F3254" i="5"/>
  <c r="J3253" i="5"/>
  <c r="H3253" i="5" a="1"/>
  <c r="H3253" i="5"/>
  <c r="G3253" i="5" a="1"/>
  <c r="G3253" i="5"/>
  <c r="F3253" i="5"/>
  <c r="J3252" i="5"/>
  <c r="H3252" i="5" a="1"/>
  <c r="H3252" i="5"/>
  <c r="G3252" i="5" a="1"/>
  <c r="G3252" i="5"/>
  <c r="F3252" i="5"/>
  <c r="J3251" i="5"/>
  <c r="H3251" i="5" a="1"/>
  <c r="H3251" i="5"/>
  <c r="G3251" i="5" a="1"/>
  <c r="G3251" i="5"/>
  <c r="F3251" i="5"/>
  <c r="J3250" i="5"/>
  <c r="H3250" i="5" a="1"/>
  <c r="H3250" i="5"/>
  <c r="G3250" i="5" a="1"/>
  <c r="G3250" i="5"/>
  <c r="F3250" i="5"/>
  <c r="J3249" i="5"/>
  <c r="H3249" i="5" a="1"/>
  <c r="H3249" i="5"/>
  <c r="G3249" i="5" a="1"/>
  <c r="G3249" i="5"/>
  <c r="F3249" i="5"/>
  <c r="J3248" i="5"/>
  <c r="H3248" i="5" a="1"/>
  <c r="H3248" i="5"/>
  <c r="G3248" i="5" a="1"/>
  <c r="G3248" i="5"/>
  <c r="F3248" i="5"/>
  <c r="J3247" i="5"/>
  <c r="H3247" i="5" a="1"/>
  <c r="H3247" i="5"/>
  <c r="G3247" i="5" a="1"/>
  <c r="G3247" i="5"/>
  <c r="F3247" i="5"/>
  <c r="J3246" i="5"/>
  <c r="H3246" i="5" a="1"/>
  <c r="H3246" i="5"/>
  <c r="G3246" i="5" a="1"/>
  <c r="G3246" i="5"/>
  <c r="F3246" i="5"/>
  <c r="J3245" i="5"/>
  <c r="H3245" i="5" a="1"/>
  <c r="H3245" i="5"/>
  <c r="G3245" i="5" a="1"/>
  <c r="G3245" i="5"/>
  <c r="F3245" i="5"/>
  <c r="J3244" i="5"/>
  <c r="H3244" i="5" a="1"/>
  <c r="H3244" i="5"/>
  <c r="G3244" i="5" a="1"/>
  <c r="G3244" i="5"/>
  <c r="F3244" i="5"/>
  <c r="J3243" i="5"/>
  <c r="H3243" i="5" a="1"/>
  <c r="H3243" i="5"/>
  <c r="G3243" i="5" a="1"/>
  <c r="G3243" i="5"/>
  <c r="F3243" i="5"/>
  <c r="J3242" i="5"/>
  <c r="H3242" i="5" a="1"/>
  <c r="H3242" i="5"/>
  <c r="G3242" i="5" a="1"/>
  <c r="G3242" i="5"/>
  <c r="F3242" i="5"/>
  <c r="J3241" i="5"/>
  <c r="H3241" i="5" a="1"/>
  <c r="H3241" i="5"/>
  <c r="G3241" i="5" a="1"/>
  <c r="G3241" i="5"/>
  <c r="F3241" i="5"/>
  <c r="J3240" i="5"/>
  <c r="H3240" i="5" a="1"/>
  <c r="H3240" i="5"/>
  <c r="G3240" i="5" a="1"/>
  <c r="G3240" i="5"/>
  <c r="F3240" i="5"/>
  <c r="J3239" i="5"/>
  <c r="H3239" i="5" a="1"/>
  <c r="H3239" i="5"/>
  <c r="G3239" i="5" a="1"/>
  <c r="G3239" i="5"/>
  <c r="F3239" i="5"/>
  <c r="J3238" i="5"/>
  <c r="H3238" i="5" a="1"/>
  <c r="H3238" i="5"/>
  <c r="G3238" i="5" a="1"/>
  <c r="G3238" i="5"/>
  <c r="F3238" i="5"/>
  <c r="J3237" i="5"/>
  <c r="H3237" i="5" a="1"/>
  <c r="H3237" i="5"/>
  <c r="G3237" i="5" a="1"/>
  <c r="G3237" i="5"/>
  <c r="F3237" i="5"/>
  <c r="J3236" i="5"/>
  <c r="H3236" i="5" a="1"/>
  <c r="H3236" i="5"/>
  <c r="G3236" i="5" a="1"/>
  <c r="G3236" i="5"/>
  <c r="F3236" i="5"/>
  <c r="J3235" i="5"/>
  <c r="H3235" i="5" a="1"/>
  <c r="H3235" i="5"/>
  <c r="G3235" i="5" a="1"/>
  <c r="G3235" i="5"/>
  <c r="F3235" i="5"/>
  <c r="J3234" i="5"/>
  <c r="H3234" i="5" a="1"/>
  <c r="H3234" i="5"/>
  <c r="G3234" i="5" a="1"/>
  <c r="G3234" i="5"/>
  <c r="F3234" i="5"/>
  <c r="J3233" i="5"/>
  <c r="H3233" i="5" a="1"/>
  <c r="H3233" i="5"/>
  <c r="G3233" i="5" a="1"/>
  <c r="G3233" i="5"/>
  <c r="F3233" i="5"/>
  <c r="J3232" i="5"/>
  <c r="H3232" i="5" a="1"/>
  <c r="H3232" i="5"/>
  <c r="G3232" i="5" a="1"/>
  <c r="G3232" i="5"/>
  <c r="F3232" i="5"/>
  <c r="J3231" i="5"/>
  <c r="H3231" i="5" a="1"/>
  <c r="H3231" i="5"/>
  <c r="G3231" i="5" a="1"/>
  <c r="G3231" i="5"/>
  <c r="F3231" i="5"/>
  <c r="J3230" i="5"/>
  <c r="H3230" i="5" a="1"/>
  <c r="H3230" i="5"/>
  <c r="G3230" i="5" a="1"/>
  <c r="G3230" i="5"/>
  <c r="F3230" i="5"/>
  <c r="J3229" i="5"/>
  <c r="H3229" i="5" a="1"/>
  <c r="H3229" i="5"/>
  <c r="G3229" i="5" a="1"/>
  <c r="G3229" i="5"/>
  <c r="F3229" i="5"/>
  <c r="J3228" i="5"/>
  <c r="H3228" i="5" a="1"/>
  <c r="H3228" i="5"/>
  <c r="G3228" i="5" a="1"/>
  <c r="G3228" i="5"/>
  <c r="F3228" i="5"/>
  <c r="J3227" i="5"/>
  <c r="H3227" i="5" a="1"/>
  <c r="H3227" i="5"/>
  <c r="G3227" i="5" a="1"/>
  <c r="G3227" i="5"/>
  <c r="F3227" i="5"/>
  <c r="J3226" i="5"/>
  <c r="H3226" i="5" a="1"/>
  <c r="H3226" i="5"/>
  <c r="G3226" i="5" a="1"/>
  <c r="G3226" i="5"/>
  <c r="F3226" i="5"/>
  <c r="J3225" i="5"/>
  <c r="H3225" i="5" a="1"/>
  <c r="H3225" i="5"/>
  <c r="G3225" i="5" a="1"/>
  <c r="G3225" i="5"/>
  <c r="F3225" i="5"/>
  <c r="J3224" i="5"/>
  <c r="H3224" i="5" a="1"/>
  <c r="H3224" i="5"/>
  <c r="G3224" i="5" a="1"/>
  <c r="G3224" i="5"/>
  <c r="F3224" i="5"/>
  <c r="J3223" i="5"/>
  <c r="H3223" i="5" a="1"/>
  <c r="H3223" i="5"/>
  <c r="G3223" i="5" a="1"/>
  <c r="G3223" i="5"/>
  <c r="F3223" i="5"/>
  <c r="J3222" i="5"/>
  <c r="H3222" i="5" a="1"/>
  <c r="H3222" i="5"/>
  <c r="G3222" i="5" a="1"/>
  <c r="G3222" i="5"/>
  <c r="F3222" i="5"/>
  <c r="J3221" i="5"/>
  <c r="H3221" i="5" a="1"/>
  <c r="H3221" i="5"/>
  <c r="G3221" i="5" a="1"/>
  <c r="G3221" i="5"/>
  <c r="F3221" i="5"/>
  <c r="J3220" i="5"/>
  <c r="H3220" i="5" a="1"/>
  <c r="H3220" i="5"/>
  <c r="G3220" i="5" a="1"/>
  <c r="G3220" i="5"/>
  <c r="F3220" i="5"/>
  <c r="J3219" i="5"/>
  <c r="H3219" i="5" a="1"/>
  <c r="H3219" i="5"/>
  <c r="G3219" i="5" a="1"/>
  <c r="G3219" i="5"/>
  <c r="F3219" i="5"/>
  <c r="J3218" i="5"/>
  <c r="H3218" i="5" a="1"/>
  <c r="H3218" i="5"/>
  <c r="G3218" i="5" a="1"/>
  <c r="G3218" i="5"/>
  <c r="F3218" i="5"/>
  <c r="J3217" i="5"/>
  <c r="H3217" i="5" a="1"/>
  <c r="H3217" i="5"/>
  <c r="G3217" i="5" a="1"/>
  <c r="G3217" i="5"/>
  <c r="F3217" i="5"/>
  <c r="J3216" i="5"/>
  <c r="H3216" i="5" a="1"/>
  <c r="H3216" i="5"/>
  <c r="G3216" i="5" a="1"/>
  <c r="G3216" i="5"/>
  <c r="F3216" i="5"/>
  <c r="J3215" i="5"/>
  <c r="H3215" i="5" a="1"/>
  <c r="H3215" i="5"/>
  <c r="G3215" i="5" a="1"/>
  <c r="G3215" i="5"/>
  <c r="F3215" i="5"/>
  <c r="J3214" i="5"/>
  <c r="H3214" i="5" a="1"/>
  <c r="H3214" i="5"/>
  <c r="G3214" i="5" a="1"/>
  <c r="G3214" i="5"/>
  <c r="F3214" i="5"/>
  <c r="J3213" i="5"/>
  <c r="H3213" i="5" a="1"/>
  <c r="H3213" i="5"/>
  <c r="G3213" i="5" a="1"/>
  <c r="G3213" i="5"/>
  <c r="F3213" i="5"/>
  <c r="J3212" i="5"/>
  <c r="H3212" i="5" a="1"/>
  <c r="H3212" i="5"/>
  <c r="G3212" i="5" a="1"/>
  <c r="G3212" i="5"/>
  <c r="F3212" i="5"/>
  <c r="J3211" i="5"/>
  <c r="H3211" i="5" a="1"/>
  <c r="H3211" i="5"/>
  <c r="G3211" i="5" a="1"/>
  <c r="G3211" i="5"/>
  <c r="F3211" i="5"/>
  <c r="J3210" i="5"/>
  <c r="H3210" i="5" a="1"/>
  <c r="H3210" i="5"/>
  <c r="G3210" i="5" a="1"/>
  <c r="G3210" i="5"/>
  <c r="F3210" i="5"/>
  <c r="J3209" i="5"/>
  <c r="H3209" i="5" a="1"/>
  <c r="H3209" i="5"/>
  <c r="G3209" i="5" a="1"/>
  <c r="G3209" i="5"/>
  <c r="F3209" i="5"/>
  <c r="J3208" i="5"/>
  <c r="H3208" i="5" a="1"/>
  <c r="H3208" i="5"/>
  <c r="G3208" i="5" a="1"/>
  <c r="G3208" i="5"/>
  <c r="F3208" i="5"/>
  <c r="J3207" i="5"/>
  <c r="H3207" i="5" a="1"/>
  <c r="H3207" i="5"/>
  <c r="G3207" i="5" a="1"/>
  <c r="G3207" i="5"/>
  <c r="F3207" i="5"/>
  <c r="J3206" i="5"/>
  <c r="H3206" i="5" a="1"/>
  <c r="H3206" i="5"/>
  <c r="G3206" i="5" a="1"/>
  <c r="G3206" i="5"/>
  <c r="F3206" i="5"/>
  <c r="J3205" i="5"/>
  <c r="H3205" i="5" a="1"/>
  <c r="H3205" i="5"/>
  <c r="G3205" i="5" a="1"/>
  <c r="G3205" i="5"/>
  <c r="F3205" i="5"/>
  <c r="J3204" i="5"/>
  <c r="H3204" i="5" a="1"/>
  <c r="H3204" i="5"/>
  <c r="G3204" i="5" a="1"/>
  <c r="G3204" i="5"/>
  <c r="F3204" i="5"/>
  <c r="J3203" i="5"/>
  <c r="H3203" i="5" a="1"/>
  <c r="H3203" i="5"/>
  <c r="G3203" i="5" a="1"/>
  <c r="G3203" i="5"/>
  <c r="F3203" i="5"/>
  <c r="J3202" i="5"/>
  <c r="H3202" i="5" a="1"/>
  <c r="H3202" i="5"/>
  <c r="G3202" i="5" a="1"/>
  <c r="G3202" i="5"/>
  <c r="F3202" i="5"/>
  <c r="J3201" i="5"/>
  <c r="H3201" i="5" a="1"/>
  <c r="H3201" i="5"/>
  <c r="G3201" i="5" a="1"/>
  <c r="G3201" i="5"/>
  <c r="F3201" i="5"/>
  <c r="J3200" i="5"/>
  <c r="H3200" i="5" a="1"/>
  <c r="H3200" i="5"/>
  <c r="G3200" i="5" a="1"/>
  <c r="G3200" i="5"/>
  <c r="F3200" i="5"/>
  <c r="J3199" i="5"/>
  <c r="H3199" i="5" a="1"/>
  <c r="H3199" i="5"/>
  <c r="G3199" i="5" a="1"/>
  <c r="G3199" i="5"/>
  <c r="F3199" i="5"/>
  <c r="J3198" i="5"/>
  <c r="H3198" i="5" a="1"/>
  <c r="H3198" i="5"/>
  <c r="G3198" i="5" a="1"/>
  <c r="G3198" i="5"/>
  <c r="F3198" i="5"/>
  <c r="J3197" i="5"/>
  <c r="H3197" i="5" a="1"/>
  <c r="H3197" i="5"/>
  <c r="G3197" i="5" a="1"/>
  <c r="G3197" i="5"/>
  <c r="F3197" i="5"/>
  <c r="J3196" i="5"/>
  <c r="H3196" i="5" a="1"/>
  <c r="H3196" i="5"/>
  <c r="G3196" i="5" a="1"/>
  <c r="G3196" i="5"/>
  <c r="F3196" i="5"/>
  <c r="J3195" i="5"/>
  <c r="H3195" i="5" a="1"/>
  <c r="H3195" i="5"/>
  <c r="G3195" i="5" a="1"/>
  <c r="G3195" i="5"/>
  <c r="F3195" i="5"/>
  <c r="J3194" i="5"/>
  <c r="H3194" i="5" a="1"/>
  <c r="H3194" i="5"/>
  <c r="G3194" i="5" a="1"/>
  <c r="G3194" i="5"/>
  <c r="F3194" i="5"/>
  <c r="J3193" i="5"/>
  <c r="H3193" i="5" a="1"/>
  <c r="H3193" i="5"/>
  <c r="G3193" i="5" a="1"/>
  <c r="G3193" i="5"/>
  <c r="F3193" i="5"/>
  <c r="J3192" i="5"/>
  <c r="H3192" i="5" a="1"/>
  <c r="H3192" i="5"/>
  <c r="G3192" i="5" a="1"/>
  <c r="G3192" i="5"/>
  <c r="F3192" i="5"/>
  <c r="J3191" i="5"/>
  <c r="H3191" i="5" a="1"/>
  <c r="H3191" i="5"/>
  <c r="G3191" i="5" a="1"/>
  <c r="G3191" i="5"/>
  <c r="F3191" i="5"/>
  <c r="J3190" i="5"/>
  <c r="H3190" i="5" a="1"/>
  <c r="H3190" i="5"/>
  <c r="G3190" i="5" a="1"/>
  <c r="G3190" i="5"/>
  <c r="F3190" i="5"/>
  <c r="J3189" i="5"/>
  <c r="H3189" i="5" a="1"/>
  <c r="H3189" i="5"/>
  <c r="G3189" i="5" a="1"/>
  <c r="G3189" i="5"/>
  <c r="F3189" i="5"/>
  <c r="J3188" i="5"/>
  <c r="H3188" i="5" a="1"/>
  <c r="H3188" i="5"/>
  <c r="G3188" i="5" a="1"/>
  <c r="G3188" i="5"/>
  <c r="F3188" i="5"/>
  <c r="J3187" i="5"/>
  <c r="H3187" i="5" a="1"/>
  <c r="H3187" i="5"/>
  <c r="G3187" i="5" a="1"/>
  <c r="G3187" i="5"/>
  <c r="F3187" i="5"/>
  <c r="J3186" i="5"/>
  <c r="H3186" i="5" a="1"/>
  <c r="H3186" i="5"/>
  <c r="G3186" i="5" a="1"/>
  <c r="G3186" i="5"/>
  <c r="F3186" i="5"/>
  <c r="J3185" i="5"/>
  <c r="H3185" i="5" a="1"/>
  <c r="H3185" i="5"/>
  <c r="G3185" i="5" a="1"/>
  <c r="G3185" i="5"/>
  <c r="F3185" i="5"/>
  <c r="J3184" i="5"/>
  <c r="H3184" i="5" a="1"/>
  <c r="H3184" i="5"/>
  <c r="G3184" i="5" a="1"/>
  <c r="G3184" i="5"/>
  <c r="F3184" i="5"/>
  <c r="J3183" i="5"/>
  <c r="H3183" i="5" a="1"/>
  <c r="H3183" i="5"/>
  <c r="G3183" i="5" a="1"/>
  <c r="G3183" i="5"/>
  <c r="F3183" i="5"/>
  <c r="J3182" i="5"/>
  <c r="H3182" i="5" a="1"/>
  <c r="H3182" i="5"/>
  <c r="G3182" i="5" a="1"/>
  <c r="G3182" i="5"/>
  <c r="F3182" i="5"/>
  <c r="J3181" i="5"/>
  <c r="H3181" i="5" a="1"/>
  <c r="H3181" i="5"/>
  <c r="G3181" i="5" a="1"/>
  <c r="G3181" i="5"/>
  <c r="F3181" i="5"/>
  <c r="J3180" i="5"/>
  <c r="H3180" i="5" a="1"/>
  <c r="H3180" i="5"/>
  <c r="G3180" i="5" a="1"/>
  <c r="G3180" i="5"/>
  <c r="F3180" i="5"/>
  <c r="J3179" i="5"/>
  <c r="H3179" i="5" a="1"/>
  <c r="H3179" i="5"/>
  <c r="G3179" i="5" a="1"/>
  <c r="G3179" i="5"/>
  <c r="F3179" i="5"/>
  <c r="J3178" i="5"/>
  <c r="H3178" i="5" a="1"/>
  <c r="H3178" i="5"/>
  <c r="G3178" i="5" a="1"/>
  <c r="G3178" i="5"/>
  <c r="F3178" i="5"/>
  <c r="J3177" i="5"/>
  <c r="H3177" i="5" a="1"/>
  <c r="H3177" i="5"/>
  <c r="G3177" i="5" a="1"/>
  <c r="G3177" i="5"/>
  <c r="F3177" i="5"/>
  <c r="J3176" i="5"/>
  <c r="H3176" i="5" a="1"/>
  <c r="H3176" i="5"/>
  <c r="G3176" i="5" a="1"/>
  <c r="G3176" i="5"/>
  <c r="F3176" i="5"/>
  <c r="J3175" i="5"/>
  <c r="H3175" i="5" a="1"/>
  <c r="H3175" i="5"/>
  <c r="G3175" i="5" a="1"/>
  <c r="G3175" i="5"/>
  <c r="F3175" i="5"/>
  <c r="J3174" i="5"/>
  <c r="H3174" i="5" a="1"/>
  <c r="H3174" i="5"/>
  <c r="G3174" i="5" a="1"/>
  <c r="G3174" i="5"/>
  <c r="F3174" i="5"/>
  <c r="J3173" i="5"/>
  <c r="H3173" i="5" a="1"/>
  <c r="H3173" i="5"/>
  <c r="G3173" i="5" a="1"/>
  <c r="G3173" i="5"/>
  <c r="F3173" i="5"/>
  <c r="J3172" i="5"/>
  <c r="H3172" i="5" a="1"/>
  <c r="H3172" i="5"/>
  <c r="G3172" i="5" a="1"/>
  <c r="G3172" i="5"/>
  <c r="F3172" i="5"/>
  <c r="J3171" i="5"/>
  <c r="H3171" i="5" a="1"/>
  <c r="H3171" i="5"/>
  <c r="G3171" i="5" a="1"/>
  <c r="G3171" i="5"/>
  <c r="F3171" i="5"/>
  <c r="J3170" i="5"/>
  <c r="H3170" i="5" a="1"/>
  <c r="H3170" i="5"/>
  <c r="G3170" i="5" a="1"/>
  <c r="G3170" i="5"/>
  <c r="F3170" i="5"/>
  <c r="J3169" i="5"/>
  <c r="H3169" i="5" a="1"/>
  <c r="H3169" i="5"/>
  <c r="G3169" i="5" a="1"/>
  <c r="G3169" i="5"/>
  <c r="F3169" i="5"/>
  <c r="J3168" i="5"/>
  <c r="H3168" i="5" a="1"/>
  <c r="H3168" i="5"/>
  <c r="G3168" i="5" a="1"/>
  <c r="G3168" i="5"/>
  <c r="F3168" i="5"/>
  <c r="J3167" i="5"/>
  <c r="H3167" i="5" a="1"/>
  <c r="H3167" i="5"/>
  <c r="G3167" i="5" a="1"/>
  <c r="G3167" i="5"/>
  <c r="F3167" i="5"/>
  <c r="J3166" i="5"/>
  <c r="H3166" i="5" a="1"/>
  <c r="H3166" i="5"/>
  <c r="G3166" i="5" a="1"/>
  <c r="G3166" i="5"/>
  <c r="F3166" i="5"/>
  <c r="J3165" i="5"/>
  <c r="H3165" i="5" a="1"/>
  <c r="H3165" i="5"/>
  <c r="G3165" i="5" a="1"/>
  <c r="G3165" i="5"/>
  <c r="F3165" i="5"/>
  <c r="J3164" i="5"/>
  <c r="H3164" i="5" a="1"/>
  <c r="H3164" i="5"/>
  <c r="G3164" i="5" a="1"/>
  <c r="G3164" i="5"/>
  <c r="F3164" i="5"/>
  <c r="J3163" i="5"/>
  <c r="H3163" i="5" a="1"/>
  <c r="H3163" i="5"/>
  <c r="G3163" i="5" a="1"/>
  <c r="G3163" i="5"/>
  <c r="F3163" i="5"/>
  <c r="J3162" i="5"/>
  <c r="H3162" i="5" a="1"/>
  <c r="H3162" i="5"/>
  <c r="G3162" i="5" a="1"/>
  <c r="G3162" i="5"/>
  <c r="F3162" i="5"/>
  <c r="J3161" i="5"/>
  <c r="H3161" i="5" a="1"/>
  <c r="H3161" i="5"/>
  <c r="G3161" i="5" a="1"/>
  <c r="G3161" i="5"/>
  <c r="F3161" i="5"/>
  <c r="J3160" i="5"/>
  <c r="H3160" i="5" a="1"/>
  <c r="H3160" i="5"/>
  <c r="G3160" i="5" a="1"/>
  <c r="G3160" i="5"/>
  <c r="F3160" i="5"/>
  <c r="J3159" i="5"/>
  <c r="H3159" i="5" a="1"/>
  <c r="H3159" i="5"/>
  <c r="G3159" i="5" a="1"/>
  <c r="G3159" i="5"/>
  <c r="F3159" i="5"/>
  <c r="J3158" i="5"/>
  <c r="H3158" i="5" a="1"/>
  <c r="H3158" i="5"/>
  <c r="G3158" i="5" a="1"/>
  <c r="G3158" i="5"/>
  <c r="F3158" i="5"/>
  <c r="J3157" i="5"/>
  <c r="H3157" i="5" a="1"/>
  <c r="H3157" i="5"/>
  <c r="G3157" i="5" a="1"/>
  <c r="G3157" i="5"/>
  <c r="F3157" i="5"/>
  <c r="J3156" i="5"/>
  <c r="H3156" i="5" a="1"/>
  <c r="H3156" i="5"/>
  <c r="G3156" i="5" a="1"/>
  <c r="G3156" i="5"/>
  <c r="F3156" i="5"/>
  <c r="J3155" i="5"/>
  <c r="H3155" i="5" a="1"/>
  <c r="H3155" i="5"/>
  <c r="G3155" i="5" a="1"/>
  <c r="G3155" i="5"/>
  <c r="F3155" i="5"/>
  <c r="J3154" i="5"/>
  <c r="H3154" i="5" a="1"/>
  <c r="H3154" i="5"/>
  <c r="G3154" i="5" a="1"/>
  <c r="G3154" i="5"/>
  <c r="F3154" i="5"/>
  <c r="J3153" i="5"/>
  <c r="H3153" i="5" a="1"/>
  <c r="H3153" i="5"/>
  <c r="G3153" i="5" a="1"/>
  <c r="G3153" i="5"/>
  <c r="F3153" i="5"/>
  <c r="J3152" i="5"/>
  <c r="H3152" i="5" a="1"/>
  <c r="H3152" i="5"/>
  <c r="G3152" i="5" a="1"/>
  <c r="G3152" i="5"/>
  <c r="F3152" i="5"/>
  <c r="J3151" i="5"/>
  <c r="H3151" i="5" a="1"/>
  <c r="H3151" i="5"/>
  <c r="G3151" i="5" a="1"/>
  <c r="G3151" i="5"/>
  <c r="F3151" i="5"/>
  <c r="J3150" i="5"/>
  <c r="H3150" i="5" a="1"/>
  <c r="H3150" i="5"/>
  <c r="G3150" i="5" a="1"/>
  <c r="G3150" i="5"/>
  <c r="F3150" i="5"/>
  <c r="J3149" i="5"/>
  <c r="H3149" i="5" a="1"/>
  <c r="H3149" i="5"/>
  <c r="G3149" i="5" a="1"/>
  <c r="G3149" i="5"/>
  <c r="F3149" i="5"/>
  <c r="J3148" i="5"/>
  <c r="H3148" i="5" a="1"/>
  <c r="H3148" i="5"/>
  <c r="G3148" i="5" a="1"/>
  <c r="G3148" i="5"/>
  <c r="F3148" i="5"/>
  <c r="J3147" i="5"/>
  <c r="H3147" i="5" a="1"/>
  <c r="H3147" i="5"/>
  <c r="G3147" i="5" a="1"/>
  <c r="G3147" i="5"/>
  <c r="F3147" i="5"/>
  <c r="J3146" i="5"/>
  <c r="H3146" i="5" a="1"/>
  <c r="H3146" i="5"/>
  <c r="G3146" i="5" a="1"/>
  <c r="G3146" i="5"/>
  <c r="F3146" i="5"/>
  <c r="J3145" i="5"/>
  <c r="H3145" i="5" a="1"/>
  <c r="H3145" i="5"/>
  <c r="G3145" i="5" a="1"/>
  <c r="G3145" i="5"/>
  <c r="F3145" i="5"/>
  <c r="J3144" i="5"/>
  <c r="H3144" i="5" a="1"/>
  <c r="H3144" i="5"/>
  <c r="G3144" i="5" a="1"/>
  <c r="G3144" i="5"/>
  <c r="F3144" i="5"/>
  <c r="J3143" i="5"/>
  <c r="H3143" i="5" a="1"/>
  <c r="H3143" i="5"/>
  <c r="G3143" i="5" a="1"/>
  <c r="G3143" i="5"/>
  <c r="F3143" i="5"/>
  <c r="J3142" i="5"/>
  <c r="H3142" i="5" a="1"/>
  <c r="H3142" i="5"/>
  <c r="G3142" i="5" a="1"/>
  <c r="G3142" i="5"/>
  <c r="F3142" i="5"/>
  <c r="J3141" i="5"/>
  <c r="H3141" i="5" a="1"/>
  <c r="H3141" i="5"/>
  <c r="G3141" i="5" a="1"/>
  <c r="G3141" i="5"/>
  <c r="F3141" i="5"/>
  <c r="J3140" i="5"/>
  <c r="H3140" i="5" a="1"/>
  <c r="H3140" i="5"/>
  <c r="G3140" i="5" a="1"/>
  <c r="G3140" i="5"/>
  <c r="F3140" i="5"/>
  <c r="J3139" i="5"/>
  <c r="H3139" i="5" a="1"/>
  <c r="H3139" i="5"/>
  <c r="G3139" i="5" a="1"/>
  <c r="G3139" i="5"/>
  <c r="F3139" i="5"/>
  <c r="J3138" i="5"/>
  <c r="H3138" i="5" a="1"/>
  <c r="H3138" i="5"/>
  <c r="G3138" i="5" a="1"/>
  <c r="G3138" i="5"/>
  <c r="F3138" i="5"/>
  <c r="J3137" i="5"/>
  <c r="H3137" i="5" a="1"/>
  <c r="H3137" i="5"/>
  <c r="G3137" i="5" a="1"/>
  <c r="G3137" i="5"/>
  <c r="F3137" i="5"/>
  <c r="J3136" i="5"/>
  <c r="H3136" i="5" a="1"/>
  <c r="H3136" i="5"/>
  <c r="G3136" i="5" a="1"/>
  <c r="G3136" i="5"/>
  <c r="F3136" i="5"/>
  <c r="J3135" i="5"/>
  <c r="H3135" i="5" a="1"/>
  <c r="H3135" i="5"/>
  <c r="G3135" i="5" a="1"/>
  <c r="G3135" i="5"/>
  <c r="F3135" i="5"/>
  <c r="J3134" i="5"/>
  <c r="H3134" i="5" a="1"/>
  <c r="H3134" i="5"/>
  <c r="G3134" i="5" a="1"/>
  <c r="G3134" i="5"/>
  <c r="F3134" i="5"/>
  <c r="J3133" i="5"/>
  <c r="H3133" i="5" a="1"/>
  <c r="H3133" i="5"/>
  <c r="G3133" i="5" a="1"/>
  <c r="G3133" i="5"/>
  <c r="F3133" i="5"/>
  <c r="J3132" i="5"/>
  <c r="H3132" i="5" a="1"/>
  <c r="H3132" i="5"/>
  <c r="G3132" i="5" a="1"/>
  <c r="G3132" i="5"/>
  <c r="F3132" i="5"/>
  <c r="J3131" i="5"/>
  <c r="H3131" i="5" a="1"/>
  <c r="H3131" i="5"/>
  <c r="G3131" i="5" a="1"/>
  <c r="G3131" i="5"/>
  <c r="F3131" i="5"/>
  <c r="J3130" i="5"/>
  <c r="H3130" i="5" a="1"/>
  <c r="H3130" i="5"/>
  <c r="G3130" i="5" a="1"/>
  <c r="G3130" i="5"/>
  <c r="F3130" i="5"/>
  <c r="J3129" i="5"/>
  <c r="H3129" i="5" a="1"/>
  <c r="H3129" i="5"/>
  <c r="G3129" i="5" a="1"/>
  <c r="G3129" i="5"/>
  <c r="F3129" i="5"/>
  <c r="J3128" i="5"/>
  <c r="H3128" i="5" a="1"/>
  <c r="H3128" i="5"/>
  <c r="G3128" i="5" a="1"/>
  <c r="G3128" i="5"/>
  <c r="F3128" i="5"/>
  <c r="J3127" i="5"/>
  <c r="H3127" i="5" a="1"/>
  <c r="H3127" i="5"/>
  <c r="G3127" i="5" a="1"/>
  <c r="G3127" i="5"/>
  <c r="F3127" i="5"/>
  <c r="J3126" i="5"/>
  <c r="H3126" i="5" a="1"/>
  <c r="H3126" i="5"/>
  <c r="G3126" i="5" a="1"/>
  <c r="G3126" i="5"/>
  <c r="F3126" i="5"/>
  <c r="J3125" i="5"/>
  <c r="H3125" i="5" a="1"/>
  <c r="H3125" i="5"/>
  <c r="G3125" i="5" a="1"/>
  <c r="G3125" i="5"/>
  <c r="F3125" i="5"/>
  <c r="J3124" i="5"/>
  <c r="H3124" i="5" a="1"/>
  <c r="H3124" i="5"/>
  <c r="G3124" i="5" a="1"/>
  <c r="G3124" i="5"/>
  <c r="F3124" i="5"/>
  <c r="J3123" i="5"/>
  <c r="H3123" i="5" a="1"/>
  <c r="H3123" i="5"/>
  <c r="G3123" i="5" a="1"/>
  <c r="G3123" i="5"/>
  <c r="F3123" i="5"/>
  <c r="J3122" i="5"/>
  <c r="H3122" i="5" a="1"/>
  <c r="H3122" i="5"/>
  <c r="G3122" i="5" a="1"/>
  <c r="G3122" i="5"/>
  <c r="F3122" i="5"/>
  <c r="J3121" i="5"/>
  <c r="H3121" i="5" a="1"/>
  <c r="H3121" i="5"/>
  <c r="G3121" i="5" a="1"/>
  <c r="G3121" i="5"/>
  <c r="F3121" i="5"/>
  <c r="J3120" i="5"/>
  <c r="H3120" i="5" a="1"/>
  <c r="H3120" i="5"/>
  <c r="G3120" i="5" a="1"/>
  <c r="G3120" i="5"/>
  <c r="F3120" i="5"/>
  <c r="J3119" i="5"/>
  <c r="H3119" i="5" a="1"/>
  <c r="H3119" i="5"/>
  <c r="G3119" i="5" a="1"/>
  <c r="G3119" i="5"/>
  <c r="F3119" i="5"/>
  <c r="J3118" i="5"/>
  <c r="H3118" i="5" a="1"/>
  <c r="H3118" i="5"/>
  <c r="G3118" i="5" a="1"/>
  <c r="G3118" i="5"/>
  <c r="F3118" i="5"/>
  <c r="J3117" i="5"/>
  <c r="H3117" i="5" a="1"/>
  <c r="H3117" i="5"/>
  <c r="G3117" i="5" a="1"/>
  <c r="G3117" i="5"/>
  <c r="F3117" i="5"/>
  <c r="J3116" i="5"/>
  <c r="H3116" i="5" a="1"/>
  <c r="H3116" i="5"/>
  <c r="G3116" i="5" a="1"/>
  <c r="G3116" i="5"/>
  <c r="F3116" i="5"/>
  <c r="J3115" i="5"/>
  <c r="H3115" i="5" a="1"/>
  <c r="H3115" i="5"/>
  <c r="G3115" i="5" a="1"/>
  <c r="G3115" i="5"/>
  <c r="F3115" i="5"/>
  <c r="J3114" i="5"/>
  <c r="H3114" i="5" a="1"/>
  <c r="H3114" i="5"/>
  <c r="G3114" i="5" a="1"/>
  <c r="G3114" i="5"/>
  <c r="F3114" i="5"/>
  <c r="J3113" i="5"/>
  <c r="H3113" i="5" a="1"/>
  <c r="H3113" i="5"/>
  <c r="G3113" i="5" a="1"/>
  <c r="G3113" i="5"/>
  <c r="F3113" i="5"/>
  <c r="J3112" i="5"/>
  <c r="H3112" i="5" a="1"/>
  <c r="H3112" i="5"/>
  <c r="G3112" i="5" a="1"/>
  <c r="G3112" i="5"/>
  <c r="F3112" i="5"/>
  <c r="J3111" i="5"/>
  <c r="H3111" i="5" a="1"/>
  <c r="H3111" i="5"/>
  <c r="G3111" i="5" a="1"/>
  <c r="G3111" i="5"/>
  <c r="F3111" i="5"/>
  <c r="J3110" i="5"/>
  <c r="H3110" i="5" a="1"/>
  <c r="H3110" i="5"/>
  <c r="G3110" i="5" a="1"/>
  <c r="G3110" i="5"/>
  <c r="F3110" i="5"/>
  <c r="J3109" i="5"/>
  <c r="H3109" i="5" a="1"/>
  <c r="H3109" i="5"/>
  <c r="G3109" i="5" a="1"/>
  <c r="G3109" i="5"/>
  <c r="F3109" i="5"/>
  <c r="J3108" i="5"/>
  <c r="H3108" i="5" a="1"/>
  <c r="H3108" i="5"/>
  <c r="G3108" i="5" a="1"/>
  <c r="G3108" i="5"/>
  <c r="F3108" i="5"/>
  <c r="J3107" i="5"/>
  <c r="H3107" i="5" a="1"/>
  <c r="H3107" i="5"/>
  <c r="G3107" i="5" a="1"/>
  <c r="G3107" i="5"/>
  <c r="F3107" i="5"/>
  <c r="J3106" i="5"/>
  <c r="H3106" i="5" a="1"/>
  <c r="H3106" i="5"/>
  <c r="G3106" i="5" a="1"/>
  <c r="G3106" i="5"/>
  <c r="F3106" i="5"/>
  <c r="J3105" i="5"/>
  <c r="H3105" i="5" a="1"/>
  <c r="H3105" i="5"/>
  <c r="G3105" i="5" a="1"/>
  <c r="G3105" i="5"/>
  <c r="F3105" i="5"/>
  <c r="J3104" i="5"/>
  <c r="H3104" i="5" a="1"/>
  <c r="H3104" i="5"/>
  <c r="G3104" i="5" a="1"/>
  <c r="G3104" i="5"/>
  <c r="F3104" i="5"/>
  <c r="J3103" i="5"/>
  <c r="H3103" i="5" a="1"/>
  <c r="H3103" i="5"/>
  <c r="G3103" i="5" a="1"/>
  <c r="G3103" i="5"/>
  <c r="F3103" i="5"/>
  <c r="J3102" i="5"/>
  <c r="H3102" i="5" a="1"/>
  <c r="H3102" i="5"/>
  <c r="G3102" i="5" a="1"/>
  <c r="G3102" i="5"/>
  <c r="F3102" i="5"/>
  <c r="J3101" i="5"/>
  <c r="H3101" i="5" a="1"/>
  <c r="H3101" i="5"/>
  <c r="G3101" i="5" a="1"/>
  <c r="G3101" i="5"/>
  <c r="F3101" i="5"/>
  <c r="J3100" i="5"/>
  <c r="H3100" i="5" a="1"/>
  <c r="H3100" i="5"/>
  <c r="G3100" i="5" a="1"/>
  <c r="G3100" i="5"/>
  <c r="F3100" i="5"/>
  <c r="J3099" i="5"/>
  <c r="H3099" i="5" a="1"/>
  <c r="H3099" i="5"/>
  <c r="G3099" i="5" a="1"/>
  <c r="G3099" i="5"/>
  <c r="F3099" i="5"/>
  <c r="J3098" i="5"/>
  <c r="H3098" i="5" a="1"/>
  <c r="H3098" i="5"/>
  <c r="G3098" i="5" a="1"/>
  <c r="G3098" i="5"/>
  <c r="F3098" i="5"/>
  <c r="J3097" i="5"/>
  <c r="H3097" i="5" a="1"/>
  <c r="H3097" i="5"/>
  <c r="G3097" i="5" a="1"/>
  <c r="G3097" i="5"/>
  <c r="F3097" i="5"/>
  <c r="J3096" i="5"/>
  <c r="H3096" i="5" a="1"/>
  <c r="H3096" i="5"/>
  <c r="G3096" i="5" a="1"/>
  <c r="G3096" i="5"/>
  <c r="F3096" i="5"/>
  <c r="J3095" i="5"/>
  <c r="H3095" i="5" a="1"/>
  <c r="H3095" i="5"/>
  <c r="G3095" i="5" a="1"/>
  <c r="G3095" i="5"/>
  <c r="F3095" i="5"/>
  <c r="J3094" i="5"/>
  <c r="H3094" i="5" a="1"/>
  <c r="H3094" i="5"/>
  <c r="G3094" i="5" a="1"/>
  <c r="G3094" i="5"/>
  <c r="F3094" i="5"/>
  <c r="J3093" i="5"/>
  <c r="H3093" i="5" a="1"/>
  <c r="H3093" i="5"/>
  <c r="G3093" i="5" a="1"/>
  <c r="G3093" i="5"/>
  <c r="F3093" i="5"/>
  <c r="J3092" i="5"/>
  <c r="H3092" i="5" a="1"/>
  <c r="H3092" i="5"/>
  <c r="G3092" i="5" a="1"/>
  <c r="G3092" i="5"/>
  <c r="F3092" i="5"/>
  <c r="J3091" i="5"/>
  <c r="H3091" i="5" a="1"/>
  <c r="H3091" i="5"/>
  <c r="G3091" i="5" a="1"/>
  <c r="G3091" i="5"/>
  <c r="F3091" i="5"/>
  <c r="J3090" i="5"/>
  <c r="H3090" i="5" a="1"/>
  <c r="H3090" i="5"/>
  <c r="G3090" i="5" a="1"/>
  <c r="G3090" i="5"/>
  <c r="F3090" i="5"/>
  <c r="J3089" i="5"/>
  <c r="H3089" i="5" a="1"/>
  <c r="H3089" i="5"/>
  <c r="G3089" i="5" a="1"/>
  <c r="G3089" i="5"/>
  <c r="F3089" i="5"/>
  <c r="J3088" i="5"/>
  <c r="H3088" i="5" a="1"/>
  <c r="H3088" i="5"/>
  <c r="G3088" i="5" a="1"/>
  <c r="G3088" i="5"/>
  <c r="F3088" i="5"/>
  <c r="J3087" i="5"/>
  <c r="H3087" i="5" a="1"/>
  <c r="H3087" i="5"/>
  <c r="G3087" i="5" a="1"/>
  <c r="G3087" i="5"/>
  <c r="F3087" i="5"/>
  <c r="J3086" i="5"/>
  <c r="H3086" i="5" a="1"/>
  <c r="H3086" i="5"/>
  <c r="G3086" i="5" a="1"/>
  <c r="G3086" i="5"/>
  <c r="F3086" i="5"/>
  <c r="J3085" i="5"/>
  <c r="H3085" i="5" a="1"/>
  <c r="H3085" i="5"/>
  <c r="G3085" i="5" a="1"/>
  <c r="G3085" i="5"/>
  <c r="F3085" i="5"/>
  <c r="J3084" i="5"/>
  <c r="H3084" i="5" a="1"/>
  <c r="H3084" i="5"/>
  <c r="G3084" i="5" a="1"/>
  <c r="G3084" i="5"/>
  <c r="F3084" i="5"/>
  <c r="J3083" i="5"/>
  <c r="H3083" i="5" a="1"/>
  <c r="H3083" i="5"/>
  <c r="G3083" i="5" a="1"/>
  <c r="G3083" i="5"/>
  <c r="F3083" i="5"/>
  <c r="J3082" i="5"/>
  <c r="H3082" i="5" a="1"/>
  <c r="H3082" i="5"/>
  <c r="G3082" i="5" a="1"/>
  <c r="G3082" i="5"/>
  <c r="F3082" i="5"/>
  <c r="J3081" i="5"/>
  <c r="H3081" i="5" a="1"/>
  <c r="H3081" i="5"/>
  <c r="G3081" i="5" a="1"/>
  <c r="G3081" i="5"/>
  <c r="F3081" i="5"/>
  <c r="J3080" i="5"/>
  <c r="H3080" i="5" a="1"/>
  <c r="H3080" i="5"/>
  <c r="G3080" i="5" a="1"/>
  <c r="G3080" i="5"/>
  <c r="F3080" i="5"/>
  <c r="J3079" i="5"/>
  <c r="H3079" i="5" a="1"/>
  <c r="H3079" i="5"/>
  <c r="G3079" i="5" a="1"/>
  <c r="G3079" i="5"/>
  <c r="F3079" i="5"/>
  <c r="J3078" i="5"/>
  <c r="H3078" i="5" a="1"/>
  <c r="H3078" i="5"/>
  <c r="G3078" i="5" a="1"/>
  <c r="G3078" i="5"/>
  <c r="F3078" i="5"/>
  <c r="J3077" i="5"/>
  <c r="H3077" i="5" a="1"/>
  <c r="H3077" i="5"/>
  <c r="G3077" i="5" a="1"/>
  <c r="G3077" i="5"/>
  <c r="F3077" i="5"/>
  <c r="J3076" i="5"/>
  <c r="H3076" i="5" a="1"/>
  <c r="H3076" i="5"/>
  <c r="G3076" i="5" a="1"/>
  <c r="G3076" i="5"/>
  <c r="F3076" i="5"/>
  <c r="J3075" i="5"/>
  <c r="H3075" i="5" a="1"/>
  <c r="H3075" i="5"/>
  <c r="G3075" i="5" a="1"/>
  <c r="G3075" i="5"/>
  <c r="F3075" i="5"/>
  <c r="J3074" i="5"/>
  <c r="H3074" i="5" a="1"/>
  <c r="H3074" i="5"/>
  <c r="G3074" i="5" a="1"/>
  <c r="G3074" i="5"/>
  <c r="F3074" i="5"/>
  <c r="J3073" i="5"/>
  <c r="H3073" i="5" a="1"/>
  <c r="H3073" i="5"/>
  <c r="G3073" i="5" a="1"/>
  <c r="G3073" i="5"/>
  <c r="F3073" i="5"/>
  <c r="J3072" i="5"/>
  <c r="H3072" i="5" a="1"/>
  <c r="H3072" i="5"/>
  <c r="G3072" i="5" a="1"/>
  <c r="G3072" i="5"/>
  <c r="F3072" i="5"/>
  <c r="J3071" i="5"/>
  <c r="H3071" i="5" a="1"/>
  <c r="H3071" i="5"/>
  <c r="G3071" i="5" a="1"/>
  <c r="G3071" i="5"/>
  <c r="F3071" i="5"/>
  <c r="J3070" i="5"/>
  <c r="H3070" i="5" a="1"/>
  <c r="H3070" i="5"/>
  <c r="G3070" i="5" a="1"/>
  <c r="G3070" i="5"/>
  <c r="F3070" i="5"/>
  <c r="J3069" i="5"/>
  <c r="H3069" i="5" a="1"/>
  <c r="H3069" i="5"/>
  <c r="G3069" i="5" a="1"/>
  <c r="G3069" i="5"/>
  <c r="F3069" i="5"/>
  <c r="J3068" i="5"/>
  <c r="H3068" i="5" a="1"/>
  <c r="H3068" i="5"/>
  <c r="G3068" i="5" a="1"/>
  <c r="G3068" i="5"/>
  <c r="F3068" i="5"/>
  <c r="J3067" i="5"/>
  <c r="H3067" i="5" a="1"/>
  <c r="H3067" i="5"/>
  <c r="G3067" i="5" a="1"/>
  <c r="G3067" i="5"/>
  <c r="F3067" i="5"/>
  <c r="J3066" i="5"/>
  <c r="H3066" i="5" a="1"/>
  <c r="H3066" i="5"/>
  <c r="G3066" i="5" a="1"/>
  <c r="G3066" i="5"/>
  <c r="F3066" i="5"/>
  <c r="J3065" i="5"/>
  <c r="H3065" i="5" a="1"/>
  <c r="H3065" i="5"/>
  <c r="G3065" i="5" a="1"/>
  <c r="G3065" i="5"/>
  <c r="F3065" i="5"/>
  <c r="J3064" i="5"/>
  <c r="H3064" i="5" a="1"/>
  <c r="H3064" i="5"/>
  <c r="G3064" i="5" a="1"/>
  <c r="G3064" i="5"/>
  <c r="F3064" i="5"/>
  <c r="J3063" i="5"/>
  <c r="H3063" i="5" a="1"/>
  <c r="H3063" i="5"/>
  <c r="G3063" i="5" a="1"/>
  <c r="G3063" i="5"/>
  <c r="F3063" i="5"/>
  <c r="J3062" i="5"/>
  <c r="H3062" i="5" a="1"/>
  <c r="H3062" i="5"/>
  <c r="G3062" i="5" a="1"/>
  <c r="G3062" i="5"/>
  <c r="F3062" i="5"/>
  <c r="J3061" i="5"/>
  <c r="H3061" i="5" a="1"/>
  <c r="H3061" i="5"/>
  <c r="G3061" i="5" a="1"/>
  <c r="G3061" i="5"/>
  <c r="F3061" i="5"/>
  <c r="J3060" i="5"/>
  <c r="H3060" i="5" a="1"/>
  <c r="H3060" i="5"/>
  <c r="G3060" i="5" a="1"/>
  <c r="G3060" i="5"/>
  <c r="F3060" i="5"/>
  <c r="J3059" i="5"/>
  <c r="H3059" i="5" a="1"/>
  <c r="H3059" i="5"/>
  <c r="G3059" i="5" a="1"/>
  <c r="G3059" i="5"/>
  <c r="F3059" i="5"/>
  <c r="J3058" i="5"/>
  <c r="H3058" i="5" a="1"/>
  <c r="H3058" i="5"/>
  <c r="G3058" i="5" a="1"/>
  <c r="G3058" i="5"/>
  <c r="F3058" i="5"/>
  <c r="J3057" i="5"/>
  <c r="H3057" i="5" a="1"/>
  <c r="H3057" i="5"/>
  <c r="G3057" i="5" a="1"/>
  <c r="G3057" i="5"/>
  <c r="F3057" i="5"/>
  <c r="J3056" i="5"/>
  <c r="H3056" i="5" a="1"/>
  <c r="H3056" i="5"/>
  <c r="G3056" i="5" a="1"/>
  <c r="G3056" i="5"/>
  <c r="F3056" i="5"/>
  <c r="J3055" i="5"/>
  <c r="H3055" i="5" a="1"/>
  <c r="H3055" i="5"/>
  <c r="G3055" i="5" a="1"/>
  <c r="G3055" i="5"/>
  <c r="F3055" i="5"/>
  <c r="J3054" i="5"/>
  <c r="G3054" i="5" a="1"/>
  <c r="G3054" i="5"/>
  <c r="F3054" i="5"/>
  <c r="J3053" i="5"/>
  <c r="H3053" i="5" a="1"/>
  <c r="H3053" i="5"/>
  <c r="G3053" i="5" a="1"/>
  <c r="G3053" i="5"/>
  <c r="F3053" i="5"/>
  <c r="J3052" i="5"/>
  <c r="H3052" i="5" a="1"/>
  <c r="H3052" i="5"/>
  <c r="G3052" i="5" a="1"/>
  <c r="G3052" i="5"/>
  <c r="F3052" i="5"/>
  <c r="J3051" i="5"/>
  <c r="H3051" i="5" a="1"/>
  <c r="H3051" i="5"/>
  <c r="G3051" i="5" a="1"/>
  <c r="G3051" i="5"/>
  <c r="F3051" i="5"/>
  <c r="J3050" i="5"/>
  <c r="H3050" i="5" a="1"/>
  <c r="H3050" i="5"/>
  <c r="G3050" i="5" a="1"/>
  <c r="G3050" i="5"/>
  <c r="F3050" i="5"/>
  <c r="J3049" i="5"/>
  <c r="H3049" i="5" a="1"/>
  <c r="H3049" i="5"/>
  <c r="G3049" i="5" a="1"/>
  <c r="G3049" i="5"/>
  <c r="F3049" i="5"/>
  <c r="J3048" i="5"/>
  <c r="H3048" i="5" a="1"/>
  <c r="H3048" i="5"/>
  <c r="G3048" i="5" a="1"/>
  <c r="G3048" i="5"/>
  <c r="F3048" i="5"/>
  <c r="J3047" i="5"/>
  <c r="H3047" i="5" a="1"/>
  <c r="H3047" i="5"/>
  <c r="G3047" i="5" a="1"/>
  <c r="G3047" i="5"/>
  <c r="F3047" i="5"/>
  <c r="J3046" i="5"/>
  <c r="H3046" i="5" a="1"/>
  <c r="H3046" i="5"/>
  <c r="G3046" i="5" a="1"/>
  <c r="G3046" i="5"/>
  <c r="F3046" i="5"/>
  <c r="J3045" i="5"/>
  <c r="H3045" i="5" a="1"/>
  <c r="H3045" i="5"/>
  <c r="G3045" i="5" a="1"/>
  <c r="G3045" i="5"/>
  <c r="F3045" i="5"/>
  <c r="J3044" i="5"/>
  <c r="H3044" i="5" a="1"/>
  <c r="H3044" i="5"/>
  <c r="G3044" i="5" a="1"/>
  <c r="G3044" i="5"/>
  <c r="F3044" i="5"/>
  <c r="J3043" i="5"/>
  <c r="H3043" i="5" a="1"/>
  <c r="H3043" i="5"/>
  <c r="G3043" i="5" a="1"/>
  <c r="G3043" i="5"/>
  <c r="F3043" i="5"/>
  <c r="J3042" i="5"/>
  <c r="H3042" i="5" a="1"/>
  <c r="H3042" i="5"/>
  <c r="G3042" i="5" a="1"/>
  <c r="G3042" i="5"/>
  <c r="F3042" i="5"/>
  <c r="J3041" i="5"/>
  <c r="H3041" i="5" a="1"/>
  <c r="H3041" i="5"/>
  <c r="G3041" i="5" a="1"/>
  <c r="G3041" i="5"/>
  <c r="F3041" i="5"/>
  <c r="J3040" i="5"/>
  <c r="H3040" i="5" a="1"/>
  <c r="H3040" i="5"/>
  <c r="G3040" i="5" a="1"/>
  <c r="G3040" i="5"/>
  <c r="F3040" i="5"/>
  <c r="J3039" i="5"/>
  <c r="H3039" i="5" a="1"/>
  <c r="H3039" i="5"/>
  <c r="G3039" i="5" a="1"/>
  <c r="G3039" i="5"/>
  <c r="F3039" i="5"/>
  <c r="J3038" i="5"/>
  <c r="H3038" i="5" a="1"/>
  <c r="H3038" i="5"/>
  <c r="G3038" i="5" a="1"/>
  <c r="G3038" i="5"/>
  <c r="F3038" i="5"/>
  <c r="J3037" i="5"/>
  <c r="H3037" i="5" a="1"/>
  <c r="H3037" i="5"/>
  <c r="G3037" i="5" a="1"/>
  <c r="G3037" i="5"/>
  <c r="F3037" i="5"/>
  <c r="J3036" i="5"/>
  <c r="H3036" i="5" a="1"/>
  <c r="H3036" i="5"/>
  <c r="G3036" i="5" a="1"/>
  <c r="G3036" i="5"/>
  <c r="F3036" i="5"/>
  <c r="J3035" i="5"/>
  <c r="H3035" i="5" a="1"/>
  <c r="H3035" i="5"/>
  <c r="G3035" i="5" a="1"/>
  <c r="G3035" i="5"/>
  <c r="F3035" i="5"/>
  <c r="J3034" i="5"/>
  <c r="H3034" i="5" a="1"/>
  <c r="H3034" i="5"/>
  <c r="G3034" i="5" a="1"/>
  <c r="G3034" i="5"/>
  <c r="F3034" i="5"/>
  <c r="J3033" i="5"/>
  <c r="H3033" i="5" a="1"/>
  <c r="H3033" i="5"/>
  <c r="G3033" i="5" a="1"/>
  <c r="G3033" i="5"/>
  <c r="F3033" i="5"/>
  <c r="J3032" i="5"/>
  <c r="H3032" i="5" a="1"/>
  <c r="H3032" i="5"/>
  <c r="G3032" i="5" a="1"/>
  <c r="G3032" i="5"/>
  <c r="F3032" i="5"/>
  <c r="J3031" i="5"/>
  <c r="H3031" i="5" a="1"/>
  <c r="H3031" i="5"/>
  <c r="G3031" i="5" a="1"/>
  <c r="G3031" i="5"/>
  <c r="F3031" i="5"/>
  <c r="J3030" i="5"/>
  <c r="H3030" i="5" a="1"/>
  <c r="H3030" i="5"/>
  <c r="G3030" i="5" a="1"/>
  <c r="G3030" i="5"/>
  <c r="F3030" i="5"/>
  <c r="J3029" i="5"/>
  <c r="H3029" i="5" a="1"/>
  <c r="H3029" i="5"/>
  <c r="G3029" i="5" a="1"/>
  <c r="G3029" i="5"/>
  <c r="F3029" i="5"/>
  <c r="J3028" i="5"/>
  <c r="H3028" i="5" a="1"/>
  <c r="H3028" i="5"/>
  <c r="G3028" i="5" a="1"/>
  <c r="G3028" i="5"/>
  <c r="F3028" i="5"/>
  <c r="J3027" i="5"/>
  <c r="H3027" i="5" a="1"/>
  <c r="H3027" i="5"/>
  <c r="G3027" i="5" a="1"/>
  <c r="G3027" i="5"/>
  <c r="F3027" i="5"/>
  <c r="J3026" i="5"/>
  <c r="H3026" i="5" a="1"/>
  <c r="H3026" i="5"/>
  <c r="G3026" i="5" a="1"/>
  <c r="G3026" i="5"/>
  <c r="F3026" i="5"/>
  <c r="J3025" i="5"/>
  <c r="H3025" i="5" a="1"/>
  <c r="H3025" i="5"/>
  <c r="G3025" i="5" a="1"/>
  <c r="G3025" i="5"/>
  <c r="F3025" i="5"/>
  <c r="J3024" i="5"/>
  <c r="H3024" i="5" a="1"/>
  <c r="H3024" i="5"/>
  <c r="G3024" i="5" a="1"/>
  <c r="G3024" i="5"/>
  <c r="F3024" i="5"/>
  <c r="J3023" i="5"/>
  <c r="H3023" i="5" a="1"/>
  <c r="H3023" i="5"/>
  <c r="G3023" i="5" a="1"/>
  <c r="G3023" i="5"/>
  <c r="F3023" i="5"/>
  <c r="J3022" i="5"/>
  <c r="H3022" i="5" a="1"/>
  <c r="H3022" i="5"/>
  <c r="G3022" i="5" a="1"/>
  <c r="G3022" i="5"/>
  <c r="F3022" i="5"/>
  <c r="J3021" i="5"/>
  <c r="H3021" i="5" a="1"/>
  <c r="H3021" i="5"/>
  <c r="G3021" i="5" a="1"/>
  <c r="G3021" i="5"/>
  <c r="F3021" i="5"/>
  <c r="J3020" i="5"/>
  <c r="H3020" i="5" a="1"/>
  <c r="H3020" i="5"/>
  <c r="G3020" i="5" a="1"/>
  <c r="G3020" i="5"/>
  <c r="F3020" i="5"/>
  <c r="J3019" i="5"/>
  <c r="H3019" i="5" a="1"/>
  <c r="H3019" i="5"/>
  <c r="G3019" i="5" a="1"/>
  <c r="G3019" i="5"/>
  <c r="F3019" i="5"/>
  <c r="J3018" i="5"/>
  <c r="H3018" i="5" a="1"/>
  <c r="H3018" i="5"/>
  <c r="G3018" i="5" a="1"/>
  <c r="G3018" i="5"/>
  <c r="F3018" i="5"/>
  <c r="J3017" i="5"/>
  <c r="H3017" i="5" a="1"/>
  <c r="H3017" i="5"/>
  <c r="G3017" i="5" a="1"/>
  <c r="G3017" i="5"/>
  <c r="F3017" i="5"/>
  <c r="J3016" i="5"/>
  <c r="H3016" i="5" a="1"/>
  <c r="H3016" i="5"/>
  <c r="G3016" i="5" a="1"/>
  <c r="G3016" i="5"/>
  <c r="F3016" i="5"/>
  <c r="J3015" i="5"/>
  <c r="H3015" i="5" a="1"/>
  <c r="H3015" i="5"/>
  <c r="G3015" i="5" a="1"/>
  <c r="G3015" i="5"/>
  <c r="F3015" i="5"/>
  <c r="J3014" i="5"/>
  <c r="H3014" i="5" a="1"/>
  <c r="H3014" i="5"/>
  <c r="G3014" i="5" a="1"/>
  <c r="G3014" i="5"/>
  <c r="F3014" i="5"/>
  <c r="J3013" i="5"/>
  <c r="H3013" i="5" a="1"/>
  <c r="H3013" i="5"/>
  <c r="G3013" i="5" a="1"/>
  <c r="G3013" i="5"/>
  <c r="F3013" i="5"/>
  <c r="J3012" i="5"/>
  <c r="H3012" i="5" a="1"/>
  <c r="H3012" i="5"/>
  <c r="G3012" i="5" a="1"/>
  <c r="G3012" i="5"/>
  <c r="F3012" i="5"/>
  <c r="J3011" i="5"/>
  <c r="H3011" i="5" a="1"/>
  <c r="H3011" i="5"/>
  <c r="G3011" i="5" a="1"/>
  <c r="G3011" i="5"/>
  <c r="F3011" i="5"/>
  <c r="J3010" i="5"/>
  <c r="H3010" i="5" a="1"/>
  <c r="H3010" i="5"/>
  <c r="G3010" i="5" a="1"/>
  <c r="G3010" i="5"/>
  <c r="F3010" i="5"/>
  <c r="J3009" i="5"/>
  <c r="H3009" i="5" a="1"/>
  <c r="H3009" i="5"/>
  <c r="G3009" i="5" a="1"/>
  <c r="G3009" i="5"/>
  <c r="F3009" i="5"/>
  <c r="J3008" i="5"/>
  <c r="H3008" i="5" a="1"/>
  <c r="H3008" i="5"/>
  <c r="G3008" i="5" a="1"/>
  <c r="G3008" i="5"/>
  <c r="F3008" i="5"/>
  <c r="J3007" i="5"/>
  <c r="H3007" i="5" a="1"/>
  <c r="H3007" i="5"/>
  <c r="G3007" i="5" a="1"/>
  <c r="G3007" i="5"/>
  <c r="F3007" i="5"/>
  <c r="J3006" i="5"/>
  <c r="H3006" i="5" a="1"/>
  <c r="H3006" i="5"/>
  <c r="G3006" i="5" a="1"/>
  <c r="G3006" i="5"/>
  <c r="F3006" i="5"/>
  <c r="J3005" i="5"/>
  <c r="H3005" i="5" a="1"/>
  <c r="H3005" i="5"/>
  <c r="G3005" i="5" a="1"/>
  <c r="G3005" i="5"/>
  <c r="F3005" i="5"/>
  <c r="J3004" i="5"/>
  <c r="H3004" i="5" a="1"/>
  <c r="H3004" i="5"/>
  <c r="G3004" i="5" a="1"/>
  <c r="G3004" i="5"/>
  <c r="F3004" i="5"/>
  <c r="J3003" i="5"/>
  <c r="H3003" i="5" a="1"/>
  <c r="H3003" i="5"/>
  <c r="G3003" i="5" a="1"/>
  <c r="G3003" i="5"/>
  <c r="F3003" i="5"/>
  <c r="J3002" i="5"/>
  <c r="H3002" i="5" a="1"/>
  <c r="H3002" i="5"/>
  <c r="G3002" i="5" a="1"/>
  <c r="G3002" i="5"/>
  <c r="F3002" i="5"/>
  <c r="J3001" i="5"/>
  <c r="H3001" i="5" a="1"/>
  <c r="H3001" i="5"/>
  <c r="G3001" i="5" a="1"/>
  <c r="G3001" i="5"/>
  <c r="F3001" i="5"/>
  <c r="J3000" i="5"/>
  <c r="H3000" i="5" a="1"/>
  <c r="H3000" i="5"/>
  <c r="G3000" i="5" a="1"/>
  <c r="G3000" i="5"/>
  <c r="F3000" i="5"/>
  <c r="J2999" i="5"/>
  <c r="H2999" i="5" a="1"/>
  <c r="H2999" i="5"/>
  <c r="G2999" i="5" a="1"/>
  <c r="G2999" i="5"/>
  <c r="F2999" i="5"/>
  <c r="J2998" i="5"/>
  <c r="H2998" i="5" a="1"/>
  <c r="H2998" i="5"/>
  <c r="G2998" i="5" a="1"/>
  <c r="G2998" i="5"/>
  <c r="F2998" i="5"/>
  <c r="J2997" i="5"/>
  <c r="H2997" i="5" a="1"/>
  <c r="H2997" i="5"/>
  <c r="G2997" i="5" a="1"/>
  <c r="G2997" i="5"/>
  <c r="F2997" i="5"/>
  <c r="J2996" i="5"/>
  <c r="H2996" i="5" a="1"/>
  <c r="H2996" i="5"/>
  <c r="G2996" i="5" a="1"/>
  <c r="G2996" i="5"/>
  <c r="F2996" i="5"/>
  <c r="J2995" i="5"/>
  <c r="H2995" i="5" a="1"/>
  <c r="H2995" i="5"/>
  <c r="G2995" i="5" a="1"/>
  <c r="G2995" i="5"/>
  <c r="F2995" i="5"/>
  <c r="J2994" i="5"/>
  <c r="H2994" i="5" a="1"/>
  <c r="H2994" i="5"/>
  <c r="G2994" i="5" a="1"/>
  <c r="G2994" i="5"/>
  <c r="F2994" i="5"/>
  <c r="J2993" i="5"/>
  <c r="H2993" i="5" a="1"/>
  <c r="H2993" i="5"/>
  <c r="G2993" i="5" a="1"/>
  <c r="G2993" i="5"/>
  <c r="F2993" i="5"/>
  <c r="J2992" i="5"/>
  <c r="H2992" i="5" a="1"/>
  <c r="H2992" i="5"/>
  <c r="G2992" i="5" a="1"/>
  <c r="G2992" i="5"/>
  <c r="F2992" i="5"/>
  <c r="J2991" i="5"/>
  <c r="H2991" i="5" a="1"/>
  <c r="H2991" i="5"/>
  <c r="G2991" i="5" a="1"/>
  <c r="G2991" i="5"/>
  <c r="F2991" i="5"/>
  <c r="J2990" i="5"/>
  <c r="H2990" i="5" a="1"/>
  <c r="H2990" i="5"/>
  <c r="G2990" i="5" a="1"/>
  <c r="G2990" i="5"/>
  <c r="F2990" i="5"/>
  <c r="J2989" i="5"/>
  <c r="H2989" i="5" a="1"/>
  <c r="H2989" i="5"/>
  <c r="G2989" i="5" a="1"/>
  <c r="G2989" i="5"/>
  <c r="F2989" i="5"/>
  <c r="J2988" i="5"/>
  <c r="H2988" i="5" a="1"/>
  <c r="H2988" i="5"/>
  <c r="G2988" i="5" a="1"/>
  <c r="G2988" i="5"/>
  <c r="F2988" i="5"/>
  <c r="J2987" i="5"/>
  <c r="H2987" i="5" a="1"/>
  <c r="H2987" i="5"/>
  <c r="G2987" i="5" a="1"/>
  <c r="G2987" i="5"/>
  <c r="F2987" i="5"/>
  <c r="J2986" i="5"/>
  <c r="H2986" i="5" a="1"/>
  <c r="H2986" i="5"/>
  <c r="G2986" i="5" a="1"/>
  <c r="G2986" i="5"/>
  <c r="F2986" i="5"/>
  <c r="J2985" i="5"/>
  <c r="H2985" i="5" a="1"/>
  <c r="H2985" i="5"/>
  <c r="G2985" i="5" a="1"/>
  <c r="G2985" i="5"/>
  <c r="F2985" i="5"/>
  <c r="J2984" i="5"/>
  <c r="H2984" i="5" a="1"/>
  <c r="H2984" i="5"/>
  <c r="G2984" i="5" a="1"/>
  <c r="G2984" i="5"/>
  <c r="F2984" i="5"/>
  <c r="J2983" i="5"/>
  <c r="H2983" i="5" a="1"/>
  <c r="H2983" i="5"/>
  <c r="G2983" i="5" a="1"/>
  <c r="G2983" i="5"/>
  <c r="F2983" i="5"/>
  <c r="J2982" i="5"/>
  <c r="H2982" i="5" a="1"/>
  <c r="H2982" i="5"/>
  <c r="G2982" i="5" a="1"/>
  <c r="G2982" i="5"/>
  <c r="F2982" i="5"/>
  <c r="J2981" i="5"/>
  <c r="H2981" i="5" a="1"/>
  <c r="H2981" i="5"/>
  <c r="G2981" i="5" a="1"/>
  <c r="G2981" i="5"/>
  <c r="F2981" i="5"/>
  <c r="J2980" i="5"/>
  <c r="H2980" i="5" a="1"/>
  <c r="H2980" i="5"/>
  <c r="G2980" i="5" a="1"/>
  <c r="G2980" i="5"/>
  <c r="F2980" i="5"/>
  <c r="J2979" i="5"/>
  <c r="H2979" i="5" a="1"/>
  <c r="H2979" i="5"/>
  <c r="G2979" i="5" a="1"/>
  <c r="G2979" i="5"/>
  <c r="F2979" i="5"/>
  <c r="J2978" i="5"/>
  <c r="H2978" i="5" a="1"/>
  <c r="H2978" i="5"/>
  <c r="G2978" i="5" a="1"/>
  <c r="G2978" i="5"/>
  <c r="F2978" i="5"/>
  <c r="J2977" i="5"/>
  <c r="H2977" i="5" a="1"/>
  <c r="H2977" i="5"/>
  <c r="G2977" i="5" a="1"/>
  <c r="G2977" i="5"/>
  <c r="F2977" i="5"/>
  <c r="J2976" i="5"/>
  <c r="H2976" i="5" a="1"/>
  <c r="H2976" i="5"/>
  <c r="G2976" i="5" a="1"/>
  <c r="G2976" i="5"/>
  <c r="F2976" i="5"/>
  <c r="J2975" i="5"/>
  <c r="H2975" i="5" a="1"/>
  <c r="H2975" i="5"/>
  <c r="G2975" i="5" a="1"/>
  <c r="G2975" i="5"/>
  <c r="F2975" i="5"/>
  <c r="J2974" i="5"/>
  <c r="H2974" i="5" a="1"/>
  <c r="H2974" i="5"/>
  <c r="G2974" i="5" a="1"/>
  <c r="G2974" i="5"/>
  <c r="F2974" i="5"/>
  <c r="J2973" i="5"/>
  <c r="H2973" i="5" a="1"/>
  <c r="H2973" i="5"/>
  <c r="G2973" i="5" a="1"/>
  <c r="G2973" i="5"/>
  <c r="F2973" i="5"/>
  <c r="J2972" i="5"/>
  <c r="H2972" i="5" a="1"/>
  <c r="H2972" i="5"/>
  <c r="G2972" i="5" a="1"/>
  <c r="G2972" i="5"/>
  <c r="F2972" i="5"/>
  <c r="J2971" i="5"/>
  <c r="H2971" i="5" a="1"/>
  <c r="H2971" i="5"/>
  <c r="G2971" i="5" a="1"/>
  <c r="G2971" i="5"/>
  <c r="F2971" i="5"/>
  <c r="J2970" i="5"/>
  <c r="H2970" i="5" a="1"/>
  <c r="H2970" i="5"/>
  <c r="G2970" i="5" a="1"/>
  <c r="G2970" i="5"/>
  <c r="F2970" i="5"/>
  <c r="J2969" i="5"/>
  <c r="H2969" i="5" a="1"/>
  <c r="H2969" i="5"/>
  <c r="G2969" i="5" a="1"/>
  <c r="G2969" i="5"/>
  <c r="F2969" i="5"/>
  <c r="J2968" i="5"/>
  <c r="H2968" i="5" a="1"/>
  <c r="H2968" i="5"/>
  <c r="G2968" i="5" a="1"/>
  <c r="G2968" i="5"/>
  <c r="F2968" i="5"/>
  <c r="J2967" i="5"/>
  <c r="H2967" i="5" a="1"/>
  <c r="H2967" i="5"/>
  <c r="G2967" i="5" a="1"/>
  <c r="G2967" i="5"/>
  <c r="F2967" i="5"/>
  <c r="J2966" i="5"/>
  <c r="H2966" i="5" a="1"/>
  <c r="H2966" i="5"/>
  <c r="G2966" i="5" a="1"/>
  <c r="G2966" i="5"/>
  <c r="F2966" i="5"/>
  <c r="J2965" i="5"/>
  <c r="H2965" i="5" a="1"/>
  <c r="H2965" i="5"/>
  <c r="G2965" i="5" a="1"/>
  <c r="G2965" i="5"/>
  <c r="F2965" i="5"/>
  <c r="J2964" i="5"/>
  <c r="H2964" i="5" a="1"/>
  <c r="H2964" i="5"/>
  <c r="G2964" i="5" a="1"/>
  <c r="G2964" i="5"/>
  <c r="F2964" i="5"/>
  <c r="J2963" i="5"/>
  <c r="H2963" i="5" a="1"/>
  <c r="H2963" i="5"/>
  <c r="G2963" i="5" a="1"/>
  <c r="G2963" i="5"/>
  <c r="F2963" i="5"/>
  <c r="J2962" i="5"/>
  <c r="H2962" i="5" a="1"/>
  <c r="H2962" i="5"/>
  <c r="G2962" i="5" a="1"/>
  <c r="G2962" i="5"/>
  <c r="F2962" i="5"/>
  <c r="J2961" i="5"/>
  <c r="H2961" i="5" a="1"/>
  <c r="H2961" i="5"/>
  <c r="G2961" i="5" a="1"/>
  <c r="G2961" i="5"/>
  <c r="F2961" i="5"/>
  <c r="J2960" i="5"/>
  <c r="H2960" i="5" a="1"/>
  <c r="H2960" i="5"/>
  <c r="G2960" i="5" a="1"/>
  <c r="G2960" i="5"/>
  <c r="F2960" i="5"/>
  <c r="J2959" i="5"/>
  <c r="H2959" i="5" a="1"/>
  <c r="H2959" i="5"/>
  <c r="G2959" i="5" a="1"/>
  <c r="G2959" i="5"/>
  <c r="F2959" i="5"/>
  <c r="J2958" i="5"/>
  <c r="H2958" i="5" a="1"/>
  <c r="H2958" i="5"/>
  <c r="G2958" i="5" a="1"/>
  <c r="G2958" i="5"/>
  <c r="F2958" i="5"/>
  <c r="J2957" i="5"/>
  <c r="H2957" i="5" a="1"/>
  <c r="H2957" i="5"/>
  <c r="G2957" i="5" a="1"/>
  <c r="G2957" i="5"/>
  <c r="F2957" i="5"/>
  <c r="J2956" i="5"/>
  <c r="H2956" i="5" a="1"/>
  <c r="H2956" i="5"/>
  <c r="G2956" i="5" a="1"/>
  <c r="G2956" i="5"/>
  <c r="F2956" i="5"/>
  <c r="J2955" i="5"/>
  <c r="H2955" i="5" a="1"/>
  <c r="H2955" i="5"/>
  <c r="G2955" i="5" a="1"/>
  <c r="G2955" i="5"/>
  <c r="F2955" i="5"/>
  <c r="J2954" i="5"/>
  <c r="H2954" i="5" a="1"/>
  <c r="H2954" i="5"/>
  <c r="G2954" i="5" a="1"/>
  <c r="G2954" i="5"/>
  <c r="F2954" i="5"/>
  <c r="J2953" i="5"/>
  <c r="H2953" i="5" a="1"/>
  <c r="H2953" i="5"/>
  <c r="G2953" i="5" a="1"/>
  <c r="G2953" i="5"/>
  <c r="F2953" i="5"/>
  <c r="J2952" i="5"/>
  <c r="H2952" i="5" a="1"/>
  <c r="H2952" i="5"/>
  <c r="G2952" i="5" a="1"/>
  <c r="G2952" i="5"/>
  <c r="F2952" i="5"/>
  <c r="J2951" i="5"/>
  <c r="H2951" i="5" a="1"/>
  <c r="H2951" i="5"/>
  <c r="G2951" i="5" a="1"/>
  <c r="G2951" i="5"/>
  <c r="F2951" i="5"/>
  <c r="J2950" i="5"/>
  <c r="H2950" i="5" a="1"/>
  <c r="H2950" i="5"/>
  <c r="G2950" i="5" a="1"/>
  <c r="G2950" i="5"/>
  <c r="F2950" i="5"/>
  <c r="J2949" i="5"/>
  <c r="H2949" i="5" a="1"/>
  <c r="H2949" i="5"/>
  <c r="G2949" i="5" a="1"/>
  <c r="G2949" i="5"/>
  <c r="F2949" i="5"/>
  <c r="J2948" i="5"/>
  <c r="H2948" i="5" a="1"/>
  <c r="H2948" i="5"/>
  <c r="G2948" i="5" a="1"/>
  <c r="G2948" i="5"/>
  <c r="F2948" i="5"/>
  <c r="J2947" i="5"/>
  <c r="H2947" i="5" a="1"/>
  <c r="H2947" i="5"/>
  <c r="G2947" i="5" a="1"/>
  <c r="G2947" i="5"/>
  <c r="F2947" i="5"/>
  <c r="J2946" i="5"/>
  <c r="H2946" i="5" a="1"/>
  <c r="H2946" i="5"/>
  <c r="G2946" i="5" a="1"/>
  <c r="G2946" i="5"/>
  <c r="F2946" i="5"/>
  <c r="J2945" i="5"/>
  <c r="H2945" i="5" a="1"/>
  <c r="H2945" i="5"/>
  <c r="G2945" i="5" a="1"/>
  <c r="G2945" i="5"/>
  <c r="F2945" i="5"/>
  <c r="J2944" i="5"/>
  <c r="H2944" i="5" a="1"/>
  <c r="H2944" i="5"/>
  <c r="G2944" i="5" a="1"/>
  <c r="G2944" i="5"/>
  <c r="F2944" i="5"/>
  <c r="J2943" i="5"/>
  <c r="H2943" i="5" a="1"/>
  <c r="H2943" i="5"/>
  <c r="G2943" i="5" a="1"/>
  <c r="G2943" i="5"/>
  <c r="F2943" i="5"/>
  <c r="J2942" i="5"/>
  <c r="H2942" i="5" a="1"/>
  <c r="H2942" i="5"/>
  <c r="G2942" i="5" a="1"/>
  <c r="G2942" i="5"/>
  <c r="F2942" i="5"/>
  <c r="J2941" i="5"/>
  <c r="H2941" i="5" a="1"/>
  <c r="H2941" i="5"/>
  <c r="G2941" i="5" a="1"/>
  <c r="G2941" i="5"/>
  <c r="F2941" i="5"/>
  <c r="J2940" i="5"/>
  <c r="H2940" i="5" a="1"/>
  <c r="H2940" i="5"/>
  <c r="G2940" i="5" a="1"/>
  <c r="G2940" i="5"/>
  <c r="F2940" i="5"/>
  <c r="J2939" i="5"/>
  <c r="H2939" i="5" a="1"/>
  <c r="H2939" i="5"/>
  <c r="G2939" i="5" a="1"/>
  <c r="G2939" i="5"/>
  <c r="F2939" i="5"/>
  <c r="J2938" i="5"/>
  <c r="H2938" i="5" a="1"/>
  <c r="H2938" i="5"/>
  <c r="G2938" i="5" a="1"/>
  <c r="G2938" i="5"/>
  <c r="F2938" i="5"/>
  <c r="J2937" i="5"/>
  <c r="H2937" i="5" a="1"/>
  <c r="H2937" i="5"/>
  <c r="G2937" i="5" a="1"/>
  <c r="G2937" i="5"/>
  <c r="F2937" i="5"/>
  <c r="J2936" i="5"/>
  <c r="H2936" i="5" a="1"/>
  <c r="H2936" i="5"/>
  <c r="G2936" i="5" a="1"/>
  <c r="G2936" i="5"/>
  <c r="F2936" i="5"/>
  <c r="J2935" i="5"/>
  <c r="H2935" i="5" a="1"/>
  <c r="H2935" i="5"/>
  <c r="G2935" i="5" a="1"/>
  <c r="G2935" i="5"/>
  <c r="F2935" i="5"/>
  <c r="J2934" i="5"/>
  <c r="H2934" i="5" a="1"/>
  <c r="H2934" i="5"/>
  <c r="G2934" i="5" a="1"/>
  <c r="G2934" i="5"/>
  <c r="F2934" i="5"/>
  <c r="J2933" i="5"/>
  <c r="H2933" i="5" a="1"/>
  <c r="H2933" i="5"/>
  <c r="G2933" i="5" a="1"/>
  <c r="G2933" i="5"/>
  <c r="F2933" i="5"/>
  <c r="J2932" i="5"/>
  <c r="H2932" i="5" a="1"/>
  <c r="H2932" i="5"/>
  <c r="G2932" i="5" a="1"/>
  <c r="G2932" i="5"/>
  <c r="F2932" i="5"/>
  <c r="J2931" i="5"/>
  <c r="H2931" i="5" a="1"/>
  <c r="H2931" i="5"/>
  <c r="G2931" i="5" a="1"/>
  <c r="G2931" i="5"/>
  <c r="F2931" i="5"/>
  <c r="J2930" i="5"/>
  <c r="H2930" i="5" a="1"/>
  <c r="H2930" i="5"/>
  <c r="G2930" i="5" a="1"/>
  <c r="G2930" i="5"/>
  <c r="F2930" i="5"/>
  <c r="J2929" i="5"/>
  <c r="H2929" i="5" a="1"/>
  <c r="H2929" i="5"/>
  <c r="G2929" i="5" a="1"/>
  <c r="G2929" i="5"/>
  <c r="F2929" i="5"/>
  <c r="J2928" i="5"/>
  <c r="H2928" i="5" a="1"/>
  <c r="H2928" i="5"/>
  <c r="G2928" i="5" a="1"/>
  <c r="G2928" i="5"/>
  <c r="F2928" i="5"/>
  <c r="J2927" i="5"/>
  <c r="H2927" i="5" a="1"/>
  <c r="H2927" i="5"/>
  <c r="G2927" i="5" a="1"/>
  <c r="G2927" i="5"/>
  <c r="F2927" i="5"/>
  <c r="J2926" i="5"/>
  <c r="H2926" i="5" a="1"/>
  <c r="H2926" i="5"/>
  <c r="G2926" i="5" a="1"/>
  <c r="G2926" i="5"/>
  <c r="F2926" i="5"/>
  <c r="J2925" i="5"/>
  <c r="H2925" i="5" a="1"/>
  <c r="H2925" i="5"/>
  <c r="G2925" i="5" a="1"/>
  <c r="G2925" i="5"/>
  <c r="F2925" i="5"/>
  <c r="J2924" i="5"/>
  <c r="H2924" i="5" a="1"/>
  <c r="H2924" i="5"/>
  <c r="G2924" i="5" a="1"/>
  <c r="G2924" i="5"/>
  <c r="F2924" i="5"/>
  <c r="J2923" i="5"/>
  <c r="H2923" i="5" a="1"/>
  <c r="H2923" i="5"/>
  <c r="G2923" i="5" a="1"/>
  <c r="G2923" i="5"/>
  <c r="F2923" i="5"/>
  <c r="J2922" i="5"/>
  <c r="H2922" i="5" a="1"/>
  <c r="H2922" i="5"/>
  <c r="G2922" i="5" a="1"/>
  <c r="G2922" i="5"/>
  <c r="F2922" i="5"/>
  <c r="J2921" i="5"/>
  <c r="H2921" i="5" a="1"/>
  <c r="H2921" i="5"/>
  <c r="G2921" i="5" a="1"/>
  <c r="G2921" i="5"/>
  <c r="F2921" i="5"/>
  <c r="J2920" i="5"/>
  <c r="H2920" i="5" a="1"/>
  <c r="H2920" i="5"/>
  <c r="G2920" i="5" a="1"/>
  <c r="G2920" i="5"/>
  <c r="F2920" i="5"/>
  <c r="J2919" i="5"/>
  <c r="H2919" i="5" a="1"/>
  <c r="H2919" i="5"/>
  <c r="G2919" i="5" a="1"/>
  <c r="G2919" i="5"/>
  <c r="F2919" i="5"/>
  <c r="J2918" i="5"/>
  <c r="H2918" i="5" a="1"/>
  <c r="H2918" i="5"/>
  <c r="G2918" i="5" a="1"/>
  <c r="G2918" i="5"/>
  <c r="F2918" i="5"/>
  <c r="J2917" i="5"/>
  <c r="H2917" i="5" a="1"/>
  <c r="H2917" i="5"/>
  <c r="G2917" i="5" a="1"/>
  <c r="G2917" i="5"/>
  <c r="F2917" i="5"/>
  <c r="J2916" i="5"/>
  <c r="H2916" i="5" a="1"/>
  <c r="H2916" i="5"/>
  <c r="G2916" i="5" a="1"/>
  <c r="G2916" i="5"/>
  <c r="F2916" i="5"/>
  <c r="J2915" i="5"/>
  <c r="H2915" i="5" a="1"/>
  <c r="H2915" i="5"/>
  <c r="G2915" i="5" a="1"/>
  <c r="G2915" i="5"/>
  <c r="F2915" i="5"/>
  <c r="J2914" i="5"/>
  <c r="H2914" i="5" a="1"/>
  <c r="H2914" i="5"/>
  <c r="G2914" i="5" a="1"/>
  <c r="G2914" i="5"/>
  <c r="F2914" i="5"/>
  <c r="J2913" i="5"/>
  <c r="H2913" i="5" a="1"/>
  <c r="H2913" i="5"/>
  <c r="G2913" i="5" a="1"/>
  <c r="G2913" i="5"/>
  <c r="F2913" i="5"/>
  <c r="J2912" i="5"/>
  <c r="H2912" i="5" a="1"/>
  <c r="H2912" i="5"/>
  <c r="G2912" i="5" a="1"/>
  <c r="G2912" i="5"/>
  <c r="F2912" i="5"/>
  <c r="J2911" i="5"/>
  <c r="H2911" i="5" a="1"/>
  <c r="H2911" i="5"/>
  <c r="G2911" i="5" a="1"/>
  <c r="G2911" i="5"/>
  <c r="F2911" i="5"/>
  <c r="J2910" i="5"/>
  <c r="H2910" i="5" a="1"/>
  <c r="H2910" i="5"/>
  <c r="G2910" i="5" a="1"/>
  <c r="G2910" i="5"/>
  <c r="F2910" i="5"/>
  <c r="J2909" i="5"/>
  <c r="H2909" i="5" a="1"/>
  <c r="H2909" i="5"/>
  <c r="G2909" i="5" a="1"/>
  <c r="G2909" i="5"/>
  <c r="F2909" i="5"/>
  <c r="J2908" i="5"/>
  <c r="H2908" i="5" a="1"/>
  <c r="H2908" i="5"/>
  <c r="G2908" i="5" a="1"/>
  <c r="G2908" i="5"/>
  <c r="F2908" i="5"/>
  <c r="J2907" i="5"/>
  <c r="H2907" i="5" a="1"/>
  <c r="H2907" i="5"/>
  <c r="G2907" i="5" a="1"/>
  <c r="G2907" i="5"/>
  <c r="F2907" i="5"/>
  <c r="J2906" i="5"/>
  <c r="H2906" i="5" a="1"/>
  <c r="H2906" i="5"/>
  <c r="G2906" i="5" a="1"/>
  <c r="G2906" i="5"/>
  <c r="F2906" i="5"/>
  <c r="J2905" i="5"/>
  <c r="H2905" i="5" a="1"/>
  <c r="H2905" i="5"/>
  <c r="G2905" i="5" a="1"/>
  <c r="G2905" i="5"/>
  <c r="F2905" i="5"/>
  <c r="J2904" i="5"/>
  <c r="H2904" i="5" a="1"/>
  <c r="H2904" i="5"/>
  <c r="G2904" i="5" a="1"/>
  <c r="G2904" i="5"/>
  <c r="F2904" i="5"/>
  <c r="J2903" i="5"/>
  <c r="H2903" i="5" a="1"/>
  <c r="H2903" i="5"/>
  <c r="G2903" i="5" a="1"/>
  <c r="G2903" i="5"/>
  <c r="F2903" i="5"/>
  <c r="J2902" i="5"/>
  <c r="H2902" i="5" a="1"/>
  <c r="H2902" i="5"/>
  <c r="G2902" i="5" a="1"/>
  <c r="G2902" i="5"/>
  <c r="F2902" i="5"/>
  <c r="J2901" i="5"/>
  <c r="H2901" i="5" a="1"/>
  <c r="H2901" i="5"/>
  <c r="G2901" i="5" a="1"/>
  <c r="G2901" i="5"/>
  <c r="F2901" i="5"/>
  <c r="J2900" i="5"/>
  <c r="H2900" i="5" a="1"/>
  <c r="H2900" i="5"/>
  <c r="G2900" i="5" a="1"/>
  <c r="G2900" i="5"/>
  <c r="F2900" i="5"/>
  <c r="J2899" i="5"/>
  <c r="H2899" i="5" a="1"/>
  <c r="H2899" i="5"/>
  <c r="G2899" i="5" a="1"/>
  <c r="G2899" i="5"/>
  <c r="F2899" i="5"/>
  <c r="J2898" i="5"/>
  <c r="H2898" i="5" a="1"/>
  <c r="H2898" i="5"/>
  <c r="G2898" i="5" a="1"/>
  <c r="G2898" i="5"/>
  <c r="F2898" i="5"/>
  <c r="J2897" i="5"/>
  <c r="H2897" i="5" a="1"/>
  <c r="H2897" i="5"/>
  <c r="G2897" i="5" a="1"/>
  <c r="G2897" i="5"/>
  <c r="F2897" i="5"/>
  <c r="J2896" i="5"/>
  <c r="H2896" i="5" a="1"/>
  <c r="H2896" i="5"/>
  <c r="G2896" i="5" a="1"/>
  <c r="G2896" i="5"/>
  <c r="F2896" i="5"/>
  <c r="J2895" i="5"/>
  <c r="H2895" i="5" a="1"/>
  <c r="H2895" i="5"/>
  <c r="G2895" i="5" a="1"/>
  <c r="G2895" i="5"/>
  <c r="F2895" i="5"/>
  <c r="J2894" i="5"/>
  <c r="H2894" i="5" a="1"/>
  <c r="H2894" i="5"/>
  <c r="G2894" i="5" a="1"/>
  <c r="G2894" i="5"/>
  <c r="F2894" i="5"/>
  <c r="J2893" i="5"/>
  <c r="H2893" i="5" a="1"/>
  <c r="H2893" i="5"/>
  <c r="G2893" i="5" a="1"/>
  <c r="G2893" i="5"/>
  <c r="F2893" i="5"/>
  <c r="J2892" i="5"/>
  <c r="H2892" i="5" a="1"/>
  <c r="H2892" i="5"/>
  <c r="G2892" i="5" a="1"/>
  <c r="G2892" i="5"/>
  <c r="F2892" i="5"/>
  <c r="J2891" i="5"/>
  <c r="H2891" i="5" a="1"/>
  <c r="H2891" i="5"/>
  <c r="G2891" i="5" a="1"/>
  <c r="G2891" i="5"/>
  <c r="F2891" i="5"/>
  <c r="J2890" i="5"/>
  <c r="H2890" i="5" a="1"/>
  <c r="H2890" i="5"/>
  <c r="G2890" i="5" a="1"/>
  <c r="G2890" i="5"/>
  <c r="F2890" i="5"/>
  <c r="J2889" i="5"/>
  <c r="H2889" i="5" a="1"/>
  <c r="H2889" i="5"/>
  <c r="G2889" i="5" a="1"/>
  <c r="G2889" i="5"/>
  <c r="F2889" i="5"/>
  <c r="J2888" i="5"/>
  <c r="H2888" i="5" a="1"/>
  <c r="H2888" i="5"/>
  <c r="G2888" i="5" a="1"/>
  <c r="G2888" i="5"/>
  <c r="F2888" i="5"/>
  <c r="J2887" i="5"/>
  <c r="H2887" i="5" a="1"/>
  <c r="H2887" i="5"/>
  <c r="G2887" i="5" a="1"/>
  <c r="G2887" i="5"/>
  <c r="F2887" i="5"/>
  <c r="J2886" i="5"/>
  <c r="H2886" i="5" a="1"/>
  <c r="H2886" i="5"/>
  <c r="G2886" i="5" a="1"/>
  <c r="G2886" i="5"/>
  <c r="F2886" i="5"/>
  <c r="J2885" i="5"/>
  <c r="H2885" i="5" a="1"/>
  <c r="H2885" i="5"/>
  <c r="G2885" i="5" a="1"/>
  <c r="G2885" i="5"/>
  <c r="F2885" i="5"/>
  <c r="J2884" i="5"/>
  <c r="H2884" i="5" a="1"/>
  <c r="H2884" i="5"/>
  <c r="G2884" i="5" a="1"/>
  <c r="G2884" i="5"/>
  <c r="F2884" i="5"/>
  <c r="J2883" i="5"/>
  <c r="H2883" i="5" a="1"/>
  <c r="H2883" i="5"/>
  <c r="G2883" i="5" a="1"/>
  <c r="G2883" i="5"/>
  <c r="F2883" i="5"/>
  <c r="J2882" i="5"/>
  <c r="H2882" i="5" a="1"/>
  <c r="H2882" i="5"/>
  <c r="G2882" i="5" a="1"/>
  <c r="G2882" i="5"/>
  <c r="F2882" i="5"/>
  <c r="J2881" i="5"/>
  <c r="H2881" i="5" a="1"/>
  <c r="H2881" i="5"/>
  <c r="G2881" i="5" a="1"/>
  <c r="G2881" i="5"/>
  <c r="F2881" i="5"/>
  <c r="J2880" i="5"/>
  <c r="H2880" i="5" a="1"/>
  <c r="H2880" i="5"/>
  <c r="G2880" i="5" a="1"/>
  <c r="G2880" i="5"/>
  <c r="F2880" i="5"/>
  <c r="J2879" i="5"/>
  <c r="H2879" i="5" a="1"/>
  <c r="H2879" i="5"/>
  <c r="G2879" i="5" a="1"/>
  <c r="G2879" i="5"/>
  <c r="F2879" i="5"/>
  <c r="J2878" i="5"/>
  <c r="H2878" i="5" a="1"/>
  <c r="H2878" i="5"/>
  <c r="G2878" i="5" a="1"/>
  <c r="G2878" i="5"/>
  <c r="F2878" i="5"/>
  <c r="J2877" i="5"/>
  <c r="H2877" i="5" a="1"/>
  <c r="H2877" i="5"/>
  <c r="G2877" i="5" a="1"/>
  <c r="G2877" i="5"/>
  <c r="F2877" i="5"/>
  <c r="J2876" i="5"/>
  <c r="H2876" i="5" a="1"/>
  <c r="H2876" i="5"/>
  <c r="G2876" i="5" a="1"/>
  <c r="G2876" i="5"/>
  <c r="F2876" i="5"/>
  <c r="J2875" i="5"/>
  <c r="H2875" i="5" a="1"/>
  <c r="H2875" i="5"/>
  <c r="G2875" i="5" a="1"/>
  <c r="G2875" i="5"/>
  <c r="F2875" i="5"/>
  <c r="J2874" i="5"/>
  <c r="H2874" i="5" a="1"/>
  <c r="H2874" i="5"/>
  <c r="G2874" i="5" a="1"/>
  <c r="G2874" i="5"/>
  <c r="F2874" i="5"/>
  <c r="J2873" i="5"/>
  <c r="H2873" i="5" a="1"/>
  <c r="H2873" i="5"/>
  <c r="G2873" i="5" a="1"/>
  <c r="G2873" i="5"/>
  <c r="F2873" i="5"/>
  <c r="J2872" i="5"/>
  <c r="H2872" i="5" a="1"/>
  <c r="H2872" i="5"/>
  <c r="G2872" i="5" a="1"/>
  <c r="G2872" i="5"/>
  <c r="F2872" i="5"/>
  <c r="J2871" i="5"/>
  <c r="H2871" i="5" a="1"/>
  <c r="H2871" i="5"/>
  <c r="G2871" i="5" a="1"/>
  <c r="G2871" i="5"/>
  <c r="F2871" i="5"/>
  <c r="J2870" i="5"/>
  <c r="H2870" i="5" a="1"/>
  <c r="H2870" i="5"/>
  <c r="G2870" i="5" a="1"/>
  <c r="G2870" i="5"/>
  <c r="F2870" i="5"/>
  <c r="J2869" i="5"/>
  <c r="H2869" i="5" a="1"/>
  <c r="H2869" i="5"/>
  <c r="G2869" i="5" a="1"/>
  <c r="G2869" i="5"/>
  <c r="F2869" i="5"/>
  <c r="J2868" i="5"/>
  <c r="H2868" i="5" a="1"/>
  <c r="H2868" i="5"/>
  <c r="G2868" i="5" a="1"/>
  <c r="G2868" i="5"/>
  <c r="F2868" i="5"/>
  <c r="J2867" i="5"/>
  <c r="H2867" i="5" a="1"/>
  <c r="H2867" i="5"/>
  <c r="G2867" i="5" a="1"/>
  <c r="G2867" i="5"/>
  <c r="F2867" i="5"/>
  <c r="J2866" i="5"/>
  <c r="H2866" i="5" a="1"/>
  <c r="H2866" i="5"/>
  <c r="G2866" i="5" a="1"/>
  <c r="G2866" i="5"/>
  <c r="F2866" i="5"/>
  <c r="J2865" i="5"/>
  <c r="H2865" i="5" a="1"/>
  <c r="H2865" i="5"/>
  <c r="G2865" i="5" a="1"/>
  <c r="G2865" i="5"/>
  <c r="F2865" i="5"/>
  <c r="J2864" i="5"/>
  <c r="H2864" i="5" a="1"/>
  <c r="H2864" i="5"/>
  <c r="G2864" i="5" a="1"/>
  <c r="G2864" i="5"/>
  <c r="F2864" i="5"/>
  <c r="J2863" i="5"/>
  <c r="H2863" i="5" a="1"/>
  <c r="H2863" i="5"/>
  <c r="G2863" i="5" a="1"/>
  <c r="G2863" i="5"/>
  <c r="F2863" i="5"/>
  <c r="J2862" i="5"/>
  <c r="H2862" i="5" a="1"/>
  <c r="H2862" i="5"/>
  <c r="G2862" i="5" a="1"/>
  <c r="G2862" i="5"/>
  <c r="F2862" i="5"/>
  <c r="J2861" i="5"/>
  <c r="H2861" i="5" a="1"/>
  <c r="H2861" i="5"/>
  <c r="G2861" i="5" a="1"/>
  <c r="G2861" i="5"/>
  <c r="F2861" i="5"/>
  <c r="J2860" i="5"/>
  <c r="H2860" i="5" a="1"/>
  <c r="H2860" i="5"/>
  <c r="G2860" i="5" a="1"/>
  <c r="G2860" i="5"/>
  <c r="F2860" i="5"/>
  <c r="J2859" i="5"/>
  <c r="H2859" i="5" a="1"/>
  <c r="H2859" i="5"/>
  <c r="G2859" i="5" a="1"/>
  <c r="G2859" i="5"/>
  <c r="F2859" i="5"/>
  <c r="J2858" i="5"/>
  <c r="H2858" i="5" a="1"/>
  <c r="H2858" i="5"/>
  <c r="G2858" i="5" a="1"/>
  <c r="G2858" i="5"/>
  <c r="F2858" i="5"/>
  <c r="J2857" i="5"/>
  <c r="H2857" i="5" a="1"/>
  <c r="H2857" i="5"/>
  <c r="G2857" i="5" a="1"/>
  <c r="G2857" i="5"/>
  <c r="F2857" i="5"/>
  <c r="J2856" i="5"/>
  <c r="H2856" i="5" a="1"/>
  <c r="H2856" i="5"/>
  <c r="G2856" i="5" a="1"/>
  <c r="G2856" i="5"/>
  <c r="F2856" i="5"/>
  <c r="J2855" i="5"/>
  <c r="H2855" i="5" a="1"/>
  <c r="H2855" i="5"/>
  <c r="G2855" i="5" a="1"/>
  <c r="G2855" i="5"/>
  <c r="F2855" i="5"/>
  <c r="J2854" i="5"/>
  <c r="H2854" i="5" a="1"/>
  <c r="H2854" i="5"/>
  <c r="G2854" i="5" a="1"/>
  <c r="G2854" i="5"/>
  <c r="F2854" i="5"/>
  <c r="J2853" i="5"/>
  <c r="H2853" i="5" a="1"/>
  <c r="H2853" i="5"/>
  <c r="G2853" i="5" a="1"/>
  <c r="G2853" i="5"/>
  <c r="F2853" i="5"/>
  <c r="J2852" i="5"/>
  <c r="H2852" i="5" a="1"/>
  <c r="H2852" i="5"/>
  <c r="G2852" i="5" a="1"/>
  <c r="G2852" i="5"/>
  <c r="F2852" i="5"/>
  <c r="J2851" i="5"/>
  <c r="H2851" i="5" a="1"/>
  <c r="H2851" i="5"/>
  <c r="G2851" i="5" a="1"/>
  <c r="G2851" i="5"/>
  <c r="F2851" i="5"/>
  <c r="J2850" i="5"/>
  <c r="H2850" i="5" a="1"/>
  <c r="H2850" i="5"/>
  <c r="G2850" i="5" a="1"/>
  <c r="G2850" i="5"/>
  <c r="F2850" i="5"/>
  <c r="J2849" i="5"/>
  <c r="H2849" i="5" a="1"/>
  <c r="H2849" i="5"/>
  <c r="G2849" i="5" a="1"/>
  <c r="G2849" i="5"/>
  <c r="F2849" i="5"/>
  <c r="J2848" i="5"/>
  <c r="H2848" i="5" a="1"/>
  <c r="H2848" i="5"/>
  <c r="G2848" i="5" a="1"/>
  <c r="G2848" i="5"/>
  <c r="F2848" i="5"/>
  <c r="J2847" i="5"/>
  <c r="H2847" i="5" a="1"/>
  <c r="H2847" i="5"/>
  <c r="G2847" i="5" a="1"/>
  <c r="G2847" i="5"/>
  <c r="F2847" i="5"/>
  <c r="J2846" i="5"/>
  <c r="H2846" i="5" a="1"/>
  <c r="H2846" i="5"/>
  <c r="G2846" i="5" a="1"/>
  <c r="G2846" i="5"/>
  <c r="F2846" i="5"/>
  <c r="J2845" i="5"/>
  <c r="H2845" i="5" a="1"/>
  <c r="H2845" i="5"/>
  <c r="G2845" i="5" a="1"/>
  <c r="G2845" i="5"/>
  <c r="F2845" i="5"/>
  <c r="J2844" i="5"/>
  <c r="H2844" i="5" a="1"/>
  <c r="H2844" i="5"/>
  <c r="G2844" i="5" a="1"/>
  <c r="G2844" i="5"/>
  <c r="F2844" i="5"/>
  <c r="J2843" i="5"/>
  <c r="H2843" i="5" a="1"/>
  <c r="H2843" i="5"/>
  <c r="G2843" i="5" a="1"/>
  <c r="G2843" i="5"/>
  <c r="F2843" i="5"/>
  <c r="J2842" i="5"/>
  <c r="H2842" i="5" a="1"/>
  <c r="H2842" i="5"/>
  <c r="G2842" i="5" a="1"/>
  <c r="G2842" i="5"/>
  <c r="F2842" i="5"/>
  <c r="J2841" i="5"/>
  <c r="H2841" i="5" a="1"/>
  <c r="H2841" i="5"/>
  <c r="G2841" i="5" a="1"/>
  <c r="G2841" i="5"/>
  <c r="F2841" i="5"/>
  <c r="J2840" i="5"/>
  <c r="H2840" i="5" a="1"/>
  <c r="H2840" i="5"/>
  <c r="G2840" i="5" a="1"/>
  <c r="G2840" i="5"/>
  <c r="F2840" i="5"/>
  <c r="J2839" i="5"/>
  <c r="H2839" i="5" a="1"/>
  <c r="H2839" i="5"/>
  <c r="G2839" i="5" a="1"/>
  <c r="G2839" i="5"/>
  <c r="F2839" i="5"/>
  <c r="J2838" i="5"/>
  <c r="H2838" i="5" a="1"/>
  <c r="H2838" i="5"/>
  <c r="G2838" i="5" a="1"/>
  <c r="G2838" i="5"/>
  <c r="F2838" i="5"/>
  <c r="J2837" i="5"/>
  <c r="H2837" i="5" a="1"/>
  <c r="H2837" i="5"/>
  <c r="G2837" i="5" a="1"/>
  <c r="G2837" i="5"/>
  <c r="F2837" i="5"/>
  <c r="J2836" i="5"/>
  <c r="H2836" i="5" a="1"/>
  <c r="H2836" i="5"/>
  <c r="G2836" i="5" a="1"/>
  <c r="G2836" i="5"/>
  <c r="F2836" i="5"/>
  <c r="J2835" i="5"/>
  <c r="H2835" i="5" a="1"/>
  <c r="H2835" i="5"/>
  <c r="G2835" i="5" a="1"/>
  <c r="G2835" i="5"/>
  <c r="F2835" i="5"/>
  <c r="J2834" i="5"/>
  <c r="H2834" i="5" a="1"/>
  <c r="H2834" i="5"/>
  <c r="G2834" i="5" a="1"/>
  <c r="G2834" i="5"/>
  <c r="F2834" i="5"/>
  <c r="J2833" i="5"/>
  <c r="H2833" i="5" a="1"/>
  <c r="H2833" i="5"/>
  <c r="G2833" i="5" a="1"/>
  <c r="G2833" i="5"/>
  <c r="F2833" i="5"/>
  <c r="J2832" i="5"/>
  <c r="H2832" i="5" a="1"/>
  <c r="H2832" i="5"/>
  <c r="G2832" i="5" a="1"/>
  <c r="G2832" i="5"/>
  <c r="F2832" i="5"/>
  <c r="J2831" i="5"/>
  <c r="H2831" i="5" a="1"/>
  <c r="H2831" i="5"/>
  <c r="G2831" i="5" a="1"/>
  <c r="G2831" i="5"/>
  <c r="F2831" i="5"/>
  <c r="J2830" i="5"/>
  <c r="H2830" i="5" a="1"/>
  <c r="H2830" i="5"/>
  <c r="G2830" i="5" a="1"/>
  <c r="G2830" i="5"/>
  <c r="F2830" i="5"/>
  <c r="J2829" i="5"/>
  <c r="H2829" i="5" a="1"/>
  <c r="H2829" i="5"/>
  <c r="G2829" i="5" a="1"/>
  <c r="G2829" i="5"/>
  <c r="F2829" i="5"/>
  <c r="J2828" i="5"/>
  <c r="H2828" i="5" a="1"/>
  <c r="H2828" i="5"/>
  <c r="G2828" i="5" a="1"/>
  <c r="G2828" i="5"/>
  <c r="F2828" i="5"/>
  <c r="J2827" i="5"/>
  <c r="H2827" i="5" a="1"/>
  <c r="H2827" i="5"/>
  <c r="G2827" i="5" a="1"/>
  <c r="G2827" i="5"/>
  <c r="F2827" i="5"/>
  <c r="J2826" i="5"/>
  <c r="H2826" i="5" a="1"/>
  <c r="H2826" i="5"/>
  <c r="G2826" i="5" a="1"/>
  <c r="G2826" i="5"/>
  <c r="F2826" i="5"/>
  <c r="J2825" i="5"/>
  <c r="H2825" i="5" a="1"/>
  <c r="H2825" i="5"/>
  <c r="G2825" i="5" a="1"/>
  <c r="G2825" i="5"/>
  <c r="F2825" i="5"/>
  <c r="J2824" i="5"/>
  <c r="H2824" i="5" a="1"/>
  <c r="H2824" i="5"/>
  <c r="G2824" i="5" a="1"/>
  <c r="G2824" i="5"/>
  <c r="F2824" i="5"/>
  <c r="J2823" i="5"/>
  <c r="H2823" i="5" a="1"/>
  <c r="H2823" i="5"/>
  <c r="G2823" i="5" a="1"/>
  <c r="G2823" i="5"/>
  <c r="F2823" i="5"/>
  <c r="J2822" i="5"/>
  <c r="H2822" i="5" a="1"/>
  <c r="H2822" i="5"/>
  <c r="G2822" i="5" a="1"/>
  <c r="G2822" i="5"/>
  <c r="F2822" i="5"/>
  <c r="J2821" i="5"/>
  <c r="H2821" i="5" a="1"/>
  <c r="H2821" i="5"/>
  <c r="G2821" i="5" a="1"/>
  <c r="G2821" i="5"/>
  <c r="F2821" i="5"/>
  <c r="J2820" i="5"/>
  <c r="H2820" i="5" a="1"/>
  <c r="H2820" i="5"/>
  <c r="G2820" i="5" a="1"/>
  <c r="G2820" i="5"/>
  <c r="F2820" i="5"/>
  <c r="J2819" i="5"/>
  <c r="H2819" i="5" a="1"/>
  <c r="H2819" i="5"/>
  <c r="G2819" i="5" a="1"/>
  <c r="G2819" i="5"/>
  <c r="F2819" i="5"/>
  <c r="J2818" i="5"/>
  <c r="H2818" i="5" a="1"/>
  <c r="H2818" i="5"/>
  <c r="G2818" i="5" a="1"/>
  <c r="G2818" i="5"/>
  <c r="F2818" i="5"/>
  <c r="J2817" i="5"/>
  <c r="H2817" i="5" a="1"/>
  <c r="H2817" i="5"/>
  <c r="G2817" i="5" a="1"/>
  <c r="G2817" i="5"/>
  <c r="F2817" i="5"/>
  <c r="J2816" i="5"/>
  <c r="H2816" i="5" a="1"/>
  <c r="H2816" i="5"/>
  <c r="G2816" i="5" a="1"/>
  <c r="G2816" i="5"/>
  <c r="F2816" i="5"/>
  <c r="J2815" i="5"/>
  <c r="H2815" i="5" a="1"/>
  <c r="H2815" i="5"/>
  <c r="G2815" i="5" a="1"/>
  <c r="G2815" i="5"/>
  <c r="F2815" i="5"/>
  <c r="J2814" i="5"/>
  <c r="H2814" i="5" a="1"/>
  <c r="H2814" i="5"/>
  <c r="G2814" i="5" a="1"/>
  <c r="G2814" i="5"/>
  <c r="F2814" i="5"/>
  <c r="J2813" i="5"/>
  <c r="H2813" i="5" a="1"/>
  <c r="H2813" i="5"/>
  <c r="G2813" i="5" a="1"/>
  <c r="G2813" i="5"/>
  <c r="F2813" i="5"/>
  <c r="J2812" i="5"/>
  <c r="H2812" i="5" a="1"/>
  <c r="H2812" i="5"/>
  <c r="G2812" i="5" a="1"/>
  <c r="G2812" i="5"/>
  <c r="F2812" i="5"/>
  <c r="J2811" i="5"/>
  <c r="H2811" i="5" a="1"/>
  <c r="H2811" i="5"/>
  <c r="G2811" i="5" a="1"/>
  <c r="G2811" i="5"/>
  <c r="F2811" i="5"/>
  <c r="J2810" i="5"/>
  <c r="H2810" i="5" a="1"/>
  <c r="H2810" i="5"/>
  <c r="G2810" i="5" a="1"/>
  <c r="G2810" i="5"/>
  <c r="F2810" i="5"/>
  <c r="J2809" i="5"/>
  <c r="H2809" i="5" a="1"/>
  <c r="H2809" i="5"/>
  <c r="G2809" i="5" a="1"/>
  <c r="G2809" i="5"/>
  <c r="F2809" i="5"/>
  <c r="J2808" i="5"/>
  <c r="H2808" i="5" a="1"/>
  <c r="H2808" i="5"/>
  <c r="G2808" i="5" a="1"/>
  <c r="G2808" i="5"/>
  <c r="F2808" i="5"/>
  <c r="J2807" i="5"/>
  <c r="H2807" i="5" a="1"/>
  <c r="H2807" i="5"/>
  <c r="G2807" i="5" a="1"/>
  <c r="G2807" i="5"/>
  <c r="F2807" i="5"/>
  <c r="J2806" i="5"/>
  <c r="H2806" i="5" a="1"/>
  <c r="H2806" i="5"/>
  <c r="G2806" i="5" a="1"/>
  <c r="G2806" i="5"/>
  <c r="F2806" i="5"/>
  <c r="J2805" i="5"/>
  <c r="H2805" i="5" a="1"/>
  <c r="H2805" i="5"/>
  <c r="G2805" i="5" a="1"/>
  <c r="G2805" i="5"/>
  <c r="F2805" i="5"/>
  <c r="J2804" i="5"/>
  <c r="H2804" i="5" a="1"/>
  <c r="H2804" i="5"/>
  <c r="G2804" i="5" a="1"/>
  <c r="G2804" i="5"/>
  <c r="F2804" i="5"/>
  <c r="J2803" i="5"/>
  <c r="H2803" i="5" a="1"/>
  <c r="H2803" i="5"/>
  <c r="G2803" i="5" a="1"/>
  <c r="G2803" i="5"/>
  <c r="F2803" i="5"/>
  <c r="J2802" i="5"/>
  <c r="H2802" i="5" a="1"/>
  <c r="H2802" i="5"/>
  <c r="G2802" i="5" a="1"/>
  <c r="G2802" i="5"/>
  <c r="F2802" i="5"/>
  <c r="J2801" i="5"/>
  <c r="H2801" i="5" a="1"/>
  <c r="H2801" i="5"/>
  <c r="G2801" i="5" a="1"/>
  <c r="G2801" i="5"/>
  <c r="F2801" i="5"/>
  <c r="J2800" i="5"/>
  <c r="H2800" i="5" a="1"/>
  <c r="H2800" i="5"/>
  <c r="G2800" i="5" a="1"/>
  <c r="G2800" i="5"/>
  <c r="F2800" i="5"/>
  <c r="J2799" i="5"/>
  <c r="H2799" i="5" a="1"/>
  <c r="H2799" i="5"/>
  <c r="G2799" i="5" a="1"/>
  <c r="G2799" i="5"/>
  <c r="F2799" i="5"/>
  <c r="J2798" i="5"/>
  <c r="H2798" i="5" a="1"/>
  <c r="H2798" i="5"/>
  <c r="G2798" i="5" a="1"/>
  <c r="G2798" i="5"/>
  <c r="F2798" i="5"/>
  <c r="J2797" i="5"/>
  <c r="H2797" i="5" a="1"/>
  <c r="H2797" i="5"/>
  <c r="G2797" i="5" a="1"/>
  <c r="G2797" i="5"/>
  <c r="F2797" i="5"/>
  <c r="J2796" i="5"/>
  <c r="H2796" i="5" a="1"/>
  <c r="H2796" i="5"/>
  <c r="G2796" i="5" a="1"/>
  <c r="G2796" i="5"/>
  <c r="F2796" i="5"/>
  <c r="J2795" i="5"/>
  <c r="H2795" i="5" a="1"/>
  <c r="H2795" i="5"/>
  <c r="G2795" i="5" a="1"/>
  <c r="G2795" i="5"/>
  <c r="F2795" i="5"/>
  <c r="J2794" i="5"/>
  <c r="H2794" i="5" a="1"/>
  <c r="H2794" i="5"/>
  <c r="G2794" i="5" a="1"/>
  <c r="G2794" i="5"/>
  <c r="F2794" i="5"/>
  <c r="J2793" i="5"/>
  <c r="H2793" i="5" a="1"/>
  <c r="H2793" i="5"/>
  <c r="G2793" i="5" a="1"/>
  <c r="G2793" i="5"/>
  <c r="F2793" i="5"/>
  <c r="J2792" i="5"/>
  <c r="H2792" i="5" a="1"/>
  <c r="H2792" i="5"/>
  <c r="G2792" i="5" a="1"/>
  <c r="G2792" i="5"/>
  <c r="F2792" i="5"/>
  <c r="J2791" i="5"/>
  <c r="H2791" i="5" a="1"/>
  <c r="H2791" i="5"/>
  <c r="G2791" i="5" a="1"/>
  <c r="G2791" i="5"/>
  <c r="F2791" i="5"/>
  <c r="J2790" i="5"/>
  <c r="H2790" i="5" a="1"/>
  <c r="H2790" i="5"/>
  <c r="G2790" i="5" a="1"/>
  <c r="G2790" i="5"/>
  <c r="F2790" i="5"/>
  <c r="J2789" i="5"/>
  <c r="H2789" i="5" a="1"/>
  <c r="H2789" i="5"/>
  <c r="G2789" i="5" a="1"/>
  <c r="G2789" i="5"/>
  <c r="F2789" i="5"/>
  <c r="J2788" i="5"/>
  <c r="H2788" i="5" a="1"/>
  <c r="H2788" i="5"/>
  <c r="G2788" i="5" a="1"/>
  <c r="G2788" i="5"/>
  <c r="F2788" i="5"/>
  <c r="J2787" i="5"/>
  <c r="H2787" i="5" a="1"/>
  <c r="H2787" i="5"/>
  <c r="G2787" i="5" a="1"/>
  <c r="G2787" i="5"/>
  <c r="F2787" i="5"/>
  <c r="J2786" i="5"/>
  <c r="H2786" i="5" a="1"/>
  <c r="H2786" i="5"/>
  <c r="G2786" i="5" a="1"/>
  <c r="G2786" i="5"/>
  <c r="F2786" i="5"/>
  <c r="J2785" i="5"/>
  <c r="H2785" i="5" a="1"/>
  <c r="H2785" i="5"/>
  <c r="G2785" i="5" a="1"/>
  <c r="G2785" i="5"/>
  <c r="F2785" i="5"/>
  <c r="J2784" i="5"/>
  <c r="H2784" i="5" a="1"/>
  <c r="H2784" i="5"/>
  <c r="G2784" i="5" a="1"/>
  <c r="G2784" i="5"/>
  <c r="F2784" i="5"/>
  <c r="J2783" i="5"/>
  <c r="H2783" i="5" a="1"/>
  <c r="H2783" i="5"/>
  <c r="G2783" i="5" a="1"/>
  <c r="G2783" i="5"/>
  <c r="F2783" i="5"/>
  <c r="J2782" i="5"/>
  <c r="H2782" i="5" a="1"/>
  <c r="H2782" i="5"/>
  <c r="G2782" i="5" a="1"/>
  <c r="G2782" i="5"/>
  <c r="F2782" i="5"/>
  <c r="J2781" i="5"/>
  <c r="H2781" i="5" a="1"/>
  <c r="H2781" i="5"/>
  <c r="G2781" i="5" a="1"/>
  <c r="G2781" i="5"/>
  <c r="F2781" i="5"/>
  <c r="J2780" i="5"/>
  <c r="H2780" i="5" a="1"/>
  <c r="H2780" i="5"/>
  <c r="G2780" i="5" a="1"/>
  <c r="G2780" i="5"/>
  <c r="F2780" i="5"/>
  <c r="J2779" i="5"/>
  <c r="H2779" i="5" a="1"/>
  <c r="H2779" i="5"/>
  <c r="G2779" i="5" a="1"/>
  <c r="G2779" i="5"/>
  <c r="F2779" i="5"/>
  <c r="J2778" i="5"/>
  <c r="H2778" i="5" a="1"/>
  <c r="H2778" i="5"/>
  <c r="G2778" i="5" a="1"/>
  <c r="G2778" i="5"/>
  <c r="F2778" i="5"/>
  <c r="J2777" i="5"/>
  <c r="H2777" i="5" a="1"/>
  <c r="H2777" i="5"/>
  <c r="G2777" i="5" a="1"/>
  <c r="G2777" i="5"/>
  <c r="F2777" i="5"/>
  <c r="J2776" i="5"/>
  <c r="H2776" i="5" a="1"/>
  <c r="H2776" i="5"/>
  <c r="G2776" i="5" a="1"/>
  <c r="G2776" i="5"/>
  <c r="F2776" i="5"/>
  <c r="J2775" i="5"/>
  <c r="H2775" i="5" a="1"/>
  <c r="H2775" i="5"/>
  <c r="G2775" i="5" a="1"/>
  <c r="G2775" i="5"/>
  <c r="F2775" i="5"/>
  <c r="J2774" i="5"/>
  <c r="H2774" i="5" a="1"/>
  <c r="H2774" i="5"/>
  <c r="G2774" i="5" a="1"/>
  <c r="G2774" i="5"/>
  <c r="F2774" i="5"/>
  <c r="J2773" i="5"/>
  <c r="H2773" i="5" a="1"/>
  <c r="H2773" i="5"/>
  <c r="G2773" i="5" a="1"/>
  <c r="G2773" i="5"/>
  <c r="F2773" i="5"/>
  <c r="J2772" i="5"/>
  <c r="H2772" i="5" a="1"/>
  <c r="H2772" i="5"/>
  <c r="G2772" i="5" a="1"/>
  <c r="G2772" i="5"/>
  <c r="F2772" i="5"/>
  <c r="J2771" i="5"/>
  <c r="H2771" i="5" a="1"/>
  <c r="H2771" i="5"/>
  <c r="G2771" i="5" a="1"/>
  <c r="G2771" i="5"/>
  <c r="F2771" i="5"/>
  <c r="J2770" i="5"/>
  <c r="H2770" i="5" a="1"/>
  <c r="H2770" i="5"/>
  <c r="G2770" i="5" a="1"/>
  <c r="G2770" i="5"/>
  <c r="F2770" i="5"/>
  <c r="J2769" i="5"/>
  <c r="H2769" i="5" a="1"/>
  <c r="H2769" i="5"/>
  <c r="G2769" i="5" a="1"/>
  <c r="G2769" i="5"/>
  <c r="F2769" i="5"/>
  <c r="J2768" i="5"/>
  <c r="H2768" i="5" a="1"/>
  <c r="H2768" i="5"/>
  <c r="G2768" i="5" a="1"/>
  <c r="G2768" i="5"/>
  <c r="F2768" i="5"/>
  <c r="J2767" i="5"/>
  <c r="H2767" i="5" a="1"/>
  <c r="H2767" i="5"/>
  <c r="G2767" i="5" a="1"/>
  <c r="G2767" i="5"/>
  <c r="F2767" i="5"/>
  <c r="J2766" i="5"/>
  <c r="H2766" i="5" a="1"/>
  <c r="H2766" i="5"/>
  <c r="G2766" i="5" a="1"/>
  <c r="G2766" i="5"/>
  <c r="F2766" i="5"/>
  <c r="J2765" i="5"/>
  <c r="H2765" i="5" a="1"/>
  <c r="H2765" i="5"/>
  <c r="G2765" i="5" a="1"/>
  <c r="G2765" i="5"/>
  <c r="F2765" i="5"/>
  <c r="J2764" i="5"/>
  <c r="H2764" i="5" a="1"/>
  <c r="H2764" i="5"/>
  <c r="G2764" i="5" a="1"/>
  <c r="G2764" i="5"/>
  <c r="F2764" i="5"/>
  <c r="J2763" i="5"/>
  <c r="H2763" i="5" a="1"/>
  <c r="H2763" i="5"/>
  <c r="G2763" i="5" a="1"/>
  <c r="G2763" i="5"/>
  <c r="F2763" i="5"/>
  <c r="J2762" i="5"/>
  <c r="H2762" i="5" a="1"/>
  <c r="H2762" i="5"/>
  <c r="G2762" i="5" a="1"/>
  <c r="G2762" i="5"/>
  <c r="F2762" i="5"/>
  <c r="J2761" i="5"/>
  <c r="H2761" i="5" a="1"/>
  <c r="H2761" i="5"/>
  <c r="G2761" i="5" a="1"/>
  <c r="G2761" i="5"/>
  <c r="F2761" i="5"/>
  <c r="J2760" i="5"/>
  <c r="H2760" i="5" a="1"/>
  <c r="H2760" i="5"/>
  <c r="G2760" i="5" a="1"/>
  <c r="G2760" i="5"/>
  <c r="F2760" i="5"/>
  <c r="J2759" i="5"/>
  <c r="H2759" i="5" a="1"/>
  <c r="H2759" i="5"/>
  <c r="G2759" i="5" a="1"/>
  <c r="G2759" i="5"/>
  <c r="F2759" i="5"/>
  <c r="J2758" i="5"/>
  <c r="H2758" i="5" a="1"/>
  <c r="H2758" i="5"/>
  <c r="G2758" i="5" a="1"/>
  <c r="G2758" i="5"/>
  <c r="F2758" i="5"/>
  <c r="J2757" i="5"/>
  <c r="H2757" i="5" a="1"/>
  <c r="H2757" i="5"/>
  <c r="G2757" i="5" a="1"/>
  <c r="G2757" i="5"/>
  <c r="F2757" i="5"/>
  <c r="J2756" i="5"/>
  <c r="H2756" i="5" a="1"/>
  <c r="H2756" i="5"/>
  <c r="G2756" i="5" a="1"/>
  <c r="G2756" i="5"/>
  <c r="F2756" i="5"/>
  <c r="J2755" i="5"/>
  <c r="H2755" i="5" a="1"/>
  <c r="H2755" i="5"/>
  <c r="G2755" i="5" a="1"/>
  <c r="G2755" i="5"/>
  <c r="F2755" i="5"/>
  <c r="J2754" i="5"/>
  <c r="H2754" i="5" a="1"/>
  <c r="H2754" i="5"/>
  <c r="G2754" i="5" a="1"/>
  <c r="G2754" i="5"/>
  <c r="F2754" i="5"/>
  <c r="J2753" i="5"/>
  <c r="H2753" i="5" a="1"/>
  <c r="H2753" i="5"/>
  <c r="G2753" i="5" a="1"/>
  <c r="G2753" i="5"/>
  <c r="F2753" i="5"/>
  <c r="J2752" i="5"/>
  <c r="H2752" i="5" a="1"/>
  <c r="H2752" i="5"/>
  <c r="G2752" i="5" a="1"/>
  <c r="G2752" i="5"/>
  <c r="F2752" i="5"/>
  <c r="J2751" i="5"/>
  <c r="H2751" i="5" a="1"/>
  <c r="H2751" i="5"/>
  <c r="G2751" i="5" a="1"/>
  <c r="G2751" i="5"/>
  <c r="F2751" i="5"/>
  <c r="J2750" i="5"/>
  <c r="H2750" i="5" a="1"/>
  <c r="H2750" i="5"/>
  <c r="G2750" i="5" a="1"/>
  <c r="G2750" i="5"/>
  <c r="F2750" i="5"/>
  <c r="J2749" i="5"/>
  <c r="H2749" i="5" a="1"/>
  <c r="H2749" i="5"/>
  <c r="G2749" i="5" a="1"/>
  <c r="G2749" i="5"/>
  <c r="F2749" i="5"/>
  <c r="J2748" i="5"/>
  <c r="H2748" i="5" a="1"/>
  <c r="H2748" i="5"/>
  <c r="G2748" i="5" a="1"/>
  <c r="G2748" i="5"/>
  <c r="F2748" i="5"/>
  <c r="J2747" i="5"/>
  <c r="H2747" i="5" a="1"/>
  <c r="H2747" i="5"/>
  <c r="G2747" i="5" a="1"/>
  <c r="G2747" i="5"/>
  <c r="F2747" i="5"/>
  <c r="J2746" i="5"/>
  <c r="H2746" i="5" a="1"/>
  <c r="H2746" i="5"/>
  <c r="G2746" i="5" a="1"/>
  <c r="G2746" i="5"/>
  <c r="F2746" i="5"/>
  <c r="J2745" i="5"/>
  <c r="H2745" i="5" a="1"/>
  <c r="H2745" i="5"/>
  <c r="G2745" i="5" a="1"/>
  <c r="G2745" i="5"/>
  <c r="F2745" i="5"/>
  <c r="J2744" i="5"/>
  <c r="H2744" i="5" a="1"/>
  <c r="H2744" i="5"/>
  <c r="G2744" i="5" a="1"/>
  <c r="G2744" i="5"/>
  <c r="F2744" i="5"/>
  <c r="J2743" i="5"/>
  <c r="H2743" i="5" a="1"/>
  <c r="H2743" i="5"/>
  <c r="G2743" i="5" a="1"/>
  <c r="G2743" i="5"/>
  <c r="F2743" i="5"/>
  <c r="J2742" i="5"/>
  <c r="H2742" i="5" a="1"/>
  <c r="H2742" i="5"/>
  <c r="G2742" i="5" a="1"/>
  <c r="G2742" i="5"/>
  <c r="F2742" i="5"/>
  <c r="J2741" i="5"/>
  <c r="H2741" i="5" a="1"/>
  <c r="H2741" i="5"/>
  <c r="G2741" i="5" a="1"/>
  <c r="G2741" i="5"/>
  <c r="F2741" i="5"/>
  <c r="J2740" i="5"/>
  <c r="H2740" i="5" a="1"/>
  <c r="H2740" i="5"/>
  <c r="G2740" i="5" a="1"/>
  <c r="G2740" i="5"/>
  <c r="F2740" i="5"/>
  <c r="J2739" i="5"/>
  <c r="H2739" i="5" a="1"/>
  <c r="H2739" i="5"/>
  <c r="G2739" i="5" a="1"/>
  <c r="G2739" i="5"/>
  <c r="F2739" i="5"/>
  <c r="J2738" i="5"/>
  <c r="H2738" i="5" a="1"/>
  <c r="H2738" i="5"/>
  <c r="G2738" i="5" a="1"/>
  <c r="G2738" i="5"/>
  <c r="F2738" i="5"/>
  <c r="J2737" i="5"/>
  <c r="H2737" i="5" a="1"/>
  <c r="H2737" i="5"/>
  <c r="G2737" i="5" a="1"/>
  <c r="G2737" i="5"/>
  <c r="F2737" i="5"/>
  <c r="J2736" i="5"/>
  <c r="H2736" i="5" a="1"/>
  <c r="H2736" i="5"/>
  <c r="G2736" i="5" a="1"/>
  <c r="G2736" i="5"/>
  <c r="F2736" i="5"/>
  <c r="J2735" i="5"/>
  <c r="H2735" i="5" a="1"/>
  <c r="H2735" i="5"/>
  <c r="G2735" i="5" a="1"/>
  <c r="G2735" i="5"/>
  <c r="F2735" i="5"/>
  <c r="J2734" i="5"/>
  <c r="H2734" i="5" a="1"/>
  <c r="H2734" i="5"/>
  <c r="G2734" i="5" a="1"/>
  <c r="G2734" i="5"/>
  <c r="F2734" i="5"/>
  <c r="J2733" i="5"/>
  <c r="H2733" i="5" a="1"/>
  <c r="H2733" i="5"/>
  <c r="G2733" i="5" a="1"/>
  <c r="G2733" i="5"/>
  <c r="F2733" i="5"/>
  <c r="J2732" i="5"/>
  <c r="H2732" i="5" a="1"/>
  <c r="H2732" i="5"/>
  <c r="G2732" i="5" a="1"/>
  <c r="G2732" i="5"/>
  <c r="F2732" i="5"/>
  <c r="J2731" i="5"/>
  <c r="H2731" i="5" a="1"/>
  <c r="H2731" i="5"/>
  <c r="G2731" i="5" a="1"/>
  <c r="G2731" i="5"/>
  <c r="F2731" i="5"/>
  <c r="J2730" i="5"/>
  <c r="H2730" i="5" a="1"/>
  <c r="H2730" i="5"/>
  <c r="G2730" i="5" a="1"/>
  <c r="G2730" i="5"/>
  <c r="F2730" i="5"/>
  <c r="J2729" i="5"/>
  <c r="H2729" i="5" a="1"/>
  <c r="H2729" i="5"/>
  <c r="G2729" i="5" a="1"/>
  <c r="G2729" i="5"/>
  <c r="F2729" i="5"/>
  <c r="J2728" i="5"/>
  <c r="H2728" i="5" a="1"/>
  <c r="H2728" i="5"/>
  <c r="G2728" i="5" a="1"/>
  <c r="G2728" i="5"/>
  <c r="F2728" i="5"/>
  <c r="J2727" i="5"/>
  <c r="H2727" i="5" a="1"/>
  <c r="H2727" i="5"/>
  <c r="G2727" i="5" a="1"/>
  <c r="G2727" i="5"/>
  <c r="F2727" i="5"/>
  <c r="J2726" i="5"/>
  <c r="H2726" i="5" a="1"/>
  <c r="H2726" i="5"/>
  <c r="G2726" i="5" a="1"/>
  <c r="G2726" i="5"/>
  <c r="F2726" i="5"/>
  <c r="J2725" i="5"/>
  <c r="H2725" i="5" a="1"/>
  <c r="H2725" i="5"/>
  <c r="G2725" i="5" a="1"/>
  <c r="G2725" i="5"/>
  <c r="F2725" i="5"/>
  <c r="J2724" i="5"/>
  <c r="H2724" i="5" a="1"/>
  <c r="H2724" i="5"/>
  <c r="G2724" i="5" a="1"/>
  <c r="G2724" i="5"/>
  <c r="F2724" i="5"/>
  <c r="J2723" i="5"/>
  <c r="H2723" i="5" a="1"/>
  <c r="H2723" i="5"/>
  <c r="G2723" i="5" a="1"/>
  <c r="G2723" i="5"/>
  <c r="F2723" i="5"/>
  <c r="J2722" i="5"/>
  <c r="H2722" i="5" a="1"/>
  <c r="H2722" i="5"/>
  <c r="G2722" i="5" a="1"/>
  <c r="G2722" i="5"/>
  <c r="F2722" i="5"/>
  <c r="J2721" i="5"/>
  <c r="H2721" i="5" a="1"/>
  <c r="H2721" i="5"/>
  <c r="G2721" i="5" a="1"/>
  <c r="G2721" i="5"/>
  <c r="F2721" i="5"/>
  <c r="J2720" i="5"/>
  <c r="H2720" i="5" a="1"/>
  <c r="H2720" i="5"/>
  <c r="G2720" i="5" a="1"/>
  <c r="G2720" i="5"/>
  <c r="F2720" i="5"/>
  <c r="J2719" i="5"/>
  <c r="H2719" i="5" a="1"/>
  <c r="H2719" i="5"/>
  <c r="G2719" i="5" a="1"/>
  <c r="G2719" i="5"/>
  <c r="F2719" i="5"/>
  <c r="J2718" i="5"/>
  <c r="H2718" i="5" a="1"/>
  <c r="H2718" i="5"/>
  <c r="G2718" i="5" a="1"/>
  <c r="G2718" i="5"/>
  <c r="F2718" i="5"/>
  <c r="J2717" i="5"/>
  <c r="H2717" i="5" a="1"/>
  <c r="H2717" i="5"/>
  <c r="G2717" i="5" a="1"/>
  <c r="G2717" i="5"/>
  <c r="F2717" i="5"/>
  <c r="J2716" i="5"/>
  <c r="H2716" i="5" a="1"/>
  <c r="H2716" i="5"/>
  <c r="G2716" i="5" a="1"/>
  <c r="G2716" i="5"/>
  <c r="F2716" i="5"/>
  <c r="J2715" i="5"/>
  <c r="H2715" i="5" a="1"/>
  <c r="H2715" i="5"/>
  <c r="G2715" i="5" a="1"/>
  <c r="G2715" i="5"/>
  <c r="F2715" i="5"/>
  <c r="J2714" i="5"/>
  <c r="H2714" i="5" a="1"/>
  <c r="H2714" i="5"/>
  <c r="G2714" i="5" a="1"/>
  <c r="G2714" i="5"/>
  <c r="F2714" i="5"/>
  <c r="J2713" i="5"/>
  <c r="H2713" i="5" a="1"/>
  <c r="H2713" i="5"/>
  <c r="G2713" i="5" a="1"/>
  <c r="G2713" i="5"/>
  <c r="F2713" i="5"/>
  <c r="J2712" i="5"/>
  <c r="H2712" i="5" a="1"/>
  <c r="H2712" i="5"/>
  <c r="G2712" i="5" a="1"/>
  <c r="G2712" i="5"/>
  <c r="F2712" i="5"/>
  <c r="J2711" i="5"/>
  <c r="H2711" i="5" a="1"/>
  <c r="H2711" i="5"/>
  <c r="G2711" i="5" a="1"/>
  <c r="G2711" i="5"/>
  <c r="F2711" i="5"/>
  <c r="J2710" i="5"/>
  <c r="H2710" i="5" a="1"/>
  <c r="H2710" i="5"/>
  <c r="G2710" i="5" a="1"/>
  <c r="G2710" i="5"/>
  <c r="F2710" i="5"/>
  <c r="J2709" i="5"/>
  <c r="H2709" i="5" a="1"/>
  <c r="H2709" i="5"/>
  <c r="G2709" i="5" a="1"/>
  <c r="G2709" i="5"/>
  <c r="F2709" i="5"/>
  <c r="J2708" i="5"/>
  <c r="H2708" i="5" a="1"/>
  <c r="H2708" i="5"/>
  <c r="G2708" i="5" a="1"/>
  <c r="G2708" i="5"/>
  <c r="F2708" i="5"/>
  <c r="J2707" i="5"/>
  <c r="H2707" i="5" a="1"/>
  <c r="H2707" i="5"/>
  <c r="G2707" i="5" a="1"/>
  <c r="G2707" i="5"/>
  <c r="F2707" i="5"/>
  <c r="J2706" i="5"/>
  <c r="H2706" i="5" a="1"/>
  <c r="H2706" i="5"/>
  <c r="G2706" i="5" a="1"/>
  <c r="G2706" i="5"/>
  <c r="F2706" i="5"/>
  <c r="J2705" i="5"/>
  <c r="H2705" i="5" a="1"/>
  <c r="H2705" i="5"/>
  <c r="G2705" i="5" a="1"/>
  <c r="G2705" i="5"/>
  <c r="F2705" i="5"/>
  <c r="J2704" i="5"/>
  <c r="H2704" i="5" a="1"/>
  <c r="H2704" i="5"/>
  <c r="G2704" i="5" a="1"/>
  <c r="G2704" i="5"/>
  <c r="F2704" i="5"/>
  <c r="J2703" i="5"/>
  <c r="H2703" i="5" a="1"/>
  <c r="H2703" i="5"/>
  <c r="G2703" i="5" a="1"/>
  <c r="G2703" i="5"/>
  <c r="F2703" i="5"/>
  <c r="J2702" i="5"/>
  <c r="H2702" i="5" a="1"/>
  <c r="H2702" i="5"/>
  <c r="G2702" i="5" a="1"/>
  <c r="G2702" i="5"/>
  <c r="F2702" i="5"/>
  <c r="J2701" i="5"/>
  <c r="H2701" i="5" a="1"/>
  <c r="H2701" i="5"/>
  <c r="G2701" i="5" a="1"/>
  <c r="G2701" i="5"/>
  <c r="F2701" i="5"/>
  <c r="J2700" i="5"/>
  <c r="H2700" i="5" a="1"/>
  <c r="H2700" i="5"/>
  <c r="G2700" i="5" a="1"/>
  <c r="G2700" i="5"/>
  <c r="F2700" i="5"/>
  <c r="J2699" i="5"/>
  <c r="H2699" i="5" a="1"/>
  <c r="H2699" i="5"/>
  <c r="G2699" i="5" a="1"/>
  <c r="G2699" i="5"/>
  <c r="F2699" i="5"/>
  <c r="J2698" i="5"/>
  <c r="H2698" i="5" a="1"/>
  <c r="H2698" i="5"/>
  <c r="G2698" i="5" a="1"/>
  <c r="G2698" i="5"/>
  <c r="F2698" i="5"/>
  <c r="J2697" i="5"/>
  <c r="H2697" i="5" a="1"/>
  <c r="H2697" i="5"/>
  <c r="G2697" i="5" a="1"/>
  <c r="G2697" i="5"/>
  <c r="F2697" i="5"/>
  <c r="J2696" i="5"/>
  <c r="H2696" i="5" a="1"/>
  <c r="H2696" i="5"/>
  <c r="G2696" i="5" a="1"/>
  <c r="G2696" i="5"/>
  <c r="F2696" i="5"/>
  <c r="J2695" i="5"/>
  <c r="H2695" i="5" a="1"/>
  <c r="H2695" i="5"/>
  <c r="G2695" i="5" a="1"/>
  <c r="G2695" i="5"/>
  <c r="F2695" i="5"/>
  <c r="J2694" i="5"/>
  <c r="H2694" i="5" a="1"/>
  <c r="H2694" i="5"/>
  <c r="G2694" i="5" a="1"/>
  <c r="G2694" i="5"/>
  <c r="F2694" i="5"/>
  <c r="J2693" i="5"/>
  <c r="H2693" i="5" a="1"/>
  <c r="H2693" i="5"/>
  <c r="G2693" i="5" a="1"/>
  <c r="G2693" i="5"/>
  <c r="F2693" i="5"/>
  <c r="J2692" i="5"/>
  <c r="H2692" i="5" a="1"/>
  <c r="H2692" i="5"/>
  <c r="G2692" i="5" a="1"/>
  <c r="G2692" i="5"/>
  <c r="F2692" i="5"/>
  <c r="J2691" i="5"/>
  <c r="H2691" i="5" a="1"/>
  <c r="H2691" i="5"/>
  <c r="G2691" i="5" a="1"/>
  <c r="G2691" i="5"/>
  <c r="F2691" i="5"/>
  <c r="J2690" i="5"/>
  <c r="H2690" i="5" a="1"/>
  <c r="H2690" i="5"/>
  <c r="G2690" i="5" a="1"/>
  <c r="G2690" i="5"/>
  <c r="F2690" i="5"/>
  <c r="J2689" i="5"/>
  <c r="H2689" i="5" a="1"/>
  <c r="H2689" i="5"/>
  <c r="G2689" i="5" a="1"/>
  <c r="G2689" i="5"/>
  <c r="F2689" i="5"/>
  <c r="J2688" i="5"/>
  <c r="H2688" i="5" a="1"/>
  <c r="H2688" i="5"/>
  <c r="G2688" i="5" a="1"/>
  <c r="G2688" i="5"/>
  <c r="F2688" i="5"/>
  <c r="J2687" i="5"/>
  <c r="H2687" i="5" a="1"/>
  <c r="H2687" i="5"/>
  <c r="G2687" i="5" a="1"/>
  <c r="G2687" i="5"/>
  <c r="F2687" i="5"/>
  <c r="J2686" i="5"/>
  <c r="H2686" i="5" a="1"/>
  <c r="H2686" i="5"/>
  <c r="G2686" i="5" a="1"/>
  <c r="G2686" i="5"/>
  <c r="F2686" i="5"/>
  <c r="J2685" i="5"/>
  <c r="H2685" i="5" a="1"/>
  <c r="H2685" i="5"/>
  <c r="G2685" i="5" a="1"/>
  <c r="G2685" i="5"/>
  <c r="F2685" i="5"/>
  <c r="J2684" i="5"/>
  <c r="H2684" i="5" a="1"/>
  <c r="H2684" i="5"/>
  <c r="G2684" i="5" a="1"/>
  <c r="G2684" i="5"/>
  <c r="F2684" i="5"/>
  <c r="J2683" i="5"/>
  <c r="H2683" i="5" a="1"/>
  <c r="H2683" i="5"/>
  <c r="G2683" i="5" a="1"/>
  <c r="G2683" i="5"/>
  <c r="F2683" i="5"/>
  <c r="J2682" i="5"/>
  <c r="H2682" i="5" a="1"/>
  <c r="H2682" i="5"/>
  <c r="G2682" i="5" a="1"/>
  <c r="G2682" i="5"/>
  <c r="F2682" i="5"/>
  <c r="J2681" i="5"/>
  <c r="H2681" i="5" a="1"/>
  <c r="H2681" i="5"/>
  <c r="G2681" i="5" a="1"/>
  <c r="G2681" i="5"/>
  <c r="F2681" i="5"/>
  <c r="J2680" i="5"/>
  <c r="H2680" i="5" a="1"/>
  <c r="H2680" i="5"/>
  <c r="G2680" i="5" a="1"/>
  <c r="G2680" i="5"/>
  <c r="F2680" i="5"/>
  <c r="J2679" i="5"/>
  <c r="H2679" i="5" a="1"/>
  <c r="H2679" i="5"/>
  <c r="G2679" i="5" a="1"/>
  <c r="G2679" i="5"/>
  <c r="F2679" i="5"/>
  <c r="J2678" i="5"/>
  <c r="H2678" i="5" a="1"/>
  <c r="H2678" i="5"/>
  <c r="G2678" i="5" a="1"/>
  <c r="G2678" i="5"/>
  <c r="F2678" i="5"/>
  <c r="J2677" i="5"/>
  <c r="H2677" i="5" a="1"/>
  <c r="H2677" i="5"/>
  <c r="G2677" i="5" a="1"/>
  <c r="G2677" i="5"/>
  <c r="F2677" i="5"/>
  <c r="J2676" i="5"/>
  <c r="H2676" i="5" a="1"/>
  <c r="H2676" i="5"/>
  <c r="G2676" i="5" a="1"/>
  <c r="G2676" i="5"/>
  <c r="F2676" i="5"/>
  <c r="J2675" i="5"/>
  <c r="H2675" i="5" a="1"/>
  <c r="H2675" i="5"/>
  <c r="G2675" i="5" a="1"/>
  <c r="G2675" i="5"/>
  <c r="F2675" i="5"/>
  <c r="J2674" i="5"/>
  <c r="H2674" i="5" a="1"/>
  <c r="H2674" i="5"/>
  <c r="G2674" i="5" a="1"/>
  <c r="G2674" i="5"/>
  <c r="F2674" i="5"/>
  <c r="J2673" i="5"/>
  <c r="H2673" i="5" a="1"/>
  <c r="H2673" i="5"/>
  <c r="G2673" i="5" a="1"/>
  <c r="G2673" i="5"/>
  <c r="F2673" i="5"/>
  <c r="J2672" i="5"/>
  <c r="H2672" i="5" a="1"/>
  <c r="H2672" i="5"/>
  <c r="G2672" i="5" a="1"/>
  <c r="G2672" i="5"/>
  <c r="F2672" i="5"/>
  <c r="J2671" i="5"/>
  <c r="H2671" i="5" a="1"/>
  <c r="H2671" i="5"/>
  <c r="G2671" i="5" a="1"/>
  <c r="G2671" i="5"/>
  <c r="F2671" i="5"/>
  <c r="J2670" i="5"/>
  <c r="H2670" i="5" a="1"/>
  <c r="H2670" i="5"/>
  <c r="G2670" i="5" a="1"/>
  <c r="G2670" i="5"/>
  <c r="F2670" i="5"/>
  <c r="J2669" i="5"/>
  <c r="H2669" i="5" a="1"/>
  <c r="H2669" i="5"/>
  <c r="G2669" i="5" a="1"/>
  <c r="G2669" i="5"/>
  <c r="F2669" i="5"/>
  <c r="J2668" i="5"/>
  <c r="H2668" i="5" a="1"/>
  <c r="H2668" i="5"/>
  <c r="G2668" i="5" a="1"/>
  <c r="G2668" i="5"/>
  <c r="F2668" i="5"/>
  <c r="J2667" i="5"/>
  <c r="H2667" i="5" a="1"/>
  <c r="H2667" i="5"/>
  <c r="G2667" i="5" a="1"/>
  <c r="G2667" i="5"/>
  <c r="F2667" i="5"/>
  <c r="J2666" i="5"/>
  <c r="H2666" i="5" a="1"/>
  <c r="H2666" i="5"/>
  <c r="G2666" i="5" a="1"/>
  <c r="G2666" i="5"/>
  <c r="F2666" i="5"/>
  <c r="J2665" i="5"/>
  <c r="H2665" i="5" a="1"/>
  <c r="H2665" i="5"/>
  <c r="G2665" i="5" a="1"/>
  <c r="G2665" i="5"/>
  <c r="F2665" i="5"/>
  <c r="J2664" i="5"/>
  <c r="H2664" i="5" a="1"/>
  <c r="H2664" i="5"/>
  <c r="G2664" i="5" a="1"/>
  <c r="G2664" i="5"/>
  <c r="F2664" i="5"/>
  <c r="J2663" i="5"/>
  <c r="H2663" i="5" a="1"/>
  <c r="H2663" i="5"/>
  <c r="G2663" i="5" a="1"/>
  <c r="G2663" i="5"/>
  <c r="F2663" i="5"/>
  <c r="J2662" i="5"/>
  <c r="H2662" i="5" a="1"/>
  <c r="H2662" i="5"/>
  <c r="G2662" i="5" a="1"/>
  <c r="G2662" i="5"/>
  <c r="F2662" i="5"/>
  <c r="J2661" i="5"/>
  <c r="H2661" i="5" a="1"/>
  <c r="H2661" i="5"/>
  <c r="G2661" i="5" a="1"/>
  <c r="G2661" i="5"/>
  <c r="F2661" i="5"/>
  <c r="J2660" i="5"/>
  <c r="H2660" i="5" a="1"/>
  <c r="H2660" i="5"/>
  <c r="G2660" i="5" a="1"/>
  <c r="G2660" i="5"/>
  <c r="F2660" i="5"/>
  <c r="J2659" i="5"/>
  <c r="H2659" i="5" a="1"/>
  <c r="H2659" i="5"/>
  <c r="G2659" i="5" a="1"/>
  <c r="G2659" i="5"/>
  <c r="F2659" i="5"/>
  <c r="J2658" i="5"/>
  <c r="H2658" i="5" a="1"/>
  <c r="H2658" i="5"/>
  <c r="G2658" i="5" a="1"/>
  <c r="G2658" i="5"/>
  <c r="F2658" i="5"/>
  <c r="J2657" i="5"/>
  <c r="H2657" i="5" a="1"/>
  <c r="H2657" i="5"/>
  <c r="G2657" i="5" a="1"/>
  <c r="G2657" i="5"/>
  <c r="F2657" i="5"/>
  <c r="J2656" i="5"/>
  <c r="H2656" i="5" a="1"/>
  <c r="H2656" i="5"/>
  <c r="G2656" i="5" a="1"/>
  <c r="G2656" i="5"/>
  <c r="F2656" i="5"/>
  <c r="J2655" i="5"/>
  <c r="H2655" i="5" a="1"/>
  <c r="H2655" i="5"/>
  <c r="G2655" i="5" a="1"/>
  <c r="G2655" i="5"/>
  <c r="F2655" i="5"/>
  <c r="J2654" i="5"/>
  <c r="H2654" i="5" a="1"/>
  <c r="H2654" i="5"/>
  <c r="G2654" i="5" a="1"/>
  <c r="G2654" i="5"/>
  <c r="F2654" i="5"/>
  <c r="J2653" i="5"/>
  <c r="H2653" i="5" a="1"/>
  <c r="H2653" i="5"/>
  <c r="G2653" i="5" a="1"/>
  <c r="G2653" i="5"/>
  <c r="F2653" i="5"/>
  <c r="J2652" i="5"/>
  <c r="H2652" i="5" a="1"/>
  <c r="H2652" i="5"/>
  <c r="G2652" i="5" a="1"/>
  <c r="G2652" i="5"/>
  <c r="F2652" i="5"/>
  <c r="J2651" i="5"/>
  <c r="H2651" i="5" a="1"/>
  <c r="H2651" i="5"/>
  <c r="G2651" i="5" a="1"/>
  <c r="G2651" i="5"/>
  <c r="F2651" i="5"/>
  <c r="J2650" i="5"/>
  <c r="H2650" i="5" a="1"/>
  <c r="H2650" i="5"/>
  <c r="G2650" i="5" a="1"/>
  <c r="G2650" i="5"/>
  <c r="F2650" i="5"/>
  <c r="J2649" i="5"/>
  <c r="H2649" i="5" a="1"/>
  <c r="H2649" i="5"/>
  <c r="G2649" i="5" a="1"/>
  <c r="G2649" i="5"/>
  <c r="F2649" i="5"/>
  <c r="J2648" i="5"/>
  <c r="H2648" i="5" a="1"/>
  <c r="H2648" i="5"/>
  <c r="G2648" i="5" a="1"/>
  <c r="G2648" i="5"/>
  <c r="F2648" i="5"/>
  <c r="J2647" i="5"/>
  <c r="H2647" i="5" a="1"/>
  <c r="H2647" i="5"/>
  <c r="G2647" i="5" a="1"/>
  <c r="G2647" i="5"/>
  <c r="F2647" i="5"/>
  <c r="J2646" i="5"/>
  <c r="H2646" i="5" a="1"/>
  <c r="H2646" i="5"/>
  <c r="G2646" i="5" a="1"/>
  <c r="G2646" i="5"/>
  <c r="F2646" i="5"/>
  <c r="J2645" i="5"/>
  <c r="H2645" i="5" a="1"/>
  <c r="H2645" i="5"/>
  <c r="G2645" i="5" a="1"/>
  <c r="G2645" i="5"/>
  <c r="F2645" i="5"/>
  <c r="J2644" i="5"/>
  <c r="H2644" i="5" a="1"/>
  <c r="H2644" i="5"/>
  <c r="G2644" i="5" a="1"/>
  <c r="G2644" i="5"/>
  <c r="F2644" i="5"/>
  <c r="J2643" i="5"/>
  <c r="H2643" i="5" a="1"/>
  <c r="H2643" i="5"/>
  <c r="G2643" i="5" a="1"/>
  <c r="G2643" i="5"/>
  <c r="F2643" i="5"/>
  <c r="J2642" i="5"/>
  <c r="H2642" i="5" a="1"/>
  <c r="H2642" i="5"/>
  <c r="G2642" i="5" a="1"/>
  <c r="G2642" i="5"/>
  <c r="F2642" i="5"/>
  <c r="J2641" i="5"/>
  <c r="H2641" i="5" a="1"/>
  <c r="H2641" i="5"/>
  <c r="G2641" i="5" a="1"/>
  <c r="G2641" i="5"/>
  <c r="F2641" i="5"/>
  <c r="J2640" i="5"/>
  <c r="H2640" i="5" a="1"/>
  <c r="H2640" i="5"/>
  <c r="G2640" i="5" a="1"/>
  <c r="G2640" i="5"/>
  <c r="F2640" i="5"/>
  <c r="J2639" i="5"/>
  <c r="H2639" i="5" a="1"/>
  <c r="H2639" i="5"/>
  <c r="G2639" i="5" a="1"/>
  <c r="G2639" i="5"/>
  <c r="F2639" i="5"/>
  <c r="J2638" i="5"/>
  <c r="H2638" i="5" a="1"/>
  <c r="H2638" i="5"/>
  <c r="G2638" i="5" a="1"/>
  <c r="G2638" i="5"/>
  <c r="F2638" i="5"/>
  <c r="J2637" i="5"/>
  <c r="H2637" i="5" a="1"/>
  <c r="H2637" i="5"/>
  <c r="G2637" i="5" a="1"/>
  <c r="G2637" i="5"/>
  <c r="F2637" i="5"/>
  <c r="J2636" i="5"/>
  <c r="H2636" i="5" a="1"/>
  <c r="H2636" i="5"/>
  <c r="G2636" i="5" a="1"/>
  <c r="G2636" i="5"/>
  <c r="F2636" i="5"/>
  <c r="J2635" i="5"/>
  <c r="H2635" i="5" a="1"/>
  <c r="H2635" i="5"/>
  <c r="G2635" i="5" a="1"/>
  <c r="G2635" i="5"/>
  <c r="F2635" i="5"/>
  <c r="J2634" i="5"/>
  <c r="H2634" i="5" a="1"/>
  <c r="H2634" i="5"/>
  <c r="G2634" i="5" a="1"/>
  <c r="G2634" i="5"/>
  <c r="F2634" i="5"/>
  <c r="J2633" i="5"/>
  <c r="H2633" i="5" a="1"/>
  <c r="H2633" i="5"/>
  <c r="G2633" i="5" a="1"/>
  <c r="G2633" i="5"/>
  <c r="F2633" i="5"/>
  <c r="J2632" i="5"/>
  <c r="H2632" i="5" a="1"/>
  <c r="H2632" i="5"/>
  <c r="G2632" i="5" a="1"/>
  <c r="G2632" i="5"/>
  <c r="F2632" i="5"/>
  <c r="J2631" i="5"/>
  <c r="H2631" i="5" a="1"/>
  <c r="H2631" i="5"/>
  <c r="G2631" i="5" a="1"/>
  <c r="G2631" i="5"/>
  <c r="F2631" i="5"/>
  <c r="J2630" i="5"/>
  <c r="H2630" i="5" a="1"/>
  <c r="H2630" i="5"/>
  <c r="G2630" i="5" a="1"/>
  <c r="G2630" i="5"/>
  <c r="F2630" i="5"/>
  <c r="J2629" i="5"/>
  <c r="H2629" i="5" a="1"/>
  <c r="H2629" i="5"/>
  <c r="G2629" i="5" a="1"/>
  <c r="G2629" i="5"/>
  <c r="F2629" i="5"/>
  <c r="J2628" i="5"/>
  <c r="H2628" i="5" a="1"/>
  <c r="H2628" i="5"/>
  <c r="G2628" i="5" a="1"/>
  <c r="G2628" i="5"/>
  <c r="F2628" i="5"/>
  <c r="J2627" i="5"/>
  <c r="H2627" i="5" a="1"/>
  <c r="H2627" i="5"/>
  <c r="G2627" i="5" a="1"/>
  <c r="G2627" i="5"/>
  <c r="F2627" i="5"/>
  <c r="J2626" i="5"/>
  <c r="H2626" i="5" a="1"/>
  <c r="H2626" i="5"/>
  <c r="G2626" i="5" a="1"/>
  <c r="G2626" i="5"/>
  <c r="F2626" i="5"/>
  <c r="J2625" i="5"/>
  <c r="H2625" i="5" a="1"/>
  <c r="H2625" i="5"/>
  <c r="G2625" i="5" a="1"/>
  <c r="G2625" i="5"/>
  <c r="F2625" i="5"/>
  <c r="J2624" i="5"/>
  <c r="H2624" i="5" a="1"/>
  <c r="H2624" i="5"/>
  <c r="G2624" i="5" a="1"/>
  <c r="G2624" i="5"/>
  <c r="F2624" i="5"/>
  <c r="J2623" i="5"/>
  <c r="H2623" i="5" a="1"/>
  <c r="H2623" i="5"/>
  <c r="G2623" i="5" a="1"/>
  <c r="G2623" i="5"/>
  <c r="F2623" i="5"/>
  <c r="J2622" i="5"/>
  <c r="H2622" i="5" a="1"/>
  <c r="H2622" i="5"/>
  <c r="G2622" i="5" a="1"/>
  <c r="G2622" i="5"/>
  <c r="F2622" i="5"/>
  <c r="J2621" i="5"/>
  <c r="H2621" i="5" a="1"/>
  <c r="H2621" i="5"/>
  <c r="G2621" i="5" a="1"/>
  <c r="G2621" i="5"/>
  <c r="F2621" i="5"/>
  <c r="J2620" i="5"/>
  <c r="H2620" i="5" a="1"/>
  <c r="H2620" i="5"/>
  <c r="G2620" i="5" a="1"/>
  <c r="G2620" i="5"/>
  <c r="F2620" i="5"/>
  <c r="J2619" i="5"/>
  <c r="H2619" i="5" a="1"/>
  <c r="H2619" i="5"/>
  <c r="G2619" i="5" a="1"/>
  <c r="G2619" i="5"/>
  <c r="F2619" i="5"/>
  <c r="J2618" i="5"/>
  <c r="H2618" i="5" a="1"/>
  <c r="H2618" i="5"/>
  <c r="G2618" i="5" a="1"/>
  <c r="G2618" i="5"/>
  <c r="F2618" i="5"/>
  <c r="J2617" i="5"/>
  <c r="H2617" i="5" a="1"/>
  <c r="H2617" i="5"/>
  <c r="G2617" i="5" a="1"/>
  <c r="G2617" i="5"/>
  <c r="F2617" i="5"/>
  <c r="J2616" i="5"/>
  <c r="H2616" i="5" a="1"/>
  <c r="H2616" i="5"/>
  <c r="G2616" i="5" a="1"/>
  <c r="G2616" i="5"/>
  <c r="F2616" i="5"/>
  <c r="J2615" i="5"/>
  <c r="H2615" i="5" a="1"/>
  <c r="H2615" i="5"/>
  <c r="G2615" i="5" a="1"/>
  <c r="G2615" i="5"/>
  <c r="F2615" i="5"/>
  <c r="J2614" i="5"/>
  <c r="H2614" i="5" a="1"/>
  <c r="H2614" i="5"/>
  <c r="G2614" i="5" a="1"/>
  <c r="G2614" i="5"/>
  <c r="F2614" i="5"/>
  <c r="J2613" i="5"/>
  <c r="H2613" i="5" a="1"/>
  <c r="H2613" i="5"/>
  <c r="G2613" i="5" a="1"/>
  <c r="G2613" i="5"/>
  <c r="F2613" i="5"/>
  <c r="J2612" i="5"/>
  <c r="H2612" i="5" a="1"/>
  <c r="H2612" i="5"/>
  <c r="G2612" i="5" a="1"/>
  <c r="G2612" i="5"/>
  <c r="F2612" i="5"/>
  <c r="J2611" i="5"/>
  <c r="H2611" i="5" a="1"/>
  <c r="H2611" i="5"/>
  <c r="G2611" i="5" a="1"/>
  <c r="G2611" i="5"/>
  <c r="F2611" i="5"/>
  <c r="J2610" i="5"/>
  <c r="H2610" i="5" a="1"/>
  <c r="H2610" i="5"/>
  <c r="G2610" i="5" a="1"/>
  <c r="G2610" i="5"/>
  <c r="F2610" i="5"/>
  <c r="J2609" i="5"/>
  <c r="H2609" i="5" a="1"/>
  <c r="H2609" i="5"/>
  <c r="G2609" i="5" a="1"/>
  <c r="G2609" i="5"/>
  <c r="F2609" i="5"/>
  <c r="J2608" i="5"/>
  <c r="H2608" i="5" a="1"/>
  <c r="H2608" i="5"/>
  <c r="G2608" i="5" a="1"/>
  <c r="G2608" i="5"/>
  <c r="F2608" i="5"/>
  <c r="J2607" i="5"/>
  <c r="H2607" i="5" a="1"/>
  <c r="H2607" i="5"/>
  <c r="G2607" i="5" a="1"/>
  <c r="G2607" i="5"/>
  <c r="F2607" i="5"/>
  <c r="J2606" i="5"/>
  <c r="H2606" i="5" a="1"/>
  <c r="H2606" i="5"/>
  <c r="G2606" i="5" a="1"/>
  <c r="G2606" i="5"/>
  <c r="F2606" i="5"/>
  <c r="J2605" i="5"/>
  <c r="H2605" i="5" a="1"/>
  <c r="H2605" i="5"/>
  <c r="G2605" i="5" a="1"/>
  <c r="G2605" i="5"/>
  <c r="F2605" i="5"/>
  <c r="J2604" i="5"/>
  <c r="H2604" i="5" a="1"/>
  <c r="H2604" i="5"/>
  <c r="G2604" i="5" a="1"/>
  <c r="G2604" i="5"/>
  <c r="F2604" i="5"/>
  <c r="J2603" i="5"/>
  <c r="H2603" i="5" a="1"/>
  <c r="H2603" i="5"/>
  <c r="G2603" i="5" a="1"/>
  <c r="G2603" i="5"/>
  <c r="F2603" i="5"/>
  <c r="J2602" i="5"/>
  <c r="H2602" i="5" a="1"/>
  <c r="H2602" i="5"/>
  <c r="G2602" i="5" a="1"/>
  <c r="G2602" i="5"/>
  <c r="F2602" i="5"/>
  <c r="J2601" i="5"/>
  <c r="H2601" i="5" a="1"/>
  <c r="H2601" i="5"/>
  <c r="G2601" i="5" a="1"/>
  <c r="G2601" i="5"/>
  <c r="F2601" i="5"/>
  <c r="J2600" i="5"/>
  <c r="H2600" i="5" a="1"/>
  <c r="H2600" i="5"/>
  <c r="G2600" i="5" a="1"/>
  <c r="G2600" i="5"/>
  <c r="F2600" i="5"/>
  <c r="J2599" i="5"/>
  <c r="H2599" i="5" a="1"/>
  <c r="H2599" i="5"/>
  <c r="G2599" i="5" a="1"/>
  <c r="G2599" i="5"/>
  <c r="F2599" i="5"/>
  <c r="J2598" i="5"/>
  <c r="H2598" i="5" a="1"/>
  <c r="H2598" i="5"/>
  <c r="G2598" i="5" a="1"/>
  <c r="G2598" i="5"/>
  <c r="F2598" i="5"/>
  <c r="J2597" i="5"/>
  <c r="H2597" i="5" a="1"/>
  <c r="H2597" i="5"/>
  <c r="G2597" i="5" a="1"/>
  <c r="G2597" i="5"/>
  <c r="F2597" i="5"/>
  <c r="J2596" i="5"/>
  <c r="H2596" i="5" a="1"/>
  <c r="H2596" i="5"/>
  <c r="G2596" i="5" a="1"/>
  <c r="G2596" i="5"/>
  <c r="F2596" i="5"/>
  <c r="J2595" i="5"/>
  <c r="H2595" i="5" a="1"/>
  <c r="H2595" i="5"/>
  <c r="G2595" i="5" a="1"/>
  <c r="G2595" i="5"/>
  <c r="F2595" i="5"/>
  <c r="J2594" i="5"/>
  <c r="H2594" i="5" a="1"/>
  <c r="H2594" i="5"/>
  <c r="G2594" i="5" a="1"/>
  <c r="G2594" i="5"/>
  <c r="F2594" i="5"/>
  <c r="J2593" i="5"/>
  <c r="H2593" i="5" a="1"/>
  <c r="H2593" i="5"/>
  <c r="G2593" i="5" a="1"/>
  <c r="G2593" i="5"/>
  <c r="F2593" i="5"/>
  <c r="J2592" i="5"/>
  <c r="H2592" i="5" a="1"/>
  <c r="H2592" i="5"/>
  <c r="G2592" i="5" a="1"/>
  <c r="G2592" i="5"/>
  <c r="F2592" i="5"/>
  <c r="J2591" i="5"/>
  <c r="H2591" i="5" a="1"/>
  <c r="H2591" i="5"/>
  <c r="G2591" i="5" a="1"/>
  <c r="G2591" i="5"/>
  <c r="F2591" i="5"/>
  <c r="J2590" i="5"/>
  <c r="H2590" i="5" a="1"/>
  <c r="H2590" i="5"/>
  <c r="G2590" i="5" a="1"/>
  <c r="G2590" i="5"/>
  <c r="F2590" i="5"/>
  <c r="J2589" i="5"/>
  <c r="H2589" i="5" a="1"/>
  <c r="H2589" i="5"/>
  <c r="G2589" i="5" a="1"/>
  <c r="G2589" i="5"/>
  <c r="F2589" i="5"/>
  <c r="J2588" i="5"/>
  <c r="H2588" i="5" a="1"/>
  <c r="H2588" i="5"/>
  <c r="G2588" i="5" a="1"/>
  <c r="G2588" i="5"/>
  <c r="F2588" i="5"/>
  <c r="J2587" i="5"/>
  <c r="H2587" i="5" a="1"/>
  <c r="H2587" i="5"/>
  <c r="G2587" i="5" a="1"/>
  <c r="G2587" i="5"/>
  <c r="F2587" i="5"/>
  <c r="J2586" i="5"/>
  <c r="H2586" i="5" a="1"/>
  <c r="H2586" i="5"/>
  <c r="G2586" i="5" a="1"/>
  <c r="G2586" i="5"/>
  <c r="F2586" i="5"/>
  <c r="J2585" i="5"/>
  <c r="H2585" i="5" a="1"/>
  <c r="H2585" i="5"/>
  <c r="G2585" i="5" a="1"/>
  <c r="G2585" i="5"/>
  <c r="F2585" i="5"/>
  <c r="J2584" i="5"/>
  <c r="H2584" i="5" a="1"/>
  <c r="H2584" i="5"/>
  <c r="G2584" i="5" a="1"/>
  <c r="G2584" i="5"/>
  <c r="F2584" i="5"/>
  <c r="J2583" i="5"/>
  <c r="H2583" i="5" a="1"/>
  <c r="H2583" i="5"/>
  <c r="G2583" i="5" a="1"/>
  <c r="G2583" i="5"/>
  <c r="F2583" i="5"/>
  <c r="J2582" i="5"/>
  <c r="H2582" i="5" a="1"/>
  <c r="H2582" i="5"/>
  <c r="G2582" i="5" a="1"/>
  <c r="G2582" i="5"/>
  <c r="F2582" i="5"/>
  <c r="J2581" i="5"/>
  <c r="H2581" i="5" a="1"/>
  <c r="H2581" i="5"/>
  <c r="G2581" i="5" a="1"/>
  <c r="G2581" i="5"/>
  <c r="F2581" i="5"/>
  <c r="J2580" i="5"/>
  <c r="H2580" i="5" a="1"/>
  <c r="H2580" i="5"/>
  <c r="G2580" i="5" a="1"/>
  <c r="G2580" i="5"/>
  <c r="F2580" i="5"/>
  <c r="J2579" i="5"/>
  <c r="H2579" i="5" a="1"/>
  <c r="H2579" i="5"/>
  <c r="G2579" i="5" a="1"/>
  <c r="G2579" i="5"/>
  <c r="F2579" i="5"/>
  <c r="J2578" i="5"/>
  <c r="H2578" i="5" a="1"/>
  <c r="H2578" i="5"/>
  <c r="G2578" i="5" a="1"/>
  <c r="G2578" i="5"/>
  <c r="F2578" i="5"/>
  <c r="J2577" i="5"/>
  <c r="H2577" i="5" a="1"/>
  <c r="H2577" i="5"/>
  <c r="G2577" i="5" a="1"/>
  <c r="G2577" i="5"/>
  <c r="F2577" i="5"/>
  <c r="J2576" i="5"/>
  <c r="H2576" i="5" a="1"/>
  <c r="H2576" i="5"/>
  <c r="G2576" i="5" a="1"/>
  <c r="G2576" i="5"/>
  <c r="F2576" i="5"/>
  <c r="J2575" i="5"/>
  <c r="H2575" i="5" a="1"/>
  <c r="H2575" i="5"/>
  <c r="G2575" i="5" a="1"/>
  <c r="G2575" i="5"/>
  <c r="F2575" i="5"/>
  <c r="J2574" i="5"/>
  <c r="H2574" i="5" a="1"/>
  <c r="H2574" i="5"/>
  <c r="G2574" i="5" a="1"/>
  <c r="G2574" i="5"/>
  <c r="F2574" i="5"/>
  <c r="J2573" i="5"/>
  <c r="H2573" i="5" a="1"/>
  <c r="H2573" i="5"/>
  <c r="G2573" i="5" a="1"/>
  <c r="G2573" i="5"/>
  <c r="F2573" i="5"/>
  <c r="J2572" i="5"/>
  <c r="H2572" i="5" a="1"/>
  <c r="H2572" i="5"/>
  <c r="G2572" i="5" a="1"/>
  <c r="G2572" i="5"/>
  <c r="F2572" i="5"/>
  <c r="J2571" i="5"/>
  <c r="H2571" i="5" a="1"/>
  <c r="H2571" i="5"/>
  <c r="G2571" i="5" a="1"/>
  <c r="G2571" i="5"/>
  <c r="F2571" i="5"/>
  <c r="J2570" i="5"/>
  <c r="H2570" i="5" a="1"/>
  <c r="H2570" i="5"/>
  <c r="G2570" i="5" a="1"/>
  <c r="G2570" i="5"/>
  <c r="F2570" i="5"/>
  <c r="J2569" i="5"/>
  <c r="H2569" i="5" a="1"/>
  <c r="H2569" i="5"/>
  <c r="G2569" i="5" a="1"/>
  <c r="G2569" i="5"/>
  <c r="F2569" i="5"/>
  <c r="J2568" i="5"/>
  <c r="H2568" i="5" a="1"/>
  <c r="H2568" i="5"/>
  <c r="G2568" i="5" a="1"/>
  <c r="G2568" i="5"/>
  <c r="F2568" i="5"/>
  <c r="J2567" i="5"/>
  <c r="H2567" i="5" a="1"/>
  <c r="H2567" i="5"/>
  <c r="G2567" i="5" a="1"/>
  <c r="G2567" i="5"/>
  <c r="F2567" i="5"/>
  <c r="J2566" i="5"/>
  <c r="H2566" i="5" a="1"/>
  <c r="H2566" i="5"/>
  <c r="G2566" i="5" a="1"/>
  <c r="G2566" i="5"/>
  <c r="F2566" i="5"/>
  <c r="J2565" i="5"/>
  <c r="H2565" i="5" a="1"/>
  <c r="H2565" i="5"/>
  <c r="G2565" i="5" a="1"/>
  <c r="G2565" i="5"/>
  <c r="F2565" i="5"/>
  <c r="J2564" i="5"/>
  <c r="H2564" i="5" a="1"/>
  <c r="H2564" i="5"/>
  <c r="G2564" i="5" a="1"/>
  <c r="G2564" i="5"/>
  <c r="F2564" i="5"/>
  <c r="J2563" i="5"/>
  <c r="H2563" i="5" a="1"/>
  <c r="H2563" i="5"/>
  <c r="G2563" i="5" a="1"/>
  <c r="G2563" i="5"/>
  <c r="F2563" i="5"/>
  <c r="J2562" i="5"/>
  <c r="H2562" i="5" a="1"/>
  <c r="H2562" i="5"/>
  <c r="G2562" i="5" a="1"/>
  <c r="G2562" i="5"/>
  <c r="F2562" i="5"/>
  <c r="J2561" i="5"/>
  <c r="H2561" i="5" a="1"/>
  <c r="H2561" i="5"/>
  <c r="G2561" i="5" a="1"/>
  <c r="G2561" i="5"/>
  <c r="F2561" i="5"/>
  <c r="J2560" i="5"/>
  <c r="H2560" i="5" a="1"/>
  <c r="H2560" i="5"/>
  <c r="G2560" i="5" a="1"/>
  <c r="G2560" i="5"/>
  <c r="F2560" i="5"/>
  <c r="J2559" i="5"/>
  <c r="H2559" i="5" a="1"/>
  <c r="H2559" i="5"/>
  <c r="G2559" i="5" a="1"/>
  <c r="G2559" i="5"/>
  <c r="F2559" i="5"/>
  <c r="J2558" i="5"/>
  <c r="H2558" i="5" a="1"/>
  <c r="H2558" i="5"/>
  <c r="G2558" i="5" a="1"/>
  <c r="G2558" i="5"/>
  <c r="F2558" i="5"/>
  <c r="J2557" i="5"/>
  <c r="H2557" i="5" a="1"/>
  <c r="H2557" i="5"/>
  <c r="G2557" i="5" a="1"/>
  <c r="G2557" i="5"/>
  <c r="F2557" i="5"/>
  <c r="J2556" i="5"/>
  <c r="H2556" i="5" a="1"/>
  <c r="H2556" i="5"/>
  <c r="G2556" i="5" a="1"/>
  <c r="G2556" i="5"/>
  <c r="F2556" i="5"/>
  <c r="J2555" i="5"/>
  <c r="H2555" i="5" a="1"/>
  <c r="H2555" i="5"/>
  <c r="G2555" i="5" a="1"/>
  <c r="G2555" i="5"/>
  <c r="F2555" i="5"/>
  <c r="J2554" i="5"/>
  <c r="H2554" i="5" a="1"/>
  <c r="H2554" i="5"/>
  <c r="G2554" i="5" a="1"/>
  <c r="G2554" i="5"/>
  <c r="F2554" i="5"/>
  <c r="J2553" i="5"/>
  <c r="H2553" i="5" a="1"/>
  <c r="H2553" i="5"/>
  <c r="G2553" i="5" a="1"/>
  <c r="G2553" i="5"/>
  <c r="F2553" i="5"/>
  <c r="J2552" i="5"/>
  <c r="H2552" i="5" a="1"/>
  <c r="H2552" i="5"/>
  <c r="G2552" i="5" a="1"/>
  <c r="G2552" i="5"/>
  <c r="F2552" i="5"/>
  <c r="J2551" i="5"/>
  <c r="H2551" i="5" a="1"/>
  <c r="H2551" i="5"/>
  <c r="G2551" i="5" a="1"/>
  <c r="G2551" i="5"/>
  <c r="F2551" i="5"/>
  <c r="J2550" i="5"/>
  <c r="H2550" i="5" a="1"/>
  <c r="H2550" i="5"/>
  <c r="G2550" i="5" a="1"/>
  <c r="G2550" i="5"/>
  <c r="F2550" i="5"/>
  <c r="J2549" i="5"/>
  <c r="H2549" i="5" a="1"/>
  <c r="H2549" i="5"/>
  <c r="G2549" i="5" a="1"/>
  <c r="G2549" i="5"/>
  <c r="F2549" i="5"/>
  <c r="J2548" i="5"/>
  <c r="H2548" i="5" a="1"/>
  <c r="H2548" i="5"/>
  <c r="G2548" i="5" a="1"/>
  <c r="G2548" i="5"/>
  <c r="F2548" i="5"/>
  <c r="J2547" i="5"/>
  <c r="H2547" i="5" a="1"/>
  <c r="H2547" i="5"/>
  <c r="G2547" i="5" a="1"/>
  <c r="G2547" i="5"/>
  <c r="F2547" i="5"/>
  <c r="J2546" i="5"/>
  <c r="H2546" i="5" a="1"/>
  <c r="H2546" i="5"/>
  <c r="G2546" i="5" a="1"/>
  <c r="G2546" i="5"/>
  <c r="F2546" i="5"/>
  <c r="J2545" i="5"/>
  <c r="H2545" i="5" a="1"/>
  <c r="H2545" i="5"/>
  <c r="G2545" i="5" a="1"/>
  <c r="G2545" i="5"/>
  <c r="F2545" i="5"/>
  <c r="J2544" i="5"/>
  <c r="H2544" i="5" a="1"/>
  <c r="H2544" i="5"/>
  <c r="G2544" i="5" a="1"/>
  <c r="G2544" i="5"/>
  <c r="F2544" i="5"/>
  <c r="J2543" i="5"/>
  <c r="H2543" i="5" a="1"/>
  <c r="H2543" i="5"/>
  <c r="G2543" i="5" a="1"/>
  <c r="G2543" i="5"/>
  <c r="F2543" i="5"/>
  <c r="J2542" i="5"/>
  <c r="H2542" i="5" a="1"/>
  <c r="H2542" i="5"/>
  <c r="G2542" i="5" a="1"/>
  <c r="G2542" i="5"/>
  <c r="F2542" i="5"/>
  <c r="J2541" i="5"/>
  <c r="H2541" i="5" a="1"/>
  <c r="H2541" i="5"/>
  <c r="G2541" i="5" a="1"/>
  <c r="G2541" i="5"/>
  <c r="F2541" i="5"/>
  <c r="J2540" i="5"/>
  <c r="H2540" i="5" a="1"/>
  <c r="H2540" i="5"/>
  <c r="G2540" i="5" a="1"/>
  <c r="G2540" i="5"/>
  <c r="F2540" i="5"/>
  <c r="J2539" i="5"/>
  <c r="H2539" i="5" a="1"/>
  <c r="H2539" i="5"/>
  <c r="G2539" i="5" a="1"/>
  <c r="G2539" i="5"/>
  <c r="F2539" i="5"/>
  <c r="J2538" i="5"/>
  <c r="H2538" i="5" a="1"/>
  <c r="H2538" i="5"/>
  <c r="G2538" i="5" a="1"/>
  <c r="G2538" i="5"/>
  <c r="F2538" i="5"/>
  <c r="J2537" i="5"/>
  <c r="H2537" i="5" a="1"/>
  <c r="H2537" i="5"/>
  <c r="G2537" i="5" a="1"/>
  <c r="G2537" i="5"/>
  <c r="F2537" i="5"/>
  <c r="J2536" i="5"/>
  <c r="H2536" i="5" a="1"/>
  <c r="H2536" i="5"/>
  <c r="G2536" i="5" a="1"/>
  <c r="G2536" i="5"/>
  <c r="F2536" i="5"/>
  <c r="J2535" i="5"/>
  <c r="H2535" i="5" a="1"/>
  <c r="H2535" i="5"/>
  <c r="G2535" i="5" a="1"/>
  <c r="G2535" i="5"/>
  <c r="F2535" i="5"/>
  <c r="J2534" i="5"/>
  <c r="H2534" i="5" a="1"/>
  <c r="H2534" i="5"/>
  <c r="G2534" i="5" a="1"/>
  <c r="G2534" i="5"/>
  <c r="F2534" i="5"/>
  <c r="J2533" i="5"/>
  <c r="H2533" i="5" a="1"/>
  <c r="H2533" i="5"/>
  <c r="G2533" i="5" a="1"/>
  <c r="G2533" i="5"/>
  <c r="F2533" i="5"/>
  <c r="J2532" i="5"/>
  <c r="H2532" i="5" a="1"/>
  <c r="H2532" i="5"/>
  <c r="G2532" i="5" a="1"/>
  <c r="G2532" i="5"/>
  <c r="F2532" i="5"/>
  <c r="J2531" i="5"/>
  <c r="H2531" i="5" a="1"/>
  <c r="H2531" i="5"/>
  <c r="G2531" i="5" a="1"/>
  <c r="G2531" i="5"/>
  <c r="F2531" i="5"/>
  <c r="J2530" i="5"/>
  <c r="H2530" i="5" a="1"/>
  <c r="H2530" i="5"/>
  <c r="G2530" i="5" a="1"/>
  <c r="G2530" i="5"/>
  <c r="F2530" i="5"/>
  <c r="J2529" i="5"/>
  <c r="H2529" i="5" a="1"/>
  <c r="H2529" i="5"/>
  <c r="G2529" i="5" a="1"/>
  <c r="G2529" i="5"/>
  <c r="F2529" i="5"/>
  <c r="J2528" i="5"/>
  <c r="H2528" i="5" a="1"/>
  <c r="H2528" i="5"/>
  <c r="G2528" i="5" a="1"/>
  <c r="G2528" i="5"/>
  <c r="F2528" i="5"/>
  <c r="J2527" i="5"/>
  <c r="H2527" i="5" a="1"/>
  <c r="H2527" i="5"/>
  <c r="G2527" i="5" a="1"/>
  <c r="G2527" i="5"/>
  <c r="F2527" i="5"/>
  <c r="J2526" i="5"/>
  <c r="H2526" i="5" a="1"/>
  <c r="H2526" i="5"/>
  <c r="G2526" i="5" a="1"/>
  <c r="G2526" i="5"/>
  <c r="F2526" i="5"/>
  <c r="J2525" i="5"/>
  <c r="H2525" i="5" a="1"/>
  <c r="H2525" i="5"/>
  <c r="G2525" i="5" a="1"/>
  <c r="G2525" i="5"/>
  <c r="F2525" i="5"/>
  <c r="J2524" i="5"/>
  <c r="H2524" i="5" a="1"/>
  <c r="H2524" i="5"/>
  <c r="G2524" i="5" a="1"/>
  <c r="G2524" i="5"/>
  <c r="F2524" i="5"/>
  <c r="J2523" i="5"/>
  <c r="H2523" i="5" a="1"/>
  <c r="H2523" i="5"/>
  <c r="G2523" i="5" a="1"/>
  <c r="G2523" i="5"/>
  <c r="F2523" i="5"/>
  <c r="J2522" i="5"/>
  <c r="H2522" i="5" a="1"/>
  <c r="H2522" i="5"/>
  <c r="G2522" i="5" a="1"/>
  <c r="G2522" i="5"/>
  <c r="F2522" i="5"/>
  <c r="J2521" i="5"/>
  <c r="H2521" i="5" a="1"/>
  <c r="H2521" i="5"/>
  <c r="G2521" i="5" a="1"/>
  <c r="G2521" i="5"/>
  <c r="F2521" i="5"/>
  <c r="J2520" i="5"/>
  <c r="H2520" i="5" a="1"/>
  <c r="H2520" i="5"/>
  <c r="G2520" i="5" a="1"/>
  <c r="G2520" i="5"/>
  <c r="F2520" i="5"/>
  <c r="J2519" i="5"/>
  <c r="H2519" i="5" a="1"/>
  <c r="H2519" i="5"/>
  <c r="G2519" i="5" a="1"/>
  <c r="G2519" i="5"/>
  <c r="F2519" i="5"/>
  <c r="J2518" i="5"/>
  <c r="H2518" i="5" a="1"/>
  <c r="H2518" i="5"/>
  <c r="F2518" i="5"/>
  <c r="J2517" i="5"/>
  <c r="H2517" i="5" a="1"/>
  <c r="H2517" i="5"/>
  <c r="G2517" i="5" a="1"/>
  <c r="G2517" i="5"/>
  <c r="F2517" i="5"/>
  <c r="J2516" i="5"/>
  <c r="H2516" i="5" a="1"/>
  <c r="H2516" i="5"/>
  <c r="G2516" i="5" a="1"/>
  <c r="G2516" i="5"/>
  <c r="F2516" i="5"/>
  <c r="J2515" i="5"/>
  <c r="H2515" i="5" a="1"/>
  <c r="H2515" i="5"/>
  <c r="G2515" i="5" a="1"/>
  <c r="G2515" i="5"/>
  <c r="F2515" i="5"/>
  <c r="J2514" i="5"/>
  <c r="H2514" i="5" a="1"/>
  <c r="H2514" i="5"/>
  <c r="G2514" i="5" a="1"/>
  <c r="G2514" i="5"/>
  <c r="F2514" i="5"/>
  <c r="J2513" i="5"/>
  <c r="H2513" i="5" a="1"/>
  <c r="H2513" i="5"/>
  <c r="G2513" i="5" a="1"/>
  <c r="G2513" i="5"/>
  <c r="F2513" i="5"/>
  <c r="J2512" i="5"/>
  <c r="H2512" i="5" a="1"/>
  <c r="H2512" i="5"/>
  <c r="F2512" i="5"/>
  <c r="J2511" i="5"/>
  <c r="H2511" i="5" a="1"/>
  <c r="H2511" i="5"/>
  <c r="G2511" i="5" a="1"/>
  <c r="G2511" i="5"/>
  <c r="F2511" i="5"/>
  <c r="J2510" i="5"/>
  <c r="H2510" i="5" a="1"/>
  <c r="H2510" i="5"/>
  <c r="G2510" i="5" a="1"/>
  <c r="G2510" i="5"/>
  <c r="F2510" i="5"/>
  <c r="J2509" i="5"/>
  <c r="H2509" i="5" a="1"/>
  <c r="H2509" i="5"/>
  <c r="G2509" i="5" a="1"/>
  <c r="G2509" i="5"/>
  <c r="F2509" i="5"/>
  <c r="J2508" i="5"/>
  <c r="H2508" i="5" a="1"/>
  <c r="H2508" i="5"/>
  <c r="G2508" i="5" a="1"/>
  <c r="G2508" i="5"/>
  <c r="F2508" i="5"/>
  <c r="J2507" i="5"/>
  <c r="H2507" i="5" a="1"/>
  <c r="H2507" i="5"/>
  <c r="G2507" i="5" a="1"/>
  <c r="G2507" i="5"/>
  <c r="F2507" i="5"/>
  <c r="J2506" i="5"/>
  <c r="H2506" i="5" a="1"/>
  <c r="H2506" i="5"/>
  <c r="G2506" i="5" a="1"/>
  <c r="G2506" i="5"/>
  <c r="F2506" i="5"/>
  <c r="J2505" i="5"/>
  <c r="H2505" i="5" a="1"/>
  <c r="H2505" i="5"/>
  <c r="G2505" i="5" a="1"/>
  <c r="G2505" i="5"/>
  <c r="F2505" i="5"/>
  <c r="J2504" i="5"/>
  <c r="H2504" i="5" a="1"/>
  <c r="H2504" i="5"/>
  <c r="G2504" i="5" a="1"/>
  <c r="G2504" i="5"/>
  <c r="F2504" i="5"/>
  <c r="J2503" i="5"/>
  <c r="H2503" i="5" a="1"/>
  <c r="H2503" i="5"/>
  <c r="G2503" i="5" a="1"/>
  <c r="G2503" i="5"/>
  <c r="F2503" i="5"/>
  <c r="J2502" i="5"/>
  <c r="H2502" i="5" a="1"/>
  <c r="H2502" i="5"/>
  <c r="G2502" i="5" a="1"/>
  <c r="G2502" i="5"/>
  <c r="F2502" i="5"/>
  <c r="J2501" i="5"/>
  <c r="H2501" i="5" a="1"/>
  <c r="H2501" i="5"/>
  <c r="G2501" i="5" a="1"/>
  <c r="G2501" i="5"/>
  <c r="F2501" i="5"/>
  <c r="J2500" i="5"/>
  <c r="H2500" i="5" a="1"/>
  <c r="H2500" i="5"/>
  <c r="G2500" i="5" a="1"/>
  <c r="G2500" i="5"/>
  <c r="F2500" i="5"/>
  <c r="J2499" i="5"/>
  <c r="H2499" i="5" a="1"/>
  <c r="H2499" i="5"/>
  <c r="G2499" i="5" a="1"/>
  <c r="G2499" i="5"/>
  <c r="F2499" i="5"/>
  <c r="J2498" i="5"/>
  <c r="H2498" i="5" a="1"/>
  <c r="H2498" i="5"/>
  <c r="G2498" i="5" a="1"/>
  <c r="G2498" i="5"/>
  <c r="F2498" i="5"/>
  <c r="J2497" i="5"/>
  <c r="H2497" i="5" a="1"/>
  <c r="H2497" i="5"/>
  <c r="G2497" i="5" a="1"/>
  <c r="G2497" i="5"/>
  <c r="F2497" i="5"/>
  <c r="J2496" i="5"/>
  <c r="H2496" i="5" a="1"/>
  <c r="H2496" i="5"/>
  <c r="G2496" i="5" a="1"/>
  <c r="G2496" i="5"/>
  <c r="F2496" i="5"/>
  <c r="J2495" i="5"/>
  <c r="H2495" i="5" a="1"/>
  <c r="H2495" i="5"/>
  <c r="G2495" i="5" a="1"/>
  <c r="G2495" i="5"/>
  <c r="F2495" i="5"/>
  <c r="J2494" i="5"/>
  <c r="H2494" i="5" a="1"/>
  <c r="H2494" i="5"/>
  <c r="G2494" i="5" a="1"/>
  <c r="G2494" i="5"/>
  <c r="F2494" i="5"/>
  <c r="J2493" i="5"/>
  <c r="H2493" i="5" a="1"/>
  <c r="H2493" i="5"/>
  <c r="G2493" i="5" a="1"/>
  <c r="G2493" i="5"/>
  <c r="F2493" i="5"/>
  <c r="J2492" i="5"/>
  <c r="H2492" i="5" a="1"/>
  <c r="H2492" i="5"/>
  <c r="G2492" i="5" a="1"/>
  <c r="G2492" i="5"/>
  <c r="F2492" i="5"/>
  <c r="J2491" i="5"/>
  <c r="H2491" i="5" a="1"/>
  <c r="H2491" i="5"/>
  <c r="G2491" i="5" a="1"/>
  <c r="G2491" i="5"/>
  <c r="F2491" i="5"/>
  <c r="J2490" i="5"/>
  <c r="H2490" i="5" a="1"/>
  <c r="H2490" i="5"/>
  <c r="G2490" i="5" a="1"/>
  <c r="G2490" i="5"/>
  <c r="F2490" i="5"/>
  <c r="J2489" i="5"/>
  <c r="H2489" i="5" a="1"/>
  <c r="H2489" i="5"/>
  <c r="G2489" i="5" a="1"/>
  <c r="G2489" i="5"/>
  <c r="F2489" i="5"/>
  <c r="J2488" i="5"/>
  <c r="H2488" i="5" a="1"/>
  <c r="H2488" i="5"/>
  <c r="G2488" i="5" a="1"/>
  <c r="G2488" i="5"/>
  <c r="F2488" i="5"/>
  <c r="J2487" i="5"/>
  <c r="H2487" i="5" a="1"/>
  <c r="H2487" i="5"/>
  <c r="G2487" i="5" a="1"/>
  <c r="G2487" i="5"/>
  <c r="F2487" i="5"/>
  <c r="J2486" i="5"/>
  <c r="H2486" i="5" a="1"/>
  <c r="H2486" i="5"/>
  <c r="G2486" i="5" a="1"/>
  <c r="G2486" i="5"/>
  <c r="F2486" i="5"/>
  <c r="J2485" i="5"/>
  <c r="H2485" i="5" a="1"/>
  <c r="H2485" i="5"/>
  <c r="G2485" i="5" a="1"/>
  <c r="G2485" i="5"/>
  <c r="F2485" i="5"/>
  <c r="J2484" i="5"/>
  <c r="H2484" i="5" a="1"/>
  <c r="H2484" i="5"/>
  <c r="G2484" i="5" a="1"/>
  <c r="G2484" i="5"/>
  <c r="F2484" i="5"/>
  <c r="J2483" i="5"/>
  <c r="H2483" i="5" a="1"/>
  <c r="H2483" i="5"/>
  <c r="G2483" i="5" a="1"/>
  <c r="G2483" i="5"/>
  <c r="F2483" i="5"/>
  <c r="J2482" i="5"/>
  <c r="H2482" i="5" a="1"/>
  <c r="H2482" i="5"/>
  <c r="G2482" i="5" a="1"/>
  <c r="G2482" i="5"/>
  <c r="F2482" i="5"/>
  <c r="J2481" i="5"/>
  <c r="H2481" i="5" a="1"/>
  <c r="H2481" i="5"/>
  <c r="G2481" i="5" a="1"/>
  <c r="G2481" i="5"/>
  <c r="F2481" i="5"/>
  <c r="J2480" i="5"/>
  <c r="H2480" i="5" a="1"/>
  <c r="H2480" i="5"/>
  <c r="G2480" i="5" a="1"/>
  <c r="G2480" i="5"/>
  <c r="F2480" i="5"/>
  <c r="J2479" i="5"/>
  <c r="H2479" i="5" a="1"/>
  <c r="H2479" i="5"/>
  <c r="G2479" i="5" a="1"/>
  <c r="G2479" i="5"/>
  <c r="F2479" i="5"/>
  <c r="J2478" i="5"/>
  <c r="H2478" i="5" a="1"/>
  <c r="H2478" i="5"/>
  <c r="G2478" i="5" a="1"/>
  <c r="G2478" i="5"/>
  <c r="F2478" i="5"/>
  <c r="J2477" i="5"/>
  <c r="H2477" i="5" a="1"/>
  <c r="H2477" i="5"/>
  <c r="G2477" i="5" a="1"/>
  <c r="G2477" i="5"/>
  <c r="F2477" i="5"/>
  <c r="J2476" i="5"/>
  <c r="H2476" i="5" a="1"/>
  <c r="H2476" i="5"/>
  <c r="G2476" i="5" a="1"/>
  <c r="G2476" i="5"/>
  <c r="F2476" i="5"/>
  <c r="J2475" i="5"/>
  <c r="H2475" i="5" a="1"/>
  <c r="H2475" i="5"/>
  <c r="G2475" i="5" a="1"/>
  <c r="G2475" i="5"/>
  <c r="F2475" i="5"/>
  <c r="J2474" i="5"/>
  <c r="H2474" i="5" a="1"/>
  <c r="H2474" i="5"/>
  <c r="G2474" i="5" a="1"/>
  <c r="G2474" i="5"/>
  <c r="F2474" i="5"/>
  <c r="J2473" i="5"/>
  <c r="H2473" i="5" a="1"/>
  <c r="H2473" i="5"/>
  <c r="G2473" i="5" a="1"/>
  <c r="G2473" i="5"/>
  <c r="F2473" i="5"/>
  <c r="J2472" i="5"/>
  <c r="H2472" i="5" a="1"/>
  <c r="H2472" i="5"/>
  <c r="G2472" i="5" a="1"/>
  <c r="G2472" i="5"/>
  <c r="F2472" i="5"/>
  <c r="J2471" i="5"/>
  <c r="H2471" i="5" a="1"/>
  <c r="H2471" i="5"/>
  <c r="G2471" i="5" a="1"/>
  <c r="G2471" i="5"/>
  <c r="F2471" i="5"/>
  <c r="J2470" i="5"/>
  <c r="H2470" i="5" a="1"/>
  <c r="H2470" i="5"/>
  <c r="G2470" i="5" a="1"/>
  <c r="G2470" i="5"/>
  <c r="F2470" i="5"/>
  <c r="J2469" i="5"/>
  <c r="H2469" i="5" a="1"/>
  <c r="H2469" i="5"/>
  <c r="G2469" i="5" a="1"/>
  <c r="G2469" i="5"/>
  <c r="F2469" i="5"/>
  <c r="J2468" i="5"/>
  <c r="H2468" i="5" a="1"/>
  <c r="H2468" i="5"/>
  <c r="G2468" i="5" a="1"/>
  <c r="G2468" i="5"/>
  <c r="F2468" i="5"/>
  <c r="J2467" i="5"/>
  <c r="H2467" i="5" a="1"/>
  <c r="H2467" i="5"/>
  <c r="G2467" i="5" a="1"/>
  <c r="G2467" i="5"/>
  <c r="F2467" i="5"/>
  <c r="J2466" i="5"/>
  <c r="H2466" i="5" a="1"/>
  <c r="H2466" i="5"/>
  <c r="G2466" i="5" a="1"/>
  <c r="G2466" i="5"/>
  <c r="F2466" i="5"/>
  <c r="J2465" i="5"/>
  <c r="H2465" i="5" a="1"/>
  <c r="H2465" i="5"/>
  <c r="G2465" i="5" a="1"/>
  <c r="G2465" i="5"/>
  <c r="F2465" i="5"/>
  <c r="J2464" i="5"/>
  <c r="H2464" i="5" a="1"/>
  <c r="H2464" i="5"/>
  <c r="G2464" i="5" a="1"/>
  <c r="G2464" i="5"/>
  <c r="F2464" i="5"/>
  <c r="J2463" i="5"/>
  <c r="H2463" i="5" a="1"/>
  <c r="H2463" i="5"/>
  <c r="G2463" i="5" a="1"/>
  <c r="G2463" i="5"/>
  <c r="F2463" i="5"/>
  <c r="J2462" i="5"/>
  <c r="H2462" i="5" a="1"/>
  <c r="H2462" i="5"/>
  <c r="G2462" i="5" a="1"/>
  <c r="G2462" i="5"/>
  <c r="F2462" i="5"/>
  <c r="J2461" i="5"/>
  <c r="H2461" i="5" a="1"/>
  <c r="H2461" i="5"/>
  <c r="G2461" i="5" a="1"/>
  <c r="G2461" i="5"/>
  <c r="F2461" i="5"/>
  <c r="J2460" i="5"/>
  <c r="H2460" i="5" a="1"/>
  <c r="H2460" i="5"/>
  <c r="G2460" i="5" a="1"/>
  <c r="G2460" i="5"/>
  <c r="F2460" i="5"/>
  <c r="J2459" i="5"/>
  <c r="H2459" i="5" a="1"/>
  <c r="H2459" i="5"/>
  <c r="G2459" i="5" a="1"/>
  <c r="G2459" i="5"/>
  <c r="F2459" i="5"/>
  <c r="J2458" i="5"/>
  <c r="H2458" i="5" a="1"/>
  <c r="H2458" i="5"/>
  <c r="G2458" i="5" a="1"/>
  <c r="G2458" i="5"/>
  <c r="F2458" i="5"/>
  <c r="J2457" i="5"/>
  <c r="H2457" i="5" a="1"/>
  <c r="H2457" i="5"/>
  <c r="G2457" i="5" a="1"/>
  <c r="G2457" i="5"/>
  <c r="F2457" i="5"/>
  <c r="J2456" i="5"/>
  <c r="H2456" i="5" a="1"/>
  <c r="H2456" i="5"/>
  <c r="G2456" i="5" a="1"/>
  <c r="G2456" i="5"/>
  <c r="F2456" i="5"/>
  <c r="J2455" i="5"/>
  <c r="H2455" i="5" a="1"/>
  <c r="H2455" i="5"/>
  <c r="G2455" i="5" a="1"/>
  <c r="G2455" i="5"/>
  <c r="F2455" i="5"/>
  <c r="J2454" i="5"/>
  <c r="H2454" i="5" a="1"/>
  <c r="H2454" i="5"/>
  <c r="G2454" i="5" a="1"/>
  <c r="G2454" i="5"/>
  <c r="F2454" i="5"/>
  <c r="J2453" i="5"/>
  <c r="H2453" i="5" a="1"/>
  <c r="H2453" i="5"/>
  <c r="G2453" i="5" a="1"/>
  <c r="G2453" i="5"/>
  <c r="F2453" i="5"/>
  <c r="J2452" i="5"/>
  <c r="H2452" i="5" a="1"/>
  <c r="H2452" i="5"/>
  <c r="G2452" i="5" a="1"/>
  <c r="G2452" i="5"/>
  <c r="F2452" i="5"/>
  <c r="J2451" i="5"/>
  <c r="H2451" i="5" a="1"/>
  <c r="H2451" i="5"/>
  <c r="G2451" i="5" a="1"/>
  <c r="G2451" i="5"/>
  <c r="F2451" i="5"/>
  <c r="J2450" i="5"/>
  <c r="H2450" i="5" a="1"/>
  <c r="H2450" i="5"/>
  <c r="G2450" i="5" a="1"/>
  <c r="G2450" i="5"/>
  <c r="F2450" i="5"/>
  <c r="J2449" i="5"/>
  <c r="H2449" i="5" a="1"/>
  <c r="H2449" i="5"/>
  <c r="G2449" i="5" a="1"/>
  <c r="G2449" i="5"/>
  <c r="F2449" i="5"/>
  <c r="J2448" i="5"/>
  <c r="H2448" i="5" a="1"/>
  <c r="H2448" i="5"/>
  <c r="G2448" i="5" a="1"/>
  <c r="G2448" i="5"/>
  <c r="F2448" i="5"/>
  <c r="J2447" i="5"/>
  <c r="H2447" i="5" a="1"/>
  <c r="H2447" i="5"/>
  <c r="G2447" i="5" a="1"/>
  <c r="G2447" i="5"/>
  <c r="F2447" i="5"/>
  <c r="J2446" i="5"/>
  <c r="H2446" i="5" a="1"/>
  <c r="H2446" i="5"/>
  <c r="G2446" i="5" a="1"/>
  <c r="G2446" i="5"/>
  <c r="F2446" i="5"/>
  <c r="J2445" i="5"/>
  <c r="H2445" i="5" a="1"/>
  <c r="H2445" i="5"/>
  <c r="G2445" i="5" a="1"/>
  <c r="G2445" i="5"/>
  <c r="F2445" i="5"/>
  <c r="J2444" i="5"/>
  <c r="H2444" i="5" a="1"/>
  <c r="H2444" i="5"/>
  <c r="G2444" i="5" a="1"/>
  <c r="G2444" i="5"/>
  <c r="F2444" i="5"/>
  <c r="J2443" i="5"/>
  <c r="H2443" i="5" a="1"/>
  <c r="H2443" i="5"/>
  <c r="G2443" i="5" a="1"/>
  <c r="G2443" i="5"/>
  <c r="F2443" i="5"/>
  <c r="J2442" i="5"/>
  <c r="H2442" i="5" a="1"/>
  <c r="H2442" i="5"/>
  <c r="G2442" i="5" a="1"/>
  <c r="G2442" i="5"/>
  <c r="F2442" i="5"/>
  <c r="J2441" i="5"/>
  <c r="H2441" i="5" a="1"/>
  <c r="H2441" i="5"/>
  <c r="G2441" i="5" a="1"/>
  <c r="G2441" i="5"/>
  <c r="F2441" i="5"/>
  <c r="J2440" i="5"/>
  <c r="H2440" i="5" a="1"/>
  <c r="H2440" i="5"/>
  <c r="G2440" i="5" a="1"/>
  <c r="G2440" i="5"/>
  <c r="F2440" i="5"/>
  <c r="J2439" i="5"/>
  <c r="H2439" i="5" a="1"/>
  <c r="H2439" i="5"/>
  <c r="G2439" i="5" a="1"/>
  <c r="G2439" i="5"/>
  <c r="F2439" i="5"/>
  <c r="J2438" i="5"/>
  <c r="H2438" i="5" a="1"/>
  <c r="H2438" i="5"/>
  <c r="G2438" i="5" a="1"/>
  <c r="G2438" i="5"/>
  <c r="F2438" i="5"/>
  <c r="J2437" i="5"/>
  <c r="H2437" i="5" a="1"/>
  <c r="H2437" i="5"/>
  <c r="G2437" i="5" a="1"/>
  <c r="G2437" i="5"/>
  <c r="F2437" i="5"/>
  <c r="J2436" i="5"/>
  <c r="H2436" i="5" a="1"/>
  <c r="H2436" i="5"/>
  <c r="G2436" i="5" a="1"/>
  <c r="G2436" i="5"/>
  <c r="F2436" i="5"/>
  <c r="J2435" i="5"/>
  <c r="H2435" i="5" a="1"/>
  <c r="H2435" i="5"/>
  <c r="G2435" i="5" a="1"/>
  <c r="G2435" i="5"/>
  <c r="F2435" i="5"/>
  <c r="J2434" i="5"/>
  <c r="H2434" i="5" a="1"/>
  <c r="H2434" i="5"/>
  <c r="G2434" i="5" a="1"/>
  <c r="G2434" i="5"/>
  <c r="F2434" i="5"/>
  <c r="J2433" i="5"/>
  <c r="H2433" i="5" a="1"/>
  <c r="H2433" i="5"/>
  <c r="G2433" i="5" a="1"/>
  <c r="G2433" i="5"/>
  <c r="F2433" i="5"/>
  <c r="J2432" i="5"/>
  <c r="H2432" i="5" a="1"/>
  <c r="H2432" i="5"/>
  <c r="G2432" i="5" a="1"/>
  <c r="G2432" i="5"/>
  <c r="F2432" i="5"/>
  <c r="J2431" i="5"/>
  <c r="H2431" i="5" a="1"/>
  <c r="H2431" i="5"/>
  <c r="G2431" i="5" a="1"/>
  <c r="G2431" i="5"/>
  <c r="F2431" i="5"/>
  <c r="J2430" i="5"/>
  <c r="H2430" i="5" a="1"/>
  <c r="H2430" i="5"/>
  <c r="G2430" i="5" a="1"/>
  <c r="G2430" i="5"/>
  <c r="F2430" i="5"/>
  <c r="J2429" i="5"/>
  <c r="H2429" i="5" a="1"/>
  <c r="H2429" i="5"/>
  <c r="G2429" i="5" a="1"/>
  <c r="G2429" i="5"/>
  <c r="F2429" i="5"/>
  <c r="J2428" i="5"/>
  <c r="H2428" i="5" a="1"/>
  <c r="H2428" i="5"/>
  <c r="G2428" i="5" a="1"/>
  <c r="G2428" i="5"/>
  <c r="F2428" i="5"/>
  <c r="J2427" i="5"/>
  <c r="H2427" i="5" a="1"/>
  <c r="H2427" i="5"/>
  <c r="G2427" i="5" a="1"/>
  <c r="G2427" i="5"/>
  <c r="F2427" i="5"/>
  <c r="J2426" i="5"/>
  <c r="H2426" i="5" a="1"/>
  <c r="H2426" i="5"/>
  <c r="G2426" i="5" a="1"/>
  <c r="G2426" i="5"/>
  <c r="F2426" i="5"/>
  <c r="J2425" i="5"/>
  <c r="H2425" i="5" a="1"/>
  <c r="H2425" i="5"/>
  <c r="G2425" i="5" a="1"/>
  <c r="G2425" i="5"/>
  <c r="F2425" i="5"/>
  <c r="J2424" i="5"/>
  <c r="H2424" i="5" a="1"/>
  <c r="H2424" i="5"/>
  <c r="G2424" i="5" a="1"/>
  <c r="G2424" i="5"/>
  <c r="F2424" i="5"/>
  <c r="J2423" i="5"/>
  <c r="H2423" i="5" a="1"/>
  <c r="H2423" i="5"/>
  <c r="G2423" i="5" a="1"/>
  <c r="G2423" i="5"/>
  <c r="F2423" i="5"/>
  <c r="J2422" i="5"/>
  <c r="H2422" i="5" a="1"/>
  <c r="H2422" i="5"/>
  <c r="G2422" i="5" a="1"/>
  <c r="G2422" i="5"/>
  <c r="F2422" i="5"/>
  <c r="J2421" i="5"/>
  <c r="H2421" i="5" a="1"/>
  <c r="H2421" i="5"/>
  <c r="G2421" i="5" a="1"/>
  <c r="G2421" i="5"/>
  <c r="F2421" i="5"/>
  <c r="J2420" i="5"/>
  <c r="H2420" i="5" a="1"/>
  <c r="H2420" i="5"/>
  <c r="G2420" i="5" a="1"/>
  <c r="G2420" i="5"/>
  <c r="F2420" i="5"/>
  <c r="J2419" i="5"/>
  <c r="H2419" i="5" a="1"/>
  <c r="H2419" i="5"/>
  <c r="G2419" i="5" a="1"/>
  <c r="G2419" i="5"/>
  <c r="F2419" i="5"/>
  <c r="J2418" i="5"/>
  <c r="H2418" i="5" a="1"/>
  <c r="H2418" i="5"/>
  <c r="G2418" i="5" a="1"/>
  <c r="G2418" i="5"/>
  <c r="F2418" i="5"/>
  <c r="J2417" i="5"/>
  <c r="H2417" i="5" a="1"/>
  <c r="H2417" i="5"/>
  <c r="G2417" i="5" a="1"/>
  <c r="G2417" i="5"/>
  <c r="F2417" i="5"/>
  <c r="J2416" i="5"/>
  <c r="H2416" i="5" a="1"/>
  <c r="H2416" i="5"/>
  <c r="G2416" i="5" a="1"/>
  <c r="G2416" i="5"/>
  <c r="F2416" i="5"/>
  <c r="J2415" i="5"/>
  <c r="H2415" i="5" a="1"/>
  <c r="H2415" i="5"/>
  <c r="G2415" i="5" a="1"/>
  <c r="G2415" i="5"/>
  <c r="F2415" i="5"/>
  <c r="J2414" i="5"/>
  <c r="H2414" i="5" a="1"/>
  <c r="H2414" i="5"/>
  <c r="G2414" i="5" a="1"/>
  <c r="G2414" i="5"/>
  <c r="F2414" i="5"/>
  <c r="J2413" i="5"/>
  <c r="H2413" i="5" a="1"/>
  <c r="H2413" i="5"/>
  <c r="G2413" i="5" a="1"/>
  <c r="G2413" i="5"/>
  <c r="F2413" i="5"/>
  <c r="J2412" i="5"/>
  <c r="H2412" i="5" a="1"/>
  <c r="H2412" i="5"/>
  <c r="G2412" i="5" a="1"/>
  <c r="G2412" i="5"/>
  <c r="F2412" i="5"/>
  <c r="J2411" i="5"/>
  <c r="H2411" i="5" a="1"/>
  <c r="H2411" i="5"/>
  <c r="G2411" i="5" a="1"/>
  <c r="G2411" i="5"/>
  <c r="F2411" i="5"/>
  <c r="J2410" i="5"/>
  <c r="H2410" i="5" a="1"/>
  <c r="H2410" i="5"/>
  <c r="G2410" i="5" a="1"/>
  <c r="G2410" i="5"/>
  <c r="F2410" i="5"/>
  <c r="J2409" i="5"/>
  <c r="H2409" i="5" a="1"/>
  <c r="H2409" i="5"/>
  <c r="G2409" i="5" a="1"/>
  <c r="G2409" i="5"/>
  <c r="F2409" i="5"/>
  <c r="J2408" i="5"/>
  <c r="H2408" i="5" a="1"/>
  <c r="H2408" i="5"/>
  <c r="G2408" i="5" a="1"/>
  <c r="G2408" i="5"/>
  <c r="F2408" i="5"/>
  <c r="J2407" i="5"/>
  <c r="H2407" i="5" a="1"/>
  <c r="H2407" i="5"/>
  <c r="G2407" i="5" a="1"/>
  <c r="G2407" i="5"/>
  <c r="F2407" i="5"/>
  <c r="J2406" i="5"/>
  <c r="H2406" i="5" a="1"/>
  <c r="H2406" i="5"/>
  <c r="G2406" i="5" a="1"/>
  <c r="G2406" i="5"/>
  <c r="F2406" i="5"/>
  <c r="J2405" i="5"/>
  <c r="H2405" i="5" a="1"/>
  <c r="H2405" i="5"/>
  <c r="G2405" i="5" a="1"/>
  <c r="G2405" i="5"/>
  <c r="F2405" i="5"/>
  <c r="J2404" i="5"/>
  <c r="H2404" i="5" a="1"/>
  <c r="H2404" i="5"/>
  <c r="G2404" i="5" a="1"/>
  <c r="G2404" i="5"/>
  <c r="F2404" i="5"/>
  <c r="J2403" i="5"/>
  <c r="H2403" i="5" a="1"/>
  <c r="H2403" i="5"/>
  <c r="G2403" i="5" a="1"/>
  <c r="G2403" i="5"/>
  <c r="F2403" i="5"/>
  <c r="J2402" i="5"/>
  <c r="H2402" i="5" a="1"/>
  <c r="H2402" i="5"/>
  <c r="G2402" i="5" a="1"/>
  <c r="G2402" i="5"/>
  <c r="F2402" i="5"/>
  <c r="J2401" i="5"/>
  <c r="H2401" i="5" a="1"/>
  <c r="H2401" i="5"/>
  <c r="G2401" i="5" a="1"/>
  <c r="G2401" i="5"/>
  <c r="F2401" i="5"/>
  <c r="J2400" i="5"/>
  <c r="H2400" i="5" a="1"/>
  <c r="H2400" i="5"/>
  <c r="G2400" i="5" a="1"/>
  <c r="G2400" i="5"/>
  <c r="F2400" i="5"/>
  <c r="J2399" i="5"/>
  <c r="H2399" i="5" a="1"/>
  <c r="H2399" i="5"/>
  <c r="G2399" i="5" a="1"/>
  <c r="G2399" i="5"/>
  <c r="F2399" i="5"/>
  <c r="J2398" i="5"/>
  <c r="H2398" i="5" a="1"/>
  <c r="H2398" i="5"/>
  <c r="G2398" i="5" a="1"/>
  <c r="G2398" i="5"/>
  <c r="F2398" i="5"/>
  <c r="J2397" i="5"/>
  <c r="H2397" i="5" a="1"/>
  <c r="H2397" i="5"/>
  <c r="G2397" i="5" a="1"/>
  <c r="G2397" i="5"/>
  <c r="F2397" i="5"/>
  <c r="J2396" i="5"/>
  <c r="H2396" i="5" a="1"/>
  <c r="H2396" i="5"/>
  <c r="G2396" i="5" a="1"/>
  <c r="G2396" i="5"/>
  <c r="F2396" i="5"/>
  <c r="J2395" i="5"/>
  <c r="H2395" i="5" a="1"/>
  <c r="H2395" i="5"/>
  <c r="G2395" i="5" a="1"/>
  <c r="G2395" i="5"/>
  <c r="F2395" i="5"/>
  <c r="J2394" i="5"/>
  <c r="H2394" i="5" a="1"/>
  <c r="H2394" i="5"/>
  <c r="G2394" i="5" a="1"/>
  <c r="G2394" i="5"/>
  <c r="F2394" i="5"/>
  <c r="J2393" i="5"/>
  <c r="H2393" i="5" a="1"/>
  <c r="H2393" i="5"/>
  <c r="G2393" i="5" a="1"/>
  <c r="G2393" i="5"/>
  <c r="F2393" i="5"/>
  <c r="J2392" i="5"/>
  <c r="H2392" i="5" a="1"/>
  <c r="H2392" i="5"/>
  <c r="G2392" i="5" a="1"/>
  <c r="G2392" i="5"/>
  <c r="F2392" i="5"/>
  <c r="J2391" i="5"/>
  <c r="H2391" i="5" a="1"/>
  <c r="H2391" i="5"/>
  <c r="G2391" i="5" a="1"/>
  <c r="G2391" i="5"/>
  <c r="F2391" i="5"/>
  <c r="J2390" i="5"/>
  <c r="H2390" i="5" a="1"/>
  <c r="H2390" i="5"/>
  <c r="G2390" i="5" a="1"/>
  <c r="G2390" i="5"/>
  <c r="F2390" i="5"/>
  <c r="J2389" i="5"/>
  <c r="H2389" i="5" a="1"/>
  <c r="H2389" i="5"/>
  <c r="F2389" i="5"/>
  <c r="J2388" i="5"/>
  <c r="H2388" i="5" a="1"/>
  <c r="H2388" i="5"/>
  <c r="G2388" i="5" a="1"/>
  <c r="G2388" i="5"/>
  <c r="F2388" i="5"/>
  <c r="J2387" i="5"/>
  <c r="H2387" i="5" a="1"/>
  <c r="H2387" i="5"/>
  <c r="G2387" i="5" a="1"/>
  <c r="G2387" i="5" s="1"/>
  <c r="F2387" i="5"/>
  <c r="J2386" i="5"/>
  <c r="H2386" i="5" a="1"/>
  <c r="H2386" i="5"/>
  <c r="G2386" i="5" a="1"/>
  <c r="G2386" i="5" s="1"/>
  <c r="F2386" i="5"/>
  <c r="J2385" i="5"/>
  <c r="H2385" i="5" a="1"/>
  <c r="H2385" i="5" s="1"/>
  <c r="G2385" i="5" a="1"/>
  <c r="G2385" i="5" s="1"/>
  <c r="F2385" i="5"/>
  <c r="J2384" i="5"/>
  <c r="H2384" i="5" a="1"/>
  <c r="H2384" i="5" s="1"/>
  <c r="G2384" i="5" a="1"/>
  <c r="G2384" i="5" s="1"/>
  <c r="F2384" i="5"/>
  <c r="J2383" i="5"/>
  <c r="H2383" i="5" a="1"/>
  <c r="H2383" i="5" s="1"/>
  <c r="G2383" i="5" a="1"/>
  <c r="G2383" i="5" s="1"/>
  <c r="F2383" i="5"/>
  <c r="J2382" i="5"/>
  <c r="H2382" i="5" a="1"/>
  <c r="H2382" i="5" s="1"/>
  <c r="G2382" i="5" a="1"/>
  <c r="G2382" i="5" s="1"/>
  <c r="F2382" i="5"/>
  <c r="J2381" i="5"/>
  <c r="H2381" i="5" a="1"/>
  <c r="H2381" i="5" s="1"/>
  <c r="G2381" i="5" a="1"/>
  <c r="G2381" i="5" s="1"/>
  <c r="F2381" i="5"/>
  <c r="J2380" i="5"/>
  <c r="H2380" i="5" a="1"/>
  <c r="H2380" i="5" s="1"/>
  <c r="G2380" i="5" a="1"/>
  <c r="G2380" i="5" s="1"/>
  <c r="F2380" i="5"/>
  <c r="J2379" i="5"/>
  <c r="H2379" i="5" a="1"/>
  <c r="H2379" i="5" s="1"/>
  <c r="F2379" i="5"/>
  <c r="J2378" i="5"/>
  <c r="H2378" i="5" a="1"/>
  <c r="H2378" i="5" s="1"/>
  <c r="G2378" i="5" a="1"/>
  <c r="G2378" i="5" s="1"/>
  <c r="F2378" i="5"/>
  <c r="J2377" i="5"/>
  <c r="H2377" i="5" a="1"/>
  <c r="H2377" i="5" s="1"/>
  <c r="G2377" i="5" a="1"/>
  <c r="G2377" i="5" s="1"/>
  <c r="F2377" i="5"/>
  <c r="J2376" i="5"/>
  <c r="H2376" i="5" a="1"/>
  <c r="H2376" i="5"/>
  <c r="G2376" i="5" a="1"/>
  <c r="G2376" i="5" s="1"/>
  <c r="F2376" i="5"/>
  <c r="J2375" i="5"/>
  <c r="H2375" i="5" a="1"/>
  <c r="H2375" i="5" s="1"/>
  <c r="G2375" i="5" a="1"/>
  <c r="G2375" i="5" s="1"/>
  <c r="F2375" i="5"/>
  <c r="J2374" i="5"/>
  <c r="H2374" i="5" a="1"/>
  <c r="H2374" i="5" s="1"/>
  <c r="G2374" i="5" a="1"/>
  <c r="G2374" i="5" s="1"/>
  <c r="F2374" i="5"/>
  <c r="J2373" i="5"/>
  <c r="H2373" i="5" a="1"/>
  <c r="H2373" i="5" s="1"/>
  <c r="G2373" i="5" a="1"/>
  <c r="G2373" i="5" s="1"/>
  <c r="F2373" i="5"/>
  <c r="J2372" i="5"/>
  <c r="H2372" i="5" a="1"/>
  <c r="H2372" i="5" s="1"/>
  <c r="G2372" i="5" a="1"/>
  <c r="G2372" i="5" s="1"/>
  <c r="F2372" i="5"/>
  <c r="J2371" i="5"/>
  <c r="H2371" i="5" a="1"/>
  <c r="H2371" i="5" s="1"/>
  <c r="G2371" i="5" a="1"/>
  <c r="G2371" i="5" s="1"/>
  <c r="F2371" i="5"/>
  <c r="J2370" i="5"/>
  <c r="H2370" i="5" a="1"/>
  <c r="H2370" i="5"/>
  <c r="G2370" i="5" a="1"/>
  <c r="G2370" i="5" s="1"/>
  <c r="F2370" i="5"/>
  <c r="J2369" i="5"/>
  <c r="H2369" i="5" a="1"/>
  <c r="H2369" i="5" s="1"/>
  <c r="G2369" i="5" a="1"/>
  <c r="G2369" i="5" s="1"/>
  <c r="F2369" i="5"/>
  <c r="J2368" i="5"/>
  <c r="H2368" i="5" a="1"/>
  <c r="H2368" i="5" s="1"/>
  <c r="G2368" i="5" a="1"/>
  <c r="G2368" i="5" s="1"/>
  <c r="F2368" i="5"/>
  <c r="J2367" i="5"/>
  <c r="H2367" i="5" a="1"/>
  <c r="H2367" i="5" s="1"/>
  <c r="G2367" i="5" a="1"/>
  <c r="G2367" i="5" s="1"/>
  <c r="F2367" i="5"/>
  <c r="J2366" i="5"/>
  <c r="H2366" i="5" a="1"/>
  <c r="H2366" i="5" s="1"/>
  <c r="G2366" i="5" a="1"/>
  <c r="G2366" i="5" s="1"/>
  <c r="F2366" i="5"/>
  <c r="J2365" i="5"/>
  <c r="H2365" i="5" a="1"/>
  <c r="H2365" i="5" s="1"/>
  <c r="G2365" i="5" a="1"/>
  <c r="G2365" i="5" s="1"/>
  <c r="F2365" i="5"/>
  <c r="J2364" i="5"/>
  <c r="H2364" i="5" a="1"/>
  <c r="H2364" i="5" s="1"/>
  <c r="G2364" i="5" a="1"/>
  <c r="G2364" i="5" s="1"/>
  <c r="F2364" i="5"/>
  <c r="J2363" i="5"/>
  <c r="H2363" i="5" a="1"/>
  <c r="H2363" i="5" s="1"/>
  <c r="G2363" i="5" a="1"/>
  <c r="G2363" i="5" s="1"/>
  <c r="F2363" i="5"/>
  <c r="J2362" i="5"/>
  <c r="H2362" i="5" a="1"/>
  <c r="H2362" i="5" s="1"/>
  <c r="G2362" i="5" a="1"/>
  <c r="G2362" i="5" s="1"/>
  <c r="F2362" i="5"/>
  <c r="J2361" i="5"/>
  <c r="H2361" i="5" a="1"/>
  <c r="H2361" i="5" s="1"/>
  <c r="G2361" i="5" a="1"/>
  <c r="G2361" i="5" s="1"/>
  <c r="F2361" i="5"/>
  <c r="J2360" i="5"/>
  <c r="H2360" i="5" a="1"/>
  <c r="H2360" i="5" s="1"/>
  <c r="G2360" i="5" a="1"/>
  <c r="G2360" i="5" s="1"/>
  <c r="F2360" i="5"/>
  <c r="J2359" i="5"/>
  <c r="H2359" i="5" a="1"/>
  <c r="H2359" i="5" s="1"/>
  <c r="G2359" i="5" a="1"/>
  <c r="G2359" i="5" s="1"/>
  <c r="F2359" i="5"/>
  <c r="J2358" i="5"/>
  <c r="H2358" i="5" a="1"/>
  <c r="H2358" i="5" s="1"/>
  <c r="G2358" i="5" a="1"/>
  <c r="G2358" i="5" s="1"/>
  <c r="F2358" i="5"/>
  <c r="J2357" i="5"/>
  <c r="H2357" i="5" a="1"/>
  <c r="H2357" i="5" s="1"/>
  <c r="G2357" i="5" a="1"/>
  <c r="G2357" i="5" s="1"/>
  <c r="F2357" i="5"/>
  <c r="J2356" i="5"/>
  <c r="H2356" i="5" a="1"/>
  <c r="H2356" i="5" s="1"/>
  <c r="G2356" i="5" a="1"/>
  <c r="G2356" i="5" s="1"/>
  <c r="F2356" i="5"/>
  <c r="J2355" i="5"/>
  <c r="H2355" i="5" a="1"/>
  <c r="H2355" i="5" s="1"/>
  <c r="G2355" i="5" a="1"/>
  <c r="G2355" i="5" s="1"/>
  <c r="F2355" i="5"/>
  <c r="J2354" i="5"/>
  <c r="H2354" i="5" a="1"/>
  <c r="H2354" i="5" s="1"/>
  <c r="G2354" i="5" a="1"/>
  <c r="G2354" i="5" s="1"/>
  <c r="F2354" i="5"/>
  <c r="J2353" i="5"/>
  <c r="H2353" i="5" a="1"/>
  <c r="H2353" i="5" s="1"/>
  <c r="G2353" i="5" a="1"/>
  <c r="G2353" i="5" s="1"/>
  <c r="F2353" i="5"/>
  <c r="J2352" i="5"/>
  <c r="H2352" i="5" a="1"/>
  <c r="H2352" i="5" s="1"/>
  <c r="G2352" i="5" a="1"/>
  <c r="G2352" i="5"/>
  <c r="F2352" i="5"/>
  <c r="J2351" i="5"/>
  <c r="H2351" i="5" a="1"/>
  <c r="H2351" i="5" s="1"/>
  <c r="G2351" i="5" a="1"/>
  <c r="G2351" i="5" s="1"/>
  <c r="F2351" i="5"/>
  <c r="J2350" i="5"/>
  <c r="H2350" i="5" a="1"/>
  <c r="H2350" i="5" s="1"/>
  <c r="G2350" i="5" a="1"/>
  <c r="G2350" i="5" s="1"/>
  <c r="F2350" i="5"/>
  <c r="J2349" i="5"/>
  <c r="H2349" i="5" a="1"/>
  <c r="H2349" i="5" s="1"/>
  <c r="G2349" i="5" a="1"/>
  <c r="G2349" i="5" s="1"/>
  <c r="F2349" i="5"/>
  <c r="J2348" i="5"/>
  <c r="H2348" i="5" a="1"/>
  <c r="H2348" i="5" s="1"/>
  <c r="G2348" i="5" a="1"/>
  <c r="G2348" i="5" s="1"/>
  <c r="F2348" i="5"/>
  <c r="J2347" i="5"/>
  <c r="H2347" i="5" a="1"/>
  <c r="H2347" i="5" s="1"/>
  <c r="G2347" i="5" a="1"/>
  <c r="G2347" i="5" s="1"/>
  <c r="F2347" i="5"/>
  <c r="J2346" i="5"/>
  <c r="H2346" i="5" a="1"/>
  <c r="H2346" i="5" s="1"/>
  <c r="G2346" i="5" a="1"/>
  <c r="G2346" i="5" s="1"/>
  <c r="F2346" i="5"/>
  <c r="J2345" i="5"/>
  <c r="H2345" i="5" a="1"/>
  <c r="H2345" i="5" s="1"/>
  <c r="G2345" i="5" a="1"/>
  <c r="G2345" i="5" s="1"/>
  <c r="F2345" i="5"/>
  <c r="J2344" i="5"/>
  <c r="H2344" i="5" a="1"/>
  <c r="H2344" i="5" s="1"/>
  <c r="G2344" i="5" a="1"/>
  <c r="G2344" i="5" s="1"/>
  <c r="F2344" i="5"/>
  <c r="J2343" i="5"/>
  <c r="H2343" i="5" a="1"/>
  <c r="H2343" i="5" s="1"/>
  <c r="G2343" i="5" a="1"/>
  <c r="G2343" i="5" s="1"/>
  <c r="F2343" i="5"/>
  <c r="J2342" i="5"/>
  <c r="H2342" i="5" a="1"/>
  <c r="H2342" i="5" s="1"/>
  <c r="G2342" i="5" a="1"/>
  <c r="G2342" i="5" s="1"/>
  <c r="F2342" i="5"/>
  <c r="J2341" i="5"/>
  <c r="H2341" i="5" a="1"/>
  <c r="H2341" i="5" s="1"/>
  <c r="G2341" i="5" a="1"/>
  <c r="G2341" i="5" s="1"/>
  <c r="F2341" i="5"/>
  <c r="J2340" i="5"/>
  <c r="H2340" i="5" a="1"/>
  <c r="H2340" i="5" s="1"/>
  <c r="G2340" i="5" a="1"/>
  <c r="G2340" i="5" s="1"/>
  <c r="F2340" i="5"/>
  <c r="J2339" i="5"/>
  <c r="H2339" i="5" a="1"/>
  <c r="H2339" i="5" s="1"/>
  <c r="G2339" i="5" a="1"/>
  <c r="G2339" i="5" s="1"/>
  <c r="F2339" i="5"/>
  <c r="J2338" i="5"/>
  <c r="H2338" i="5" a="1"/>
  <c r="H2338" i="5" s="1"/>
  <c r="G2338" i="5" a="1"/>
  <c r="G2338" i="5" s="1"/>
  <c r="F2338" i="5"/>
  <c r="J2337" i="5"/>
  <c r="H2337" i="5" a="1"/>
  <c r="H2337" i="5" s="1"/>
  <c r="G2337" i="5" a="1"/>
  <c r="G2337" i="5" s="1"/>
  <c r="F2337" i="5"/>
  <c r="J2336" i="5"/>
  <c r="H2336" i="5" a="1"/>
  <c r="H2336" i="5" s="1"/>
  <c r="G2336" i="5" a="1"/>
  <c r="G2336" i="5" s="1"/>
  <c r="F2336" i="5"/>
  <c r="J2335" i="5"/>
  <c r="H2335" i="5" a="1"/>
  <c r="H2335" i="5" s="1"/>
  <c r="G2335" i="5" a="1"/>
  <c r="G2335" i="5" s="1"/>
  <c r="F2335" i="5"/>
  <c r="J2334" i="5"/>
  <c r="H2334" i="5" a="1"/>
  <c r="H2334" i="5" s="1"/>
  <c r="G2334" i="5" a="1"/>
  <c r="G2334" i="5" s="1"/>
  <c r="F2334" i="5"/>
  <c r="J2333" i="5"/>
  <c r="H2333" i="5" a="1"/>
  <c r="H2333" i="5" s="1"/>
  <c r="G2333" i="5" a="1"/>
  <c r="G2333" i="5" s="1"/>
  <c r="F2333" i="5"/>
  <c r="J2332" i="5"/>
  <c r="H2332" i="5" a="1"/>
  <c r="H2332" i="5" s="1"/>
  <c r="G2332" i="5" a="1"/>
  <c r="G2332" i="5" s="1"/>
  <c r="F2332" i="5"/>
  <c r="J2331" i="5"/>
  <c r="H2331" i="5" a="1"/>
  <c r="H2331" i="5" s="1"/>
  <c r="G2331" i="5" a="1"/>
  <c r="G2331" i="5" s="1"/>
  <c r="F2331" i="5"/>
  <c r="J2330" i="5"/>
  <c r="H2330" i="5" a="1"/>
  <c r="H2330" i="5" s="1"/>
  <c r="G2330" i="5" a="1"/>
  <c r="G2330" i="5" s="1"/>
  <c r="F2330" i="5"/>
  <c r="J2329" i="5"/>
  <c r="H2329" i="5" a="1"/>
  <c r="H2329" i="5" s="1"/>
  <c r="G2329" i="5" a="1"/>
  <c r="G2329" i="5" s="1"/>
  <c r="F2329" i="5"/>
  <c r="J2328" i="5"/>
  <c r="H2328" i="5" a="1"/>
  <c r="H2328" i="5" s="1"/>
  <c r="G2328" i="5" a="1"/>
  <c r="G2328" i="5" s="1"/>
  <c r="F2328" i="5"/>
  <c r="J2327" i="5"/>
  <c r="H2327" i="5" a="1"/>
  <c r="H2327" i="5" s="1"/>
  <c r="G2327" i="5" a="1"/>
  <c r="G2327" i="5" s="1"/>
  <c r="F2327" i="5"/>
  <c r="J2326" i="5"/>
  <c r="H2326" i="5" a="1"/>
  <c r="H2326" i="5" s="1"/>
  <c r="G2326" i="5" a="1"/>
  <c r="G2326" i="5" s="1"/>
  <c r="F2326" i="5"/>
  <c r="J2325" i="5"/>
  <c r="H2325" i="5" a="1"/>
  <c r="H2325" i="5" s="1"/>
  <c r="G2325" i="5" a="1"/>
  <c r="G2325" i="5" s="1"/>
  <c r="F2325" i="5"/>
  <c r="J2324" i="5"/>
  <c r="H2324" i="5" a="1"/>
  <c r="H2324" i="5" s="1"/>
  <c r="G2324" i="5" a="1"/>
  <c r="G2324" i="5" s="1"/>
  <c r="F2324" i="5"/>
  <c r="J2323" i="5"/>
  <c r="H2323" i="5" a="1"/>
  <c r="H2323" i="5" s="1"/>
  <c r="G2323" i="5" a="1"/>
  <c r="G2323" i="5" s="1"/>
  <c r="F2323" i="5"/>
  <c r="J2322" i="5"/>
  <c r="H2322" i="5" a="1"/>
  <c r="H2322" i="5" s="1"/>
  <c r="G2322" i="5" a="1"/>
  <c r="G2322" i="5" s="1"/>
  <c r="F2322" i="5"/>
  <c r="J2321" i="5"/>
  <c r="H2321" i="5" a="1"/>
  <c r="H2321" i="5" s="1"/>
  <c r="G2321" i="5" a="1"/>
  <c r="G2321" i="5" s="1"/>
  <c r="F2321" i="5"/>
  <c r="J2320" i="5"/>
  <c r="H2320" i="5" a="1"/>
  <c r="H2320" i="5" s="1"/>
  <c r="G2320" i="5" a="1"/>
  <c r="G2320" i="5" s="1"/>
  <c r="F2320" i="5"/>
  <c r="J2319" i="5"/>
  <c r="H2319" i="5" a="1"/>
  <c r="H2319" i="5" s="1"/>
  <c r="G2319" i="5" a="1"/>
  <c r="G2319" i="5" s="1"/>
  <c r="F2319" i="5"/>
  <c r="J2318" i="5"/>
  <c r="H2318" i="5" a="1"/>
  <c r="H2318" i="5" s="1"/>
  <c r="G2318" i="5" a="1"/>
  <c r="G2318" i="5" s="1"/>
  <c r="F2318" i="5"/>
  <c r="J2317" i="5"/>
  <c r="H2317" i="5" a="1"/>
  <c r="H2317" i="5" s="1"/>
  <c r="G2317" i="5" a="1"/>
  <c r="G2317" i="5" s="1"/>
  <c r="F2317" i="5"/>
  <c r="J2316" i="5"/>
  <c r="H2316" i="5" a="1"/>
  <c r="H2316" i="5" s="1"/>
  <c r="G2316" i="5" a="1"/>
  <c r="G2316" i="5" s="1"/>
  <c r="F2316" i="5"/>
  <c r="J2315" i="5"/>
  <c r="H2315" i="5" a="1"/>
  <c r="H2315" i="5" s="1"/>
  <c r="G2315" i="5" a="1"/>
  <c r="G2315" i="5"/>
  <c r="F2315" i="5"/>
  <c r="J2314" i="5"/>
  <c r="H2314" i="5" a="1"/>
  <c r="H2314" i="5" s="1"/>
  <c r="G2314" i="5" a="1"/>
  <c r="G2314" i="5" s="1"/>
  <c r="F2314" i="5"/>
  <c r="J2313" i="5"/>
  <c r="H2313" i="5" a="1"/>
  <c r="H2313" i="5" s="1"/>
  <c r="G2313" i="5" a="1"/>
  <c r="G2313" i="5" s="1"/>
  <c r="F2313" i="5"/>
  <c r="J2312" i="5"/>
  <c r="H2312" i="5" a="1"/>
  <c r="H2312" i="5" s="1"/>
  <c r="G2312" i="5" a="1"/>
  <c r="G2312" i="5" s="1"/>
  <c r="F2312" i="5"/>
  <c r="J2311" i="5"/>
  <c r="H2311" i="5" a="1"/>
  <c r="H2311" i="5" s="1"/>
  <c r="G2311" i="5" a="1"/>
  <c r="G2311" i="5" s="1"/>
  <c r="F2311" i="5"/>
  <c r="J2310" i="5"/>
  <c r="H2310" i="5" a="1"/>
  <c r="H2310" i="5" s="1"/>
  <c r="G2310" i="5" a="1"/>
  <c r="G2310" i="5" s="1"/>
  <c r="F2310" i="5"/>
  <c r="J2309" i="5"/>
  <c r="H2309" i="5" a="1"/>
  <c r="H2309" i="5" s="1"/>
  <c r="G2309" i="5" a="1"/>
  <c r="G2309" i="5" s="1"/>
  <c r="F2309" i="5"/>
  <c r="J2308" i="5"/>
  <c r="H2308" i="5" a="1"/>
  <c r="H2308" i="5" s="1"/>
  <c r="G2308" i="5" a="1"/>
  <c r="G2308" i="5" s="1"/>
  <c r="F2308" i="5"/>
  <c r="J2307" i="5"/>
  <c r="H2307" i="5" a="1"/>
  <c r="H2307" i="5" s="1"/>
  <c r="G2307" i="5" a="1"/>
  <c r="G2307" i="5" s="1"/>
  <c r="F2307" i="5"/>
  <c r="J2306" i="5"/>
  <c r="H2306" i="5" a="1"/>
  <c r="H2306" i="5" s="1"/>
  <c r="G2306" i="5" a="1"/>
  <c r="G2306" i="5" s="1"/>
  <c r="F2306" i="5"/>
  <c r="J2305" i="5"/>
  <c r="H2305" i="5" a="1"/>
  <c r="H2305" i="5" s="1"/>
  <c r="G2305" i="5" a="1"/>
  <c r="G2305" i="5" s="1"/>
  <c r="F2305" i="5"/>
  <c r="J2304" i="5"/>
  <c r="H2304" i="5" a="1"/>
  <c r="H2304" i="5" s="1"/>
  <c r="G2304" i="5" a="1"/>
  <c r="G2304" i="5" s="1"/>
  <c r="F2304" i="5"/>
  <c r="J2303" i="5"/>
  <c r="H2303" i="5" a="1"/>
  <c r="H2303" i="5" s="1"/>
  <c r="G2303" i="5" a="1"/>
  <c r="G2303" i="5" s="1"/>
  <c r="F2303" i="5"/>
  <c r="J2302" i="5"/>
  <c r="H2302" i="5" a="1"/>
  <c r="H2302" i="5" s="1"/>
  <c r="G2302" i="5" a="1"/>
  <c r="G2302" i="5" s="1"/>
  <c r="F2302" i="5"/>
  <c r="J2301" i="5"/>
  <c r="H2301" i="5" a="1"/>
  <c r="H2301" i="5" s="1"/>
  <c r="G2301" i="5" a="1"/>
  <c r="G2301" i="5" s="1"/>
  <c r="F2301" i="5"/>
  <c r="J2300" i="5"/>
  <c r="H2300" i="5" a="1"/>
  <c r="H2300" i="5" s="1"/>
  <c r="G2300" i="5" a="1"/>
  <c r="G2300" i="5" s="1"/>
  <c r="F2300" i="5"/>
  <c r="J2299" i="5"/>
  <c r="H2299" i="5" a="1"/>
  <c r="H2299" i="5" s="1"/>
  <c r="G2299" i="5" a="1"/>
  <c r="G2299" i="5" s="1"/>
  <c r="F2299" i="5"/>
  <c r="J2298" i="5"/>
  <c r="H2298" i="5" a="1"/>
  <c r="H2298" i="5" s="1"/>
  <c r="G2298" i="5" a="1"/>
  <c r="G2298" i="5" s="1"/>
  <c r="F2298" i="5"/>
  <c r="J2297" i="5"/>
  <c r="H2297" i="5" a="1"/>
  <c r="H2297" i="5" s="1"/>
  <c r="G2297" i="5" a="1"/>
  <c r="G2297" i="5" s="1"/>
  <c r="F2297" i="5"/>
  <c r="J2296" i="5"/>
  <c r="H2296" i="5" a="1"/>
  <c r="H2296" i="5" s="1"/>
  <c r="G2296" i="5" a="1"/>
  <c r="G2296" i="5" s="1"/>
  <c r="F2296" i="5"/>
  <c r="J2295" i="5"/>
  <c r="H2295" i="5" a="1"/>
  <c r="H2295" i="5" s="1"/>
  <c r="G2295" i="5" a="1"/>
  <c r="G2295" i="5" s="1"/>
  <c r="F2295" i="5"/>
  <c r="J2294" i="5"/>
  <c r="H2294" i="5" a="1"/>
  <c r="H2294" i="5" s="1"/>
  <c r="G2294" i="5" a="1"/>
  <c r="G2294" i="5" s="1"/>
  <c r="F2294" i="5"/>
  <c r="J2293" i="5"/>
  <c r="H2293" i="5" a="1"/>
  <c r="H2293" i="5" s="1"/>
  <c r="G2293" i="5" a="1"/>
  <c r="G2293" i="5" s="1"/>
  <c r="F2293" i="5"/>
  <c r="J2292" i="5"/>
  <c r="H2292" i="5" a="1"/>
  <c r="H2292" i="5" s="1"/>
  <c r="G2292" i="5" a="1"/>
  <c r="G2292" i="5" s="1"/>
  <c r="F2292" i="5"/>
  <c r="J2291" i="5"/>
  <c r="H2291" i="5" a="1"/>
  <c r="H2291" i="5" s="1"/>
  <c r="G2291" i="5" a="1"/>
  <c r="G2291" i="5" s="1"/>
  <c r="F2291" i="5"/>
  <c r="J2290" i="5"/>
  <c r="H2290" i="5" a="1"/>
  <c r="H2290" i="5" s="1"/>
  <c r="G2290" i="5" a="1"/>
  <c r="G2290" i="5" s="1"/>
  <c r="F2290" i="5"/>
  <c r="J2289" i="5"/>
  <c r="H2289" i="5" a="1"/>
  <c r="H2289" i="5" s="1"/>
  <c r="G2289" i="5" a="1"/>
  <c r="G2289" i="5" s="1"/>
  <c r="F2289" i="5"/>
  <c r="J2288" i="5"/>
  <c r="H2288" i="5" a="1"/>
  <c r="H2288" i="5" s="1"/>
  <c r="G2288" i="5" a="1"/>
  <c r="G2288" i="5" s="1"/>
  <c r="F2288" i="5"/>
  <c r="J2287" i="5"/>
  <c r="H2287" i="5" a="1"/>
  <c r="H2287" i="5" s="1"/>
  <c r="G2287" i="5" a="1"/>
  <c r="G2287" i="5" s="1"/>
  <c r="F2287" i="5"/>
  <c r="J2286" i="5"/>
  <c r="H2286" i="5" a="1"/>
  <c r="H2286" i="5" s="1"/>
  <c r="G2286" i="5" a="1"/>
  <c r="G2286" i="5" s="1"/>
  <c r="F2286" i="5"/>
  <c r="J2285" i="5"/>
  <c r="H2285" i="5" a="1"/>
  <c r="H2285" i="5" s="1"/>
  <c r="G2285" i="5" a="1"/>
  <c r="G2285" i="5" s="1"/>
  <c r="F2285" i="5"/>
  <c r="J2284" i="5"/>
  <c r="H2284" i="5" a="1"/>
  <c r="H2284" i="5" s="1"/>
  <c r="G2284" i="5" a="1"/>
  <c r="G2284" i="5" s="1"/>
  <c r="F2284" i="5"/>
  <c r="J2283" i="5"/>
  <c r="H2283" i="5" a="1"/>
  <c r="H2283" i="5" s="1"/>
  <c r="G2283" i="5" a="1"/>
  <c r="G2283" i="5" s="1"/>
  <c r="F2283" i="5"/>
  <c r="J2282" i="5"/>
  <c r="H2282" i="5" a="1"/>
  <c r="H2282" i="5" s="1"/>
  <c r="G2282" i="5" a="1"/>
  <c r="G2282" i="5" s="1"/>
  <c r="F2282" i="5"/>
  <c r="J2281" i="5"/>
  <c r="H2281" i="5" a="1"/>
  <c r="H2281" i="5" s="1"/>
  <c r="G2281" i="5" a="1"/>
  <c r="G2281" i="5" s="1"/>
  <c r="F2281" i="5"/>
  <c r="J2280" i="5"/>
  <c r="H2280" i="5" a="1"/>
  <c r="H2280" i="5" s="1"/>
  <c r="G2280" i="5" a="1"/>
  <c r="G2280" i="5" s="1"/>
  <c r="F2280" i="5"/>
  <c r="J2279" i="5"/>
  <c r="H2279" i="5" a="1"/>
  <c r="H2279" i="5" s="1"/>
  <c r="G2279" i="5" a="1"/>
  <c r="G2279" i="5" s="1"/>
  <c r="F2279" i="5"/>
  <c r="J2278" i="5"/>
  <c r="H2278" i="5" a="1"/>
  <c r="H2278" i="5" s="1"/>
  <c r="G2278" i="5" a="1"/>
  <c r="G2278" i="5" s="1"/>
  <c r="F2278" i="5"/>
  <c r="J2277" i="5"/>
  <c r="H2277" i="5" a="1"/>
  <c r="H2277" i="5" s="1"/>
  <c r="G2277" i="5" a="1"/>
  <c r="G2277" i="5" s="1"/>
  <c r="F2277" i="5"/>
  <c r="J2276" i="5"/>
  <c r="H2276" i="5" a="1"/>
  <c r="H2276" i="5" s="1"/>
  <c r="G2276" i="5" a="1"/>
  <c r="G2276" i="5" s="1"/>
  <c r="F2276" i="5"/>
  <c r="J2275" i="5"/>
  <c r="H2275" i="5" a="1"/>
  <c r="H2275" i="5" s="1"/>
  <c r="G2275" i="5" a="1"/>
  <c r="G2275" i="5" s="1"/>
  <c r="F2275" i="5"/>
  <c r="J2274" i="5"/>
  <c r="H2274" i="5" a="1"/>
  <c r="H2274" i="5" s="1"/>
  <c r="G2274" i="5" a="1"/>
  <c r="G2274" i="5" s="1"/>
  <c r="F2274" i="5"/>
  <c r="J2273" i="5"/>
  <c r="H2273" i="5" a="1"/>
  <c r="H2273" i="5" s="1"/>
  <c r="G2273" i="5" a="1"/>
  <c r="G2273" i="5" s="1"/>
  <c r="F2273" i="5"/>
  <c r="J2272" i="5"/>
  <c r="H2272" i="5" a="1"/>
  <c r="H2272" i="5" s="1"/>
  <c r="G2272" i="5" a="1"/>
  <c r="G2272" i="5" s="1"/>
  <c r="F2272" i="5"/>
  <c r="J2271" i="5"/>
  <c r="H2271" i="5" a="1"/>
  <c r="H2271" i="5" s="1"/>
  <c r="G2271" i="5" a="1"/>
  <c r="G2271" i="5" s="1"/>
  <c r="F2271" i="5"/>
  <c r="J2270" i="5"/>
  <c r="H2270" i="5" a="1"/>
  <c r="H2270" i="5" s="1"/>
  <c r="G2270" i="5" a="1"/>
  <c r="G2270" i="5" s="1"/>
  <c r="F2270" i="5"/>
  <c r="J2269" i="5"/>
  <c r="H2269" i="5" a="1"/>
  <c r="H2269" i="5" s="1"/>
  <c r="G2269" i="5" a="1"/>
  <c r="G2269" i="5" s="1"/>
  <c r="F2269" i="5"/>
  <c r="J2268" i="5"/>
  <c r="H2268" i="5" a="1"/>
  <c r="H2268" i="5" s="1"/>
  <c r="G2268" i="5" a="1"/>
  <c r="G2268" i="5" s="1"/>
  <c r="F2268" i="5"/>
  <c r="J2267" i="5"/>
  <c r="H2267" i="5" a="1"/>
  <c r="H2267" i="5" s="1"/>
  <c r="G2267" i="5" a="1"/>
  <c r="G2267" i="5" s="1"/>
  <c r="F2267" i="5"/>
  <c r="J2266" i="5"/>
  <c r="H2266" i="5" a="1"/>
  <c r="H2266" i="5" s="1"/>
  <c r="G2266" i="5" a="1"/>
  <c r="G2266" i="5" s="1"/>
  <c r="F2266" i="5"/>
  <c r="J2265" i="5"/>
  <c r="H2265" i="5" a="1"/>
  <c r="H2265" i="5" s="1"/>
  <c r="G2265" i="5" a="1"/>
  <c r="G2265" i="5" s="1"/>
  <c r="F2265" i="5"/>
  <c r="J2264" i="5"/>
  <c r="H2264" i="5" a="1"/>
  <c r="H2264" i="5" s="1"/>
  <c r="G2264" i="5" a="1"/>
  <c r="G2264" i="5" s="1"/>
  <c r="F2264" i="5"/>
  <c r="J2263" i="5"/>
  <c r="H2263" i="5" a="1"/>
  <c r="H2263" i="5" s="1"/>
  <c r="G2263" i="5" a="1"/>
  <c r="G2263" i="5" s="1"/>
  <c r="F2263" i="5"/>
  <c r="J2262" i="5"/>
  <c r="H2262" i="5" a="1"/>
  <c r="H2262" i="5" s="1"/>
  <c r="G2262" i="5" a="1"/>
  <c r="G2262" i="5"/>
  <c r="F2262" i="5"/>
  <c r="J2261" i="5"/>
  <c r="H2261" i="5" a="1"/>
  <c r="H2261" i="5" s="1"/>
  <c r="G2261" i="5" a="1"/>
  <c r="G2261" i="5" s="1"/>
  <c r="F2261" i="5"/>
  <c r="J2260" i="5"/>
  <c r="H2260" i="5" a="1"/>
  <c r="H2260" i="5" s="1"/>
  <c r="G2260" i="5" a="1"/>
  <c r="G2260" i="5" s="1"/>
  <c r="F2260" i="5"/>
  <c r="J2259" i="5"/>
  <c r="H2259" i="5" a="1"/>
  <c r="H2259" i="5" s="1"/>
  <c r="G2259" i="5" a="1"/>
  <c r="G2259" i="5" s="1"/>
  <c r="F2259" i="5"/>
  <c r="J2258" i="5"/>
  <c r="H2258" i="5" a="1"/>
  <c r="H2258" i="5" s="1"/>
  <c r="G2258" i="5" a="1"/>
  <c r="G2258" i="5" s="1"/>
  <c r="F2258" i="5"/>
  <c r="J2257" i="5"/>
  <c r="H2257" i="5" a="1"/>
  <c r="H2257" i="5" s="1"/>
  <c r="G2257" i="5" a="1"/>
  <c r="G2257" i="5" s="1"/>
  <c r="F2257" i="5"/>
  <c r="J2256" i="5"/>
  <c r="H2256" i="5" a="1"/>
  <c r="H2256" i="5" s="1"/>
  <c r="G2256" i="5" a="1"/>
  <c r="G2256" i="5" s="1"/>
  <c r="F2256" i="5"/>
  <c r="J2255" i="5"/>
  <c r="H2255" i="5" a="1"/>
  <c r="H2255" i="5"/>
  <c r="G2255" i="5" a="1"/>
  <c r="G2255" i="5"/>
  <c r="F2255" i="5"/>
  <c r="J2254" i="5"/>
  <c r="H2254" i="5" a="1"/>
  <c r="H2254" i="5"/>
  <c r="G2254" i="5" a="1"/>
  <c r="G2254" i="5"/>
  <c r="F2254" i="5"/>
  <c r="J2253" i="5"/>
  <c r="H2253" i="5" a="1"/>
  <c r="H2253" i="5"/>
  <c r="G2253" i="5" a="1"/>
  <c r="G2253" i="5"/>
  <c r="F2253" i="5"/>
  <c r="J2252" i="5"/>
  <c r="H2252" i="5" a="1"/>
  <c r="H2252" i="5"/>
  <c r="G2252" i="5" a="1"/>
  <c r="G2252" i="5"/>
  <c r="F2252" i="5"/>
  <c r="J2251" i="5"/>
  <c r="H2251" i="5" a="1"/>
  <c r="H2251" i="5"/>
  <c r="G2251" i="5" a="1"/>
  <c r="G2251" i="5"/>
  <c r="F2251" i="5"/>
  <c r="J2250" i="5"/>
  <c r="H2250" i="5" a="1"/>
  <c r="H2250" i="5" s="1"/>
  <c r="G2250" i="5" a="1"/>
  <c r="G2250" i="5" s="1"/>
  <c r="F2250" i="5"/>
  <c r="J2249" i="5"/>
  <c r="H2249" i="5" a="1"/>
  <c r="H2249" i="5" s="1"/>
  <c r="G2249" i="5" a="1"/>
  <c r="G2249" i="5" s="1"/>
  <c r="F2249" i="5"/>
  <c r="J2248" i="5"/>
  <c r="H2248" i="5" a="1"/>
  <c r="H2248" i="5" s="1"/>
  <c r="G2248" i="5" a="1"/>
  <c r="G2248" i="5" s="1"/>
  <c r="F2248" i="5"/>
  <c r="J2247" i="5"/>
  <c r="H2247" i="5" a="1"/>
  <c r="H2247" i="5" s="1"/>
  <c r="G2247" i="5" a="1"/>
  <c r="G2247" i="5" s="1"/>
  <c r="F2247" i="5"/>
  <c r="J2246" i="5"/>
  <c r="H2246" i="5" a="1"/>
  <c r="H2246" i="5" s="1"/>
  <c r="G2246" i="5" a="1"/>
  <c r="G2246" i="5" s="1"/>
  <c r="F2246" i="5"/>
  <c r="J2245" i="5"/>
  <c r="H2245" i="5" a="1"/>
  <c r="H2245" i="5" s="1"/>
  <c r="G2245" i="5" a="1"/>
  <c r="G2245" i="5" s="1"/>
  <c r="F2245" i="5"/>
  <c r="J2244" i="5"/>
  <c r="H2244" i="5" a="1"/>
  <c r="H2244" i="5" s="1"/>
  <c r="G2244" i="5" a="1"/>
  <c r="G2244" i="5" s="1"/>
  <c r="F2244" i="5"/>
  <c r="J2243" i="5"/>
  <c r="H2243" i="5" a="1"/>
  <c r="H2243" i="5" s="1"/>
  <c r="G2243" i="5" a="1"/>
  <c r="G2243" i="5" s="1"/>
  <c r="F2243" i="5"/>
  <c r="J2242" i="5"/>
  <c r="H2242" i="5" a="1"/>
  <c r="H2242" i="5" s="1"/>
  <c r="G2242" i="5" a="1"/>
  <c r="G2242" i="5" s="1"/>
  <c r="F2242" i="5"/>
  <c r="J2241" i="5"/>
  <c r="H2241" i="5" a="1"/>
  <c r="H2241" i="5" s="1"/>
  <c r="G2241" i="5" a="1"/>
  <c r="G2241" i="5"/>
  <c r="F2241" i="5"/>
  <c r="J2240" i="5"/>
  <c r="H2240" i="5" a="1"/>
  <c r="H2240" i="5" s="1"/>
  <c r="G2240" i="5" a="1"/>
  <c r="G2240" i="5" s="1"/>
  <c r="F2240" i="5"/>
  <c r="J2239" i="5"/>
  <c r="H2239" i="5" a="1"/>
  <c r="H2239" i="5" s="1"/>
  <c r="G2239" i="5" a="1"/>
  <c r="G2239" i="5" s="1"/>
  <c r="F2239" i="5"/>
  <c r="J2238" i="5"/>
  <c r="H2238" i="5" a="1"/>
  <c r="H2238" i="5" s="1"/>
  <c r="G2238" i="5" a="1"/>
  <c r="G2238" i="5" s="1"/>
  <c r="F2238" i="5"/>
  <c r="J2237" i="5"/>
  <c r="H2237" i="5" a="1"/>
  <c r="H2237" i="5" s="1"/>
  <c r="G2237" i="5" a="1"/>
  <c r="G2237" i="5"/>
  <c r="F2237" i="5"/>
  <c r="J2236" i="5"/>
  <c r="H2236" i="5" a="1"/>
  <c r="H2236" i="5" s="1"/>
  <c r="G2236" i="5" a="1"/>
  <c r="G2236" i="5" s="1"/>
  <c r="F2236" i="5"/>
  <c r="J2235" i="5"/>
  <c r="H2235" i="5" a="1"/>
  <c r="H2235" i="5" s="1"/>
  <c r="G2235" i="5" a="1"/>
  <c r="G2235" i="5"/>
  <c r="F2235" i="5"/>
  <c r="J2234" i="5"/>
  <c r="H2234" i="5" a="1"/>
  <c r="H2234" i="5" s="1"/>
  <c r="G2234" i="5" a="1"/>
  <c r="G2234" i="5" s="1"/>
  <c r="F2234" i="5"/>
  <c r="J2233" i="5"/>
  <c r="H2233" i="5" a="1"/>
  <c r="H2233" i="5" s="1"/>
  <c r="G2233" i="5" a="1"/>
  <c r="G2233" i="5" s="1"/>
  <c r="F2233" i="5"/>
  <c r="J2232" i="5"/>
  <c r="H2232" i="5" a="1"/>
  <c r="H2232" i="5" s="1"/>
  <c r="G2232" i="5" a="1"/>
  <c r="G2232" i="5" s="1"/>
  <c r="F2232" i="5"/>
  <c r="J2231" i="5"/>
  <c r="H2231" i="5" a="1"/>
  <c r="H2231" i="5" s="1"/>
  <c r="G2231" i="5" a="1"/>
  <c r="G2231" i="5" s="1"/>
  <c r="F2231" i="5"/>
  <c r="J2230" i="5"/>
  <c r="H2230" i="5" a="1"/>
  <c r="H2230" i="5" s="1"/>
  <c r="G2230" i="5" a="1"/>
  <c r="G2230" i="5" s="1"/>
  <c r="F2230" i="5"/>
  <c r="J2229" i="5"/>
  <c r="H2229" i="5" a="1"/>
  <c r="H2229" i="5" s="1"/>
  <c r="G2229" i="5" a="1"/>
  <c r="G2229" i="5" s="1"/>
  <c r="F2229" i="5"/>
  <c r="J2228" i="5"/>
  <c r="H2228" i="5" a="1"/>
  <c r="H2228" i="5" s="1"/>
  <c r="G2228" i="5" a="1"/>
  <c r="G2228" i="5"/>
  <c r="F2228" i="5"/>
  <c r="J2227" i="5"/>
  <c r="H2227" i="5" a="1"/>
  <c r="H2227" i="5" s="1"/>
  <c r="G2227" i="5" a="1"/>
  <c r="G2227" i="5" s="1"/>
  <c r="F2227" i="5"/>
  <c r="J2226" i="5"/>
  <c r="H2226" i="5" a="1"/>
  <c r="H2226" i="5" s="1"/>
  <c r="G2226" i="5" a="1"/>
  <c r="G2226" i="5"/>
  <c r="F2226" i="5"/>
  <c r="J2225" i="5"/>
  <c r="H2225" i="5" a="1"/>
  <c r="H2225" i="5" s="1"/>
  <c r="G2225" i="5" a="1"/>
  <c r="G2225" i="5" s="1"/>
  <c r="F2225" i="5"/>
  <c r="J2224" i="5"/>
  <c r="H2224" i="5" a="1"/>
  <c r="H2224" i="5" s="1"/>
  <c r="G2224" i="5" a="1"/>
  <c r="G2224" i="5" s="1"/>
  <c r="F2224" i="5"/>
  <c r="J2223" i="5"/>
  <c r="H2223" i="5" a="1"/>
  <c r="H2223" i="5" s="1"/>
  <c r="G2223" i="5" a="1"/>
  <c r="G2223" i="5"/>
  <c r="F2223" i="5"/>
  <c r="J2222" i="5"/>
  <c r="H2222" i="5" a="1"/>
  <c r="H2222" i="5" s="1"/>
  <c r="G2222" i="5" a="1"/>
  <c r="G2222" i="5" s="1"/>
  <c r="F2222" i="5"/>
  <c r="J2221" i="5"/>
  <c r="H2221" i="5" a="1"/>
  <c r="H2221" i="5" s="1"/>
  <c r="G2221" i="5" a="1"/>
  <c r="G2221" i="5" s="1"/>
  <c r="F2221" i="5"/>
  <c r="J2220" i="5"/>
  <c r="H2220" i="5" a="1"/>
  <c r="H2220" i="5" s="1"/>
  <c r="G2220" i="5" a="1"/>
  <c r="G2220" i="5" s="1"/>
  <c r="F2220" i="5"/>
  <c r="J2219" i="5"/>
  <c r="H2219" i="5" a="1"/>
  <c r="H2219" i="5" s="1"/>
  <c r="G2219" i="5" a="1"/>
  <c r="G2219" i="5" s="1"/>
  <c r="F2219" i="5"/>
  <c r="J2218" i="5"/>
  <c r="H2218" i="5" a="1"/>
  <c r="H2218" i="5" s="1"/>
  <c r="G2218" i="5" a="1"/>
  <c r="G2218" i="5" s="1"/>
  <c r="F2218" i="5"/>
  <c r="J2217" i="5"/>
  <c r="H2217" i="5" a="1"/>
  <c r="H2217" i="5" s="1"/>
  <c r="G2217" i="5" a="1"/>
  <c r="G2217" i="5" s="1"/>
  <c r="F2217" i="5"/>
  <c r="J2216" i="5"/>
  <c r="H2216" i="5" a="1"/>
  <c r="H2216" i="5" s="1"/>
  <c r="G2216" i="5" a="1"/>
  <c r="G2216" i="5" s="1"/>
  <c r="F2216" i="5"/>
  <c r="J2215" i="5"/>
  <c r="H2215" i="5" a="1"/>
  <c r="H2215" i="5" s="1"/>
  <c r="G2215" i="5" a="1"/>
  <c r="G2215" i="5" s="1"/>
  <c r="F2215" i="5"/>
  <c r="J2214" i="5"/>
  <c r="H2214" i="5" a="1"/>
  <c r="H2214" i="5" s="1"/>
  <c r="G2214" i="5" a="1"/>
  <c r="G2214" i="5" s="1"/>
  <c r="F2214" i="5"/>
  <c r="J2213" i="5"/>
  <c r="H2213" i="5" a="1"/>
  <c r="H2213" i="5" s="1"/>
  <c r="G2213" i="5" a="1"/>
  <c r="G2213" i="5" s="1"/>
  <c r="F2213" i="5"/>
  <c r="J2212" i="5"/>
  <c r="H2212" i="5" a="1"/>
  <c r="H2212" i="5" s="1"/>
  <c r="G2212" i="5" a="1"/>
  <c r="G2212" i="5" s="1"/>
  <c r="F2212" i="5"/>
  <c r="J2211" i="5"/>
  <c r="H2211" i="5" a="1"/>
  <c r="H2211" i="5" s="1"/>
  <c r="G2211" i="5" a="1"/>
  <c r="G2211" i="5" s="1"/>
  <c r="F2211" i="5"/>
  <c r="J2210" i="5"/>
  <c r="H2210" i="5" a="1"/>
  <c r="H2210" i="5"/>
  <c r="G2210" i="5" a="1"/>
  <c r="G2210" i="5" s="1"/>
  <c r="F2210" i="5"/>
  <c r="J2209" i="5"/>
  <c r="H2209" i="5" a="1"/>
  <c r="H2209" i="5" s="1"/>
  <c r="G2209" i="5" a="1"/>
  <c r="G2209" i="5" s="1"/>
  <c r="F2209" i="5"/>
  <c r="J2208" i="5"/>
  <c r="H2208" i="5" a="1"/>
  <c r="H2208" i="5" s="1"/>
  <c r="G2208" i="5" a="1"/>
  <c r="G2208" i="5" s="1"/>
  <c r="F2208" i="5"/>
  <c r="J2207" i="5"/>
  <c r="H2207" i="5" a="1"/>
  <c r="H2207" i="5" s="1"/>
  <c r="G2207" i="5" a="1"/>
  <c r="G2207" i="5" s="1"/>
  <c r="F2207" i="5"/>
  <c r="J2206" i="5"/>
  <c r="H2206" i="5" a="1"/>
  <c r="H2206" i="5" s="1"/>
  <c r="G2206" i="5" a="1"/>
  <c r="G2206" i="5" s="1"/>
  <c r="F2206" i="5"/>
  <c r="J2205" i="5"/>
  <c r="H2205" i="5" a="1"/>
  <c r="H2205" i="5" s="1"/>
  <c r="G2205" i="5" a="1"/>
  <c r="G2205" i="5" s="1"/>
  <c r="F2205" i="5"/>
  <c r="J2204" i="5"/>
  <c r="H2204" i="5" a="1"/>
  <c r="H2204" i="5" s="1"/>
  <c r="G2204" i="5" a="1"/>
  <c r="G2204" i="5" s="1"/>
  <c r="F2204" i="5"/>
  <c r="J2203" i="5"/>
  <c r="H2203" i="5" a="1"/>
  <c r="H2203" i="5" s="1"/>
  <c r="G2203" i="5" a="1"/>
  <c r="G2203" i="5" s="1"/>
  <c r="F2203" i="5"/>
  <c r="J2202" i="5"/>
  <c r="H2202" i="5" a="1"/>
  <c r="H2202" i="5" s="1"/>
  <c r="G2202" i="5" a="1"/>
  <c r="G2202" i="5"/>
  <c r="F2202" i="5"/>
  <c r="J2201" i="5"/>
  <c r="H2201" i="5" a="1"/>
  <c r="H2201" i="5" s="1"/>
  <c r="G2201" i="5" a="1"/>
  <c r="G2201" i="5" s="1"/>
  <c r="F2201" i="5"/>
  <c r="J2200" i="5"/>
  <c r="H2200" i="5" a="1"/>
  <c r="H2200" i="5" s="1"/>
  <c r="G2200" i="5" a="1"/>
  <c r="G2200" i="5" s="1"/>
  <c r="F2200" i="5"/>
  <c r="J2199" i="5"/>
  <c r="H2199" i="5" a="1"/>
  <c r="H2199" i="5" s="1"/>
  <c r="G2199" i="5" a="1"/>
  <c r="G2199" i="5"/>
  <c r="F2199" i="5"/>
  <c r="J2198" i="5"/>
  <c r="H2198" i="5" a="1"/>
  <c r="H2198" i="5" s="1"/>
  <c r="G2198" i="5" a="1"/>
  <c r="G2198" i="5" s="1"/>
  <c r="F2198" i="5"/>
  <c r="J2197" i="5"/>
  <c r="H2197" i="5" a="1"/>
  <c r="H2197" i="5" s="1"/>
  <c r="G2197" i="5" a="1"/>
  <c r="G2197" i="5" s="1"/>
  <c r="F2197" i="5"/>
  <c r="J2196" i="5"/>
  <c r="H2196" i="5" a="1"/>
  <c r="H2196" i="5" s="1"/>
  <c r="G2196" i="5" a="1"/>
  <c r="G2196" i="5"/>
  <c r="F2196" i="5"/>
  <c r="J2195" i="5"/>
  <c r="H2195" i="5" a="1"/>
  <c r="H2195" i="5" s="1"/>
  <c r="G2195" i="5" a="1"/>
  <c r="G2195" i="5" s="1"/>
  <c r="F2195" i="5"/>
  <c r="J2194" i="5"/>
  <c r="H2194" i="5" a="1"/>
  <c r="H2194" i="5" s="1"/>
  <c r="G2194" i="5" a="1"/>
  <c r="G2194" i="5" s="1"/>
  <c r="F2194" i="5"/>
  <c r="J2193" i="5"/>
  <c r="H2193" i="5" a="1"/>
  <c r="H2193" i="5" s="1"/>
  <c r="G2193" i="5" a="1"/>
  <c r="G2193" i="5" s="1"/>
  <c r="F2193" i="5"/>
  <c r="J2192" i="5"/>
  <c r="H2192" i="5" a="1"/>
  <c r="H2192" i="5" s="1"/>
  <c r="G2192" i="5" a="1"/>
  <c r="G2192" i="5" s="1"/>
  <c r="F2192" i="5"/>
  <c r="J2191" i="5"/>
  <c r="H2191" i="5" a="1"/>
  <c r="H2191" i="5" s="1"/>
  <c r="G2191" i="5" a="1"/>
  <c r="G2191" i="5" s="1"/>
  <c r="F2191" i="5"/>
  <c r="J2190" i="5"/>
  <c r="H2190" i="5" a="1"/>
  <c r="H2190" i="5" s="1"/>
  <c r="G2190" i="5" a="1"/>
  <c r="G2190" i="5" s="1"/>
  <c r="F2190" i="5"/>
  <c r="J2189" i="5"/>
  <c r="H2189" i="5" a="1"/>
  <c r="H2189" i="5" s="1"/>
  <c r="G2189" i="5" a="1"/>
  <c r="G2189" i="5" s="1"/>
  <c r="F2189" i="5"/>
  <c r="J2188" i="5"/>
  <c r="H2188" i="5" a="1"/>
  <c r="H2188" i="5" s="1"/>
  <c r="G2188" i="5" a="1"/>
  <c r="G2188" i="5" s="1"/>
  <c r="F2188" i="5"/>
  <c r="J2187" i="5"/>
  <c r="H2187" i="5" a="1"/>
  <c r="H2187" i="5" s="1"/>
  <c r="G2187" i="5" a="1"/>
  <c r="G2187" i="5" s="1"/>
  <c r="F2187" i="5"/>
  <c r="J2186" i="5"/>
  <c r="H2186" i="5" a="1"/>
  <c r="H2186" i="5" s="1"/>
  <c r="G2186" i="5" a="1"/>
  <c r="G2186" i="5" s="1"/>
  <c r="F2186" i="5"/>
  <c r="J2185" i="5"/>
  <c r="H2185" i="5" a="1"/>
  <c r="H2185" i="5" s="1"/>
  <c r="G2185" i="5" a="1"/>
  <c r="G2185" i="5"/>
  <c r="F2185" i="5"/>
  <c r="J2184" i="5"/>
  <c r="H2184" i="5" a="1"/>
  <c r="H2184" i="5" s="1"/>
  <c r="G2184" i="5" a="1"/>
  <c r="G2184" i="5"/>
  <c r="F2184" i="5"/>
  <c r="J2183" i="5"/>
  <c r="H2183" i="5" a="1"/>
  <c r="H2183" i="5"/>
  <c r="G2183" i="5" a="1"/>
  <c r="G2183" i="5" s="1"/>
  <c r="F2183" i="5"/>
  <c r="J2182" i="5"/>
  <c r="H2182" i="5" a="1"/>
  <c r="H2182" i="5" s="1"/>
  <c r="G2182" i="5" a="1"/>
  <c r="G2182" i="5" s="1"/>
  <c r="F2182" i="5"/>
  <c r="J2181" i="5"/>
  <c r="H2181" i="5" a="1"/>
  <c r="H2181" i="5" s="1"/>
  <c r="G2181" i="5" a="1"/>
  <c r="G2181" i="5" s="1"/>
  <c r="F2181" i="5"/>
  <c r="J2180" i="5"/>
  <c r="H2180" i="5" a="1"/>
  <c r="H2180" i="5" s="1"/>
  <c r="G2180" i="5" a="1"/>
  <c r="G2180" i="5" s="1"/>
  <c r="F2180" i="5"/>
  <c r="J2179" i="5"/>
  <c r="H2179" i="5" a="1"/>
  <c r="H2179" i="5" s="1"/>
  <c r="G2179" i="5" a="1"/>
  <c r="G2179" i="5" s="1"/>
  <c r="F2179" i="5"/>
  <c r="J2178" i="5"/>
  <c r="H2178" i="5" a="1"/>
  <c r="H2178" i="5" s="1"/>
  <c r="G2178" i="5" a="1"/>
  <c r="G2178" i="5" s="1"/>
  <c r="F2178" i="5"/>
  <c r="J2177" i="5"/>
  <c r="H2177" i="5" a="1"/>
  <c r="H2177" i="5" s="1"/>
  <c r="G2177" i="5" a="1"/>
  <c r="G2177" i="5" s="1"/>
  <c r="F2177" i="5"/>
  <c r="J2176" i="5"/>
  <c r="H2176" i="5" a="1"/>
  <c r="H2176" i="5" s="1"/>
  <c r="G2176" i="5" a="1"/>
  <c r="G2176" i="5" s="1"/>
  <c r="F2176" i="5"/>
  <c r="J2175" i="5"/>
  <c r="H2175" i="5" a="1"/>
  <c r="H2175" i="5" s="1"/>
  <c r="G2175" i="5" a="1"/>
  <c r="G2175" i="5"/>
  <c r="F2175" i="5"/>
  <c r="J2174" i="5"/>
  <c r="H2174" i="5" a="1"/>
  <c r="H2174" i="5" s="1"/>
  <c r="G2174" i="5" a="1"/>
  <c r="G2174" i="5" s="1"/>
  <c r="F2174" i="5"/>
  <c r="J2173" i="5"/>
  <c r="H2173" i="5" a="1"/>
  <c r="H2173" i="5" s="1"/>
  <c r="G2173" i="5" a="1"/>
  <c r="G2173" i="5"/>
  <c r="F2173" i="5"/>
  <c r="J2172" i="5"/>
  <c r="H2172" i="5" a="1"/>
  <c r="H2172" i="5" s="1"/>
  <c r="G2172" i="5" a="1"/>
  <c r="G2172" i="5"/>
  <c r="F2172" i="5"/>
  <c r="J2171" i="5"/>
  <c r="H2171" i="5" a="1"/>
  <c r="H2171" i="5" s="1"/>
  <c r="G2171" i="5" a="1"/>
  <c r="G2171" i="5" s="1"/>
  <c r="F2171" i="5"/>
  <c r="J2170" i="5"/>
  <c r="H2170" i="5" a="1"/>
  <c r="H2170" i="5" s="1"/>
  <c r="G2170" i="5" a="1"/>
  <c r="G2170" i="5" s="1"/>
  <c r="F2170" i="5"/>
  <c r="J2169" i="5"/>
  <c r="H2169" i="5" a="1"/>
  <c r="H2169" i="5" s="1"/>
  <c r="G2169" i="5" a="1"/>
  <c r="G2169" i="5"/>
  <c r="F2169" i="5"/>
  <c r="J2168" i="5"/>
  <c r="H2168" i="5" a="1"/>
  <c r="H2168" i="5" s="1"/>
  <c r="G2168" i="5" a="1"/>
  <c r="G2168" i="5" s="1"/>
  <c r="F2168" i="5"/>
  <c r="J2167" i="5"/>
  <c r="H2167" i="5" a="1"/>
  <c r="H2167" i="5" s="1"/>
  <c r="G2167" i="5" a="1"/>
  <c r="G2167" i="5" s="1"/>
  <c r="F2167" i="5"/>
  <c r="J2166" i="5"/>
  <c r="H2166" i="5" a="1"/>
  <c r="H2166" i="5" s="1"/>
  <c r="G2166" i="5" a="1"/>
  <c r="G2166" i="5" s="1"/>
  <c r="F2166" i="5"/>
  <c r="J2165" i="5"/>
  <c r="H2165" i="5" a="1"/>
  <c r="H2165" i="5" s="1"/>
  <c r="G2165" i="5" a="1"/>
  <c r="G2165" i="5" s="1"/>
  <c r="F2165" i="5"/>
  <c r="J2164" i="5"/>
  <c r="H2164" i="5" a="1"/>
  <c r="H2164" i="5" s="1"/>
  <c r="G2164" i="5" a="1"/>
  <c r="G2164" i="5" s="1"/>
  <c r="F2164" i="5"/>
  <c r="J2163" i="5"/>
  <c r="H2163" i="5" a="1"/>
  <c r="H2163" i="5" s="1"/>
  <c r="G2163" i="5" a="1"/>
  <c r="G2163" i="5" s="1"/>
  <c r="F2163" i="5"/>
  <c r="J2162" i="5"/>
  <c r="H2162" i="5" a="1"/>
  <c r="H2162" i="5" s="1"/>
  <c r="G2162" i="5" a="1"/>
  <c r="G2162" i="5"/>
  <c r="F2162" i="5"/>
  <c r="J2161" i="5"/>
  <c r="H2161" i="5" a="1"/>
  <c r="H2161" i="5" s="1"/>
  <c r="G2161" i="5" a="1"/>
  <c r="G2161" i="5"/>
  <c r="F2161" i="5"/>
  <c r="J2160" i="5"/>
  <c r="H2160" i="5" a="1"/>
  <c r="H2160" i="5" s="1"/>
  <c r="G2160" i="5" a="1"/>
  <c r="G2160" i="5" s="1"/>
  <c r="F2160" i="5"/>
  <c r="J2159" i="5"/>
  <c r="H2159" i="5" a="1"/>
  <c r="H2159" i="5" s="1"/>
  <c r="G2159" i="5" a="1"/>
  <c r="G2159" i="5" s="1"/>
  <c r="F2159" i="5"/>
  <c r="J2158" i="5"/>
  <c r="H2158" i="5" a="1"/>
  <c r="H2158" i="5" s="1"/>
  <c r="G2158" i="5" a="1"/>
  <c r="G2158" i="5" s="1"/>
  <c r="F2158" i="5"/>
  <c r="J2157" i="5"/>
  <c r="H2157" i="5" a="1"/>
  <c r="H2157" i="5" s="1"/>
  <c r="G2157" i="5" a="1"/>
  <c r="G2157" i="5"/>
  <c r="F2157" i="5"/>
  <c r="J2156" i="5"/>
  <c r="H2156" i="5" a="1"/>
  <c r="H2156" i="5" s="1"/>
  <c r="G2156" i="5" a="1"/>
  <c r="G2156" i="5" s="1"/>
  <c r="F2156" i="5"/>
  <c r="J2155" i="5"/>
  <c r="H2155" i="5" a="1"/>
  <c r="H2155" i="5" s="1"/>
  <c r="G2155" i="5" a="1"/>
  <c r="G2155" i="5" s="1"/>
  <c r="F2155" i="5"/>
  <c r="J2154" i="5"/>
  <c r="H2154" i="5" a="1"/>
  <c r="H2154" i="5" s="1"/>
  <c r="G2154" i="5" a="1"/>
  <c r="G2154" i="5" s="1"/>
  <c r="F2154" i="5"/>
  <c r="J2153" i="5"/>
  <c r="H2153" i="5" a="1"/>
  <c r="H2153" i="5" s="1"/>
  <c r="G2153" i="5" a="1"/>
  <c r="G2153" i="5" s="1"/>
  <c r="F2153" i="5"/>
  <c r="J2152" i="5"/>
  <c r="H2152" i="5" a="1"/>
  <c r="H2152" i="5" s="1"/>
  <c r="G2152" i="5" a="1"/>
  <c r="G2152" i="5" s="1"/>
  <c r="F2152" i="5"/>
  <c r="J2151" i="5"/>
  <c r="H2151" i="5" a="1"/>
  <c r="H2151" i="5" s="1"/>
  <c r="G2151" i="5" a="1"/>
  <c r="G2151" i="5"/>
  <c r="F2151" i="5"/>
  <c r="J2150" i="5"/>
  <c r="H2150" i="5" a="1"/>
  <c r="H2150" i="5" s="1"/>
  <c r="G2150" i="5" a="1"/>
  <c r="G2150" i="5" s="1"/>
  <c r="F2150" i="5"/>
  <c r="J2149" i="5"/>
  <c r="H2149" i="5" a="1"/>
  <c r="H2149" i="5" s="1"/>
  <c r="G2149" i="5" a="1"/>
  <c r="G2149" i="5" s="1"/>
  <c r="F2149" i="5"/>
  <c r="J2148" i="5"/>
  <c r="H2148" i="5" a="1"/>
  <c r="H2148" i="5" s="1"/>
  <c r="G2148" i="5" a="1"/>
  <c r="G2148" i="5" s="1"/>
  <c r="F2148" i="5"/>
  <c r="J2147" i="5"/>
  <c r="H2147" i="5" a="1"/>
  <c r="H2147" i="5" s="1"/>
  <c r="G2147" i="5" a="1"/>
  <c r="G2147" i="5" s="1"/>
  <c r="F2147" i="5"/>
  <c r="J2146" i="5"/>
  <c r="H2146" i="5" a="1"/>
  <c r="H2146" i="5" s="1"/>
  <c r="G2146" i="5" a="1"/>
  <c r="G2146" i="5" s="1"/>
  <c r="F2146" i="5"/>
  <c r="J2145" i="5"/>
  <c r="H2145" i="5" a="1"/>
  <c r="H2145" i="5" s="1"/>
  <c r="G2145" i="5" a="1"/>
  <c r="G2145" i="5"/>
  <c r="F2145" i="5"/>
  <c r="J2144" i="5"/>
  <c r="H2144" i="5" a="1"/>
  <c r="H2144" i="5" s="1"/>
  <c r="G2144" i="5" a="1"/>
  <c r="G2144" i="5" s="1"/>
  <c r="F2144" i="5"/>
  <c r="J2143" i="5"/>
  <c r="H2143" i="5" a="1"/>
  <c r="H2143" i="5" s="1"/>
  <c r="G2143" i="5" a="1"/>
  <c r="G2143" i="5" s="1"/>
  <c r="F2143" i="5"/>
  <c r="J2142" i="5"/>
  <c r="H2142" i="5" a="1"/>
  <c r="H2142" i="5" s="1"/>
  <c r="G2142" i="5" a="1"/>
  <c r="G2142" i="5" s="1"/>
  <c r="F2142" i="5"/>
  <c r="J2141" i="5"/>
  <c r="H2141" i="5" a="1"/>
  <c r="H2141" i="5" s="1"/>
  <c r="G2141" i="5" a="1"/>
  <c r="G2141" i="5" s="1"/>
  <c r="F2141" i="5"/>
  <c r="J2140" i="5"/>
  <c r="H2140" i="5" a="1"/>
  <c r="H2140" i="5"/>
  <c r="G2140" i="5" a="1"/>
  <c r="G2140" i="5" s="1"/>
  <c r="F2140" i="5"/>
  <c r="J2139" i="5"/>
  <c r="H2139" i="5" a="1"/>
  <c r="H2139" i="5" s="1"/>
  <c r="G2139" i="5" a="1"/>
  <c r="G2139" i="5" s="1"/>
  <c r="F2139" i="5"/>
  <c r="J2138" i="5"/>
  <c r="H2138" i="5" a="1"/>
  <c r="H2138" i="5" s="1"/>
  <c r="G2138" i="5" a="1"/>
  <c r="G2138" i="5" s="1"/>
  <c r="F2138" i="5"/>
  <c r="J2137" i="5"/>
  <c r="H2137" i="5" a="1"/>
  <c r="H2137" i="5" s="1"/>
  <c r="G2137" i="5" a="1"/>
  <c r="G2137" i="5" s="1"/>
  <c r="F2137" i="5"/>
  <c r="J2136" i="5"/>
  <c r="H2136" i="5" a="1"/>
  <c r="H2136" i="5" s="1"/>
  <c r="G2136" i="5" a="1"/>
  <c r="G2136" i="5" s="1"/>
  <c r="F2136" i="5"/>
  <c r="J2135" i="5"/>
  <c r="H2135" i="5" a="1"/>
  <c r="H2135" i="5" s="1"/>
  <c r="G2135" i="5" a="1"/>
  <c r="G2135" i="5" s="1"/>
  <c r="F2135" i="5"/>
  <c r="J2134" i="5"/>
  <c r="H2134" i="5" a="1"/>
  <c r="H2134" i="5" s="1"/>
  <c r="G2134" i="5" a="1"/>
  <c r="G2134" i="5" s="1"/>
  <c r="F2134" i="5"/>
  <c r="J2133" i="5"/>
  <c r="H2133" i="5" a="1"/>
  <c r="H2133" i="5" s="1"/>
  <c r="G2133" i="5" a="1"/>
  <c r="G2133" i="5" s="1"/>
  <c r="F2133" i="5"/>
  <c r="J2132" i="5"/>
  <c r="H2132" i="5" a="1"/>
  <c r="H2132" i="5" s="1"/>
  <c r="G2132" i="5" a="1"/>
  <c r="G2132" i="5" s="1"/>
  <c r="F2132" i="5"/>
  <c r="J2131" i="5"/>
  <c r="H2131" i="5" a="1"/>
  <c r="H2131" i="5" s="1"/>
  <c r="G2131" i="5" a="1"/>
  <c r="G2131" i="5" s="1"/>
  <c r="F2131" i="5"/>
  <c r="J2130" i="5"/>
  <c r="H2130" i="5" a="1"/>
  <c r="H2130" i="5" s="1"/>
  <c r="G2130" i="5" a="1"/>
  <c r="G2130" i="5" s="1"/>
  <c r="F2130" i="5"/>
  <c r="J2129" i="5"/>
  <c r="H2129" i="5" a="1"/>
  <c r="H2129" i="5" s="1"/>
  <c r="G2129" i="5" a="1"/>
  <c r="G2129" i="5" s="1"/>
  <c r="F2129" i="5"/>
  <c r="J2128" i="5"/>
  <c r="H2128" i="5" a="1"/>
  <c r="H2128" i="5" s="1"/>
  <c r="G2128" i="5" a="1"/>
  <c r="G2128" i="5" s="1"/>
  <c r="F2128" i="5"/>
  <c r="J2127" i="5"/>
  <c r="H2127" i="5" a="1"/>
  <c r="H2127" i="5" s="1"/>
  <c r="G2127" i="5" a="1"/>
  <c r="G2127" i="5"/>
  <c r="F2127" i="5"/>
  <c r="J2126" i="5"/>
  <c r="H2126" i="5" a="1"/>
  <c r="H2126" i="5" s="1"/>
  <c r="G2126" i="5" a="1"/>
  <c r="G2126" i="5" s="1"/>
  <c r="F2126" i="5"/>
  <c r="J2125" i="5"/>
  <c r="H2125" i="5" a="1"/>
  <c r="H2125" i="5" s="1"/>
  <c r="G2125" i="5" a="1"/>
  <c r="G2125" i="5" s="1"/>
  <c r="F2125" i="5"/>
  <c r="J2124" i="5"/>
  <c r="H2124" i="5" a="1"/>
  <c r="H2124" i="5" s="1"/>
  <c r="G2124" i="5" a="1"/>
  <c r="G2124" i="5" s="1"/>
  <c r="F2124" i="5"/>
  <c r="J2123" i="5"/>
  <c r="H2123" i="5" a="1"/>
  <c r="H2123" i="5" s="1"/>
  <c r="G2123" i="5" a="1"/>
  <c r="G2123" i="5" s="1"/>
  <c r="F2123" i="5"/>
  <c r="J2122" i="5"/>
  <c r="H2122" i="5" a="1"/>
  <c r="H2122" i="5" s="1"/>
  <c r="G2122" i="5" a="1"/>
  <c r="G2122" i="5"/>
  <c r="F2122" i="5"/>
  <c r="J2121" i="5"/>
  <c r="H2121" i="5" a="1"/>
  <c r="H2121" i="5" s="1"/>
  <c r="G2121" i="5" a="1"/>
  <c r="G2121" i="5" s="1"/>
  <c r="F2121" i="5"/>
  <c r="J2120" i="5"/>
  <c r="H2120" i="5" a="1"/>
  <c r="H2120" i="5" s="1"/>
  <c r="G2120" i="5" a="1"/>
  <c r="G2120" i="5" s="1"/>
  <c r="F2120" i="5"/>
  <c r="J2119" i="5"/>
  <c r="H2119" i="5" a="1"/>
  <c r="H2119" i="5" s="1"/>
  <c r="G2119" i="5" a="1"/>
  <c r="G2119" i="5" s="1"/>
  <c r="F2119" i="5"/>
  <c r="J2118" i="5"/>
  <c r="H2118" i="5" a="1"/>
  <c r="H2118" i="5" s="1"/>
  <c r="G2118" i="5" a="1"/>
  <c r="G2118" i="5" s="1"/>
  <c r="F2118" i="5"/>
  <c r="J2117" i="5"/>
  <c r="H2117" i="5" a="1"/>
  <c r="H2117" i="5" s="1"/>
  <c r="G2117" i="5" a="1"/>
  <c r="G2117" i="5" s="1"/>
  <c r="F2117" i="5"/>
  <c r="J2116" i="5"/>
  <c r="H2116" i="5" a="1"/>
  <c r="H2116" i="5" s="1"/>
  <c r="G2116" i="5" a="1"/>
  <c r="G2116" i="5" s="1"/>
  <c r="F2116" i="5"/>
  <c r="J2115" i="5"/>
  <c r="H2115" i="5" a="1"/>
  <c r="H2115" i="5" s="1"/>
  <c r="G2115" i="5" a="1"/>
  <c r="G2115" i="5" s="1"/>
  <c r="F2115" i="5"/>
  <c r="J2114" i="5"/>
  <c r="H2114" i="5" a="1"/>
  <c r="H2114" i="5" s="1"/>
  <c r="G2114" i="5" a="1"/>
  <c r="G2114" i="5" s="1"/>
  <c r="F2114" i="5"/>
  <c r="J2113" i="5"/>
  <c r="H2113" i="5" a="1"/>
  <c r="H2113" i="5" s="1"/>
  <c r="G2113" i="5" a="1"/>
  <c r="G2113" i="5"/>
  <c r="F2113" i="5"/>
  <c r="J2112" i="5"/>
  <c r="H2112" i="5" a="1"/>
  <c r="H2112" i="5" s="1"/>
  <c r="G2112" i="5" a="1"/>
  <c r="G2112" i="5" s="1"/>
  <c r="F2112" i="5"/>
  <c r="J2111" i="5"/>
  <c r="H2111" i="5" a="1"/>
  <c r="H2111" i="5" s="1"/>
  <c r="G2111" i="5" a="1"/>
  <c r="G2111" i="5" s="1"/>
  <c r="F2111" i="5"/>
  <c r="J2110" i="5"/>
  <c r="H2110" i="5" a="1"/>
  <c r="H2110" i="5" s="1"/>
  <c r="G2110" i="5" a="1"/>
  <c r="G2110" i="5"/>
  <c r="F2110" i="5"/>
  <c r="J2109" i="5"/>
  <c r="H2109" i="5" a="1"/>
  <c r="H2109" i="5" s="1"/>
  <c r="G2109" i="5" a="1"/>
  <c r="G2109" i="5" s="1"/>
  <c r="F2109" i="5"/>
  <c r="J2108" i="5"/>
  <c r="H2108" i="5" a="1"/>
  <c r="H2108" i="5" s="1"/>
  <c r="G2108" i="5" a="1"/>
  <c r="G2108" i="5" s="1"/>
  <c r="F2108" i="5"/>
  <c r="J2107" i="5"/>
  <c r="H2107" i="5" a="1"/>
  <c r="H2107" i="5" s="1"/>
  <c r="G2107" i="5" a="1"/>
  <c r="G2107" i="5" s="1"/>
  <c r="F2107" i="5"/>
  <c r="J2106" i="5"/>
  <c r="H2106" i="5" a="1"/>
  <c r="H2106" i="5" s="1"/>
  <c r="G2106" i="5" a="1"/>
  <c r="G2106" i="5"/>
  <c r="F2106" i="5"/>
  <c r="J2105" i="5"/>
  <c r="H2105" i="5" a="1"/>
  <c r="H2105" i="5" s="1"/>
  <c r="G2105" i="5" a="1"/>
  <c r="G2105" i="5" s="1"/>
  <c r="F2105" i="5"/>
  <c r="J2104" i="5"/>
  <c r="H2104" i="5" a="1"/>
  <c r="H2104" i="5" s="1"/>
  <c r="G2104" i="5" a="1"/>
  <c r="G2104" i="5"/>
  <c r="F2104" i="5"/>
  <c r="J2103" i="5"/>
  <c r="H2103" i="5" a="1"/>
  <c r="H2103" i="5" s="1"/>
  <c r="G2103" i="5" a="1"/>
  <c r="G2103" i="5" s="1"/>
  <c r="F2103" i="5"/>
  <c r="J2102" i="5"/>
  <c r="H2102" i="5" a="1"/>
  <c r="H2102" i="5" s="1"/>
  <c r="G2102" i="5" a="1"/>
  <c r="G2102" i="5" s="1"/>
  <c r="F2102" i="5"/>
  <c r="J2101" i="5"/>
  <c r="H2101" i="5" a="1"/>
  <c r="H2101" i="5" s="1"/>
  <c r="G2101" i="5" a="1"/>
  <c r="G2101" i="5"/>
  <c r="F2101" i="5"/>
  <c r="J2100" i="5"/>
  <c r="H2100" i="5" a="1"/>
  <c r="H2100" i="5" s="1"/>
  <c r="G2100" i="5" a="1"/>
  <c r="G2100" i="5"/>
  <c r="F2100" i="5"/>
  <c r="J2099" i="5"/>
  <c r="H2099" i="5" a="1"/>
  <c r="H2099" i="5" s="1"/>
  <c r="G2099" i="5" a="1"/>
  <c r="G2099" i="5" s="1"/>
  <c r="F2099" i="5"/>
  <c r="J2098" i="5"/>
  <c r="H2098" i="5" a="1"/>
  <c r="H2098" i="5" s="1"/>
  <c r="G2098" i="5" a="1"/>
  <c r="G2098" i="5" s="1"/>
  <c r="F2098" i="5"/>
  <c r="J2097" i="5"/>
  <c r="H2097" i="5" a="1"/>
  <c r="H2097" i="5" s="1"/>
  <c r="G2097" i="5" a="1"/>
  <c r="G2097" i="5"/>
  <c r="F2097" i="5"/>
  <c r="J2096" i="5"/>
  <c r="H2096" i="5" a="1"/>
  <c r="H2096" i="5" s="1"/>
  <c r="G2096" i="5" a="1"/>
  <c r="G2096" i="5" s="1"/>
  <c r="F2096" i="5"/>
  <c r="J2095" i="5"/>
  <c r="H2095" i="5" a="1"/>
  <c r="H2095" i="5" s="1"/>
  <c r="G2095" i="5" a="1"/>
  <c r="G2095" i="5" s="1"/>
  <c r="F2095" i="5"/>
  <c r="J2094" i="5"/>
  <c r="H2094" i="5" a="1"/>
  <c r="H2094" i="5" s="1"/>
  <c r="G2094" i="5" a="1"/>
  <c r="G2094" i="5" s="1"/>
  <c r="F2094" i="5"/>
  <c r="J2093" i="5"/>
  <c r="H2093" i="5" a="1"/>
  <c r="H2093" i="5" s="1"/>
  <c r="G2093" i="5" a="1"/>
  <c r="G2093" i="5" s="1"/>
  <c r="F2093" i="5"/>
  <c r="J2092" i="5"/>
  <c r="H2092" i="5" a="1"/>
  <c r="H2092" i="5" s="1"/>
  <c r="G2092" i="5" a="1"/>
  <c r="G2092" i="5" s="1"/>
  <c r="F2092" i="5"/>
  <c r="J2091" i="5"/>
  <c r="H2091" i="5" a="1"/>
  <c r="H2091" i="5" s="1"/>
  <c r="G2091" i="5" a="1"/>
  <c r="G2091" i="5" s="1"/>
  <c r="F2091" i="5"/>
  <c r="J2090" i="5"/>
  <c r="H2090" i="5" a="1"/>
  <c r="H2090" i="5" s="1"/>
  <c r="G2090" i="5" a="1"/>
  <c r="G2090" i="5" s="1"/>
  <c r="F2090" i="5"/>
  <c r="J2089" i="5"/>
  <c r="H2089" i="5" a="1"/>
  <c r="H2089" i="5" s="1"/>
  <c r="G2089" i="5" a="1"/>
  <c r="G2089" i="5" s="1"/>
  <c r="F2089" i="5"/>
  <c r="J2088" i="5"/>
  <c r="H2088" i="5" a="1"/>
  <c r="H2088" i="5" s="1"/>
  <c r="G2088" i="5" a="1"/>
  <c r="G2088" i="5"/>
  <c r="F2088" i="5"/>
  <c r="J2087" i="5"/>
  <c r="H2087" i="5" a="1"/>
  <c r="H2087" i="5" s="1"/>
  <c r="G2087" i="5" a="1"/>
  <c r="G2087" i="5" s="1"/>
  <c r="F2087" i="5"/>
  <c r="J2086" i="5"/>
  <c r="H2086" i="5" a="1"/>
  <c r="H2086" i="5" s="1"/>
  <c r="G2086" i="5" a="1"/>
  <c r="G2086" i="5" s="1"/>
  <c r="F2086" i="5"/>
  <c r="J2085" i="5"/>
  <c r="H2085" i="5" a="1"/>
  <c r="H2085" i="5" s="1"/>
  <c r="G2085" i="5" a="1"/>
  <c r="G2085" i="5" s="1"/>
  <c r="F2085" i="5"/>
  <c r="J2084" i="5"/>
  <c r="H2084" i="5" a="1"/>
  <c r="H2084" i="5" s="1"/>
  <c r="G2084" i="5" a="1"/>
  <c r="G2084" i="5"/>
  <c r="F2084" i="5"/>
  <c r="J2083" i="5"/>
  <c r="H2083" i="5" a="1"/>
  <c r="H2083" i="5" s="1"/>
  <c r="G2083" i="5" a="1"/>
  <c r="G2083" i="5" s="1"/>
  <c r="F2083" i="5"/>
  <c r="J2082" i="5"/>
  <c r="H2082" i="5" a="1"/>
  <c r="H2082" i="5" s="1"/>
  <c r="G2082" i="5" a="1"/>
  <c r="G2082" i="5" s="1"/>
  <c r="F2082" i="5"/>
  <c r="J2081" i="5"/>
  <c r="H2081" i="5" a="1"/>
  <c r="H2081" i="5" s="1"/>
  <c r="G2081" i="5" a="1"/>
  <c r="G2081" i="5"/>
  <c r="F2081" i="5"/>
  <c r="J2080" i="5"/>
  <c r="H2080" i="5" a="1"/>
  <c r="H2080" i="5" s="1"/>
  <c r="G2080" i="5" a="1"/>
  <c r="G2080" i="5"/>
  <c r="F2080" i="5"/>
  <c r="J2079" i="5"/>
  <c r="H2079" i="5" a="1"/>
  <c r="H2079" i="5"/>
  <c r="G2079" i="5" a="1"/>
  <c r="G2079" i="5"/>
  <c r="F2079" i="5"/>
  <c r="J2078" i="5"/>
  <c r="H2078" i="5" a="1"/>
  <c r="H2078" i="5"/>
  <c r="G2078" i="5" a="1"/>
  <c r="G2078" i="5"/>
  <c r="F2078" i="5"/>
  <c r="J2077" i="5"/>
  <c r="H2077" i="5" a="1"/>
  <c r="H2077" i="5" s="1"/>
  <c r="G2077" i="5" a="1"/>
  <c r="G2077" i="5" s="1"/>
  <c r="F2077" i="5"/>
  <c r="J2076" i="5"/>
  <c r="H2076" i="5" a="1"/>
  <c r="H2076" i="5" s="1"/>
  <c r="G2076" i="5" a="1"/>
  <c r="G2076" i="5" s="1"/>
  <c r="F2076" i="5"/>
  <c r="J2075" i="5"/>
  <c r="H2075" i="5" a="1"/>
  <c r="H2075" i="5"/>
  <c r="G2075" i="5" a="1"/>
  <c r="G2075" i="5" s="1"/>
  <c r="F2075" i="5"/>
  <c r="J2074" i="5"/>
  <c r="H2074" i="5" a="1"/>
  <c r="H2074" i="5" s="1"/>
  <c r="G2074" i="5" a="1"/>
  <c r="G2074" i="5" s="1"/>
  <c r="F2074" i="5"/>
  <c r="J2073" i="5"/>
  <c r="H2073" i="5" a="1"/>
  <c r="H2073" i="5" s="1"/>
  <c r="G2073" i="5" a="1"/>
  <c r="G2073" i="5" s="1"/>
  <c r="F2073" i="5"/>
  <c r="J2072" i="5"/>
  <c r="H2072" i="5" a="1"/>
  <c r="H2072" i="5" s="1"/>
  <c r="G2072" i="5" a="1"/>
  <c r="G2072" i="5" s="1"/>
  <c r="F2072" i="5"/>
  <c r="J2071" i="5"/>
  <c r="H2071" i="5" a="1"/>
  <c r="H2071" i="5"/>
  <c r="G2071" i="5" a="1"/>
  <c r="G2071" i="5" s="1"/>
  <c r="F2071" i="5"/>
  <c r="J2070" i="5"/>
  <c r="H2070" i="5" a="1"/>
  <c r="H2070" i="5" s="1"/>
  <c r="G2070" i="5" a="1"/>
  <c r="G2070" i="5" s="1"/>
  <c r="F2070" i="5"/>
  <c r="J2069" i="5"/>
  <c r="H2069" i="5" a="1"/>
  <c r="H2069" i="5" s="1"/>
  <c r="G2069" i="5" a="1"/>
  <c r="G2069" i="5" s="1"/>
  <c r="F2069" i="5"/>
  <c r="J2068" i="5"/>
  <c r="H2068" i="5" a="1"/>
  <c r="H2068" i="5" s="1"/>
  <c r="G2068" i="5" a="1"/>
  <c r="G2068" i="5" s="1"/>
  <c r="F2068" i="5"/>
  <c r="J2067" i="5"/>
  <c r="H2067" i="5" a="1"/>
  <c r="H2067" i="5" s="1"/>
  <c r="G2067" i="5" a="1"/>
  <c r="G2067" i="5" s="1"/>
  <c r="F2067" i="5"/>
  <c r="J2066" i="5"/>
  <c r="H2066" i="5" a="1"/>
  <c r="H2066" i="5" s="1"/>
  <c r="G2066" i="5" a="1"/>
  <c r="G2066" i="5" s="1"/>
  <c r="F2066" i="5"/>
  <c r="J2065" i="5"/>
  <c r="H2065" i="5" a="1"/>
  <c r="H2065" i="5" s="1"/>
  <c r="G2065" i="5" a="1"/>
  <c r="G2065" i="5" s="1"/>
  <c r="F2065" i="5"/>
  <c r="J2064" i="5"/>
  <c r="H2064" i="5" a="1"/>
  <c r="H2064" i="5" s="1"/>
  <c r="G2064" i="5" a="1"/>
  <c r="G2064" i="5" s="1"/>
  <c r="F2064" i="5"/>
  <c r="J2063" i="5"/>
  <c r="H2063" i="5" a="1"/>
  <c r="H2063" i="5" s="1"/>
  <c r="G2063" i="5" a="1"/>
  <c r="G2063" i="5" s="1"/>
  <c r="F2063" i="5"/>
  <c r="J2062" i="5"/>
  <c r="H2062" i="5" a="1"/>
  <c r="H2062" i="5" s="1"/>
  <c r="G2062" i="5" a="1"/>
  <c r="G2062" i="5" s="1"/>
  <c r="F2062" i="5"/>
  <c r="J2061" i="5"/>
  <c r="H2061" i="5" a="1"/>
  <c r="H2061" i="5" s="1"/>
  <c r="G2061" i="5" a="1"/>
  <c r="G2061" i="5" s="1"/>
  <c r="F2061" i="5"/>
  <c r="J2060" i="5"/>
  <c r="H2060" i="5" a="1"/>
  <c r="H2060" i="5" s="1"/>
  <c r="G2060" i="5" a="1"/>
  <c r="G2060" i="5" s="1"/>
  <c r="F2060" i="5"/>
  <c r="J2059" i="5"/>
  <c r="H2059" i="5" a="1"/>
  <c r="H2059" i="5" s="1"/>
  <c r="G2059" i="5" a="1"/>
  <c r="G2059" i="5" s="1"/>
  <c r="F2059" i="5"/>
  <c r="J2058" i="5"/>
  <c r="H2058" i="5" a="1"/>
  <c r="H2058" i="5" s="1"/>
  <c r="G2058" i="5" a="1"/>
  <c r="G2058" i="5" s="1"/>
  <c r="F2058" i="5"/>
  <c r="J2057" i="5"/>
  <c r="H2057" i="5" a="1"/>
  <c r="H2057" i="5" s="1"/>
  <c r="G2057" i="5" a="1"/>
  <c r="G2057" i="5" s="1"/>
  <c r="F2057" i="5"/>
  <c r="J2056" i="5"/>
  <c r="H2056" i="5" a="1"/>
  <c r="H2056" i="5" s="1"/>
  <c r="G2056" i="5" a="1"/>
  <c r="G2056" i="5" s="1"/>
  <c r="F2056" i="5"/>
  <c r="J2055" i="5"/>
  <c r="H2055" i="5" a="1"/>
  <c r="H2055" i="5" s="1"/>
  <c r="G2055" i="5" a="1"/>
  <c r="G2055" i="5" s="1"/>
  <c r="F2055" i="5"/>
  <c r="J2054" i="5"/>
  <c r="H2054" i="5" a="1"/>
  <c r="H2054" i="5" s="1"/>
  <c r="G2054" i="5" a="1"/>
  <c r="G2054" i="5" s="1"/>
  <c r="F2054" i="5"/>
  <c r="J2053" i="5"/>
  <c r="H2053" i="5" a="1"/>
  <c r="H2053" i="5" s="1"/>
  <c r="G2053" i="5" a="1"/>
  <c r="G2053" i="5" s="1"/>
  <c r="F2053" i="5"/>
  <c r="J2052" i="5"/>
  <c r="H2052" i="5" a="1"/>
  <c r="H2052" i="5" s="1"/>
  <c r="G2052" i="5" a="1"/>
  <c r="G2052" i="5" s="1"/>
  <c r="F2052" i="5"/>
  <c r="J2051" i="5"/>
  <c r="H2051" i="5" a="1"/>
  <c r="H2051" i="5" s="1"/>
  <c r="G2051" i="5" a="1"/>
  <c r="G2051" i="5" s="1"/>
  <c r="F2051" i="5"/>
  <c r="J2050" i="5"/>
  <c r="H2050" i="5" a="1"/>
  <c r="H2050" i="5" s="1"/>
  <c r="G2050" i="5" a="1"/>
  <c r="G2050" i="5" s="1"/>
  <c r="F2050" i="5"/>
  <c r="J2049" i="5"/>
  <c r="H2049" i="5" a="1"/>
  <c r="H2049" i="5" s="1"/>
  <c r="G2049" i="5" a="1"/>
  <c r="G2049" i="5" s="1"/>
  <c r="F2049" i="5"/>
  <c r="J2048" i="5"/>
  <c r="H2048" i="5" a="1"/>
  <c r="H2048" i="5"/>
  <c r="G2048" i="5" a="1"/>
  <c r="G2048" i="5"/>
  <c r="F2048" i="5"/>
  <c r="J2047" i="5"/>
  <c r="H2047" i="5" a="1"/>
  <c r="H2047" i="5"/>
  <c r="G2047" i="5" a="1"/>
  <c r="G2047" i="5"/>
  <c r="F2047" i="5"/>
  <c r="J2046" i="5"/>
  <c r="H2046" i="5" a="1"/>
  <c r="H2046" i="5"/>
  <c r="G2046" i="5" a="1"/>
  <c r="G2046" i="5"/>
  <c r="F2046" i="5"/>
  <c r="J2045" i="5"/>
  <c r="H2045" i="5" a="1"/>
  <c r="H2045" i="5"/>
  <c r="G2045" i="5" a="1"/>
  <c r="G2045" i="5"/>
  <c r="F2045" i="5"/>
  <c r="J2044" i="5"/>
  <c r="H2044" i="5" a="1"/>
  <c r="H2044" i="5"/>
  <c r="G2044" i="5" a="1"/>
  <c r="G2044" i="5"/>
  <c r="F2044" i="5"/>
  <c r="J2043" i="5"/>
  <c r="H2043" i="5" a="1"/>
  <c r="H2043" i="5"/>
  <c r="G2043" i="5" a="1"/>
  <c r="G2043" i="5"/>
  <c r="F2043" i="5"/>
  <c r="J2042" i="5"/>
  <c r="H2042" i="5" a="1"/>
  <c r="H2042" i="5"/>
  <c r="G2042" i="5" a="1"/>
  <c r="G2042" i="5"/>
  <c r="F2042" i="5"/>
  <c r="J2041" i="5"/>
  <c r="H2041" i="5" a="1"/>
  <c r="H2041" i="5"/>
  <c r="G2041" i="5" a="1"/>
  <c r="G2041" i="5"/>
  <c r="F2041" i="5"/>
  <c r="J2040" i="5"/>
  <c r="H2040" i="5" a="1"/>
  <c r="H2040" i="5"/>
  <c r="G2040" i="5" a="1"/>
  <c r="G2040" i="5"/>
  <c r="F2040" i="5"/>
  <c r="J2039" i="5"/>
  <c r="H2039" i="5" a="1"/>
  <c r="H2039" i="5"/>
  <c r="G2039" i="5" a="1"/>
  <c r="G2039" i="5"/>
  <c r="F2039" i="5"/>
  <c r="J2038" i="5"/>
  <c r="H2038" i="5" a="1"/>
  <c r="H2038" i="5"/>
  <c r="G2038" i="5" a="1"/>
  <c r="G2038" i="5"/>
  <c r="F2038" i="5"/>
  <c r="J2037" i="5"/>
  <c r="H2037" i="5" a="1"/>
  <c r="H2037" i="5"/>
  <c r="G2037" i="5" a="1"/>
  <c r="G2037" i="5"/>
  <c r="F2037" i="5"/>
  <c r="J2036" i="5"/>
  <c r="H2036" i="5" a="1"/>
  <c r="H2036" i="5"/>
  <c r="G2036" i="5" a="1"/>
  <c r="G2036" i="5"/>
  <c r="F2036" i="5"/>
  <c r="J2035" i="5"/>
  <c r="H2035" i="5" a="1"/>
  <c r="H2035" i="5"/>
  <c r="G2035" i="5" a="1"/>
  <c r="G2035" i="5"/>
  <c r="F2035" i="5"/>
  <c r="J2034" i="5"/>
  <c r="H2034" i="5" a="1"/>
  <c r="H2034" i="5"/>
  <c r="G2034" i="5" a="1"/>
  <c r="G2034" i="5"/>
  <c r="F2034" i="5"/>
  <c r="J2033" i="5"/>
  <c r="H2033" i="5" a="1"/>
  <c r="H2033" i="5"/>
  <c r="G2033" i="5" a="1"/>
  <c r="G2033" i="5"/>
  <c r="F2033" i="5"/>
  <c r="J2032" i="5"/>
  <c r="H2032" i="5" a="1"/>
  <c r="H2032" i="5"/>
  <c r="G2032" i="5" a="1"/>
  <c r="G2032" i="5"/>
  <c r="F2032" i="5"/>
  <c r="J2031" i="5"/>
  <c r="H2031" i="5" a="1"/>
  <c r="H2031" i="5"/>
  <c r="G2031" i="5" a="1"/>
  <c r="G2031" i="5"/>
  <c r="F2031" i="5"/>
  <c r="J2030" i="5"/>
  <c r="H2030" i="5" a="1"/>
  <c r="H2030" i="5"/>
  <c r="G2030" i="5" a="1"/>
  <c r="G2030" i="5"/>
  <c r="F2030" i="5"/>
  <c r="J2029" i="5"/>
  <c r="H2029" i="5" a="1"/>
  <c r="H2029" i="5"/>
  <c r="G2029" i="5" a="1"/>
  <c r="G2029" i="5"/>
  <c r="F2029" i="5"/>
  <c r="J2028" i="5"/>
  <c r="H2028" i="5" a="1"/>
  <c r="H2028" i="5"/>
  <c r="G2028" i="5" a="1"/>
  <c r="G2028" i="5"/>
  <c r="F2028" i="5"/>
  <c r="J2027" i="5"/>
  <c r="H2027" i="5" a="1"/>
  <c r="H2027" i="5"/>
  <c r="G2027" i="5" a="1"/>
  <c r="G2027" i="5"/>
  <c r="F2027" i="5"/>
  <c r="J2026" i="5"/>
  <c r="H2026" i="5" a="1"/>
  <c r="H2026" i="5"/>
  <c r="G2026" i="5" a="1"/>
  <c r="G2026" i="5"/>
  <c r="F2026" i="5"/>
  <c r="J2025" i="5"/>
  <c r="H2025" i="5" a="1"/>
  <c r="H2025" i="5"/>
  <c r="G2025" i="5" a="1"/>
  <c r="G2025" i="5"/>
  <c r="F2025" i="5"/>
  <c r="J2024" i="5"/>
  <c r="H2024" i="5" a="1"/>
  <c r="H2024" i="5"/>
  <c r="G2024" i="5" a="1"/>
  <c r="G2024" i="5"/>
  <c r="F2024" i="5"/>
  <c r="J2023" i="5"/>
  <c r="H2023" i="5" a="1"/>
  <c r="H2023" i="5"/>
  <c r="G2023" i="5" a="1"/>
  <c r="G2023" i="5"/>
  <c r="F2023" i="5"/>
  <c r="J2022" i="5"/>
  <c r="H2022" i="5" a="1"/>
  <c r="H2022" i="5"/>
  <c r="G2022" i="5" a="1"/>
  <c r="G2022" i="5"/>
  <c r="F2022" i="5"/>
  <c r="J2021" i="5"/>
  <c r="H2021" i="5" a="1"/>
  <c r="H2021" i="5"/>
  <c r="G2021" i="5" a="1"/>
  <c r="G2021" i="5"/>
  <c r="F2021" i="5"/>
  <c r="J2020" i="5"/>
  <c r="H2020" i="5" a="1"/>
  <c r="H2020" i="5"/>
  <c r="G2020" i="5" a="1"/>
  <c r="G2020" i="5"/>
  <c r="F2020" i="5"/>
  <c r="J2019" i="5"/>
  <c r="H2019" i="5" a="1"/>
  <c r="H2019" i="5"/>
  <c r="G2019" i="5" a="1"/>
  <c r="G2019" i="5"/>
  <c r="F2019" i="5"/>
  <c r="J2018" i="5"/>
  <c r="H2018" i="5" a="1"/>
  <c r="H2018" i="5"/>
  <c r="G2018" i="5" a="1"/>
  <c r="G2018" i="5"/>
  <c r="F2018" i="5"/>
  <c r="J2017" i="5"/>
  <c r="H2017" i="5" a="1"/>
  <c r="H2017" i="5"/>
  <c r="G2017" i="5" a="1"/>
  <c r="G2017" i="5"/>
  <c r="F2017" i="5"/>
  <c r="J2016" i="5"/>
  <c r="H2016" i="5" a="1"/>
  <c r="H2016" i="5"/>
  <c r="G2016" i="5" a="1"/>
  <c r="G2016" i="5"/>
  <c r="F2016" i="5"/>
  <c r="J2015" i="5"/>
  <c r="H2015" i="5" a="1"/>
  <c r="H2015" i="5"/>
  <c r="G2015" i="5" a="1"/>
  <c r="G2015" i="5"/>
  <c r="F2015" i="5"/>
  <c r="J2014" i="5"/>
  <c r="H2014" i="5" a="1"/>
  <c r="H2014" i="5"/>
  <c r="G2014" i="5" a="1"/>
  <c r="G2014" i="5"/>
  <c r="F2014" i="5"/>
  <c r="J2013" i="5"/>
  <c r="H2013" i="5" a="1"/>
  <c r="H2013" i="5"/>
  <c r="G2013" i="5" a="1"/>
  <c r="G2013" i="5"/>
  <c r="F2013" i="5"/>
  <c r="J2012" i="5"/>
  <c r="H2012" i="5" a="1"/>
  <c r="H2012" i="5"/>
  <c r="G2012" i="5" a="1"/>
  <c r="G2012" i="5"/>
  <c r="F2012" i="5"/>
  <c r="J2011" i="5"/>
  <c r="H2011" i="5" a="1"/>
  <c r="H2011" i="5"/>
  <c r="G2011" i="5" a="1"/>
  <c r="G2011" i="5"/>
  <c r="F2011" i="5"/>
  <c r="J2010" i="5"/>
  <c r="H2010" i="5" a="1"/>
  <c r="H2010" i="5"/>
  <c r="G2010" i="5" a="1"/>
  <c r="G2010" i="5"/>
  <c r="F2010" i="5"/>
  <c r="J2009" i="5"/>
  <c r="H2009" i="5" a="1"/>
  <c r="H2009" i="5"/>
  <c r="G2009" i="5" a="1"/>
  <c r="G2009" i="5"/>
  <c r="F2009" i="5"/>
  <c r="J2008" i="5"/>
  <c r="H2008" i="5" a="1"/>
  <c r="H2008" i="5"/>
  <c r="G2008" i="5" a="1"/>
  <c r="G2008" i="5"/>
  <c r="F2008" i="5"/>
  <c r="J2007" i="5"/>
  <c r="H2007" i="5" a="1"/>
  <c r="H2007" i="5"/>
  <c r="G2007" i="5" a="1"/>
  <c r="G2007" i="5"/>
  <c r="F2007" i="5"/>
  <c r="J2006" i="5"/>
  <c r="H2006" i="5" a="1"/>
  <c r="H2006" i="5"/>
  <c r="G2006" i="5" a="1"/>
  <c r="G2006" i="5"/>
  <c r="F2006" i="5"/>
  <c r="J2005" i="5"/>
  <c r="H2005" i="5" a="1"/>
  <c r="H2005" i="5"/>
  <c r="G2005" i="5" a="1"/>
  <c r="G2005" i="5"/>
  <c r="F2005" i="5"/>
  <c r="J2004" i="5"/>
  <c r="H2004" i="5" a="1"/>
  <c r="H2004" i="5"/>
  <c r="G2004" i="5" a="1"/>
  <c r="G2004" i="5"/>
  <c r="F2004" i="5"/>
  <c r="J2003" i="5"/>
  <c r="H2003" i="5" a="1"/>
  <c r="H2003" i="5"/>
  <c r="G2003" i="5" a="1"/>
  <c r="G2003" i="5"/>
  <c r="F2003" i="5"/>
  <c r="J2002" i="5"/>
  <c r="H2002" i="5" a="1"/>
  <c r="H2002" i="5"/>
  <c r="G2002" i="5" a="1"/>
  <c r="G2002" i="5"/>
  <c r="F2002" i="5"/>
  <c r="J2001" i="5"/>
  <c r="H2001" i="5" a="1"/>
  <c r="H2001" i="5"/>
  <c r="G2001" i="5" a="1"/>
  <c r="G2001" i="5" s="1"/>
  <c r="F2001" i="5"/>
  <c r="J2000" i="5"/>
  <c r="H2000" i="5" a="1"/>
  <c r="H2000" i="5" s="1"/>
  <c r="G2000" i="5" a="1"/>
  <c r="G2000" i="5" s="1"/>
  <c r="F2000" i="5"/>
  <c r="J1999" i="5"/>
  <c r="H1999" i="5" a="1"/>
  <c r="H1999" i="5" s="1"/>
  <c r="G1999" i="5" a="1"/>
  <c r="G1999" i="5" s="1"/>
  <c r="F1999" i="5"/>
  <c r="J1998" i="5"/>
  <c r="H1998" i="5" a="1"/>
  <c r="H1998" i="5" s="1"/>
  <c r="G1998" i="5" a="1"/>
  <c r="G1998" i="5" s="1"/>
  <c r="F1998" i="5"/>
  <c r="J1997" i="5"/>
  <c r="H1997" i="5" a="1"/>
  <c r="H1997" i="5" s="1"/>
  <c r="G1997" i="5" a="1"/>
  <c r="G1997" i="5"/>
  <c r="F1997" i="5"/>
  <c r="J1996" i="5"/>
  <c r="H1996" i="5" a="1"/>
  <c r="H1996" i="5" s="1"/>
  <c r="G1996" i="5" a="1"/>
  <c r="G1996" i="5" s="1"/>
  <c r="F1996" i="5"/>
  <c r="J1995" i="5"/>
  <c r="H1995" i="5" a="1"/>
  <c r="H1995" i="5" s="1"/>
  <c r="G1995" i="5" a="1"/>
  <c r="G1995" i="5"/>
  <c r="F1995" i="5"/>
  <c r="J1994" i="5"/>
  <c r="H1994" i="5" a="1"/>
  <c r="H1994" i="5" s="1"/>
  <c r="G1994" i="5" a="1"/>
  <c r="G1994" i="5" s="1"/>
  <c r="F1994" i="5"/>
  <c r="J1993" i="5"/>
  <c r="H1993" i="5" a="1"/>
  <c r="H1993" i="5" s="1"/>
  <c r="G1993" i="5" a="1"/>
  <c r="G1993" i="5" s="1"/>
  <c r="F1993" i="5"/>
  <c r="J1992" i="5"/>
  <c r="H1992" i="5" a="1"/>
  <c r="H1992" i="5" s="1"/>
  <c r="G1992" i="5" a="1"/>
  <c r="G1992" i="5" s="1"/>
  <c r="F1992" i="5"/>
  <c r="J1991" i="5"/>
  <c r="H1991" i="5" a="1"/>
  <c r="H1991" i="5" s="1"/>
  <c r="G1991" i="5" a="1"/>
  <c r="G1991" i="5" s="1"/>
  <c r="F1991" i="5"/>
  <c r="J1990" i="5"/>
  <c r="H1990" i="5" a="1"/>
  <c r="H1990" i="5" s="1"/>
  <c r="G1990" i="5" a="1"/>
  <c r="G1990" i="5"/>
  <c r="F1990" i="5"/>
  <c r="J1989" i="5"/>
  <c r="H1989" i="5" a="1"/>
  <c r="H1989" i="5"/>
  <c r="G1989" i="5" a="1"/>
  <c r="G1989" i="5"/>
  <c r="F1989" i="5"/>
  <c r="J1988" i="5"/>
  <c r="H1988" i="5" a="1"/>
  <c r="H1988" i="5"/>
  <c r="G1988" i="5" a="1"/>
  <c r="G1988" i="5"/>
  <c r="F1988" i="5"/>
  <c r="J1987" i="5"/>
  <c r="H1987" i="5" a="1"/>
  <c r="H1987" i="5"/>
  <c r="G1987" i="5" a="1"/>
  <c r="G1987" i="5"/>
  <c r="F1987" i="5"/>
  <c r="J1986" i="5"/>
  <c r="H1986" i="5" a="1"/>
  <c r="H1986" i="5"/>
  <c r="G1986" i="5" a="1"/>
  <c r="G1986" i="5"/>
  <c r="F1986" i="5"/>
  <c r="J1985" i="5"/>
  <c r="H1985" i="5" a="1"/>
  <c r="H1985" i="5" s="1"/>
  <c r="G1985" i="5" a="1"/>
  <c r="G1985" i="5" s="1"/>
  <c r="F1985" i="5"/>
  <c r="J1984" i="5"/>
  <c r="H1984" i="5" a="1"/>
  <c r="H1984" i="5" s="1"/>
  <c r="G1984" i="5" a="1"/>
  <c r="G1984" i="5"/>
  <c r="F1984" i="5"/>
  <c r="J1983" i="5"/>
  <c r="H1983" i="5" a="1"/>
  <c r="H1983" i="5" s="1"/>
  <c r="G1983" i="5" a="1"/>
  <c r="G1983" i="5" s="1"/>
  <c r="F1983" i="5"/>
  <c r="J1982" i="5"/>
  <c r="H1982" i="5" a="1"/>
  <c r="H1982" i="5" s="1"/>
  <c r="G1982" i="5" a="1"/>
  <c r="G1982" i="5" s="1"/>
  <c r="F1982" i="5"/>
  <c r="J1981" i="5"/>
  <c r="H1981" i="5" a="1"/>
  <c r="H1981" i="5" s="1"/>
  <c r="G1981" i="5" a="1"/>
  <c r="G1981" i="5" s="1"/>
  <c r="F1981" i="5"/>
  <c r="J1980" i="5"/>
  <c r="H1980" i="5" a="1"/>
  <c r="H1980" i="5" s="1"/>
  <c r="G1980" i="5" a="1"/>
  <c r="G1980" i="5" s="1"/>
  <c r="F1980" i="5"/>
  <c r="J1979" i="5"/>
  <c r="H1979" i="5" a="1"/>
  <c r="H1979" i="5" s="1"/>
  <c r="G1979" i="5" a="1"/>
  <c r="G1979" i="5" s="1"/>
  <c r="F1979" i="5"/>
  <c r="J1978" i="5"/>
  <c r="H1978" i="5" a="1"/>
  <c r="H1978" i="5" s="1"/>
  <c r="G1978" i="5" a="1"/>
  <c r="G1978" i="5"/>
  <c r="F1978" i="5"/>
  <c r="J1977" i="5"/>
  <c r="H1977" i="5" a="1"/>
  <c r="H1977" i="5" s="1"/>
  <c r="G1977" i="5" a="1"/>
  <c r="G1977" i="5" s="1"/>
  <c r="F1977" i="5"/>
  <c r="J1976" i="5"/>
  <c r="H1976" i="5" a="1"/>
  <c r="H1976" i="5"/>
  <c r="G1976" i="5" a="1"/>
  <c r="G1976" i="5"/>
  <c r="F1976" i="5"/>
  <c r="J1975" i="5"/>
  <c r="H1975" i="5" a="1"/>
  <c r="H1975" i="5"/>
  <c r="G1975" i="5" a="1"/>
  <c r="G1975" i="5"/>
  <c r="F1975" i="5"/>
  <c r="J1974" i="5"/>
  <c r="H1974" i="5" a="1"/>
  <c r="H1974" i="5"/>
  <c r="G1974" i="5" a="1"/>
  <c r="G1974" i="5"/>
  <c r="F1974" i="5"/>
  <c r="J1973" i="5"/>
  <c r="H1973" i="5" a="1"/>
  <c r="H1973" i="5" s="1"/>
  <c r="G1973" i="5" a="1"/>
  <c r="G1973" i="5" s="1"/>
  <c r="F1973" i="5"/>
  <c r="J1972" i="5"/>
  <c r="H1972" i="5" a="1"/>
  <c r="H1972" i="5" s="1"/>
  <c r="G1972" i="5" a="1"/>
  <c r="G1972" i="5"/>
  <c r="F1972" i="5"/>
  <c r="J1971" i="5"/>
  <c r="H1971" i="5" a="1"/>
  <c r="H1971" i="5" s="1"/>
  <c r="G1971" i="5" a="1"/>
  <c r="G1971" i="5" s="1"/>
  <c r="F1971" i="5"/>
  <c r="J1970" i="5"/>
  <c r="H1970" i="5" a="1"/>
  <c r="H1970" i="5"/>
  <c r="G1970" i="5" a="1"/>
  <c r="G1970" i="5" s="1"/>
  <c r="F1970" i="5"/>
  <c r="J1969" i="5"/>
  <c r="H1969" i="5" a="1"/>
  <c r="H1969" i="5" s="1"/>
  <c r="G1969" i="5" a="1"/>
  <c r="G1969" i="5" s="1"/>
  <c r="F1969" i="5"/>
  <c r="J1968" i="5"/>
  <c r="H1968" i="5" a="1"/>
  <c r="H1968" i="5" s="1"/>
  <c r="G1968" i="5" a="1"/>
  <c r="G1968" i="5" s="1"/>
  <c r="F1968" i="5"/>
  <c r="J1967" i="5"/>
  <c r="H1967" i="5" a="1"/>
  <c r="H1967" i="5" s="1"/>
  <c r="G1967" i="5" a="1"/>
  <c r="G1967" i="5" s="1"/>
  <c r="F1967" i="5"/>
  <c r="J1966" i="5"/>
  <c r="H1966" i="5" a="1"/>
  <c r="H1966" i="5"/>
  <c r="G1966" i="5" a="1"/>
  <c r="G1966" i="5" s="1"/>
  <c r="F1966" i="5"/>
  <c r="J1965" i="5"/>
  <c r="H1965" i="5" a="1"/>
  <c r="H1965" i="5" s="1"/>
  <c r="G1965" i="5" a="1"/>
  <c r="G1965" i="5" s="1"/>
  <c r="F1965" i="5"/>
  <c r="J1964" i="5"/>
  <c r="H1964" i="5" a="1"/>
  <c r="H1964" i="5" s="1"/>
  <c r="G1964" i="5" a="1"/>
  <c r="G1964" i="5" s="1"/>
  <c r="F1964" i="5"/>
  <c r="J1963" i="5"/>
  <c r="H1963" i="5" a="1"/>
  <c r="H1963" i="5" s="1"/>
  <c r="G1963" i="5" a="1"/>
  <c r="G1963" i="5"/>
  <c r="F1963" i="5"/>
  <c r="J1962" i="5"/>
  <c r="H1962" i="5" a="1"/>
  <c r="H1962" i="5" s="1"/>
  <c r="G1962" i="5" a="1"/>
  <c r="G1962" i="5" s="1"/>
  <c r="F1962" i="5"/>
  <c r="J1961" i="5"/>
  <c r="H1961" i="5" a="1"/>
  <c r="H1961" i="5" s="1"/>
  <c r="G1961" i="5" a="1"/>
  <c r="G1961" i="5"/>
  <c r="F1961" i="5"/>
  <c r="J1960" i="5"/>
  <c r="H1960" i="5" a="1"/>
  <c r="H1960" i="5" s="1"/>
  <c r="G1960" i="5" a="1"/>
  <c r="G1960" i="5" s="1"/>
  <c r="F1960" i="5"/>
  <c r="J1959" i="5"/>
  <c r="H1959" i="5" a="1"/>
  <c r="H1959" i="5" s="1"/>
  <c r="G1959" i="5" a="1"/>
  <c r="G1959" i="5"/>
  <c r="F1959" i="5"/>
  <c r="J1958" i="5"/>
  <c r="H1958" i="5" a="1"/>
  <c r="H1958" i="5" s="1"/>
  <c r="G1958" i="5" a="1"/>
  <c r="G1958" i="5" s="1"/>
  <c r="F1958" i="5"/>
  <c r="J1957" i="5"/>
  <c r="H1957" i="5" a="1"/>
  <c r="H1957" i="5" s="1"/>
  <c r="G1957" i="5" a="1"/>
  <c r="G1957" i="5" s="1"/>
  <c r="F1957" i="5"/>
  <c r="J1956" i="5"/>
  <c r="H1956" i="5" a="1"/>
  <c r="H1956" i="5" s="1"/>
  <c r="G1956" i="5" a="1"/>
  <c r="G1956" i="5" s="1"/>
  <c r="F1956" i="5"/>
  <c r="J1955" i="5"/>
  <c r="H1955" i="5" a="1"/>
  <c r="H1955" i="5" s="1"/>
  <c r="G1955" i="5" a="1"/>
  <c r="G1955" i="5"/>
  <c r="F1955" i="5"/>
  <c r="J1954" i="5"/>
  <c r="H1954" i="5" a="1"/>
  <c r="H1954" i="5" s="1"/>
  <c r="G1954" i="5" a="1"/>
  <c r="G1954" i="5" s="1"/>
  <c r="F1954" i="5"/>
  <c r="J1953" i="5"/>
  <c r="H1953" i="5" a="1"/>
  <c r="H1953" i="5" s="1"/>
  <c r="G1953" i="5" a="1"/>
  <c r="G1953" i="5" s="1"/>
  <c r="F1953" i="5"/>
  <c r="J1952" i="5"/>
  <c r="H1952" i="5" a="1"/>
  <c r="H1952" i="5" s="1"/>
  <c r="G1952" i="5" a="1"/>
  <c r="G1952" i="5"/>
  <c r="F1952" i="5"/>
  <c r="J1951" i="5"/>
  <c r="H1951" i="5" a="1"/>
  <c r="H1951" i="5" s="1"/>
  <c r="G1951" i="5" a="1"/>
  <c r="G1951" i="5" s="1"/>
  <c r="F1951" i="5"/>
  <c r="J1950" i="5"/>
  <c r="H1950" i="5" a="1"/>
  <c r="H1950" i="5" s="1"/>
  <c r="G1950" i="5" a="1"/>
  <c r="G1950" i="5" s="1"/>
  <c r="F1950" i="5"/>
  <c r="J1949" i="5"/>
  <c r="H1949" i="5" a="1"/>
  <c r="H1949" i="5" s="1"/>
  <c r="G1949" i="5" a="1"/>
  <c r="G1949" i="5" s="1"/>
  <c r="F1949" i="5"/>
  <c r="J1948" i="5"/>
  <c r="H1948" i="5" a="1"/>
  <c r="H1948" i="5" s="1"/>
  <c r="G1948" i="5" a="1"/>
  <c r="G1948" i="5" s="1"/>
  <c r="F1948" i="5"/>
  <c r="J1947" i="5"/>
  <c r="H1947" i="5" a="1"/>
  <c r="H1947" i="5" s="1"/>
  <c r="G1947" i="5" a="1"/>
  <c r="G1947" i="5" s="1"/>
  <c r="F1947" i="5"/>
  <c r="J1946" i="5"/>
  <c r="H1946" i="5" a="1"/>
  <c r="H1946" i="5" s="1"/>
  <c r="G1946" i="5" a="1"/>
  <c r="G1946" i="5" s="1"/>
  <c r="F1946" i="5"/>
  <c r="J1945" i="5"/>
  <c r="H1945" i="5" a="1"/>
  <c r="H1945" i="5" s="1"/>
  <c r="G1945" i="5" a="1"/>
  <c r="G1945" i="5" s="1"/>
  <c r="F1945" i="5"/>
  <c r="J1944" i="5"/>
  <c r="H1944" i="5" a="1"/>
  <c r="H1944" i="5" s="1"/>
  <c r="G1944" i="5" a="1"/>
  <c r="G1944" i="5"/>
  <c r="F1944" i="5"/>
  <c r="J1943" i="5"/>
  <c r="H1943" i="5" a="1"/>
  <c r="H1943" i="5" s="1"/>
  <c r="G1943" i="5" a="1"/>
  <c r="G1943" i="5" s="1"/>
  <c r="F1943" i="5"/>
  <c r="J1942" i="5"/>
  <c r="H1942" i="5" a="1"/>
  <c r="H1942" i="5" s="1"/>
  <c r="G1942" i="5" a="1"/>
  <c r="G1942" i="5" s="1"/>
  <c r="F1942" i="5"/>
  <c r="J1941" i="5"/>
  <c r="H1941" i="5" a="1"/>
  <c r="H1941" i="5" s="1"/>
  <c r="G1941" i="5" a="1"/>
  <c r="G1941" i="5" s="1"/>
  <c r="F1941" i="5"/>
  <c r="J1940" i="5"/>
  <c r="H1940" i="5" a="1"/>
  <c r="H1940" i="5" s="1"/>
  <c r="G1940" i="5" a="1"/>
  <c r="G1940" i="5" s="1"/>
  <c r="F1940" i="5"/>
  <c r="J1939" i="5"/>
  <c r="H1939" i="5" a="1"/>
  <c r="H1939" i="5" s="1"/>
  <c r="G1939" i="5" a="1"/>
  <c r="G1939" i="5" s="1"/>
  <c r="F1939" i="5"/>
  <c r="J1938" i="5"/>
  <c r="H1938" i="5" a="1"/>
  <c r="H1938" i="5" s="1"/>
  <c r="G1938" i="5" a="1"/>
  <c r="G1938" i="5" s="1"/>
  <c r="F1938" i="5"/>
  <c r="J1937" i="5"/>
  <c r="H1937" i="5" a="1"/>
  <c r="H1937" i="5" s="1"/>
  <c r="G1937" i="5" a="1"/>
  <c r="G1937" i="5" s="1"/>
  <c r="F1937" i="5"/>
  <c r="J1936" i="5"/>
  <c r="H1936" i="5" a="1"/>
  <c r="H1936" i="5" s="1"/>
  <c r="G1936" i="5" a="1"/>
  <c r="G1936" i="5" s="1"/>
  <c r="F1936" i="5"/>
  <c r="J1935" i="5"/>
  <c r="H1935" i="5" a="1"/>
  <c r="H1935" i="5" s="1"/>
  <c r="G1935" i="5" a="1"/>
  <c r="G1935" i="5" s="1"/>
  <c r="F1935" i="5"/>
  <c r="J1934" i="5"/>
  <c r="H1934" i="5" a="1"/>
  <c r="H1934" i="5" s="1"/>
  <c r="G1934" i="5" a="1"/>
  <c r="G1934" i="5" s="1"/>
  <c r="F1934" i="5"/>
  <c r="J1933" i="5"/>
  <c r="H1933" i="5" a="1"/>
  <c r="H1933" i="5" s="1"/>
  <c r="G1933" i="5" a="1"/>
  <c r="G1933" i="5" s="1"/>
  <c r="F1933" i="5"/>
  <c r="J1932" i="5"/>
  <c r="H1932" i="5" a="1"/>
  <c r="H1932" i="5" s="1"/>
  <c r="G1932" i="5" a="1"/>
  <c r="G1932" i="5" s="1"/>
  <c r="F1932" i="5"/>
  <c r="J1931" i="5"/>
  <c r="H1931" i="5" a="1"/>
  <c r="H1931" i="5" s="1"/>
  <c r="G1931" i="5" a="1"/>
  <c r="G1931" i="5" s="1"/>
  <c r="F1931" i="5"/>
  <c r="J1930" i="5"/>
  <c r="H1930" i="5" a="1"/>
  <c r="H1930" i="5" s="1"/>
  <c r="G1930" i="5" a="1"/>
  <c r="G1930" i="5" s="1"/>
  <c r="F1930" i="5"/>
  <c r="J1929" i="5"/>
  <c r="H1929" i="5" a="1"/>
  <c r="H1929" i="5" s="1"/>
  <c r="G1929" i="5" a="1"/>
  <c r="G1929" i="5" s="1"/>
  <c r="F1929" i="5"/>
  <c r="J1928" i="5"/>
  <c r="H1928" i="5" a="1"/>
  <c r="H1928" i="5" s="1"/>
  <c r="G1928" i="5" a="1"/>
  <c r="G1928" i="5" s="1"/>
  <c r="F1928" i="5"/>
  <c r="J1927" i="5"/>
  <c r="H1927" i="5" a="1"/>
  <c r="H1927" i="5" s="1"/>
  <c r="G1927" i="5" a="1"/>
  <c r="G1927" i="5" s="1"/>
  <c r="F1927" i="5"/>
  <c r="J1926" i="5"/>
  <c r="H1926" i="5" a="1"/>
  <c r="H1926" i="5" s="1"/>
  <c r="G1926" i="5" a="1"/>
  <c r="G1926" i="5"/>
  <c r="F1926" i="5"/>
  <c r="J1925" i="5"/>
  <c r="H1925" i="5" a="1"/>
  <c r="H1925" i="5" s="1"/>
  <c r="G1925" i="5" a="1"/>
  <c r="G1925" i="5" s="1"/>
  <c r="F1925" i="5"/>
  <c r="J1924" i="5"/>
  <c r="H1924" i="5" a="1"/>
  <c r="H1924" i="5" s="1"/>
  <c r="G1924" i="5" a="1"/>
  <c r="G1924" i="5" s="1"/>
  <c r="F1924" i="5"/>
  <c r="J1923" i="5"/>
  <c r="H1923" i="5" a="1"/>
  <c r="H1923" i="5" s="1"/>
  <c r="G1923" i="5" a="1"/>
  <c r="G1923" i="5" s="1"/>
  <c r="F1923" i="5"/>
  <c r="J1922" i="5"/>
  <c r="H1922" i="5" a="1"/>
  <c r="H1922" i="5" s="1"/>
  <c r="G1922" i="5" a="1"/>
  <c r="G1922" i="5" s="1"/>
  <c r="F1922" i="5"/>
  <c r="J1921" i="5"/>
  <c r="H1921" i="5" a="1"/>
  <c r="H1921" i="5" s="1"/>
  <c r="G1921" i="5" a="1"/>
  <c r="G1921" i="5" s="1"/>
  <c r="F1921" i="5"/>
  <c r="J1920" i="5"/>
  <c r="H1920" i="5" a="1"/>
  <c r="H1920" i="5" s="1"/>
  <c r="G1920" i="5" a="1"/>
  <c r="G1920" i="5" s="1"/>
  <c r="F1920" i="5"/>
  <c r="J1919" i="5"/>
  <c r="H1919" i="5" a="1"/>
  <c r="H1919" i="5" s="1"/>
  <c r="G1919" i="5" a="1"/>
  <c r="G1919" i="5" s="1"/>
  <c r="F1919" i="5"/>
  <c r="J1918" i="5"/>
  <c r="H1918" i="5" a="1"/>
  <c r="H1918" i="5" s="1"/>
  <c r="G1918" i="5" a="1"/>
  <c r="G1918" i="5" s="1"/>
  <c r="F1918" i="5"/>
  <c r="J1917" i="5"/>
  <c r="H1917" i="5" a="1"/>
  <c r="H1917" i="5" s="1"/>
  <c r="G1917" i="5" a="1"/>
  <c r="G1917" i="5" s="1"/>
  <c r="F1917" i="5"/>
  <c r="J1916" i="5"/>
  <c r="H1916" i="5" a="1"/>
  <c r="H1916" i="5" s="1"/>
  <c r="G1916" i="5" a="1"/>
  <c r="G1916" i="5" s="1"/>
  <c r="F1916" i="5"/>
  <c r="J1915" i="5"/>
  <c r="H1915" i="5" a="1"/>
  <c r="H1915" i="5" s="1"/>
  <c r="G1915" i="5" a="1"/>
  <c r="G1915" i="5" s="1"/>
  <c r="F1915" i="5"/>
  <c r="J1914" i="5"/>
  <c r="H1914" i="5" a="1"/>
  <c r="H1914" i="5" s="1"/>
  <c r="G1914" i="5" a="1"/>
  <c r="G1914" i="5" s="1"/>
  <c r="F1914" i="5"/>
  <c r="J1913" i="5"/>
  <c r="H1913" i="5" a="1"/>
  <c r="H1913" i="5" s="1"/>
  <c r="G1913" i="5" a="1"/>
  <c r="G1913" i="5" s="1"/>
  <c r="F1913" i="5"/>
  <c r="J1912" i="5"/>
  <c r="H1912" i="5" a="1"/>
  <c r="H1912" i="5" s="1"/>
  <c r="G1912" i="5" a="1"/>
  <c r="G1912" i="5" s="1"/>
  <c r="F1912" i="5"/>
  <c r="J1911" i="5"/>
  <c r="H1911" i="5" a="1"/>
  <c r="H1911" i="5" s="1"/>
  <c r="G1911" i="5" a="1"/>
  <c r="G1911" i="5" s="1"/>
  <c r="F1911" i="5"/>
  <c r="J1910" i="5"/>
  <c r="H1910" i="5" a="1"/>
  <c r="H1910" i="5" s="1"/>
  <c r="G1910" i="5" a="1"/>
  <c r="G1910" i="5" s="1"/>
  <c r="F1910" i="5"/>
  <c r="J1909" i="5"/>
  <c r="H1909" i="5" a="1"/>
  <c r="H1909" i="5" s="1"/>
  <c r="G1909" i="5" a="1"/>
  <c r="G1909" i="5" s="1"/>
  <c r="F1909" i="5"/>
  <c r="J1908" i="5"/>
  <c r="H1908" i="5" a="1"/>
  <c r="H1908" i="5" s="1"/>
  <c r="G1908" i="5" a="1"/>
  <c r="G1908" i="5" s="1"/>
  <c r="F1908" i="5"/>
  <c r="J1907" i="5"/>
  <c r="H1907" i="5" a="1"/>
  <c r="H1907" i="5" s="1"/>
  <c r="G1907" i="5" a="1"/>
  <c r="G1907" i="5" s="1"/>
  <c r="F1907" i="5"/>
  <c r="J1906" i="5"/>
  <c r="H1906" i="5" a="1"/>
  <c r="H1906" i="5" s="1"/>
  <c r="G1906" i="5" a="1"/>
  <c r="G1906" i="5" s="1"/>
  <c r="F1906" i="5"/>
  <c r="J1905" i="5"/>
  <c r="H1905" i="5" a="1"/>
  <c r="H1905" i="5" s="1"/>
  <c r="G1905" i="5" a="1"/>
  <c r="G1905" i="5" s="1"/>
  <c r="F1905" i="5"/>
  <c r="J1904" i="5"/>
  <c r="H1904" i="5" a="1"/>
  <c r="H1904" i="5" s="1"/>
  <c r="G1904" i="5" a="1"/>
  <c r="G1904" i="5" s="1"/>
  <c r="F1904" i="5"/>
  <c r="J1903" i="5"/>
  <c r="H1903" i="5" a="1"/>
  <c r="H1903" i="5" s="1"/>
  <c r="G1903" i="5" a="1"/>
  <c r="G1903" i="5" s="1"/>
  <c r="F1903" i="5"/>
  <c r="J1902" i="5"/>
  <c r="H1902" i="5" a="1"/>
  <c r="H1902" i="5" s="1"/>
  <c r="G1902" i="5" a="1"/>
  <c r="G1902" i="5" s="1"/>
  <c r="F1902" i="5"/>
  <c r="J1901" i="5"/>
  <c r="H1901" i="5" a="1"/>
  <c r="H1901" i="5" s="1"/>
  <c r="G1901" i="5" a="1"/>
  <c r="G1901" i="5" s="1"/>
  <c r="F1901" i="5"/>
  <c r="J1900" i="5"/>
  <c r="H1900" i="5" a="1"/>
  <c r="H1900" i="5" s="1"/>
  <c r="G1900" i="5" a="1"/>
  <c r="G1900" i="5" s="1"/>
  <c r="F1900" i="5"/>
  <c r="J1899" i="5"/>
  <c r="H1899" i="5" a="1"/>
  <c r="H1899" i="5" s="1"/>
  <c r="G1899" i="5" a="1"/>
  <c r="G1899" i="5" s="1"/>
  <c r="F1899" i="5"/>
  <c r="J1898" i="5"/>
  <c r="H1898" i="5" a="1"/>
  <c r="H1898" i="5" s="1"/>
  <c r="G1898" i="5" a="1"/>
  <c r="G1898" i="5"/>
  <c r="F1898" i="5"/>
  <c r="J1897" i="5"/>
  <c r="H1897" i="5" a="1"/>
  <c r="H1897" i="5" s="1"/>
  <c r="G1897" i="5" a="1"/>
  <c r="G1897" i="5" s="1"/>
  <c r="F1897" i="5"/>
  <c r="J1896" i="5"/>
  <c r="H1896" i="5" a="1"/>
  <c r="H1896" i="5" s="1"/>
  <c r="G1896" i="5" a="1"/>
  <c r="G1896" i="5" s="1"/>
  <c r="F1896" i="5"/>
  <c r="J1895" i="5"/>
  <c r="H1895" i="5" a="1"/>
  <c r="H1895" i="5" s="1"/>
  <c r="G1895" i="5" a="1"/>
  <c r="G1895" i="5" s="1"/>
  <c r="F1895" i="5"/>
  <c r="J1894" i="5"/>
  <c r="H1894" i="5" a="1"/>
  <c r="H1894" i="5" s="1"/>
  <c r="G1894" i="5" a="1"/>
  <c r="G1894" i="5" s="1"/>
  <c r="F1894" i="5"/>
  <c r="J1893" i="5"/>
  <c r="H1893" i="5" a="1"/>
  <c r="H1893" i="5" s="1"/>
  <c r="G1893" i="5" a="1"/>
  <c r="G1893" i="5" s="1"/>
  <c r="F1893" i="5"/>
  <c r="J1892" i="5"/>
  <c r="H1892" i="5" a="1"/>
  <c r="H1892" i="5" s="1"/>
  <c r="G1892" i="5" a="1"/>
  <c r="G1892" i="5" s="1"/>
  <c r="F1892" i="5"/>
  <c r="J1891" i="5"/>
  <c r="H1891" i="5" a="1"/>
  <c r="H1891" i="5" s="1"/>
  <c r="G1891" i="5" a="1"/>
  <c r="G1891" i="5" s="1"/>
  <c r="F1891" i="5"/>
  <c r="J1890" i="5"/>
  <c r="H1890" i="5" a="1"/>
  <c r="H1890" i="5" s="1"/>
  <c r="G1890" i="5" a="1"/>
  <c r="G1890" i="5" s="1"/>
  <c r="F1890" i="5"/>
  <c r="J1889" i="5"/>
  <c r="H1889" i="5" a="1"/>
  <c r="H1889" i="5" s="1"/>
  <c r="G1889" i="5" a="1"/>
  <c r="G1889" i="5" s="1"/>
  <c r="F1889" i="5"/>
  <c r="J1888" i="5"/>
  <c r="H1888" i="5" a="1"/>
  <c r="H1888" i="5" s="1"/>
  <c r="G1888" i="5" a="1"/>
  <c r="G1888" i="5" s="1"/>
  <c r="F1888" i="5"/>
  <c r="J1887" i="5"/>
  <c r="H1887" i="5" a="1"/>
  <c r="H1887" i="5" s="1"/>
  <c r="G1887" i="5" a="1"/>
  <c r="G1887" i="5" s="1"/>
  <c r="F1887" i="5"/>
  <c r="J1886" i="5"/>
  <c r="H1886" i="5" a="1"/>
  <c r="H1886" i="5" s="1"/>
  <c r="G1886" i="5" a="1"/>
  <c r="G1886" i="5" s="1"/>
  <c r="F1886" i="5"/>
  <c r="J1885" i="5"/>
  <c r="H1885" i="5" a="1"/>
  <c r="H1885" i="5" s="1"/>
  <c r="G1885" i="5" a="1"/>
  <c r="G1885" i="5" s="1"/>
  <c r="F1885" i="5"/>
  <c r="J1884" i="5"/>
  <c r="H1884" i="5" a="1"/>
  <c r="H1884" i="5" s="1"/>
  <c r="G1884" i="5" a="1"/>
  <c r="G1884" i="5" s="1"/>
  <c r="F1884" i="5"/>
  <c r="J1883" i="5"/>
  <c r="H1883" i="5" a="1"/>
  <c r="H1883" i="5" s="1"/>
  <c r="G1883" i="5" a="1"/>
  <c r="G1883" i="5" s="1"/>
  <c r="F1883" i="5"/>
  <c r="J1882" i="5"/>
  <c r="H1882" i="5" a="1"/>
  <c r="H1882" i="5" s="1"/>
  <c r="G1882" i="5" a="1"/>
  <c r="G1882" i="5"/>
  <c r="F1882" i="5"/>
  <c r="J1881" i="5"/>
  <c r="H1881" i="5" a="1"/>
  <c r="H1881" i="5" s="1"/>
  <c r="G1881" i="5" a="1"/>
  <c r="G1881" i="5" s="1"/>
  <c r="F1881" i="5"/>
  <c r="J1880" i="5"/>
  <c r="H1880" i="5" a="1"/>
  <c r="H1880" i="5" s="1"/>
  <c r="G1880" i="5" a="1"/>
  <c r="G1880" i="5" s="1"/>
  <c r="F1880" i="5"/>
  <c r="J1879" i="5"/>
  <c r="H1879" i="5" a="1"/>
  <c r="H1879" i="5" s="1"/>
  <c r="G1879" i="5" a="1"/>
  <c r="G1879" i="5" s="1"/>
  <c r="F1879" i="5"/>
  <c r="J1878" i="5"/>
  <c r="H1878" i="5" a="1"/>
  <c r="H1878" i="5" s="1"/>
  <c r="G1878" i="5" a="1"/>
  <c r="G1878" i="5" s="1"/>
  <c r="F1878" i="5"/>
  <c r="J1877" i="5"/>
  <c r="H1877" i="5" a="1"/>
  <c r="H1877" i="5" s="1"/>
  <c r="G1877" i="5" a="1"/>
  <c r="G1877" i="5" s="1"/>
  <c r="F1877" i="5"/>
  <c r="J1876" i="5"/>
  <c r="H1876" i="5" a="1"/>
  <c r="H1876" i="5" s="1"/>
  <c r="G1876" i="5" a="1"/>
  <c r="G1876" i="5" s="1"/>
  <c r="F1876" i="5"/>
  <c r="J1875" i="5"/>
  <c r="H1875" i="5" a="1"/>
  <c r="H1875" i="5" s="1"/>
  <c r="G1875" i="5" a="1"/>
  <c r="G1875" i="5" s="1"/>
  <c r="F1875" i="5"/>
  <c r="J1874" i="5"/>
  <c r="H1874" i="5" a="1"/>
  <c r="H1874" i="5" s="1"/>
  <c r="G1874" i="5" a="1"/>
  <c r="G1874" i="5" s="1"/>
  <c r="F1874" i="5"/>
  <c r="J1873" i="5"/>
  <c r="H1873" i="5" a="1"/>
  <c r="H1873" i="5" s="1"/>
  <c r="G1873" i="5" a="1"/>
  <c r="G1873" i="5" s="1"/>
  <c r="F1873" i="5"/>
  <c r="J1872" i="5"/>
  <c r="H1872" i="5" a="1"/>
  <c r="H1872" i="5" s="1"/>
  <c r="G1872" i="5" a="1"/>
  <c r="G1872" i="5" s="1"/>
  <c r="F1872" i="5"/>
  <c r="J1871" i="5"/>
  <c r="H1871" i="5" a="1"/>
  <c r="H1871" i="5" s="1"/>
  <c r="G1871" i="5" a="1"/>
  <c r="G1871" i="5" s="1"/>
  <c r="F1871" i="5"/>
  <c r="J1870" i="5"/>
  <c r="H1870" i="5" a="1"/>
  <c r="H1870" i="5" s="1"/>
  <c r="G1870" i="5" a="1"/>
  <c r="G1870" i="5" s="1"/>
  <c r="F1870" i="5"/>
  <c r="J1869" i="5"/>
  <c r="H1869" i="5" a="1"/>
  <c r="H1869" i="5" s="1"/>
  <c r="G1869" i="5" a="1"/>
  <c r="G1869" i="5" s="1"/>
  <c r="F1869" i="5"/>
  <c r="J1868" i="5"/>
  <c r="H1868" i="5" a="1"/>
  <c r="H1868" i="5" s="1"/>
  <c r="G1868" i="5" a="1"/>
  <c r="G1868" i="5" s="1"/>
  <c r="F1868" i="5"/>
  <c r="J1867" i="5"/>
  <c r="H1867" i="5" a="1"/>
  <c r="H1867" i="5" s="1"/>
  <c r="G1867" i="5" a="1"/>
  <c r="G1867" i="5" s="1"/>
  <c r="F1867" i="5"/>
  <c r="J1866" i="5"/>
  <c r="H1866" i="5" a="1"/>
  <c r="H1866" i="5" s="1"/>
  <c r="G1866" i="5" a="1"/>
  <c r="G1866" i="5" s="1"/>
  <c r="F1866" i="5"/>
  <c r="J1865" i="5"/>
  <c r="H1865" i="5" a="1"/>
  <c r="H1865" i="5" s="1"/>
  <c r="G1865" i="5" a="1"/>
  <c r="G1865" i="5" s="1"/>
  <c r="F1865" i="5"/>
  <c r="J1864" i="5"/>
  <c r="H1864" i="5" a="1"/>
  <c r="H1864" i="5" s="1"/>
  <c r="G1864" i="5" a="1"/>
  <c r="G1864" i="5" s="1"/>
  <c r="F1864" i="5"/>
  <c r="J1863" i="5"/>
  <c r="H1863" i="5" a="1"/>
  <c r="H1863" i="5" s="1"/>
  <c r="G1863" i="5" a="1"/>
  <c r="G1863" i="5"/>
  <c r="F1863" i="5"/>
  <c r="J1862" i="5"/>
  <c r="H1862" i="5" a="1"/>
  <c r="H1862" i="5"/>
  <c r="G1862" i="5" a="1"/>
  <c r="G1862" i="5"/>
  <c r="F1862" i="5"/>
  <c r="J1861" i="5"/>
  <c r="H1861" i="5" a="1"/>
  <c r="H1861" i="5" s="1"/>
  <c r="G1861" i="5" a="1"/>
  <c r="G1861" i="5" s="1"/>
  <c r="F1861" i="5"/>
  <c r="J1860" i="5"/>
  <c r="H1860" i="5" a="1"/>
  <c r="H1860" i="5" s="1"/>
  <c r="G1860" i="5" a="1"/>
  <c r="G1860" i="5" s="1"/>
  <c r="F1860" i="5"/>
  <c r="J1859" i="5"/>
  <c r="H1859" i="5" a="1"/>
  <c r="H1859" i="5" s="1"/>
  <c r="G1859" i="5" a="1"/>
  <c r="G1859" i="5"/>
  <c r="F1859" i="5"/>
  <c r="J1858" i="5"/>
  <c r="H1858" i="5" a="1"/>
  <c r="H1858" i="5" s="1"/>
  <c r="G1858" i="5" a="1"/>
  <c r="G1858" i="5" s="1"/>
  <c r="F1858" i="5"/>
  <c r="J1857" i="5"/>
  <c r="H1857" i="5" a="1"/>
  <c r="H1857" i="5" s="1"/>
  <c r="G1857" i="5" a="1"/>
  <c r="G1857" i="5" s="1"/>
  <c r="F1857" i="5"/>
  <c r="J1856" i="5"/>
  <c r="H1856" i="5" a="1"/>
  <c r="H1856" i="5" s="1"/>
  <c r="G1856" i="5" a="1"/>
  <c r="G1856" i="5" s="1"/>
  <c r="F1856" i="5"/>
  <c r="J1855" i="5"/>
  <c r="H1855" i="5" a="1"/>
  <c r="H1855" i="5" s="1"/>
  <c r="G1855" i="5" a="1"/>
  <c r="G1855" i="5" s="1"/>
  <c r="F1855" i="5"/>
  <c r="J1854" i="5"/>
  <c r="H1854" i="5" a="1"/>
  <c r="H1854" i="5" s="1"/>
  <c r="G1854" i="5" a="1"/>
  <c r="G1854" i="5" s="1"/>
  <c r="F1854" i="5"/>
  <c r="J1853" i="5"/>
  <c r="H1853" i="5" a="1"/>
  <c r="H1853" i="5" s="1"/>
  <c r="G1853" i="5" a="1"/>
  <c r="G1853" i="5" s="1"/>
  <c r="F1853" i="5"/>
  <c r="J1852" i="5"/>
  <c r="H1852" i="5" a="1"/>
  <c r="H1852" i="5" s="1"/>
  <c r="G1852" i="5" a="1"/>
  <c r="G1852" i="5"/>
  <c r="F1852" i="5"/>
  <c r="J1851" i="5"/>
  <c r="H1851" i="5" a="1"/>
  <c r="H1851" i="5" s="1"/>
  <c r="G1851" i="5" a="1"/>
  <c r="G1851" i="5" s="1"/>
  <c r="F1851" i="5"/>
  <c r="J1850" i="5"/>
  <c r="H1850" i="5" a="1"/>
  <c r="H1850" i="5" s="1"/>
  <c r="G1850" i="5" a="1"/>
  <c r="G1850" i="5" s="1"/>
  <c r="F1850" i="5"/>
  <c r="J1849" i="5"/>
  <c r="H1849" i="5" a="1"/>
  <c r="H1849" i="5" s="1"/>
  <c r="G1849" i="5" a="1"/>
  <c r="G1849" i="5" s="1"/>
  <c r="F1849" i="5"/>
  <c r="J1848" i="5"/>
  <c r="H1848" i="5" a="1"/>
  <c r="H1848" i="5" s="1"/>
  <c r="G1848" i="5" a="1"/>
  <c r="G1848" i="5" s="1"/>
  <c r="F1848" i="5"/>
  <c r="J1847" i="5"/>
  <c r="H1847" i="5" a="1"/>
  <c r="H1847" i="5" s="1"/>
  <c r="G1847" i="5" a="1"/>
  <c r="G1847" i="5" s="1"/>
  <c r="F1847" i="5"/>
  <c r="J1846" i="5"/>
  <c r="H1846" i="5" a="1"/>
  <c r="H1846" i="5" s="1"/>
  <c r="G1846" i="5" a="1"/>
  <c r="G1846" i="5" s="1"/>
  <c r="F1846" i="5"/>
  <c r="J1845" i="5"/>
  <c r="H1845" i="5" a="1"/>
  <c r="H1845" i="5" s="1"/>
  <c r="G1845" i="5" a="1"/>
  <c r="G1845" i="5" s="1"/>
  <c r="F1845" i="5"/>
  <c r="J1844" i="5"/>
  <c r="H1844" i="5" a="1"/>
  <c r="H1844" i="5" s="1"/>
  <c r="G1844" i="5" a="1"/>
  <c r="G1844" i="5" s="1"/>
  <c r="F1844" i="5"/>
  <c r="J1843" i="5"/>
  <c r="H1843" i="5" a="1"/>
  <c r="H1843" i="5" s="1"/>
  <c r="G1843" i="5" a="1"/>
  <c r="G1843" i="5" s="1"/>
  <c r="F1843" i="5"/>
  <c r="J1842" i="5"/>
  <c r="H1842" i="5" a="1"/>
  <c r="H1842" i="5" s="1"/>
  <c r="G1842" i="5" a="1"/>
  <c r="G1842" i="5" s="1"/>
  <c r="F1842" i="5"/>
  <c r="J1841" i="5"/>
  <c r="H1841" i="5" a="1"/>
  <c r="H1841" i="5" s="1"/>
  <c r="G1841" i="5" a="1"/>
  <c r="G1841" i="5"/>
  <c r="F1841" i="5"/>
  <c r="J1840" i="5"/>
  <c r="H1840" i="5" a="1"/>
  <c r="H1840" i="5" s="1"/>
  <c r="G1840" i="5" a="1"/>
  <c r="G1840" i="5" s="1"/>
  <c r="F1840" i="5"/>
  <c r="J1839" i="5"/>
  <c r="H1839" i="5" a="1"/>
  <c r="H1839" i="5" s="1"/>
  <c r="G1839" i="5" a="1"/>
  <c r="G1839" i="5" s="1"/>
  <c r="F1839" i="5"/>
  <c r="J1838" i="5"/>
  <c r="H1838" i="5" a="1"/>
  <c r="H1838" i="5" s="1"/>
  <c r="G1838" i="5" a="1"/>
  <c r="G1838" i="5" s="1"/>
  <c r="F1838" i="5"/>
  <c r="J1837" i="5"/>
  <c r="H1837" i="5" a="1"/>
  <c r="H1837" i="5" s="1"/>
  <c r="G1837" i="5" a="1"/>
  <c r="G1837" i="5" s="1"/>
  <c r="F1837" i="5"/>
  <c r="J1836" i="5"/>
  <c r="H1836" i="5" a="1"/>
  <c r="H1836" i="5" s="1"/>
  <c r="G1836" i="5" a="1"/>
  <c r="G1836" i="5" s="1"/>
  <c r="F1836" i="5"/>
  <c r="J1835" i="5"/>
  <c r="H1835" i="5" a="1"/>
  <c r="H1835" i="5" s="1"/>
  <c r="G1835" i="5" a="1"/>
  <c r="G1835" i="5" s="1"/>
  <c r="F1835" i="5"/>
  <c r="J1834" i="5"/>
  <c r="H1834" i="5" a="1"/>
  <c r="H1834" i="5" s="1"/>
  <c r="G1834" i="5" a="1"/>
  <c r="G1834" i="5" s="1"/>
  <c r="F1834" i="5"/>
  <c r="J1833" i="5"/>
  <c r="H1833" i="5" a="1"/>
  <c r="H1833" i="5" s="1"/>
  <c r="G1833" i="5" a="1"/>
  <c r="G1833" i="5" s="1"/>
  <c r="F1833" i="5"/>
  <c r="J1832" i="5"/>
  <c r="H1832" i="5" a="1"/>
  <c r="H1832" i="5" s="1"/>
  <c r="G1832" i="5" a="1"/>
  <c r="G1832" i="5"/>
  <c r="F1832" i="5"/>
  <c r="J1831" i="5"/>
  <c r="H1831" i="5" a="1"/>
  <c r="H1831" i="5" s="1"/>
  <c r="G1831" i="5" a="1"/>
  <c r="G1831" i="5" s="1"/>
  <c r="F1831" i="5"/>
  <c r="J1830" i="5"/>
  <c r="H1830" i="5" a="1"/>
  <c r="H1830" i="5" s="1"/>
  <c r="G1830" i="5" a="1"/>
  <c r="G1830" i="5" s="1"/>
  <c r="F1830" i="5"/>
  <c r="J1829" i="5"/>
  <c r="H1829" i="5" a="1"/>
  <c r="H1829" i="5" s="1"/>
  <c r="G1829" i="5" a="1"/>
  <c r="G1829" i="5" s="1"/>
  <c r="F1829" i="5"/>
  <c r="J1828" i="5"/>
  <c r="H1828" i="5" a="1"/>
  <c r="H1828" i="5" s="1"/>
  <c r="G1828" i="5" a="1"/>
  <c r="G1828" i="5" s="1"/>
  <c r="F1828" i="5"/>
  <c r="J1827" i="5"/>
  <c r="H1827" i="5" a="1"/>
  <c r="H1827" i="5" s="1"/>
  <c r="G1827" i="5" a="1"/>
  <c r="G1827" i="5" s="1"/>
  <c r="F1827" i="5"/>
  <c r="J1826" i="5"/>
  <c r="H1826" i="5" a="1"/>
  <c r="H1826" i="5" s="1"/>
  <c r="G1826" i="5" a="1"/>
  <c r="G1826" i="5" s="1"/>
  <c r="F1826" i="5"/>
  <c r="J1825" i="5"/>
  <c r="H1825" i="5" a="1"/>
  <c r="H1825" i="5" s="1"/>
  <c r="G1825" i="5" a="1"/>
  <c r="G1825" i="5" s="1"/>
  <c r="F1825" i="5"/>
  <c r="J1824" i="5"/>
  <c r="H1824" i="5" a="1"/>
  <c r="H1824" i="5" s="1"/>
  <c r="G1824" i="5" a="1"/>
  <c r="G1824" i="5" s="1"/>
  <c r="F1824" i="5"/>
  <c r="J1823" i="5"/>
  <c r="H1823" i="5" a="1"/>
  <c r="H1823" i="5" s="1"/>
  <c r="G1823" i="5" a="1"/>
  <c r="G1823" i="5"/>
  <c r="F1823" i="5"/>
  <c r="J1822" i="5"/>
  <c r="H1822" i="5" a="1"/>
  <c r="H1822" i="5" s="1"/>
  <c r="G1822" i="5" a="1"/>
  <c r="G1822" i="5" s="1"/>
  <c r="F1822" i="5"/>
  <c r="J1821" i="5"/>
  <c r="H1821" i="5" a="1"/>
  <c r="H1821" i="5" s="1"/>
  <c r="G1821" i="5" a="1"/>
  <c r="G1821" i="5" s="1"/>
  <c r="F1821" i="5"/>
  <c r="J1820" i="5"/>
  <c r="H1820" i="5" a="1"/>
  <c r="H1820" i="5" s="1"/>
  <c r="G1820" i="5" a="1"/>
  <c r="G1820" i="5" s="1"/>
  <c r="F1820" i="5"/>
  <c r="J1819" i="5"/>
  <c r="H1819" i="5" a="1"/>
  <c r="H1819" i="5" s="1"/>
  <c r="G1819" i="5" a="1"/>
  <c r="G1819" i="5"/>
  <c r="F1819" i="5"/>
  <c r="J1818" i="5"/>
  <c r="H1818" i="5" a="1"/>
  <c r="H1818" i="5" s="1"/>
  <c r="G1818" i="5" a="1"/>
  <c r="G1818" i="5" s="1"/>
  <c r="F1818" i="5"/>
  <c r="J1817" i="5"/>
  <c r="H1817" i="5" a="1"/>
  <c r="H1817" i="5" s="1"/>
  <c r="G1817" i="5" a="1"/>
  <c r="G1817" i="5" s="1"/>
  <c r="F1817" i="5"/>
  <c r="J1816" i="5"/>
  <c r="H1816" i="5" a="1"/>
  <c r="H1816" i="5" s="1"/>
  <c r="G1816" i="5" a="1"/>
  <c r="G1816" i="5"/>
  <c r="F1816" i="5"/>
  <c r="J1815" i="5"/>
  <c r="H1815" i="5" a="1"/>
  <c r="H1815" i="5" s="1"/>
  <c r="G1815" i="5" a="1"/>
  <c r="G1815" i="5" s="1"/>
  <c r="F1815" i="5"/>
  <c r="J1814" i="5"/>
  <c r="H1814" i="5" a="1"/>
  <c r="H1814" i="5" s="1"/>
  <c r="G1814" i="5" a="1"/>
  <c r="G1814" i="5" s="1"/>
  <c r="F1814" i="5"/>
  <c r="J1813" i="5"/>
  <c r="H1813" i="5" a="1"/>
  <c r="H1813" i="5" s="1"/>
  <c r="G1813" i="5" a="1"/>
  <c r="G1813" i="5" s="1"/>
  <c r="F1813" i="5"/>
  <c r="J1812" i="5"/>
  <c r="H1812" i="5" a="1"/>
  <c r="H1812" i="5" s="1"/>
  <c r="G1812" i="5" a="1"/>
  <c r="G1812" i="5" s="1"/>
  <c r="F1812" i="5"/>
  <c r="J1811" i="5"/>
  <c r="H1811" i="5" a="1"/>
  <c r="H1811" i="5" s="1"/>
  <c r="G1811" i="5" a="1"/>
  <c r="G1811" i="5" s="1"/>
  <c r="F1811" i="5"/>
  <c r="J1810" i="5"/>
  <c r="H1810" i="5" a="1"/>
  <c r="H1810" i="5" s="1"/>
  <c r="G1810" i="5" a="1"/>
  <c r="G1810" i="5" s="1"/>
  <c r="F1810" i="5"/>
  <c r="J1809" i="5"/>
  <c r="H1809" i="5" a="1"/>
  <c r="H1809" i="5" s="1"/>
  <c r="G1809" i="5" a="1"/>
  <c r="G1809" i="5" s="1"/>
  <c r="F1809" i="5"/>
  <c r="J1808" i="5"/>
  <c r="H1808" i="5" a="1"/>
  <c r="H1808" i="5" s="1"/>
  <c r="G1808" i="5" a="1"/>
  <c r="G1808" i="5" s="1"/>
  <c r="F1808" i="5"/>
  <c r="J1807" i="5"/>
  <c r="H1807" i="5" a="1"/>
  <c r="H1807" i="5" s="1"/>
  <c r="G1807" i="5" a="1"/>
  <c r="G1807" i="5" s="1"/>
  <c r="F1807" i="5"/>
  <c r="J1806" i="5"/>
  <c r="H1806" i="5" a="1"/>
  <c r="H1806" i="5" s="1"/>
  <c r="G1806" i="5" a="1"/>
  <c r="G1806" i="5" s="1"/>
  <c r="F1806" i="5"/>
  <c r="J1805" i="5"/>
  <c r="H1805" i="5" a="1"/>
  <c r="H1805" i="5" s="1"/>
  <c r="G1805" i="5" a="1"/>
  <c r="G1805" i="5" s="1"/>
  <c r="F1805" i="5"/>
  <c r="J1804" i="5"/>
  <c r="H1804" i="5" a="1"/>
  <c r="H1804" i="5" s="1"/>
  <c r="G1804" i="5" a="1"/>
  <c r="G1804" i="5" s="1"/>
  <c r="F1804" i="5"/>
  <c r="J1803" i="5"/>
  <c r="H1803" i="5" a="1"/>
  <c r="H1803" i="5" s="1"/>
  <c r="G1803" i="5" a="1"/>
  <c r="G1803" i="5" s="1"/>
  <c r="F1803" i="5"/>
  <c r="J1802" i="5"/>
  <c r="H1802" i="5" a="1"/>
  <c r="H1802" i="5" s="1"/>
  <c r="G1802" i="5" a="1"/>
  <c r="G1802" i="5" s="1"/>
  <c r="F1802" i="5"/>
  <c r="J1801" i="5"/>
  <c r="H1801" i="5" a="1"/>
  <c r="H1801" i="5" s="1"/>
  <c r="G1801" i="5" a="1"/>
  <c r="G1801" i="5" s="1"/>
  <c r="F1801" i="5"/>
  <c r="J1800" i="5"/>
  <c r="H1800" i="5" a="1"/>
  <c r="H1800" i="5" s="1"/>
  <c r="G1800" i="5" a="1"/>
  <c r="G1800" i="5" s="1"/>
  <c r="F1800" i="5"/>
  <c r="J1799" i="5"/>
  <c r="H1799" i="5" a="1"/>
  <c r="H1799" i="5" s="1"/>
  <c r="G1799" i="5" a="1"/>
  <c r="G1799" i="5" s="1"/>
  <c r="F1799" i="5"/>
  <c r="J1798" i="5"/>
  <c r="H1798" i="5" a="1"/>
  <c r="H1798" i="5"/>
  <c r="G1798" i="5" a="1"/>
  <c r="G1798" i="5" s="1"/>
  <c r="F1798" i="5"/>
  <c r="J1797" i="5"/>
  <c r="H1797" i="5" a="1"/>
  <c r="H1797" i="5" s="1"/>
  <c r="G1797" i="5" a="1"/>
  <c r="G1797" i="5" s="1"/>
  <c r="F1797" i="5"/>
  <c r="J1796" i="5"/>
  <c r="H1796" i="5" a="1"/>
  <c r="H1796" i="5" s="1"/>
  <c r="G1796" i="5" a="1"/>
  <c r="G1796" i="5" s="1"/>
  <c r="F1796" i="5"/>
  <c r="J1795" i="5"/>
  <c r="H1795" i="5" a="1"/>
  <c r="H1795" i="5" s="1"/>
  <c r="G1795" i="5" a="1"/>
  <c r="G1795" i="5" s="1"/>
  <c r="F1795" i="5"/>
  <c r="J1794" i="5"/>
  <c r="H1794" i="5" a="1"/>
  <c r="H1794" i="5" s="1"/>
  <c r="G1794" i="5" a="1"/>
  <c r="G1794" i="5" s="1"/>
  <c r="F1794" i="5"/>
  <c r="J1793" i="5"/>
  <c r="H1793" i="5" a="1"/>
  <c r="H1793" i="5" s="1"/>
  <c r="G1793" i="5" a="1"/>
  <c r="G1793" i="5" s="1"/>
  <c r="F1793" i="5"/>
  <c r="J1792" i="5"/>
  <c r="H1792" i="5" a="1"/>
  <c r="H1792" i="5"/>
  <c r="G1792" i="5" a="1"/>
  <c r="G1792" i="5" s="1"/>
  <c r="F1792" i="5"/>
  <c r="J1791" i="5"/>
  <c r="H1791" i="5" a="1"/>
  <c r="H1791" i="5"/>
  <c r="G1791" i="5" a="1"/>
  <c r="G1791" i="5" s="1"/>
  <c r="F1791" i="5"/>
  <c r="J1790" i="5"/>
  <c r="H1790" i="5" a="1"/>
  <c r="H1790" i="5" s="1"/>
  <c r="G1790" i="5" a="1"/>
  <c r="G1790" i="5" s="1"/>
  <c r="F1790" i="5"/>
  <c r="J1789" i="5"/>
  <c r="H1789" i="5" a="1"/>
  <c r="H1789" i="5" s="1"/>
  <c r="G1789" i="5" a="1"/>
  <c r="G1789" i="5" s="1"/>
  <c r="F1789" i="5"/>
  <c r="J1788" i="5"/>
  <c r="H1788" i="5" a="1"/>
  <c r="H1788" i="5" s="1"/>
  <c r="G1788" i="5" a="1"/>
  <c r="G1788" i="5" s="1"/>
  <c r="F1788" i="5"/>
  <c r="J1787" i="5"/>
  <c r="H1787" i="5" a="1"/>
  <c r="H1787" i="5" s="1"/>
  <c r="G1787" i="5" a="1"/>
  <c r="G1787" i="5" s="1"/>
  <c r="F1787" i="5"/>
  <c r="J1786" i="5"/>
  <c r="H1786" i="5" a="1"/>
  <c r="H1786" i="5" s="1"/>
  <c r="G1786" i="5" a="1"/>
  <c r="G1786" i="5" s="1"/>
  <c r="F1786" i="5"/>
  <c r="J1785" i="5"/>
  <c r="H1785" i="5" a="1"/>
  <c r="H1785" i="5" s="1"/>
  <c r="G1785" i="5" a="1"/>
  <c r="G1785" i="5" s="1"/>
  <c r="F1785" i="5"/>
  <c r="J1784" i="5"/>
  <c r="H1784" i="5" a="1"/>
  <c r="H1784" i="5" s="1"/>
  <c r="G1784" i="5" a="1"/>
  <c r="G1784" i="5" s="1"/>
  <c r="F1784" i="5"/>
  <c r="J1783" i="5"/>
  <c r="H1783" i="5" a="1"/>
  <c r="H1783" i="5" s="1"/>
  <c r="G1783" i="5" a="1"/>
  <c r="G1783" i="5" s="1"/>
  <c r="F1783" i="5"/>
  <c r="J1782" i="5"/>
  <c r="H1782" i="5" a="1"/>
  <c r="H1782" i="5" s="1"/>
  <c r="G1782" i="5" a="1"/>
  <c r="G1782" i="5"/>
  <c r="F1782" i="5"/>
  <c r="J1781" i="5"/>
  <c r="H1781" i="5" a="1"/>
  <c r="H1781" i="5" s="1"/>
  <c r="G1781" i="5" a="1"/>
  <c r="G1781" i="5" s="1"/>
  <c r="F1781" i="5"/>
  <c r="J1780" i="5"/>
  <c r="H1780" i="5" a="1"/>
  <c r="H1780" i="5"/>
  <c r="G1780" i="5" a="1"/>
  <c r="G1780" i="5" s="1"/>
  <c r="F1780" i="5"/>
  <c r="J1779" i="5"/>
  <c r="H1779" i="5" a="1"/>
  <c r="H1779" i="5" s="1"/>
  <c r="G1779" i="5" a="1"/>
  <c r="G1779" i="5" s="1"/>
  <c r="F1779" i="5"/>
  <c r="J1778" i="5"/>
  <c r="H1778" i="5" a="1"/>
  <c r="H1778" i="5" s="1"/>
  <c r="G1778" i="5" a="1"/>
  <c r="G1778" i="5" s="1"/>
  <c r="F1778" i="5"/>
  <c r="J1777" i="5"/>
  <c r="H1777" i="5" a="1"/>
  <c r="H1777" i="5" s="1"/>
  <c r="G1777" i="5" a="1"/>
  <c r="G1777" i="5" s="1"/>
  <c r="F1777" i="5"/>
  <c r="J1776" i="5"/>
  <c r="H1776" i="5" a="1"/>
  <c r="H1776" i="5" s="1"/>
  <c r="G1776" i="5" a="1"/>
  <c r="G1776" i="5" s="1"/>
  <c r="F1776" i="5"/>
  <c r="J1775" i="5"/>
  <c r="H1775" i="5" a="1"/>
  <c r="H1775" i="5" s="1"/>
  <c r="G1775" i="5" a="1"/>
  <c r="G1775" i="5" s="1"/>
  <c r="F1775" i="5"/>
  <c r="J1774" i="5"/>
  <c r="H1774" i="5" a="1"/>
  <c r="H1774" i="5" s="1"/>
  <c r="G1774" i="5" a="1"/>
  <c r="G1774" i="5" s="1"/>
  <c r="F1774" i="5"/>
  <c r="J1773" i="5"/>
  <c r="H1773" i="5" a="1"/>
  <c r="H1773" i="5" s="1"/>
  <c r="G1773" i="5" a="1"/>
  <c r="G1773" i="5" s="1"/>
  <c r="F1773" i="5"/>
  <c r="J1772" i="5"/>
  <c r="H1772" i="5" a="1"/>
  <c r="H1772" i="5" s="1"/>
  <c r="G1772" i="5" a="1"/>
  <c r="G1772" i="5" s="1"/>
  <c r="F1772" i="5"/>
  <c r="J1771" i="5"/>
  <c r="H1771" i="5" a="1"/>
  <c r="H1771" i="5" s="1"/>
  <c r="G1771" i="5" a="1"/>
  <c r="G1771" i="5" s="1"/>
  <c r="F1771" i="5"/>
  <c r="J1770" i="5"/>
  <c r="H1770" i="5" a="1"/>
  <c r="H1770" i="5" s="1"/>
  <c r="G1770" i="5" a="1"/>
  <c r="G1770" i="5" s="1"/>
  <c r="F1770" i="5"/>
  <c r="J1769" i="5"/>
  <c r="H1769" i="5" a="1"/>
  <c r="H1769" i="5" s="1"/>
  <c r="G1769" i="5" a="1"/>
  <c r="G1769" i="5" s="1"/>
  <c r="F1769" i="5"/>
  <c r="J1768" i="5"/>
  <c r="H1768" i="5" a="1"/>
  <c r="H1768" i="5" s="1"/>
  <c r="G1768" i="5" a="1"/>
  <c r="G1768" i="5"/>
  <c r="F1768" i="5"/>
  <c r="J1767" i="5"/>
  <c r="H1767" i="5" a="1"/>
  <c r="H1767" i="5" s="1"/>
  <c r="G1767" i="5" a="1"/>
  <c r="G1767" i="5" s="1"/>
  <c r="F1767" i="5"/>
  <c r="J1766" i="5"/>
  <c r="H1766" i="5" a="1"/>
  <c r="H1766" i="5" s="1"/>
  <c r="G1766" i="5" a="1"/>
  <c r="G1766" i="5" s="1"/>
  <c r="F1766" i="5"/>
  <c r="J1765" i="5"/>
  <c r="H1765" i="5" a="1"/>
  <c r="H1765" i="5" s="1"/>
  <c r="G1765" i="5" a="1"/>
  <c r="G1765" i="5" s="1"/>
  <c r="F1765" i="5"/>
  <c r="J1764" i="5"/>
  <c r="H1764" i="5" a="1"/>
  <c r="H1764" i="5" s="1"/>
  <c r="G1764" i="5" a="1"/>
  <c r="G1764" i="5" s="1"/>
  <c r="F1764" i="5"/>
  <c r="J1763" i="5"/>
  <c r="H1763" i="5" a="1"/>
  <c r="H1763" i="5"/>
  <c r="G1763" i="5" a="1"/>
  <c r="G1763" i="5" s="1"/>
  <c r="F1763" i="5"/>
  <c r="J1762" i="5"/>
  <c r="H1762" i="5" a="1"/>
  <c r="H1762" i="5" s="1"/>
  <c r="G1762" i="5" a="1"/>
  <c r="G1762" i="5" s="1"/>
  <c r="F1762" i="5"/>
  <c r="J1761" i="5"/>
  <c r="H1761" i="5" a="1"/>
  <c r="H1761" i="5"/>
  <c r="G1761" i="5" a="1"/>
  <c r="G1761" i="5" s="1"/>
  <c r="F1761" i="5"/>
  <c r="J1760" i="5"/>
  <c r="H1760" i="5" a="1"/>
  <c r="H1760" i="5"/>
  <c r="G1760" i="5" a="1"/>
  <c r="G1760" i="5" s="1"/>
  <c r="F1760" i="5"/>
  <c r="J1759" i="5"/>
  <c r="H1759" i="5" a="1"/>
  <c r="H1759" i="5"/>
  <c r="G1759" i="5" a="1"/>
  <c r="G1759" i="5" s="1"/>
  <c r="F1759" i="5"/>
  <c r="J1758" i="5"/>
  <c r="H1758" i="5" a="1"/>
  <c r="H1758" i="5" s="1"/>
  <c r="G1758" i="5" a="1"/>
  <c r="G1758" i="5" s="1"/>
  <c r="F1758" i="5"/>
  <c r="J1757" i="5"/>
  <c r="H1757" i="5" a="1"/>
  <c r="H1757" i="5" s="1"/>
  <c r="G1757" i="5" a="1"/>
  <c r="G1757" i="5" s="1"/>
  <c r="F1757" i="5"/>
  <c r="J1756" i="5"/>
  <c r="H1756" i="5" a="1"/>
  <c r="H1756" i="5" s="1"/>
  <c r="G1756" i="5" a="1"/>
  <c r="G1756" i="5" s="1"/>
  <c r="F1756" i="5"/>
  <c r="J1755" i="5"/>
  <c r="H1755" i="5" a="1"/>
  <c r="H1755" i="5" s="1"/>
  <c r="G1755" i="5" a="1"/>
  <c r="G1755" i="5" s="1"/>
  <c r="F1755" i="5"/>
  <c r="J1754" i="5"/>
  <c r="H1754" i="5" a="1"/>
  <c r="H1754" i="5" s="1"/>
  <c r="G1754" i="5" a="1"/>
  <c r="G1754" i="5" s="1"/>
  <c r="F1754" i="5"/>
  <c r="J1753" i="5"/>
  <c r="H1753" i="5" a="1"/>
  <c r="H1753" i="5" s="1"/>
  <c r="G1753" i="5" a="1"/>
  <c r="G1753" i="5" s="1"/>
  <c r="F1753" i="5"/>
  <c r="J1752" i="5"/>
  <c r="H1752" i="5" a="1"/>
  <c r="H1752" i="5"/>
  <c r="G1752" i="5" a="1"/>
  <c r="G1752" i="5" s="1"/>
  <c r="F1752" i="5"/>
  <c r="J1751" i="5"/>
  <c r="H1751" i="5" a="1"/>
  <c r="H1751" i="5" s="1"/>
  <c r="G1751" i="5" a="1"/>
  <c r="G1751" i="5" s="1"/>
  <c r="F1751" i="5"/>
  <c r="J1750" i="5"/>
  <c r="H1750" i="5" a="1"/>
  <c r="H1750" i="5" s="1"/>
  <c r="G1750" i="5" a="1"/>
  <c r="G1750" i="5" s="1"/>
  <c r="F1750" i="5"/>
  <c r="J1749" i="5"/>
  <c r="H1749" i="5" a="1"/>
  <c r="H1749" i="5"/>
  <c r="G1749" i="5" a="1"/>
  <c r="G1749" i="5" s="1"/>
  <c r="F1749" i="5"/>
  <c r="J1748" i="5"/>
  <c r="H1748" i="5" a="1"/>
  <c r="H1748" i="5" s="1"/>
  <c r="G1748" i="5" a="1"/>
  <c r="G1748" i="5" s="1"/>
  <c r="F1748" i="5"/>
  <c r="J1747" i="5"/>
  <c r="H1747" i="5" a="1"/>
  <c r="H1747" i="5"/>
  <c r="G1747" i="5" a="1"/>
  <c r="G1747" i="5" s="1"/>
  <c r="F1747" i="5"/>
  <c r="J1746" i="5"/>
  <c r="H1746" i="5" a="1"/>
  <c r="H1746" i="5"/>
  <c r="G1746" i="5" a="1"/>
  <c r="G1746" i="5" s="1"/>
  <c r="F1746" i="5"/>
  <c r="J1745" i="5"/>
  <c r="H1745" i="5" a="1"/>
  <c r="H1745" i="5"/>
  <c r="G1745" i="5" a="1"/>
  <c r="G1745" i="5" s="1"/>
  <c r="F1745" i="5"/>
  <c r="J1744" i="5"/>
  <c r="H1744" i="5" a="1"/>
  <c r="H1744" i="5" s="1"/>
  <c r="G1744" i="5" a="1"/>
  <c r="G1744" i="5" s="1"/>
  <c r="F1744" i="5"/>
  <c r="J1743" i="5"/>
  <c r="H1743" i="5" a="1"/>
  <c r="H1743" i="5"/>
  <c r="G1743" i="5" a="1"/>
  <c r="G1743" i="5" s="1"/>
  <c r="F1743" i="5"/>
  <c r="J1742" i="5"/>
  <c r="H1742" i="5" a="1"/>
  <c r="H1742" i="5"/>
  <c r="G1742" i="5" a="1"/>
  <c r="G1742" i="5" s="1"/>
  <c r="F1742" i="5"/>
  <c r="J1741" i="5"/>
  <c r="H1741" i="5" a="1"/>
  <c r="H1741" i="5" s="1"/>
  <c r="G1741" i="5" a="1"/>
  <c r="G1741" i="5" s="1"/>
  <c r="F1741" i="5"/>
  <c r="J1740" i="5"/>
  <c r="H1740" i="5" a="1"/>
  <c r="H1740" i="5" s="1"/>
  <c r="G1740" i="5" a="1"/>
  <c r="G1740" i="5" s="1"/>
  <c r="F1740" i="5"/>
  <c r="J1739" i="5"/>
  <c r="H1739" i="5" a="1"/>
  <c r="H1739" i="5" s="1"/>
  <c r="G1739" i="5" a="1"/>
  <c r="G1739" i="5" s="1"/>
  <c r="F1739" i="5"/>
  <c r="J1738" i="5"/>
  <c r="H1738" i="5" a="1"/>
  <c r="H1738" i="5" s="1"/>
  <c r="G1738" i="5" a="1"/>
  <c r="G1738" i="5" s="1"/>
  <c r="F1738" i="5"/>
  <c r="J1737" i="5"/>
  <c r="H1737" i="5" a="1"/>
  <c r="H1737" i="5" s="1"/>
  <c r="G1737" i="5" a="1"/>
  <c r="G1737" i="5" s="1"/>
  <c r="F1737" i="5"/>
  <c r="J1736" i="5"/>
  <c r="H1736" i="5" a="1"/>
  <c r="H1736" i="5" s="1"/>
  <c r="G1736" i="5" a="1"/>
  <c r="G1736" i="5" s="1"/>
  <c r="F1736" i="5"/>
  <c r="J1735" i="5"/>
  <c r="H1735" i="5" a="1"/>
  <c r="H1735" i="5" s="1"/>
  <c r="G1735" i="5" a="1"/>
  <c r="G1735" i="5" s="1"/>
  <c r="F1735" i="5"/>
  <c r="J1734" i="5"/>
  <c r="H1734" i="5" a="1"/>
  <c r="H1734" i="5" s="1"/>
  <c r="G1734" i="5" a="1"/>
  <c r="G1734" i="5" s="1"/>
  <c r="F1734" i="5"/>
  <c r="J1733" i="5"/>
  <c r="H1733" i="5" a="1"/>
  <c r="H1733" i="5" s="1"/>
  <c r="G1733" i="5" a="1"/>
  <c r="G1733" i="5" s="1"/>
  <c r="F1733" i="5"/>
  <c r="J1732" i="5"/>
  <c r="H1732" i="5" a="1"/>
  <c r="H1732" i="5" s="1"/>
  <c r="G1732" i="5" a="1"/>
  <c r="G1732" i="5" s="1"/>
  <c r="F1732" i="5"/>
  <c r="J1731" i="5"/>
  <c r="H1731" i="5" a="1"/>
  <c r="H1731" i="5" s="1"/>
  <c r="G1731" i="5" a="1"/>
  <c r="G1731" i="5" s="1"/>
  <c r="F1731" i="5"/>
  <c r="J1730" i="5"/>
  <c r="H1730" i="5" a="1"/>
  <c r="H1730" i="5" s="1"/>
  <c r="G1730" i="5" a="1"/>
  <c r="G1730" i="5" s="1"/>
  <c r="F1730" i="5"/>
  <c r="J1729" i="5"/>
  <c r="H1729" i="5" a="1"/>
  <c r="H1729" i="5" s="1"/>
  <c r="G1729" i="5" a="1"/>
  <c r="G1729" i="5" s="1"/>
  <c r="F1729" i="5"/>
  <c r="J1728" i="5"/>
  <c r="H1728" i="5" a="1"/>
  <c r="H1728" i="5" s="1"/>
  <c r="G1728" i="5" a="1"/>
  <c r="G1728" i="5" s="1"/>
  <c r="F1728" i="5"/>
  <c r="J1727" i="5"/>
  <c r="H1727" i="5" a="1"/>
  <c r="H1727" i="5" s="1"/>
  <c r="G1727" i="5" a="1"/>
  <c r="G1727" i="5" s="1"/>
  <c r="F1727" i="5"/>
  <c r="J1726" i="5"/>
  <c r="H1726" i="5" a="1"/>
  <c r="H1726" i="5" s="1"/>
  <c r="G1726" i="5" a="1"/>
  <c r="G1726" i="5" s="1"/>
  <c r="F1726" i="5"/>
  <c r="J1725" i="5"/>
  <c r="H1725" i="5" a="1"/>
  <c r="H1725" i="5" s="1"/>
  <c r="G1725" i="5" a="1"/>
  <c r="G1725" i="5" s="1"/>
  <c r="F1725" i="5"/>
  <c r="J1724" i="5"/>
  <c r="H1724" i="5" a="1"/>
  <c r="H1724" i="5" s="1"/>
  <c r="G1724" i="5" a="1"/>
  <c r="G1724" i="5" s="1"/>
  <c r="F1724" i="5"/>
  <c r="J1723" i="5"/>
  <c r="H1723" i="5" a="1"/>
  <c r="H1723" i="5" s="1"/>
  <c r="G1723" i="5" a="1"/>
  <c r="G1723" i="5" s="1"/>
  <c r="F1723" i="5"/>
  <c r="J1722" i="5"/>
  <c r="H1722" i="5" a="1"/>
  <c r="H1722" i="5" s="1"/>
  <c r="G1722" i="5" a="1"/>
  <c r="G1722" i="5" s="1"/>
  <c r="F1722" i="5"/>
  <c r="J1721" i="5"/>
  <c r="H1721" i="5" a="1"/>
  <c r="H1721" i="5" s="1"/>
  <c r="G1721" i="5" a="1"/>
  <c r="G1721" i="5" s="1"/>
  <c r="F1721" i="5"/>
  <c r="J1720" i="5"/>
  <c r="H1720" i="5" a="1"/>
  <c r="H1720" i="5" s="1"/>
  <c r="G1720" i="5" a="1"/>
  <c r="G1720" i="5"/>
  <c r="F1720" i="5"/>
  <c r="J1719" i="5"/>
  <c r="H1719" i="5" a="1"/>
  <c r="H1719" i="5" s="1"/>
  <c r="G1719" i="5" a="1"/>
  <c r="G1719" i="5" s="1"/>
  <c r="F1719" i="5"/>
  <c r="J1718" i="5"/>
  <c r="H1718" i="5" a="1"/>
  <c r="H1718" i="5" s="1"/>
  <c r="G1718" i="5" a="1"/>
  <c r="G1718" i="5" s="1"/>
  <c r="F1718" i="5"/>
  <c r="J1717" i="5"/>
  <c r="H1717" i="5" a="1"/>
  <c r="H1717" i="5" s="1"/>
  <c r="G1717" i="5" a="1"/>
  <c r="G1717" i="5" s="1"/>
  <c r="F1717" i="5"/>
  <c r="J1716" i="5"/>
  <c r="H1716" i="5" a="1"/>
  <c r="H1716" i="5" s="1"/>
  <c r="G1716" i="5" a="1"/>
  <c r="G1716" i="5" s="1"/>
  <c r="F1716" i="5"/>
  <c r="J1715" i="5"/>
  <c r="H1715" i="5" a="1"/>
  <c r="H1715" i="5" s="1"/>
  <c r="G1715" i="5" a="1"/>
  <c r="G1715" i="5" s="1"/>
  <c r="F1715" i="5"/>
  <c r="J1714" i="5"/>
  <c r="H1714" i="5" a="1"/>
  <c r="H1714" i="5" s="1"/>
  <c r="G1714" i="5" a="1"/>
  <c r="G1714" i="5" s="1"/>
  <c r="F1714" i="5"/>
  <c r="J1713" i="5"/>
  <c r="H1713" i="5" a="1"/>
  <c r="H1713" i="5" s="1"/>
  <c r="G1713" i="5" a="1"/>
  <c r="G1713" i="5" s="1"/>
  <c r="F1713" i="5"/>
  <c r="J1712" i="5"/>
  <c r="H1712" i="5" a="1"/>
  <c r="H1712" i="5" s="1"/>
  <c r="G1712" i="5" a="1"/>
  <c r="G1712" i="5" s="1"/>
  <c r="F1712" i="5"/>
  <c r="J1711" i="5"/>
  <c r="H1711" i="5" a="1"/>
  <c r="H1711" i="5" s="1"/>
  <c r="G1711" i="5" a="1"/>
  <c r="G1711" i="5" s="1"/>
  <c r="F1711" i="5"/>
  <c r="J1710" i="5"/>
  <c r="H1710" i="5" a="1"/>
  <c r="H1710" i="5" s="1"/>
  <c r="G1710" i="5" a="1"/>
  <c r="G1710" i="5" s="1"/>
  <c r="F1710" i="5"/>
  <c r="J1709" i="5"/>
  <c r="H1709" i="5" a="1"/>
  <c r="H1709" i="5" s="1"/>
  <c r="G1709" i="5" a="1"/>
  <c r="G1709" i="5" s="1"/>
  <c r="F1709" i="5"/>
  <c r="J1708" i="5"/>
  <c r="H1708" i="5" a="1"/>
  <c r="H1708" i="5" s="1"/>
  <c r="G1708" i="5" a="1"/>
  <c r="G1708" i="5" s="1"/>
  <c r="F1708" i="5"/>
  <c r="J1707" i="5"/>
  <c r="H1707" i="5" a="1"/>
  <c r="H1707" i="5" s="1"/>
  <c r="G1707" i="5" a="1"/>
  <c r="G1707" i="5" s="1"/>
  <c r="F1707" i="5"/>
  <c r="J1706" i="5"/>
  <c r="H1706" i="5" a="1"/>
  <c r="H1706" i="5" s="1"/>
  <c r="G1706" i="5" a="1"/>
  <c r="G1706" i="5" s="1"/>
  <c r="F1706" i="5"/>
  <c r="J1705" i="5"/>
  <c r="H1705" i="5" a="1"/>
  <c r="H1705" i="5" s="1"/>
  <c r="G1705" i="5" a="1"/>
  <c r="G1705" i="5" s="1"/>
  <c r="F1705" i="5"/>
  <c r="J1704" i="5"/>
  <c r="H1704" i="5" a="1"/>
  <c r="H1704" i="5" s="1"/>
  <c r="G1704" i="5" a="1"/>
  <c r="G1704" i="5" s="1"/>
  <c r="F1704" i="5"/>
  <c r="J1703" i="5"/>
  <c r="H1703" i="5" a="1"/>
  <c r="H1703" i="5" s="1"/>
  <c r="G1703" i="5" a="1"/>
  <c r="G1703" i="5" s="1"/>
  <c r="F1703" i="5"/>
  <c r="J1702" i="5"/>
  <c r="H1702" i="5" a="1"/>
  <c r="H1702" i="5" s="1"/>
  <c r="G1702" i="5" a="1"/>
  <c r="G1702" i="5" s="1"/>
  <c r="F1702" i="5"/>
  <c r="J1701" i="5"/>
  <c r="H1701" i="5" a="1"/>
  <c r="H1701" i="5"/>
  <c r="G1701" i="5" a="1"/>
  <c r="G1701" i="5"/>
  <c r="F1701" i="5"/>
  <c r="J1700" i="5"/>
  <c r="H1700" i="5" a="1"/>
  <c r="H1700" i="5"/>
  <c r="G1700" i="5" a="1"/>
  <c r="G1700" i="5"/>
  <c r="F1700" i="5"/>
  <c r="J1699" i="5"/>
  <c r="H1699" i="5" a="1"/>
  <c r="H1699" i="5"/>
  <c r="G1699" i="5" a="1"/>
  <c r="G1699" i="5"/>
  <c r="F1699" i="5"/>
  <c r="J1698" i="5"/>
  <c r="H1698" i="5" a="1"/>
  <c r="H1698" i="5"/>
  <c r="G1698" i="5" a="1"/>
  <c r="G1698" i="5"/>
  <c r="F1698" i="5"/>
  <c r="J1697" i="5"/>
  <c r="H1697" i="5" a="1"/>
  <c r="H1697" i="5"/>
  <c r="G1697" i="5" a="1"/>
  <c r="G1697" i="5"/>
  <c r="F1697" i="5"/>
  <c r="J1696" i="5"/>
  <c r="H1696" i="5" a="1"/>
  <c r="H1696" i="5"/>
  <c r="G1696" i="5" a="1"/>
  <c r="G1696" i="5"/>
  <c r="F1696" i="5"/>
  <c r="J1695" i="5"/>
  <c r="H1695" i="5" a="1"/>
  <c r="H1695" i="5"/>
  <c r="G1695" i="5" a="1"/>
  <c r="G1695" i="5"/>
  <c r="F1695" i="5"/>
  <c r="J1694" i="5"/>
  <c r="H1694" i="5" a="1"/>
  <c r="H1694" i="5"/>
  <c r="G1694" i="5" a="1"/>
  <c r="G1694" i="5"/>
  <c r="F1694" i="5"/>
  <c r="J1693" i="5"/>
  <c r="H1693" i="5" a="1"/>
  <c r="H1693" i="5"/>
  <c r="G1693" i="5" a="1"/>
  <c r="G1693" i="5"/>
  <c r="F1693" i="5"/>
  <c r="J1692" i="5"/>
  <c r="H1692" i="5" a="1"/>
  <c r="H1692" i="5"/>
  <c r="G1692" i="5" a="1"/>
  <c r="G1692" i="5"/>
  <c r="F1692" i="5"/>
  <c r="J1691" i="5"/>
  <c r="H1691" i="5" a="1"/>
  <c r="H1691" i="5"/>
  <c r="G1691" i="5" a="1"/>
  <c r="G1691" i="5"/>
  <c r="F1691" i="5"/>
  <c r="J1690" i="5"/>
  <c r="H1690" i="5" a="1"/>
  <c r="H1690" i="5"/>
  <c r="G1690" i="5" a="1"/>
  <c r="G1690" i="5"/>
  <c r="F1690" i="5"/>
  <c r="J1689" i="5"/>
  <c r="H1689" i="5" a="1"/>
  <c r="H1689" i="5"/>
  <c r="G1689" i="5" a="1"/>
  <c r="G1689" i="5"/>
  <c r="F1689" i="5"/>
  <c r="J1688" i="5"/>
  <c r="H1688" i="5" a="1"/>
  <c r="H1688" i="5"/>
  <c r="G1688" i="5" a="1"/>
  <c r="G1688" i="5"/>
  <c r="F1688" i="5"/>
  <c r="J1687" i="5"/>
  <c r="H1687" i="5" a="1"/>
  <c r="H1687" i="5"/>
  <c r="G1687" i="5" a="1"/>
  <c r="G1687" i="5"/>
  <c r="F1687" i="5"/>
  <c r="J1686" i="5"/>
  <c r="H1686" i="5" a="1"/>
  <c r="H1686" i="5"/>
  <c r="G1686" i="5" a="1"/>
  <c r="G1686" i="5"/>
  <c r="F1686" i="5"/>
  <c r="J1685" i="5"/>
  <c r="H1685" i="5" a="1"/>
  <c r="H1685" i="5"/>
  <c r="G1685" i="5" a="1"/>
  <c r="G1685" i="5"/>
  <c r="F1685" i="5"/>
  <c r="J1684" i="5"/>
  <c r="H1684" i="5" a="1"/>
  <c r="H1684" i="5"/>
  <c r="G1684" i="5" a="1"/>
  <c r="G1684" i="5"/>
  <c r="F1684" i="5"/>
  <c r="J1683" i="5"/>
  <c r="H1683" i="5" a="1"/>
  <c r="H1683" i="5"/>
  <c r="G1683" i="5" a="1"/>
  <c r="G1683" i="5"/>
  <c r="F1683" i="5"/>
  <c r="J1682" i="5"/>
  <c r="H1682" i="5" a="1"/>
  <c r="H1682" i="5"/>
  <c r="G1682" i="5" a="1"/>
  <c r="G1682" i="5"/>
  <c r="F1682" i="5"/>
  <c r="J1681" i="5"/>
  <c r="H1681" i="5" a="1"/>
  <c r="H1681" i="5"/>
  <c r="G1681" i="5" a="1"/>
  <c r="G1681" i="5"/>
  <c r="F1681" i="5"/>
  <c r="J1680" i="5"/>
  <c r="H1680" i="5" a="1"/>
  <c r="H1680" i="5"/>
  <c r="G1680" i="5" a="1"/>
  <c r="G1680" i="5"/>
  <c r="F1680" i="5"/>
  <c r="J1679" i="5"/>
  <c r="H1679" i="5" a="1"/>
  <c r="H1679" i="5"/>
  <c r="G1679" i="5" a="1"/>
  <c r="G1679" i="5"/>
  <c r="F1679" i="5"/>
  <c r="J1678" i="5"/>
  <c r="H1678" i="5" a="1"/>
  <c r="H1678" i="5"/>
  <c r="G1678" i="5" a="1"/>
  <c r="G1678" i="5"/>
  <c r="F1678" i="5"/>
  <c r="J1677" i="5"/>
  <c r="H1677" i="5" a="1"/>
  <c r="H1677" i="5"/>
  <c r="G1677" i="5" a="1"/>
  <c r="G1677" i="5"/>
  <c r="F1677" i="5"/>
  <c r="J1676" i="5"/>
  <c r="H1676" i="5" a="1"/>
  <c r="H1676" i="5"/>
  <c r="G1676" i="5" a="1"/>
  <c r="G1676" i="5"/>
  <c r="F1676" i="5"/>
  <c r="J1675" i="5"/>
  <c r="H1675" i="5" a="1"/>
  <c r="H1675" i="5"/>
  <c r="G1675" i="5" a="1"/>
  <c r="G1675" i="5"/>
  <c r="F1675" i="5"/>
  <c r="J1674" i="5"/>
  <c r="H1674" i="5" a="1"/>
  <c r="H1674" i="5"/>
  <c r="G1674" i="5" a="1"/>
  <c r="G1674" i="5"/>
  <c r="F1674" i="5"/>
  <c r="J1673" i="5"/>
  <c r="H1673" i="5" a="1"/>
  <c r="H1673" i="5"/>
  <c r="G1673" i="5" a="1"/>
  <c r="G1673" i="5"/>
  <c r="F1673" i="5"/>
  <c r="J1672" i="5"/>
  <c r="H1672" i="5" a="1"/>
  <c r="H1672" i="5"/>
  <c r="G1672" i="5" a="1"/>
  <c r="G1672" i="5"/>
  <c r="F1672" i="5"/>
  <c r="J1671" i="5"/>
  <c r="H1671" i="5" a="1"/>
  <c r="H1671" i="5"/>
  <c r="G1671" i="5" a="1"/>
  <c r="G1671" i="5"/>
  <c r="F1671" i="5"/>
  <c r="J1670" i="5"/>
  <c r="H1670" i="5" a="1"/>
  <c r="H1670" i="5"/>
  <c r="G1670" i="5" a="1"/>
  <c r="G1670" i="5"/>
  <c r="F1670" i="5"/>
  <c r="J1669" i="5"/>
  <c r="H1669" i="5" a="1"/>
  <c r="H1669" i="5"/>
  <c r="G1669" i="5" a="1"/>
  <c r="G1669" i="5"/>
  <c r="F1669" i="5"/>
  <c r="J1668" i="5"/>
  <c r="H1668" i="5" a="1"/>
  <c r="H1668" i="5"/>
  <c r="G1668" i="5" a="1"/>
  <c r="G1668" i="5"/>
  <c r="F1668" i="5"/>
  <c r="J1667" i="5"/>
  <c r="H1667" i="5" a="1"/>
  <c r="H1667" i="5"/>
  <c r="G1667" i="5" a="1"/>
  <c r="G1667" i="5"/>
  <c r="F1667" i="5"/>
  <c r="J1666" i="5"/>
  <c r="H1666" i="5" a="1"/>
  <c r="H1666" i="5"/>
  <c r="G1666" i="5" a="1"/>
  <c r="G1666" i="5"/>
  <c r="F1666" i="5"/>
  <c r="J1665" i="5"/>
  <c r="H1665" i="5" a="1"/>
  <c r="H1665" i="5"/>
  <c r="G1665" i="5" a="1"/>
  <c r="G1665" i="5"/>
  <c r="F1665" i="5"/>
  <c r="J1664" i="5"/>
  <c r="H1664" i="5" a="1"/>
  <c r="H1664" i="5"/>
  <c r="G1664" i="5" a="1"/>
  <c r="G1664" i="5"/>
  <c r="F1664" i="5"/>
  <c r="J1663" i="5"/>
  <c r="H1663" i="5" a="1"/>
  <c r="H1663" i="5"/>
  <c r="G1663" i="5" a="1"/>
  <c r="G1663" i="5"/>
  <c r="F1663" i="5"/>
  <c r="J1662" i="5"/>
  <c r="H1662" i="5" a="1"/>
  <c r="H1662" i="5"/>
  <c r="G1662" i="5" a="1"/>
  <c r="G1662" i="5"/>
  <c r="F1662" i="5"/>
  <c r="J1661" i="5"/>
  <c r="H1661" i="5" a="1"/>
  <c r="H1661" i="5"/>
  <c r="G1661" i="5" a="1"/>
  <c r="G1661" i="5"/>
  <c r="F1661" i="5"/>
  <c r="J1660" i="5"/>
  <c r="H1660" i="5" a="1"/>
  <c r="H1660" i="5"/>
  <c r="G1660" i="5" a="1"/>
  <c r="G1660" i="5"/>
  <c r="F1660" i="5"/>
  <c r="J1659" i="5"/>
  <c r="H1659" i="5" a="1"/>
  <c r="H1659" i="5"/>
  <c r="G1659" i="5" a="1"/>
  <c r="G1659" i="5"/>
  <c r="F1659" i="5"/>
  <c r="J1658" i="5"/>
  <c r="H1658" i="5" a="1"/>
  <c r="H1658" i="5"/>
  <c r="G1658" i="5" a="1"/>
  <c r="G1658" i="5"/>
  <c r="F1658" i="5"/>
  <c r="J1657" i="5"/>
  <c r="H1657" i="5" a="1"/>
  <c r="H1657" i="5"/>
  <c r="G1657" i="5" a="1"/>
  <c r="G1657" i="5"/>
  <c r="F1657" i="5"/>
  <c r="J1656" i="5"/>
  <c r="H1656" i="5" a="1"/>
  <c r="H1656" i="5"/>
  <c r="G1656" i="5" a="1"/>
  <c r="G1656" i="5"/>
  <c r="F1656" i="5"/>
  <c r="J1655" i="5"/>
  <c r="H1655" i="5" a="1"/>
  <c r="H1655" i="5"/>
  <c r="G1655" i="5" a="1"/>
  <c r="G1655" i="5"/>
  <c r="F1655" i="5"/>
  <c r="J1654" i="5"/>
  <c r="H1654" i="5" a="1"/>
  <c r="H1654" i="5"/>
  <c r="G1654" i="5" a="1"/>
  <c r="G1654" i="5"/>
  <c r="F1654" i="5"/>
  <c r="J1653" i="5"/>
  <c r="H1653" i="5" a="1"/>
  <c r="H1653" i="5"/>
  <c r="G1653" i="5" a="1"/>
  <c r="G1653" i="5"/>
  <c r="F1653" i="5"/>
  <c r="J1652" i="5"/>
  <c r="H1652" i="5" a="1"/>
  <c r="H1652" i="5"/>
  <c r="G1652" i="5" a="1"/>
  <c r="G1652" i="5"/>
  <c r="F1652" i="5"/>
  <c r="J1651" i="5"/>
  <c r="H1651" i="5" a="1"/>
  <c r="H1651" i="5"/>
  <c r="G1651" i="5" a="1"/>
  <c r="G1651" i="5"/>
  <c r="F1651" i="5"/>
  <c r="J1650" i="5"/>
  <c r="H1650" i="5" a="1"/>
  <c r="H1650" i="5"/>
  <c r="G1650" i="5" a="1"/>
  <c r="G1650" i="5"/>
  <c r="F1650" i="5"/>
  <c r="J1649" i="5"/>
  <c r="H1649" i="5" a="1"/>
  <c r="H1649" i="5"/>
  <c r="G1649" i="5" a="1"/>
  <c r="G1649" i="5"/>
  <c r="F1649" i="5"/>
  <c r="J1648" i="5"/>
  <c r="H1648" i="5" a="1"/>
  <c r="H1648" i="5"/>
  <c r="G1648" i="5" a="1"/>
  <c r="G1648" i="5"/>
  <c r="F1648" i="5"/>
  <c r="J1647" i="5"/>
  <c r="H1647" i="5" a="1"/>
  <c r="H1647" i="5"/>
  <c r="G1647" i="5" a="1"/>
  <c r="G1647" i="5"/>
  <c r="F1647" i="5"/>
  <c r="J1646" i="5"/>
  <c r="H1646" i="5" a="1"/>
  <c r="H1646" i="5"/>
  <c r="G1646" i="5" a="1"/>
  <c r="G1646" i="5"/>
  <c r="F1646" i="5"/>
  <c r="J1645" i="5"/>
  <c r="H1645" i="5" a="1"/>
  <c r="H1645" i="5"/>
  <c r="G1645" i="5" a="1"/>
  <c r="G1645" i="5"/>
  <c r="F1645" i="5"/>
  <c r="J1644" i="5"/>
  <c r="H1644" i="5" a="1"/>
  <c r="H1644" i="5"/>
  <c r="G1644" i="5" a="1"/>
  <c r="G1644" i="5"/>
  <c r="F1644" i="5"/>
  <c r="J1643" i="5"/>
  <c r="H1643" i="5" a="1"/>
  <c r="H1643" i="5"/>
  <c r="G1643" i="5" a="1"/>
  <c r="G1643" i="5"/>
  <c r="F1643" i="5"/>
  <c r="J1642" i="5"/>
  <c r="H1642" i="5" a="1"/>
  <c r="H1642" i="5"/>
  <c r="G1642" i="5" a="1"/>
  <c r="G1642" i="5"/>
  <c r="F1642" i="5"/>
  <c r="J1641" i="5"/>
  <c r="H1641" i="5" a="1"/>
  <c r="H1641" i="5"/>
  <c r="G1641" i="5" a="1"/>
  <c r="G1641" i="5"/>
  <c r="F1641" i="5"/>
  <c r="J1640" i="5"/>
  <c r="H1640" i="5" a="1"/>
  <c r="H1640" i="5"/>
  <c r="G1640" i="5" a="1"/>
  <c r="G1640" i="5"/>
  <c r="F1640" i="5"/>
  <c r="J1639" i="5"/>
  <c r="H1639" i="5" a="1"/>
  <c r="H1639" i="5"/>
  <c r="G1639" i="5" a="1"/>
  <c r="G1639" i="5"/>
  <c r="F1639" i="5"/>
  <c r="J1638" i="5"/>
  <c r="H1638" i="5" a="1"/>
  <c r="H1638" i="5"/>
  <c r="G1638" i="5" a="1"/>
  <c r="G1638" i="5"/>
  <c r="F1638" i="5"/>
  <c r="J1637" i="5"/>
  <c r="H1637" i="5" a="1"/>
  <c r="H1637" i="5"/>
  <c r="G1637" i="5" a="1"/>
  <c r="G1637" i="5"/>
  <c r="F1637" i="5"/>
  <c r="J1636" i="5"/>
  <c r="H1636" i="5" a="1"/>
  <c r="H1636" i="5"/>
  <c r="G1636" i="5" a="1"/>
  <c r="G1636" i="5"/>
  <c r="F1636" i="5"/>
  <c r="J1635" i="5"/>
  <c r="H1635" i="5" a="1"/>
  <c r="H1635" i="5"/>
  <c r="G1635" i="5" a="1"/>
  <c r="G1635" i="5"/>
  <c r="F1635" i="5"/>
  <c r="J1634" i="5"/>
  <c r="H1634" i="5" a="1"/>
  <c r="H1634" i="5"/>
  <c r="G1634" i="5" a="1"/>
  <c r="G1634" i="5"/>
  <c r="F1634" i="5"/>
  <c r="J1633" i="5"/>
  <c r="H1633" i="5" a="1"/>
  <c r="H1633" i="5"/>
  <c r="G1633" i="5" a="1"/>
  <c r="G1633" i="5"/>
  <c r="F1633" i="5"/>
  <c r="J1632" i="5"/>
  <c r="H1632" i="5" a="1"/>
  <c r="H1632" i="5"/>
  <c r="G1632" i="5" a="1"/>
  <c r="G1632" i="5"/>
  <c r="F1632" i="5"/>
  <c r="J1631" i="5"/>
  <c r="H1631" i="5" a="1"/>
  <c r="H1631" i="5"/>
  <c r="G1631" i="5" a="1"/>
  <c r="G1631" i="5"/>
  <c r="F1631" i="5"/>
  <c r="J1630" i="5"/>
  <c r="H1630" i="5" a="1"/>
  <c r="H1630" i="5"/>
  <c r="G1630" i="5" a="1"/>
  <c r="G1630" i="5"/>
  <c r="F1630" i="5"/>
  <c r="J1629" i="5"/>
  <c r="H1629" i="5" a="1"/>
  <c r="H1629" i="5"/>
  <c r="G1629" i="5" a="1"/>
  <c r="G1629" i="5"/>
  <c r="F1629" i="5"/>
  <c r="J1628" i="5"/>
  <c r="H1628" i="5" a="1"/>
  <c r="H1628" i="5"/>
  <c r="G1628" i="5" a="1"/>
  <c r="G1628" i="5"/>
  <c r="F1628" i="5"/>
  <c r="J1627" i="5"/>
  <c r="H1627" i="5" a="1"/>
  <c r="H1627" i="5"/>
  <c r="G1627" i="5" a="1"/>
  <c r="G1627" i="5"/>
  <c r="F1627" i="5"/>
  <c r="J1626" i="5"/>
  <c r="H1626" i="5" a="1"/>
  <c r="H1626" i="5"/>
  <c r="G1626" i="5" a="1"/>
  <c r="G1626" i="5"/>
  <c r="F1626" i="5"/>
  <c r="J1625" i="5"/>
  <c r="H1625" i="5" a="1"/>
  <c r="H1625" i="5"/>
  <c r="G1625" i="5" a="1"/>
  <c r="G1625" i="5"/>
  <c r="F1625" i="5"/>
  <c r="J1624" i="5"/>
  <c r="H1624" i="5" a="1"/>
  <c r="H1624" i="5"/>
  <c r="G1624" i="5" a="1"/>
  <c r="G1624" i="5"/>
  <c r="F1624" i="5"/>
  <c r="J1623" i="5"/>
  <c r="H1623" i="5" a="1"/>
  <c r="H1623" i="5"/>
  <c r="G1623" i="5" a="1"/>
  <c r="G1623" i="5"/>
  <c r="F1623" i="5"/>
  <c r="J1622" i="5"/>
  <c r="H1622" i="5" a="1"/>
  <c r="H1622" i="5"/>
  <c r="G1622" i="5" a="1"/>
  <c r="G1622" i="5"/>
  <c r="F1622" i="5"/>
  <c r="J1621" i="5"/>
  <c r="H1621" i="5" a="1"/>
  <c r="H1621" i="5"/>
  <c r="G1621" i="5" a="1"/>
  <c r="G1621" i="5"/>
  <c r="F1621" i="5"/>
  <c r="J1620" i="5"/>
  <c r="H1620" i="5" a="1"/>
  <c r="H1620" i="5"/>
  <c r="G1620" i="5" a="1"/>
  <c r="G1620" i="5"/>
  <c r="F1620" i="5"/>
  <c r="J1619" i="5"/>
  <c r="H1619" i="5" a="1"/>
  <c r="H1619" i="5"/>
  <c r="G1619" i="5" a="1"/>
  <c r="G1619" i="5"/>
  <c r="F1619" i="5"/>
  <c r="J1618" i="5"/>
  <c r="H1618" i="5" a="1"/>
  <c r="H1618" i="5"/>
  <c r="G1618" i="5" a="1"/>
  <c r="G1618" i="5"/>
  <c r="F1618" i="5"/>
  <c r="J1617" i="5"/>
  <c r="H1617" i="5" a="1"/>
  <c r="H1617" i="5"/>
  <c r="G1617" i="5" a="1"/>
  <c r="G1617" i="5"/>
  <c r="F1617" i="5"/>
  <c r="J1616" i="5"/>
  <c r="H1616" i="5" a="1"/>
  <c r="H1616" i="5"/>
  <c r="G1616" i="5" a="1"/>
  <c r="G1616" i="5"/>
  <c r="F1616" i="5"/>
  <c r="J1615" i="5"/>
  <c r="H1615" i="5" a="1"/>
  <c r="H1615" i="5"/>
  <c r="G1615" i="5" a="1"/>
  <c r="G1615" i="5"/>
  <c r="F1615" i="5"/>
  <c r="J1614" i="5"/>
  <c r="H1614" i="5" a="1"/>
  <c r="H1614" i="5"/>
  <c r="G1614" i="5" a="1"/>
  <c r="G1614" i="5"/>
  <c r="F1614" i="5"/>
  <c r="J1613" i="5"/>
  <c r="H1613" i="5" a="1"/>
  <c r="H1613" i="5"/>
  <c r="G1613" i="5" a="1"/>
  <c r="G1613" i="5"/>
  <c r="F1613" i="5"/>
  <c r="J1612" i="5"/>
  <c r="H1612" i="5" a="1"/>
  <c r="H1612" i="5"/>
  <c r="G1612" i="5" a="1"/>
  <c r="G1612" i="5"/>
  <c r="F1612" i="5"/>
  <c r="J1611" i="5"/>
  <c r="H1611" i="5" a="1"/>
  <c r="H1611" i="5"/>
  <c r="G1611" i="5" a="1"/>
  <c r="G1611" i="5"/>
  <c r="F1611" i="5"/>
  <c r="J1610" i="5"/>
  <c r="H1610" i="5" a="1"/>
  <c r="H1610" i="5"/>
  <c r="G1610" i="5" a="1"/>
  <c r="G1610" i="5"/>
  <c r="F1610" i="5"/>
  <c r="J1609" i="5"/>
  <c r="H1609" i="5" a="1"/>
  <c r="H1609" i="5"/>
  <c r="G1609" i="5" a="1"/>
  <c r="G1609" i="5"/>
  <c r="F1609" i="5"/>
  <c r="J1608" i="5"/>
  <c r="H1608" i="5" a="1"/>
  <c r="H1608" i="5"/>
  <c r="G1608" i="5" a="1"/>
  <c r="G1608" i="5"/>
  <c r="F1608" i="5"/>
  <c r="J1607" i="5"/>
  <c r="H1607" i="5" a="1"/>
  <c r="H1607" i="5"/>
  <c r="G1607" i="5" a="1"/>
  <c r="G1607" i="5"/>
  <c r="F1607" i="5"/>
  <c r="J1606" i="5"/>
  <c r="H1606" i="5" a="1"/>
  <c r="H1606" i="5"/>
  <c r="G1606" i="5" a="1"/>
  <c r="G1606" i="5"/>
  <c r="F1606" i="5"/>
  <c r="J1605" i="5"/>
  <c r="H1605" i="5" a="1"/>
  <c r="H1605" i="5"/>
  <c r="G1605" i="5" a="1"/>
  <c r="G1605" i="5"/>
  <c r="F1605" i="5"/>
  <c r="J1604" i="5"/>
  <c r="H1604" i="5" a="1"/>
  <c r="H1604" i="5"/>
  <c r="G1604" i="5" a="1"/>
  <c r="G1604" i="5"/>
  <c r="F1604" i="5"/>
  <c r="J1603" i="5"/>
  <c r="H1603" i="5" a="1"/>
  <c r="H1603" i="5"/>
  <c r="G1603" i="5" a="1"/>
  <c r="G1603" i="5"/>
  <c r="F1603" i="5"/>
  <c r="J1602" i="5"/>
  <c r="H1602" i="5" a="1"/>
  <c r="H1602" i="5"/>
  <c r="G1602" i="5" a="1"/>
  <c r="G1602" i="5"/>
  <c r="F1602" i="5"/>
  <c r="J1601" i="5"/>
  <c r="H1601" i="5" a="1"/>
  <c r="H1601" i="5"/>
  <c r="G1601" i="5" a="1"/>
  <c r="G1601" i="5"/>
  <c r="F1601" i="5"/>
  <c r="J1600" i="5"/>
  <c r="H1600" i="5" a="1"/>
  <c r="H1600" i="5"/>
  <c r="G1600" i="5" a="1"/>
  <c r="G1600" i="5"/>
  <c r="F1600" i="5"/>
  <c r="J1599" i="5"/>
  <c r="H1599" i="5" a="1"/>
  <c r="H1599" i="5"/>
  <c r="G1599" i="5" a="1"/>
  <c r="G1599" i="5"/>
  <c r="F1599" i="5"/>
  <c r="J1598" i="5"/>
  <c r="H1598" i="5" a="1"/>
  <c r="H1598" i="5"/>
  <c r="G1598" i="5" a="1"/>
  <c r="G1598" i="5"/>
  <c r="F1598" i="5"/>
  <c r="J1597" i="5"/>
  <c r="H1597" i="5" a="1"/>
  <c r="H1597" i="5"/>
  <c r="G1597" i="5" a="1"/>
  <c r="G1597" i="5"/>
  <c r="F1597" i="5"/>
  <c r="J1596" i="5"/>
  <c r="H1596" i="5" a="1"/>
  <c r="H1596" i="5"/>
  <c r="G1596" i="5" a="1"/>
  <c r="G1596" i="5"/>
  <c r="F1596" i="5"/>
  <c r="J1595" i="5"/>
  <c r="H1595" i="5" a="1"/>
  <c r="H1595" i="5"/>
  <c r="G1595" i="5" a="1"/>
  <c r="G1595" i="5"/>
  <c r="F1595" i="5"/>
  <c r="J1594" i="5"/>
  <c r="H1594" i="5" a="1"/>
  <c r="H1594" i="5"/>
  <c r="G1594" i="5" a="1"/>
  <c r="G1594" i="5"/>
  <c r="F1594" i="5"/>
  <c r="J1593" i="5"/>
  <c r="H1593" i="5" a="1"/>
  <c r="H1593" i="5"/>
  <c r="G1593" i="5" a="1"/>
  <c r="G1593" i="5"/>
  <c r="F1593" i="5"/>
  <c r="J1592" i="5"/>
  <c r="H1592" i="5" a="1"/>
  <c r="H1592" i="5"/>
  <c r="G1592" i="5" a="1"/>
  <c r="G1592" i="5"/>
  <c r="F1592" i="5"/>
  <c r="J1591" i="5"/>
  <c r="H1591" i="5" a="1"/>
  <c r="H1591" i="5"/>
  <c r="G1591" i="5" a="1"/>
  <c r="G1591" i="5"/>
  <c r="F1591" i="5"/>
  <c r="J1590" i="5"/>
  <c r="H1590" i="5" a="1"/>
  <c r="H1590" i="5"/>
  <c r="G1590" i="5" a="1"/>
  <c r="G1590" i="5"/>
  <c r="F1590" i="5"/>
  <c r="J1589" i="5"/>
  <c r="H1589" i="5" a="1"/>
  <c r="H1589" i="5"/>
  <c r="G1589" i="5" a="1"/>
  <c r="G1589" i="5"/>
  <c r="F1589" i="5"/>
  <c r="J1588" i="5"/>
  <c r="H1588" i="5" a="1"/>
  <c r="H1588" i="5"/>
  <c r="G1588" i="5" a="1"/>
  <c r="G1588" i="5"/>
  <c r="F1588" i="5"/>
  <c r="J1587" i="5"/>
  <c r="H1587" i="5" a="1"/>
  <c r="H1587" i="5"/>
  <c r="G1587" i="5" a="1"/>
  <c r="G1587" i="5"/>
  <c r="F1587" i="5"/>
  <c r="J1586" i="5"/>
  <c r="H1586" i="5" a="1"/>
  <c r="H1586" i="5"/>
  <c r="G1586" i="5" a="1"/>
  <c r="G1586" i="5"/>
  <c r="F1586" i="5"/>
  <c r="J1585" i="5"/>
  <c r="H1585" i="5" a="1"/>
  <c r="H1585" i="5"/>
  <c r="G1585" i="5" a="1"/>
  <c r="G1585" i="5"/>
  <c r="F1585" i="5"/>
  <c r="J1584" i="5"/>
  <c r="H1584" i="5" a="1"/>
  <c r="H1584" i="5"/>
  <c r="G1584" i="5" a="1"/>
  <c r="G1584" i="5"/>
  <c r="F1584" i="5"/>
  <c r="J1583" i="5"/>
  <c r="H1583" i="5" a="1"/>
  <c r="H1583" i="5"/>
  <c r="G1583" i="5" a="1"/>
  <c r="G1583" i="5"/>
  <c r="F1583" i="5"/>
  <c r="J1582" i="5"/>
  <c r="H1582" i="5" a="1"/>
  <c r="H1582" i="5"/>
  <c r="G1582" i="5" a="1"/>
  <c r="G1582" i="5"/>
  <c r="F1582" i="5"/>
  <c r="J1581" i="5"/>
  <c r="H1581" i="5" a="1"/>
  <c r="H1581" i="5"/>
  <c r="G1581" i="5" a="1"/>
  <c r="G1581" i="5"/>
  <c r="F1581" i="5"/>
  <c r="J1580" i="5"/>
  <c r="H1580" i="5" a="1"/>
  <c r="H1580" i="5"/>
  <c r="G1580" i="5" a="1"/>
  <c r="G1580" i="5"/>
  <c r="F1580" i="5"/>
  <c r="J1579" i="5"/>
  <c r="H1579" i="5" a="1"/>
  <c r="H1579" i="5"/>
  <c r="G1579" i="5" a="1"/>
  <c r="G1579" i="5"/>
  <c r="F1579" i="5"/>
  <c r="J1578" i="5"/>
  <c r="H1578" i="5" a="1"/>
  <c r="H1578" i="5"/>
  <c r="G1578" i="5" a="1"/>
  <c r="G1578" i="5"/>
  <c r="F1578" i="5"/>
  <c r="J1577" i="5"/>
  <c r="H1577" i="5" a="1"/>
  <c r="H1577" i="5"/>
  <c r="G1577" i="5" a="1"/>
  <c r="G1577" i="5"/>
  <c r="F1577" i="5"/>
  <c r="J1576" i="5"/>
  <c r="H1576" i="5" a="1"/>
  <c r="H1576" i="5"/>
  <c r="G1576" i="5" a="1"/>
  <c r="G1576" i="5"/>
  <c r="F1576" i="5"/>
  <c r="J1575" i="5"/>
  <c r="H1575" i="5" a="1"/>
  <c r="H1575" i="5"/>
  <c r="G1575" i="5" a="1"/>
  <c r="G1575" i="5"/>
  <c r="F1575" i="5"/>
  <c r="J1574" i="5"/>
  <c r="H1574" i="5" a="1"/>
  <c r="H1574" i="5"/>
  <c r="G1574" i="5" a="1"/>
  <c r="G1574" i="5"/>
  <c r="F1574" i="5"/>
  <c r="J1573" i="5"/>
  <c r="H1573" i="5" a="1"/>
  <c r="H1573" i="5"/>
  <c r="G1573" i="5" a="1"/>
  <c r="G1573" i="5"/>
  <c r="F1573" i="5"/>
  <c r="J1572" i="5"/>
  <c r="H1572" i="5" a="1"/>
  <c r="H1572" i="5"/>
  <c r="G1572" i="5" a="1"/>
  <c r="G1572" i="5"/>
  <c r="F1572" i="5"/>
  <c r="J1571" i="5"/>
  <c r="H1571" i="5" a="1"/>
  <c r="H1571" i="5"/>
  <c r="G1571" i="5" a="1"/>
  <c r="G1571" i="5"/>
  <c r="F1571" i="5"/>
  <c r="J1570" i="5"/>
  <c r="H1570" i="5" a="1"/>
  <c r="H1570" i="5"/>
  <c r="G1570" i="5" a="1"/>
  <c r="G1570" i="5"/>
  <c r="F1570" i="5"/>
  <c r="J1569" i="5"/>
  <c r="H1569" i="5" a="1"/>
  <c r="H1569" i="5"/>
  <c r="G1569" i="5" a="1"/>
  <c r="G1569" i="5"/>
  <c r="F1569" i="5"/>
  <c r="J1568" i="5"/>
  <c r="H1568" i="5" a="1"/>
  <c r="H1568" i="5"/>
  <c r="G1568" i="5" a="1"/>
  <c r="G1568" i="5"/>
  <c r="F1568" i="5"/>
  <c r="J1567" i="5"/>
  <c r="H1567" i="5" a="1"/>
  <c r="H1567" i="5"/>
  <c r="G1567" i="5" a="1"/>
  <c r="G1567" i="5"/>
  <c r="F1567" i="5"/>
  <c r="J1566" i="5"/>
  <c r="H1566" i="5" a="1"/>
  <c r="H1566" i="5"/>
  <c r="G1566" i="5" a="1"/>
  <c r="G1566" i="5"/>
  <c r="F1566" i="5"/>
  <c r="J1565" i="5"/>
  <c r="H1565" i="5" a="1"/>
  <c r="H1565" i="5"/>
  <c r="G1565" i="5" a="1"/>
  <c r="G1565" i="5"/>
  <c r="F1565" i="5"/>
  <c r="J1564" i="5"/>
  <c r="H1564" i="5" a="1"/>
  <c r="H1564" i="5"/>
  <c r="G1564" i="5" a="1"/>
  <c r="G1564" i="5"/>
  <c r="F1564" i="5"/>
  <c r="J1563" i="5"/>
  <c r="H1563" i="5" a="1"/>
  <c r="H1563" i="5"/>
  <c r="G1563" i="5" a="1"/>
  <c r="G1563" i="5"/>
  <c r="F1563" i="5"/>
  <c r="J1562" i="5"/>
  <c r="H1562" i="5" a="1"/>
  <c r="H1562" i="5"/>
  <c r="G1562" i="5" a="1"/>
  <c r="G1562" i="5"/>
  <c r="F1562" i="5"/>
  <c r="J1561" i="5"/>
  <c r="H1561" i="5" a="1"/>
  <c r="H1561" i="5"/>
  <c r="G1561" i="5" a="1"/>
  <c r="G1561" i="5"/>
  <c r="F1561" i="5"/>
  <c r="J1560" i="5"/>
  <c r="H1560" i="5" a="1"/>
  <c r="H1560" i="5"/>
  <c r="G1560" i="5" a="1"/>
  <c r="G1560" i="5"/>
  <c r="F1560" i="5"/>
  <c r="J1559" i="5"/>
  <c r="H1559" i="5" a="1"/>
  <c r="H1559" i="5"/>
  <c r="G1559" i="5" a="1"/>
  <c r="G1559" i="5"/>
  <c r="F1559" i="5"/>
  <c r="J1558" i="5"/>
  <c r="H1558" i="5" a="1"/>
  <c r="H1558" i="5"/>
  <c r="G1558" i="5" a="1"/>
  <c r="G1558" i="5"/>
  <c r="F1558" i="5"/>
  <c r="J1557" i="5"/>
  <c r="H1557" i="5" a="1"/>
  <c r="H1557" i="5"/>
  <c r="G1557" i="5" a="1"/>
  <c r="G1557" i="5"/>
  <c r="F1557" i="5"/>
  <c r="J1556" i="5"/>
  <c r="H1556" i="5" a="1"/>
  <c r="H1556" i="5"/>
  <c r="G1556" i="5" a="1"/>
  <c r="G1556" i="5"/>
  <c r="F1556" i="5"/>
  <c r="J1555" i="5"/>
  <c r="H1555" i="5" a="1"/>
  <c r="H1555" i="5"/>
  <c r="G1555" i="5" a="1"/>
  <c r="G1555" i="5"/>
  <c r="F1555" i="5"/>
  <c r="J1554" i="5"/>
  <c r="H1554" i="5" a="1"/>
  <c r="H1554" i="5"/>
  <c r="G1554" i="5" a="1"/>
  <c r="G1554" i="5"/>
  <c r="F1554" i="5"/>
  <c r="J1553" i="5"/>
  <c r="H1553" i="5" a="1"/>
  <c r="H1553" i="5"/>
  <c r="G1553" i="5" a="1"/>
  <c r="G1553" i="5"/>
  <c r="F1553" i="5"/>
  <c r="J1552" i="5"/>
  <c r="H1552" i="5" a="1"/>
  <c r="H1552" i="5"/>
  <c r="G1552" i="5" a="1"/>
  <c r="G1552" i="5"/>
  <c r="F1552" i="5"/>
  <c r="J1551" i="5"/>
  <c r="H1551" i="5" a="1"/>
  <c r="H1551" i="5"/>
  <c r="G1551" i="5" a="1"/>
  <c r="G1551" i="5"/>
  <c r="F1551" i="5"/>
  <c r="J1550" i="5"/>
  <c r="H1550" i="5" a="1"/>
  <c r="H1550" i="5"/>
  <c r="G1550" i="5" a="1"/>
  <c r="G1550" i="5"/>
  <c r="F1550" i="5"/>
  <c r="J1549" i="5"/>
  <c r="H1549" i="5" a="1"/>
  <c r="H1549" i="5"/>
  <c r="G1549" i="5" a="1"/>
  <c r="G1549" i="5"/>
  <c r="F1549" i="5"/>
  <c r="J1548" i="5"/>
  <c r="H1548" i="5" a="1"/>
  <c r="H1548" i="5"/>
  <c r="G1548" i="5" a="1"/>
  <c r="G1548" i="5"/>
  <c r="F1548" i="5"/>
  <c r="J1547" i="5"/>
  <c r="H1547" i="5" a="1"/>
  <c r="H1547" i="5"/>
  <c r="G1547" i="5" a="1"/>
  <c r="G1547" i="5"/>
  <c r="F1547" i="5"/>
  <c r="J1546" i="5"/>
  <c r="H1546" i="5" a="1"/>
  <c r="H1546" i="5"/>
  <c r="G1546" i="5" a="1"/>
  <c r="G1546" i="5"/>
  <c r="F1546" i="5"/>
  <c r="J1545" i="5"/>
  <c r="H1545" i="5" a="1"/>
  <c r="H1545" i="5"/>
  <c r="G1545" i="5" a="1"/>
  <c r="G1545" i="5"/>
  <c r="F1545" i="5"/>
  <c r="J1544" i="5"/>
  <c r="H1544" i="5" a="1"/>
  <c r="H1544" i="5"/>
  <c r="G1544" i="5" a="1"/>
  <c r="G1544" i="5"/>
  <c r="F1544" i="5"/>
  <c r="J1543" i="5"/>
  <c r="H1543" i="5" a="1"/>
  <c r="H1543" i="5"/>
  <c r="G1543" i="5" a="1"/>
  <c r="G1543" i="5"/>
  <c r="F1543" i="5"/>
  <c r="J1542" i="5"/>
  <c r="H1542" i="5" a="1"/>
  <c r="H1542" i="5"/>
  <c r="G1542" i="5" a="1"/>
  <c r="G1542" i="5"/>
  <c r="F1542" i="5"/>
  <c r="J1541" i="5"/>
  <c r="H1541" i="5" a="1"/>
  <c r="H1541" i="5"/>
  <c r="G1541" i="5" a="1"/>
  <c r="G1541" i="5"/>
  <c r="F1541" i="5"/>
  <c r="J1540" i="5"/>
  <c r="H1540" i="5" a="1"/>
  <c r="H1540" i="5"/>
  <c r="G1540" i="5" a="1"/>
  <c r="G1540" i="5"/>
  <c r="F1540" i="5"/>
  <c r="J1539" i="5"/>
  <c r="H1539" i="5" a="1"/>
  <c r="H1539" i="5"/>
  <c r="G1539" i="5" a="1"/>
  <c r="G1539" i="5"/>
  <c r="F1539" i="5"/>
  <c r="J1538" i="5"/>
  <c r="H1538" i="5" a="1"/>
  <c r="H1538" i="5"/>
  <c r="G1538" i="5" a="1"/>
  <c r="G1538" i="5"/>
  <c r="F1538" i="5"/>
  <c r="J1537" i="5"/>
  <c r="H1537" i="5" a="1"/>
  <c r="H1537" i="5"/>
  <c r="G1537" i="5" a="1"/>
  <c r="G1537" i="5"/>
  <c r="F1537" i="5"/>
  <c r="J1536" i="5"/>
  <c r="H1536" i="5" a="1"/>
  <c r="H1536" i="5"/>
  <c r="G1536" i="5" a="1"/>
  <c r="G1536" i="5"/>
  <c r="F1536" i="5"/>
  <c r="J1535" i="5"/>
  <c r="H1535" i="5" a="1"/>
  <c r="H1535" i="5"/>
  <c r="G1535" i="5" a="1"/>
  <c r="G1535" i="5"/>
  <c r="F1535" i="5"/>
  <c r="J1534" i="5"/>
  <c r="H1534" i="5" a="1"/>
  <c r="H1534" i="5"/>
  <c r="G1534" i="5" a="1"/>
  <c r="G1534" i="5"/>
  <c r="F1534" i="5"/>
  <c r="J1533" i="5"/>
  <c r="H1533" i="5" a="1"/>
  <c r="H1533" i="5"/>
  <c r="G1533" i="5" a="1"/>
  <c r="G1533" i="5"/>
  <c r="F1533" i="5"/>
  <c r="J1532" i="5"/>
  <c r="H1532" i="5" a="1"/>
  <c r="H1532" i="5"/>
  <c r="G1532" i="5" a="1"/>
  <c r="G1532" i="5"/>
  <c r="F1532" i="5"/>
  <c r="J1531" i="5"/>
  <c r="H1531" i="5" a="1"/>
  <c r="H1531" i="5"/>
  <c r="G1531" i="5" a="1"/>
  <c r="G1531" i="5"/>
  <c r="F1531" i="5"/>
  <c r="J1530" i="5"/>
  <c r="H1530" i="5" a="1"/>
  <c r="H1530" i="5"/>
  <c r="G1530" i="5" a="1"/>
  <c r="G1530" i="5"/>
  <c r="F1530" i="5"/>
  <c r="J1529" i="5"/>
  <c r="H1529" i="5" a="1"/>
  <c r="H1529" i="5"/>
  <c r="G1529" i="5" a="1"/>
  <c r="G1529" i="5"/>
  <c r="F1529" i="5"/>
  <c r="J1528" i="5"/>
  <c r="H1528" i="5" a="1"/>
  <c r="H1528" i="5"/>
  <c r="G1528" i="5" a="1"/>
  <c r="G1528" i="5"/>
  <c r="F1528" i="5"/>
  <c r="J1527" i="5"/>
  <c r="H1527" i="5" a="1"/>
  <c r="H1527" i="5"/>
  <c r="G1527" i="5" a="1"/>
  <c r="G1527" i="5"/>
  <c r="F1527" i="5"/>
  <c r="J1526" i="5"/>
  <c r="H1526" i="5" a="1"/>
  <c r="H1526" i="5"/>
  <c r="G1526" i="5" a="1"/>
  <c r="G1526" i="5"/>
  <c r="F1526" i="5"/>
  <c r="J1525" i="5"/>
  <c r="H1525" i="5" a="1"/>
  <c r="H1525" i="5"/>
  <c r="G1525" i="5" a="1"/>
  <c r="G1525" i="5"/>
  <c r="F1525" i="5"/>
  <c r="J1524" i="5"/>
  <c r="H1524" i="5" a="1"/>
  <c r="H1524" i="5"/>
  <c r="G1524" i="5" a="1"/>
  <c r="G1524" i="5"/>
  <c r="F1524" i="5"/>
  <c r="J1523" i="5"/>
  <c r="H1523" i="5" a="1"/>
  <c r="H1523" i="5"/>
  <c r="G1523" i="5" a="1"/>
  <c r="G1523" i="5"/>
  <c r="F1523" i="5"/>
  <c r="J1522" i="5"/>
  <c r="H1522" i="5" a="1"/>
  <c r="H1522" i="5"/>
  <c r="G1522" i="5" a="1"/>
  <c r="G1522" i="5"/>
  <c r="F1522" i="5"/>
  <c r="J1521" i="5"/>
  <c r="H1521" i="5" a="1"/>
  <c r="H1521" i="5"/>
  <c r="G1521" i="5" a="1"/>
  <c r="G1521" i="5"/>
  <c r="F1521" i="5"/>
  <c r="J1520" i="5"/>
  <c r="H1520" i="5" a="1"/>
  <c r="H1520" i="5"/>
  <c r="G1520" i="5" a="1"/>
  <c r="G1520" i="5"/>
  <c r="F1520" i="5"/>
  <c r="J1519" i="5"/>
  <c r="H1519" i="5" a="1"/>
  <c r="H1519" i="5"/>
  <c r="G1519" i="5" a="1"/>
  <c r="G1519" i="5"/>
  <c r="F1519" i="5"/>
  <c r="J1518" i="5"/>
  <c r="H1518" i="5" a="1"/>
  <c r="H1518" i="5"/>
  <c r="G1518" i="5" a="1"/>
  <c r="G1518" i="5"/>
  <c r="F1518" i="5"/>
  <c r="J1517" i="5"/>
  <c r="H1517" i="5" a="1"/>
  <c r="H1517" i="5"/>
  <c r="G1517" i="5" a="1"/>
  <c r="G1517" i="5"/>
  <c r="F1517" i="5"/>
  <c r="J1516" i="5"/>
  <c r="H1516" i="5" a="1"/>
  <c r="H1516" i="5"/>
  <c r="G1516" i="5" a="1"/>
  <c r="G1516" i="5"/>
  <c r="F1516" i="5"/>
  <c r="J1515" i="5"/>
  <c r="H1515" i="5" a="1"/>
  <c r="H1515" i="5"/>
  <c r="G1515" i="5" a="1"/>
  <c r="G1515" i="5"/>
  <c r="F1515" i="5"/>
  <c r="J1514" i="5"/>
  <c r="H1514" i="5" a="1"/>
  <c r="H1514" i="5"/>
  <c r="G1514" i="5" a="1"/>
  <c r="G1514" i="5"/>
  <c r="F1514" i="5"/>
  <c r="J1513" i="5"/>
  <c r="H1513" i="5" a="1"/>
  <c r="H1513" i="5"/>
  <c r="G1513" i="5" a="1"/>
  <c r="G1513" i="5"/>
  <c r="F1513" i="5"/>
  <c r="J1512" i="5"/>
  <c r="H1512" i="5" a="1"/>
  <c r="H1512" i="5"/>
  <c r="G1512" i="5" a="1"/>
  <c r="G1512" i="5"/>
  <c r="F1512" i="5"/>
  <c r="J1511" i="5"/>
  <c r="H1511" i="5" a="1"/>
  <c r="H1511" i="5"/>
  <c r="G1511" i="5" a="1"/>
  <c r="G1511" i="5"/>
  <c r="F1511" i="5"/>
  <c r="J1510" i="5"/>
  <c r="H1510" i="5" a="1"/>
  <c r="H1510" i="5"/>
  <c r="G1510" i="5" a="1"/>
  <c r="G1510" i="5"/>
  <c r="F1510" i="5"/>
  <c r="J1509" i="5"/>
  <c r="H1509" i="5" a="1"/>
  <c r="H1509" i="5"/>
  <c r="G1509" i="5" a="1"/>
  <c r="G1509" i="5"/>
  <c r="F1509" i="5"/>
  <c r="J1508" i="5"/>
  <c r="H1508" i="5" a="1"/>
  <c r="H1508" i="5"/>
  <c r="G1508" i="5" a="1"/>
  <c r="G1508" i="5"/>
  <c r="F1508" i="5"/>
  <c r="J1507" i="5"/>
  <c r="H1507" i="5" a="1"/>
  <c r="H1507" i="5"/>
  <c r="G1507" i="5" a="1"/>
  <c r="G1507" i="5"/>
  <c r="F1507" i="5"/>
  <c r="J1506" i="5"/>
  <c r="H1506" i="5" a="1"/>
  <c r="H1506" i="5"/>
  <c r="G1506" i="5" a="1"/>
  <c r="G1506" i="5"/>
  <c r="F1506" i="5"/>
  <c r="J1505" i="5"/>
  <c r="H1505" i="5" a="1"/>
  <c r="H1505" i="5"/>
  <c r="G1505" i="5" a="1"/>
  <c r="G1505" i="5"/>
  <c r="F1505" i="5"/>
  <c r="J1504" i="5"/>
  <c r="H1504" i="5" a="1"/>
  <c r="H1504" i="5"/>
  <c r="G1504" i="5" a="1"/>
  <c r="G1504" i="5"/>
  <c r="F1504" i="5"/>
  <c r="J1503" i="5"/>
  <c r="H1503" i="5" a="1"/>
  <c r="H1503" i="5"/>
  <c r="G1503" i="5" a="1"/>
  <c r="G1503" i="5"/>
  <c r="F1503" i="5"/>
  <c r="J1502" i="5"/>
  <c r="H1502" i="5" a="1"/>
  <c r="H1502" i="5"/>
  <c r="G1502" i="5" a="1"/>
  <c r="G1502" i="5"/>
  <c r="F1502" i="5"/>
  <c r="J1501" i="5"/>
  <c r="H1501" i="5" a="1"/>
  <c r="H1501" i="5"/>
  <c r="G1501" i="5" a="1"/>
  <c r="G1501" i="5"/>
  <c r="F1501" i="5"/>
  <c r="J1500" i="5"/>
  <c r="H1500" i="5" a="1"/>
  <c r="H1500" i="5"/>
  <c r="G1500" i="5" a="1"/>
  <c r="G1500" i="5"/>
  <c r="F1500" i="5"/>
  <c r="J1499" i="5"/>
  <c r="H1499" i="5" a="1"/>
  <c r="H1499" i="5"/>
  <c r="G1499" i="5" a="1"/>
  <c r="G1499" i="5"/>
  <c r="F1499" i="5"/>
  <c r="J1498" i="5"/>
  <c r="H1498" i="5" a="1"/>
  <c r="H1498" i="5"/>
  <c r="G1498" i="5" a="1"/>
  <c r="G1498" i="5"/>
  <c r="F1498" i="5"/>
  <c r="J1497" i="5"/>
  <c r="H1497" i="5" a="1"/>
  <c r="H1497" i="5"/>
  <c r="G1497" i="5" a="1"/>
  <c r="G1497" i="5"/>
  <c r="F1497" i="5"/>
  <c r="J1496" i="5"/>
  <c r="H1496" i="5" a="1"/>
  <c r="H1496" i="5"/>
  <c r="G1496" i="5" a="1"/>
  <c r="G1496" i="5"/>
  <c r="F1496" i="5"/>
  <c r="J1495" i="5"/>
  <c r="H1495" i="5" a="1"/>
  <c r="H1495" i="5"/>
  <c r="G1495" i="5" a="1"/>
  <c r="G1495" i="5"/>
  <c r="F1495" i="5"/>
  <c r="J1494" i="5"/>
  <c r="H1494" i="5" a="1"/>
  <c r="H1494" i="5"/>
  <c r="G1494" i="5" a="1"/>
  <c r="G1494" i="5"/>
  <c r="F1494" i="5"/>
  <c r="J1493" i="5"/>
  <c r="H1493" i="5" a="1"/>
  <c r="H1493" i="5"/>
  <c r="G1493" i="5" a="1"/>
  <c r="G1493" i="5"/>
  <c r="F1493" i="5"/>
  <c r="J1492" i="5"/>
  <c r="H1492" i="5" a="1"/>
  <c r="H1492" i="5"/>
  <c r="G1492" i="5" a="1"/>
  <c r="G1492" i="5"/>
  <c r="F1492" i="5"/>
  <c r="J1491" i="5"/>
  <c r="H1491" i="5" a="1"/>
  <c r="H1491" i="5"/>
  <c r="G1491" i="5" a="1"/>
  <c r="G1491" i="5"/>
  <c r="F1491" i="5"/>
  <c r="J1490" i="5"/>
  <c r="H1490" i="5" a="1"/>
  <c r="H1490" i="5"/>
  <c r="G1490" i="5" a="1"/>
  <c r="G1490" i="5"/>
  <c r="F1490" i="5"/>
  <c r="J1489" i="5"/>
  <c r="H1489" i="5" a="1"/>
  <c r="H1489" i="5"/>
  <c r="G1489" i="5" a="1"/>
  <c r="G1489" i="5"/>
  <c r="F1489" i="5"/>
  <c r="J1488" i="5"/>
  <c r="H1488" i="5" a="1"/>
  <c r="H1488" i="5"/>
  <c r="G1488" i="5" a="1"/>
  <c r="G1488" i="5"/>
  <c r="F1488" i="5"/>
  <c r="J1487" i="5"/>
  <c r="H1487" i="5" a="1"/>
  <c r="H1487" i="5"/>
  <c r="G1487" i="5" a="1"/>
  <c r="G1487" i="5"/>
  <c r="F1487" i="5"/>
  <c r="J1486" i="5"/>
  <c r="H1486" i="5" a="1"/>
  <c r="H1486" i="5"/>
  <c r="G1486" i="5" a="1"/>
  <c r="G1486" i="5"/>
  <c r="F1486" i="5"/>
  <c r="J1485" i="5"/>
  <c r="H1485" i="5" a="1"/>
  <c r="H1485" i="5"/>
  <c r="G1485" i="5" a="1"/>
  <c r="G1485" i="5"/>
  <c r="F1485" i="5"/>
  <c r="J1484" i="5"/>
  <c r="H1484" i="5" a="1"/>
  <c r="H1484" i="5"/>
  <c r="G1484" i="5" a="1"/>
  <c r="G1484" i="5"/>
  <c r="F1484" i="5"/>
  <c r="J1483" i="5"/>
  <c r="H1483" i="5" a="1"/>
  <c r="H1483" i="5"/>
  <c r="G1483" i="5" a="1"/>
  <c r="G1483" i="5"/>
  <c r="F1483" i="5"/>
  <c r="J1482" i="5"/>
  <c r="H1482" i="5" a="1"/>
  <c r="H1482" i="5"/>
  <c r="G1482" i="5" a="1"/>
  <c r="G1482" i="5"/>
  <c r="F1482" i="5"/>
  <c r="J1481" i="5"/>
  <c r="H1481" i="5" a="1"/>
  <c r="H1481" i="5"/>
  <c r="G1481" i="5" a="1"/>
  <c r="G1481" i="5"/>
  <c r="F1481" i="5"/>
  <c r="J1480" i="5"/>
  <c r="H1480" i="5" a="1"/>
  <c r="H1480" i="5"/>
  <c r="G1480" i="5" a="1"/>
  <c r="G1480" i="5"/>
  <c r="F1480" i="5"/>
  <c r="J1479" i="5"/>
  <c r="H1479" i="5" a="1"/>
  <c r="H1479" i="5"/>
  <c r="G1479" i="5" a="1"/>
  <c r="G1479" i="5"/>
  <c r="F1479" i="5"/>
  <c r="J1478" i="5"/>
  <c r="H1478" i="5" a="1"/>
  <c r="H1478" i="5"/>
  <c r="G1478" i="5" a="1"/>
  <c r="G1478" i="5"/>
  <c r="F1478" i="5"/>
  <c r="J1477" i="5"/>
  <c r="H1477" i="5" a="1"/>
  <c r="H1477" i="5"/>
  <c r="G1477" i="5" a="1"/>
  <c r="G1477" i="5"/>
  <c r="F1477" i="5"/>
  <c r="J1476" i="5"/>
  <c r="H1476" i="5" a="1"/>
  <c r="H1476" i="5"/>
  <c r="G1476" i="5" a="1"/>
  <c r="G1476" i="5"/>
  <c r="F1476" i="5"/>
  <c r="J1475" i="5"/>
  <c r="H1475" i="5" a="1"/>
  <c r="H1475" i="5"/>
  <c r="G1475" i="5" a="1"/>
  <c r="G1475" i="5"/>
  <c r="F1475" i="5"/>
  <c r="J1474" i="5"/>
  <c r="H1474" i="5" a="1"/>
  <c r="H1474" i="5"/>
  <c r="G1474" i="5" a="1"/>
  <c r="G1474" i="5"/>
  <c r="F1474" i="5"/>
  <c r="J1473" i="5"/>
  <c r="H1473" i="5" a="1"/>
  <c r="H1473" i="5"/>
  <c r="G1473" i="5" a="1"/>
  <c r="G1473" i="5"/>
  <c r="F1473" i="5"/>
  <c r="J1472" i="5"/>
  <c r="H1472" i="5" a="1"/>
  <c r="H1472" i="5"/>
  <c r="G1472" i="5" a="1"/>
  <c r="G1472" i="5"/>
  <c r="F1472" i="5"/>
  <c r="J1471" i="5"/>
  <c r="H1471" i="5" a="1"/>
  <c r="H1471" i="5"/>
  <c r="G1471" i="5" a="1"/>
  <c r="G1471" i="5"/>
  <c r="F1471" i="5"/>
  <c r="J1470" i="5"/>
  <c r="H1470" i="5" a="1"/>
  <c r="H1470" i="5"/>
  <c r="G1470" i="5" a="1"/>
  <c r="G1470" i="5"/>
  <c r="F1470" i="5"/>
  <c r="J1469" i="5"/>
  <c r="H1469" i="5" a="1"/>
  <c r="H1469" i="5"/>
  <c r="G1469" i="5" a="1"/>
  <c r="G1469" i="5"/>
  <c r="F1469" i="5"/>
  <c r="J1468" i="5"/>
  <c r="H1468" i="5" a="1"/>
  <c r="H1468" i="5"/>
  <c r="G1468" i="5" a="1"/>
  <c r="G1468" i="5"/>
  <c r="F1468" i="5"/>
  <c r="J1467" i="5"/>
  <c r="H1467" i="5" a="1"/>
  <c r="H1467" i="5"/>
  <c r="G1467" i="5" a="1"/>
  <c r="G1467" i="5"/>
  <c r="F1467" i="5"/>
  <c r="J1466" i="5"/>
  <c r="H1466" i="5" a="1"/>
  <c r="H1466" i="5"/>
  <c r="G1466" i="5" a="1"/>
  <c r="G1466" i="5"/>
  <c r="F1466" i="5"/>
  <c r="J1465" i="5"/>
  <c r="H1465" i="5" a="1"/>
  <c r="H1465" i="5"/>
  <c r="G1465" i="5" a="1"/>
  <c r="G1465" i="5"/>
  <c r="F1465" i="5"/>
  <c r="J1464" i="5"/>
  <c r="H1464" i="5" a="1"/>
  <c r="H1464" i="5"/>
  <c r="G1464" i="5" a="1"/>
  <c r="G1464" i="5"/>
  <c r="F1464" i="5"/>
  <c r="J1463" i="5"/>
  <c r="H1463" i="5" a="1"/>
  <c r="H1463" i="5"/>
  <c r="G1463" i="5" a="1"/>
  <c r="G1463" i="5"/>
  <c r="F1463" i="5"/>
  <c r="J1462" i="5"/>
  <c r="H1462" i="5" a="1"/>
  <c r="H1462" i="5"/>
  <c r="G1462" i="5" a="1"/>
  <c r="G1462" i="5"/>
  <c r="F1462" i="5"/>
  <c r="J1461" i="5"/>
  <c r="H1461" i="5" a="1"/>
  <c r="H1461" i="5"/>
  <c r="G1461" i="5" a="1"/>
  <c r="G1461" i="5"/>
  <c r="F1461" i="5"/>
  <c r="J1460" i="5"/>
  <c r="H1460" i="5" a="1"/>
  <c r="H1460" i="5"/>
  <c r="G1460" i="5" a="1"/>
  <c r="G1460" i="5"/>
  <c r="F1460" i="5"/>
  <c r="J1459" i="5"/>
  <c r="H1459" i="5" a="1"/>
  <c r="H1459" i="5"/>
  <c r="G1459" i="5" a="1"/>
  <c r="G1459" i="5"/>
  <c r="F1459" i="5"/>
  <c r="J1458" i="5"/>
  <c r="H1458" i="5" a="1"/>
  <c r="H1458" i="5"/>
  <c r="G1458" i="5" a="1"/>
  <c r="G1458" i="5"/>
  <c r="F1458" i="5"/>
  <c r="J1457" i="5"/>
  <c r="H1457" i="5" a="1"/>
  <c r="H1457" i="5"/>
  <c r="G1457" i="5" a="1"/>
  <c r="G1457" i="5"/>
  <c r="F1457" i="5"/>
  <c r="J1456" i="5"/>
  <c r="H1456" i="5" a="1"/>
  <c r="H1456" i="5"/>
  <c r="G1456" i="5" a="1"/>
  <c r="G1456" i="5"/>
  <c r="F1456" i="5"/>
  <c r="J1455" i="5"/>
  <c r="H1455" i="5" a="1"/>
  <c r="H1455" i="5"/>
  <c r="G1455" i="5" a="1"/>
  <c r="G1455" i="5"/>
  <c r="F1455" i="5"/>
  <c r="J1454" i="5"/>
  <c r="H1454" i="5" a="1"/>
  <c r="H1454" i="5"/>
  <c r="G1454" i="5" a="1"/>
  <c r="G1454" i="5"/>
  <c r="F1454" i="5"/>
  <c r="J1453" i="5"/>
  <c r="H1453" i="5" a="1"/>
  <c r="H1453" i="5"/>
  <c r="G1453" i="5" a="1"/>
  <c r="G1453" i="5"/>
  <c r="F1453" i="5"/>
  <c r="J1452" i="5"/>
  <c r="H1452" i="5" a="1"/>
  <c r="H1452" i="5"/>
  <c r="G1452" i="5" a="1"/>
  <c r="G1452" i="5"/>
  <c r="F1452" i="5"/>
  <c r="J1451" i="5"/>
  <c r="H1451" i="5" a="1"/>
  <c r="H1451" i="5"/>
  <c r="G1451" i="5" a="1"/>
  <c r="G1451" i="5"/>
  <c r="F1451" i="5"/>
  <c r="J1450" i="5"/>
  <c r="H1450" i="5" a="1"/>
  <c r="H1450" i="5"/>
  <c r="G1450" i="5" a="1"/>
  <c r="G1450" i="5"/>
  <c r="F1450" i="5"/>
  <c r="J1449" i="5"/>
  <c r="H1449" i="5" a="1"/>
  <c r="H1449" i="5"/>
  <c r="G1449" i="5" a="1"/>
  <c r="G1449" i="5"/>
  <c r="F1449" i="5"/>
  <c r="J1448" i="5"/>
  <c r="H1448" i="5" a="1"/>
  <c r="H1448" i="5"/>
  <c r="G1448" i="5" a="1"/>
  <c r="G1448" i="5"/>
  <c r="F1448" i="5"/>
  <c r="J1447" i="5"/>
  <c r="H1447" i="5" a="1"/>
  <c r="H1447" i="5"/>
  <c r="G1447" i="5" a="1"/>
  <c r="G1447" i="5"/>
  <c r="F1447" i="5"/>
  <c r="J1446" i="5"/>
  <c r="H1446" i="5" a="1"/>
  <c r="H1446" i="5"/>
  <c r="G1446" i="5" a="1"/>
  <c r="G1446" i="5"/>
  <c r="F1446" i="5"/>
  <c r="J1445" i="5"/>
  <c r="H1445" i="5" a="1"/>
  <c r="H1445" i="5"/>
  <c r="G1445" i="5" a="1"/>
  <c r="G1445" i="5"/>
  <c r="F1445" i="5"/>
  <c r="J1444" i="5"/>
  <c r="H1444" i="5" a="1"/>
  <c r="H1444" i="5"/>
  <c r="G1444" i="5" a="1"/>
  <c r="G1444" i="5"/>
  <c r="F1444" i="5"/>
  <c r="J1443" i="5"/>
  <c r="H1443" i="5" a="1"/>
  <c r="H1443" i="5"/>
  <c r="G1443" i="5" a="1"/>
  <c r="G1443" i="5"/>
  <c r="F1443" i="5"/>
  <c r="J1442" i="5"/>
  <c r="H1442" i="5" a="1"/>
  <c r="H1442" i="5"/>
  <c r="G1442" i="5" a="1"/>
  <c r="G1442" i="5"/>
  <c r="F1442" i="5"/>
  <c r="J1441" i="5"/>
  <c r="H1441" i="5" a="1"/>
  <c r="H1441" i="5"/>
  <c r="G1441" i="5" a="1"/>
  <c r="G1441" i="5"/>
  <c r="F1441" i="5"/>
  <c r="J1440" i="5"/>
  <c r="H1440" i="5" a="1"/>
  <c r="H1440" i="5"/>
  <c r="G1440" i="5" a="1"/>
  <c r="G1440" i="5"/>
  <c r="F1440" i="5"/>
  <c r="J1439" i="5"/>
  <c r="H1439" i="5" a="1"/>
  <c r="H1439" i="5"/>
  <c r="G1439" i="5" a="1"/>
  <c r="G1439" i="5"/>
  <c r="F1439" i="5"/>
  <c r="J1438" i="5"/>
  <c r="H1438" i="5" a="1"/>
  <c r="H1438" i="5"/>
  <c r="G1438" i="5" a="1"/>
  <c r="G1438" i="5"/>
  <c r="F1438" i="5"/>
  <c r="J1437" i="5"/>
  <c r="H1437" i="5" a="1"/>
  <c r="H1437" i="5"/>
  <c r="G1437" i="5" a="1"/>
  <c r="G1437" i="5"/>
  <c r="F1437" i="5"/>
  <c r="J1436" i="5"/>
  <c r="H1436" i="5" a="1"/>
  <c r="H1436" i="5"/>
  <c r="G1436" i="5" a="1"/>
  <c r="G1436" i="5"/>
  <c r="F1436" i="5"/>
  <c r="J1435" i="5"/>
  <c r="H1435" i="5" a="1"/>
  <c r="H1435" i="5"/>
  <c r="G1435" i="5" a="1"/>
  <c r="G1435" i="5"/>
  <c r="F1435" i="5"/>
  <c r="J1434" i="5"/>
  <c r="H1434" i="5" a="1"/>
  <c r="H1434" i="5"/>
  <c r="G1434" i="5" a="1"/>
  <c r="G1434" i="5"/>
  <c r="F1434" i="5"/>
  <c r="J1433" i="5"/>
  <c r="H1433" i="5" a="1"/>
  <c r="H1433" i="5"/>
  <c r="G1433" i="5" a="1"/>
  <c r="G1433" i="5"/>
  <c r="F1433" i="5"/>
  <c r="J1432" i="5"/>
  <c r="H1432" i="5" a="1"/>
  <c r="H1432" i="5"/>
  <c r="G1432" i="5" a="1"/>
  <c r="G1432" i="5"/>
  <c r="F1432" i="5"/>
  <c r="J1431" i="5"/>
  <c r="H1431" i="5" a="1"/>
  <c r="H1431" i="5"/>
  <c r="G1431" i="5" a="1"/>
  <c r="G1431" i="5"/>
  <c r="F1431" i="5"/>
  <c r="J1430" i="5"/>
  <c r="H1430" i="5" a="1"/>
  <c r="H1430" i="5"/>
  <c r="G1430" i="5" a="1"/>
  <c r="G1430" i="5"/>
  <c r="F1430" i="5"/>
  <c r="J1429" i="5"/>
  <c r="H1429" i="5" a="1"/>
  <c r="H1429" i="5"/>
  <c r="G1429" i="5" a="1"/>
  <c r="G1429" i="5"/>
  <c r="F1429" i="5"/>
  <c r="J1428" i="5"/>
  <c r="H1428" i="5" a="1"/>
  <c r="H1428" i="5"/>
  <c r="G1428" i="5" a="1"/>
  <c r="G1428" i="5"/>
  <c r="F1428" i="5"/>
  <c r="J1427" i="5"/>
  <c r="H1427" i="5" a="1"/>
  <c r="H1427" i="5"/>
  <c r="G1427" i="5" a="1"/>
  <c r="G1427" i="5"/>
  <c r="F1427" i="5"/>
  <c r="J1426" i="5"/>
  <c r="H1426" i="5" a="1"/>
  <c r="H1426" i="5"/>
  <c r="G1426" i="5" a="1"/>
  <c r="G1426" i="5"/>
  <c r="F1426" i="5"/>
  <c r="J1425" i="5"/>
  <c r="H1425" i="5" a="1"/>
  <c r="H1425" i="5"/>
  <c r="G1425" i="5" a="1"/>
  <c r="G1425" i="5"/>
  <c r="F1425" i="5"/>
  <c r="J1424" i="5"/>
  <c r="H1424" i="5" a="1"/>
  <c r="H1424" i="5"/>
  <c r="G1424" i="5" a="1"/>
  <c r="G1424" i="5"/>
  <c r="F1424" i="5"/>
  <c r="J1423" i="5"/>
  <c r="H1423" i="5" a="1"/>
  <c r="H1423" i="5"/>
  <c r="G1423" i="5" a="1"/>
  <c r="G1423" i="5"/>
  <c r="F1423" i="5"/>
  <c r="J1422" i="5"/>
  <c r="H1422" i="5" a="1"/>
  <c r="H1422" i="5"/>
  <c r="G1422" i="5" a="1"/>
  <c r="G1422" i="5"/>
  <c r="F1422" i="5"/>
  <c r="J1421" i="5"/>
  <c r="H1421" i="5" a="1"/>
  <c r="H1421" i="5"/>
  <c r="G1421" i="5" a="1"/>
  <c r="G1421" i="5"/>
  <c r="F1421" i="5"/>
  <c r="J1420" i="5"/>
  <c r="H1420" i="5" a="1"/>
  <c r="H1420" i="5"/>
  <c r="G1420" i="5" a="1"/>
  <c r="G1420" i="5"/>
  <c r="F1420" i="5"/>
  <c r="J1419" i="5"/>
  <c r="H1419" i="5" a="1"/>
  <c r="H1419" i="5"/>
  <c r="G1419" i="5" a="1"/>
  <c r="G1419" i="5"/>
  <c r="F1419" i="5"/>
  <c r="J1418" i="5"/>
  <c r="H1418" i="5" a="1"/>
  <c r="H1418" i="5"/>
  <c r="G1418" i="5" a="1"/>
  <c r="G1418" i="5"/>
  <c r="F1418" i="5"/>
  <c r="J1417" i="5"/>
  <c r="H1417" i="5" a="1"/>
  <c r="H1417" i="5"/>
  <c r="G1417" i="5" a="1"/>
  <c r="G1417" i="5"/>
  <c r="F1417" i="5"/>
  <c r="J1416" i="5"/>
  <c r="H1416" i="5" a="1"/>
  <c r="H1416" i="5"/>
  <c r="G1416" i="5" a="1"/>
  <c r="G1416" i="5"/>
  <c r="F1416" i="5"/>
  <c r="J1415" i="5"/>
  <c r="H1415" i="5" a="1"/>
  <c r="H1415" i="5"/>
  <c r="G1415" i="5" a="1"/>
  <c r="G1415" i="5"/>
  <c r="F1415" i="5"/>
  <c r="J1414" i="5"/>
  <c r="H1414" i="5" a="1"/>
  <c r="H1414" i="5"/>
  <c r="G1414" i="5" a="1"/>
  <c r="G1414" i="5"/>
  <c r="F1414" i="5"/>
  <c r="J1413" i="5"/>
  <c r="H1413" i="5" a="1"/>
  <c r="H1413" i="5"/>
  <c r="G1413" i="5" a="1"/>
  <c r="G1413" i="5"/>
  <c r="F1413" i="5"/>
  <c r="J1412" i="5"/>
  <c r="H1412" i="5" a="1"/>
  <c r="H1412" i="5"/>
  <c r="G1412" i="5" a="1"/>
  <c r="G1412" i="5"/>
  <c r="F1412" i="5"/>
  <c r="J1411" i="5"/>
  <c r="H1411" i="5" a="1"/>
  <c r="H1411" i="5"/>
  <c r="G1411" i="5" a="1"/>
  <c r="G1411" i="5"/>
  <c r="F1411" i="5"/>
  <c r="J1410" i="5"/>
  <c r="H1410" i="5" a="1"/>
  <c r="H1410" i="5"/>
  <c r="G1410" i="5" a="1"/>
  <c r="G1410" i="5"/>
  <c r="F1410" i="5"/>
  <c r="J1409" i="5"/>
  <c r="H1409" i="5" a="1"/>
  <c r="H1409" i="5"/>
  <c r="G1409" i="5" a="1"/>
  <c r="G1409" i="5"/>
  <c r="F1409" i="5"/>
  <c r="J1408" i="5"/>
  <c r="H1408" i="5" a="1"/>
  <c r="H1408" i="5"/>
  <c r="G1408" i="5" a="1"/>
  <c r="G1408" i="5"/>
  <c r="F1408" i="5"/>
  <c r="J1407" i="5"/>
  <c r="H1407" i="5" a="1"/>
  <c r="H1407" i="5"/>
  <c r="G1407" i="5" a="1"/>
  <c r="G1407" i="5"/>
  <c r="F1407" i="5"/>
  <c r="J1406" i="5"/>
  <c r="H1406" i="5" a="1"/>
  <c r="H1406" i="5"/>
  <c r="G1406" i="5" a="1"/>
  <c r="G1406" i="5"/>
  <c r="F1406" i="5"/>
  <c r="J1405" i="5"/>
  <c r="H1405" i="5" a="1"/>
  <c r="H1405" i="5"/>
  <c r="G1405" i="5" a="1"/>
  <c r="G1405" i="5"/>
  <c r="F1405" i="5"/>
  <c r="J1404" i="5"/>
  <c r="H1404" i="5" a="1"/>
  <c r="H1404" i="5"/>
  <c r="G1404" i="5" a="1"/>
  <c r="G1404" i="5"/>
  <c r="F1404" i="5"/>
  <c r="J1403" i="5"/>
  <c r="H1403" i="5" a="1"/>
  <c r="H1403" i="5"/>
  <c r="G1403" i="5" a="1"/>
  <c r="G1403" i="5"/>
  <c r="F1403" i="5"/>
  <c r="J1402" i="5"/>
  <c r="H1402" i="5" a="1"/>
  <c r="H1402" i="5"/>
  <c r="G1402" i="5" a="1"/>
  <c r="G1402" i="5"/>
  <c r="F1402" i="5"/>
  <c r="J1401" i="5"/>
  <c r="H1401" i="5" a="1"/>
  <c r="H1401" i="5"/>
  <c r="G1401" i="5" a="1"/>
  <c r="G1401" i="5"/>
  <c r="F1401" i="5"/>
  <c r="J1400" i="5"/>
  <c r="H1400" i="5" a="1"/>
  <c r="H1400" i="5"/>
  <c r="G1400" i="5" a="1"/>
  <c r="G1400" i="5"/>
  <c r="F1400" i="5"/>
  <c r="J1399" i="5"/>
  <c r="H1399" i="5" a="1"/>
  <c r="H1399" i="5"/>
  <c r="G1399" i="5" a="1"/>
  <c r="G1399" i="5"/>
  <c r="F1399" i="5"/>
  <c r="J1398" i="5"/>
  <c r="H1398" i="5" a="1"/>
  <c r="H1398" i="5"/>
  <c r="G1398" i="5" a="1"/>
  <c r="G1398" i="5"/>
  <c r="F1398" i="5"/>
  <c r="J1397" i="5"/>
  <c r="H1397" i="5" a="1"/>
  <c r="H1397" i="5"/>
  <c r="G1397" i="5" a="1"/>
  <c r="G1397" i="5"/>
  <c r="F1397" i="5"/>
  <c r="J1396" i="5"/>
  <c r="H1396" i="5" a="1"/>
  <c r="H1396" i="5"/>
  <c r="G1396" i="5" a="1"/>
  <c r="G1396" i="5"/>
  <c r="F1396" i="5"/>
  <c r="J1395" i="5"/>
  <c r="H1395" i="5" a="1"/>
  <c r="H1395" i="5"/>
  <c r="G1395" i="5" a="1"/>
  <c r="G1395" i="5"/>
  <c r="F1395" i="5"/>
  <c r="J1394" i="5"/>
  <c r="H1394" i="5" a="1"/>
  <c r="H1394" i="5"/>
  <c r="G1394" i="5" a="1"/>
  <c r="G1394" i="5"/>
  <c r="F1394" i="5"/>
  <c r="J1393" i="5"/>
  <c r="H1393" i="5" a="1"/>
  <c r="H1393" i="5"/>
  <c r="G1393" i="5" a="1"/>
  <c r="G1393" i="5"/>
  <c r="F1393" i="5"/>
  <c r="J1392" i="5"/>
  <c r="H1392" i="5" a="1"/>
  <c r="H1392" i="5"/>
  <c r="G1392" i="5" a="1"/>
  <c r="G1392" i="5"/>
  <c r="F1392" i="5"/>
  <c r="J1391" i="5"/>
  <c r="H1391" i="5" a="1"/>
  <c r="H1391" i="5"/>
  <c r="G1391" i="5" a="1"/>
  <c r="G1391" i="5"/>
  <c r="F1391" i="5"/>
  <c r="J1390" i="5"/>
  <c r="H1390" i="5" a="1"/>
  <c r="H1390" i="5"/>
  <c r="G1390" i="5" a="1"/>
  <c r="G1390" i="5"/>
  <c r="F1390" i="5"/>
  <c r="J1389" i="5"/>
  <c r="H1389" i="5" a="1"/>
  <c r="H1389" i="5"/>
  <c r="G1389" i="5" a="1"/>
  <c r="G1389" i="5"/>
  <c r="F1389" i="5"/>
  <c r="J1388" i="5"/>
  <c r="H1388" i="5" a="1"/>
  <c r="H1388" i="5"/>
  <c r="G1388" i="5" a="1"/>
  <c r="G1388" i="5"/>
  <c r="F1388" i="5"/>
  <c r="J1387" i="5"/>
  <c r="H1387" i="5" a="1"/>
  <c r="H1387" i="5"/>
  <c r="G1387" i="5" a="1"/>
  <c r="G1387" i="5"/>
  <c r="F1387" i="5"/>
  <c r="J1386" i="5"/>
  <c r="H1386" i="5" a="1"/>
  <c r="H1386" i="5"/>
  <c r="G1386" i="5" a="1"/>
  <c r="G1386" i="5"/>
  <c r="F1386" i="5"/>
  <c r="J1385" i="5"/>
  <c r="H1385" i="5" a="1"/>
  <c r="H1385" i="5"/>
  <c r="G1385" i="5" a="1"/>
  <c r="G1385" i="5"/>
  <c r="F1385" i="5"/>
  <c r="J1384" i="5"/>
  <c r="H1384" i="5" a="1"/>
  <c r="H1384" i="5"/>
  <c r="G1384" i="5" a="1"/>
  <c r="G1384" i="5"/>
  <c r="F1384" i="5"/>
  <c r="J1383" i="5"/>
  <c r="H1383" i="5" a="1"/>
  <c r="H1383" i="5"/>
  <c r="G1383" i="5" a="1"/>
  <c r="G1383" i="5"/>
  <c r="F1383" i="5"/>
  <c r="J1382" i="5"/>
  <c r="H1382" i="5" a="1"/>
  <c r="H1382" i="5"/>
  <c r="G1382" i="5" a="1"/>
  <c r="G1382" i="5"/>
  <c r="F1382" i="5"/>
  <c r="J1381" i="5"/>
  <c r="H1381" i="5" a="1"/>
  <c r="H1381" i="5"/>
  <c r="G1381" i="5" a="1"/>
  <c r="G1381" i="5"/>
  <c r="F1381" i="5"/>
  <c r="J1380" i="5"/>
  <c r="H1380" i="5" a="1"/>
  <c r="H1380" i="5"/>
  <c r="G1380" i="5" a="1"/>
  <c r="G1380" i="5"/>
  <c r="F1380" i="5"/>
  <c r="J1379" i="5"/>
  <c r="H1379" i="5" a="1"/>
  <c r="H1379" i="5"/>
  <c r="G1379" i="5" a="1"/>
  <c r="G1379" i="5"/>
  <c r="F1379" i="5"/>
  <c r="J1378" i="5"/>
  <c r="H1378" i="5" a="1"/>
  <c r="H1378" i="5"/>
  <c r="G1378" i="5" a="1"/>
  <c r="G1378" i="5"/>
  <c r="F1378" i="5"/>
  <c r="J1377" i="5"/>
  <c r="H1377" i="5" a="1"/>
  <c r="H1377" i="5"/>
  <c r="G1377" i="5" a="1"/>
  <c r="G1377" i="5"/>
  <c r="F1377" i="5"/>
  <c r="J1376" i="5"/>
  <c r="H1376" i="5" a="1"/>
  <c r="H1376" i="5"/>
  <c r="G1376" i="5" a="1"/>
  <c r="G1376" i="5"/>
  <c r="F1376" i="5"/>
  <c r="J1375" i="5"/>
  <c r="H1375" i="5" a="1"/>
  <c r="H1375" i="5"/>
  <c r="G1375" i="5" a="1"/>
  <c r="G1375" i="5"/>
  <c r="F1375" i="5"/>
  <c r="J1374" i="5"/>
  <c r="H1374" i="5" a="1"/>
  <c r="H1374" i="5"/>
  <c r="G1374" i="5" a="1"/>
  <c r="G1374" i="5"/>
  <c r="F1374" i="5"/>
  <c r="J1373" i="5"/>
  <c r="H1373" i="5" a="1"/>
  <c r="H1373" i="5"/>
  <c r="G1373" i="5" a="1"/>
  <c r="G1373" i="5"/>
  <c r="F1373" i="5"/>
  <c r="J1372" i="5"/>
  <c r="H1372" i="5" a="1"/>
  <c r="H1372" i="5"/>
  <c r="G1372" i="5" a="1"/>
  <c r="G1372" i="5"/>
  <c r="F1372" i="5"/>
  <c r="J1371" i="5"/>
  <c r="H1371" i="5" a="1"/>
  <c r="H1371" i="5"/>
  <c r="G1371" i="5" a="1"/>
  <c r="G1371" i="5"/>
  <c r="F1371" i="5"/>
  <c r="J1370" i="5"/>
  <c r="H1370" i="5" a="1"/>
  <c r="H1370" i="5"/>
  <c r="G1370" i="5" a="1"/>
  <c r="G1370" i="5"/>
  <c r="F1370" i="5"/>
  <c r="J1369" i="5"/>
  <c r="H1369" i="5" a="1"/>
  <c r="H1369" i="5"/>
  <c r="G1369" i="5" a="1"/>
  <c r="G1369" i="5"/>
  <c r="F1369" i="5"/>
  <c r="J1368" i="5"/>
  <c r="H1368" i="5" a="1"/>
  <c r="H1368" i="5"/>
  <c r="G1368" i="5" a="1"/>
  <c r="G1368" i="5"/>
  <c r="F1368" i="5"/>
  <c r="J1367" i="5"/>
  <c r="H1367" i="5" a="1"/>
  <c r="H1367" i="5"/>
  <c r="G1367" i="5" a="1"/>
  <c r="G1367" i="5"/>
  <c r="F1367" i="5"/>
  <c r="J1366" i="5"/>
  <c r="H1366" i="5" a="1"/>
  <c r="H1366" i="5"/>
  <c r="G1366" i="5" a="1"/>
  <c r="G1366" i="5"/>
  <c r="F1366" i="5"/>
  <c r="J1365" i="5"/>
  <c r="H1365" i="5" a="1"/>
  <c r="H1365" i="5"/>
  <c r="G1365" i="5" a="1"/>
  <c r="G1365" i="5"/>
  <c r="F1365" i="5"/>
  <c r="J1364" i="5"/>
  <c r="H1364" i="5" a="1"/>
  <c r="H1364" i="5"/>
  <c r="G1364" i="5" a="1"/>
  <c r="G1364" i="5"/>
  <c r="F1364" i="5"/>
  <c r="J1363" i="5"/>
  <c r="H1363" i="5" a="1"/>
  <c r="H1363" i="5"/>
  <c r="G1363" i="5" a="1"/>
  <c r="G1363" i="5"/>
  <c r="F1363" i="5"/>
  <c r="J1362" i="5"/>
  <c r="H1362" i="5" a="1"/>
  <c r="H1362" i="5"/>
  <c r="G1362" i="5" a="1"/>
  <c r="G1362" i="5"/>
  <c r="F1362" i="5"/>
  <c r="J1361" i="5"/>
  <c r="H1361" i="5" a="1"/>
  <c r="H1361" i="5"/>
  <c r="G1361" i="5" a="1"/>
  <c r="G1361" i="5"/>
  <c r="F1361" i="5"/>
  <c r="J1360" i="5"/>
  <c r="H1360" i="5" a="1"/>
  <c r="H1360" i="5"/>
  <c r="G1360" i="5" a="1"/>
  <c r="G1360" i="5"/>
  <c r="F1360" i="5"/>
  <c r="J1359" i="5"/>
  <c r="H1359" i="5" a="1"/>
  <c r="H1359" i="5"/>
  <c r="G1359" i="5" a="1"/>
  <c r="G1359" i="5"/>
  <c r="F1359" i="5"/>
  <c r="J1358" i="5"/>
  <c r="H1358" i="5" a="1"/>
  <c r="H1358" i="5"/>
  <c r="G1358" i="5" a="1"/>
  <c r="G1358" i="5"/>
  <c r="F1358" i="5"/>
  <c r="J1357" i="5"/>
  <c r="H1357" i="5" a="1"/>
  <c r="H1357" i="5"/>
  <c r="G1357" i="5" a="1"/>
  <c r="G1357" i="5"/>
  <c r="F1357" i="5"/>
  <c r="J1356" i="5"/>
  <c r="H1356" i="5" a="1"/>
  <c r="H1356" i="5"/>
  <c r="G1356" i="5" a="1"/>
  <c r="G1356" i="5"/>
  <c r="F1356" i="5"/>
  <c r="J1355" i="5"/>
  <c r="H1355" i="5" a="1"/>
  <c r="H1355" i="5"/>
  <c r="G1355" i="5" a="1"/>
  <c r="G1355" i="5"/>
  <c r="F1355" i="5"/>
  <c r="J1354" i="5"/>
  <c r="H1354" i="5" a="1"/>
  <c r="H1354" i="5"/>
  <c r="G1354" i="5" a="1"/>
  <c r="G1354" i="5"/>
  <c r="F1354" i="5"/>
  <c r="J1353" i="5"/>
  <c r="H1353" i="5" a="1"/>
  <c r="H1353" i="5"/>
  <c r="G1353" i="5" a="1"/>
  <c r="G1353" i="5"/>
  <c r="F1353" i="5"/>
  <c r="J1352" i="5"/>
  <c r="H1352" i="5" a="1"/>
  <c r="H1352" i="5"/>
  <c r="G1352" i="5" a="1"/>
  <c r="G1352" i="5"/>
  <c r="F1352" i="5"/>
  <c r="J1351" i="5"/>
  <c r="H1351" i="5" a="1"/>
  <c r="H1351" i="5"/>
  <c r="G1351" i="5" a="1"/>
  <c r="G1351" i="5"/>
  <c r="F1351" i="5"/>
  <c r="J1350" i="5"/>
  <c r="H1350" i="5" a="1"/>
  <c r="H1350" i="5"/>
  <c r="G1350" i="5" a="1"/>
  <c r="G1350" i="5"/>
  <c r="F1350" i="5"/>
  <c r="J1349" i="5"/>
  <c r="H1349" i="5" a="1"/>
  <c r="H1349" i="5"/>
  <c r="G1349" i="5" a="1"/>
  <c r="G1349" i="5"/>
  <c r="F1349" i="5"/>
  <c r="J1348" i="5"/>
  <c r="H1348" i="5" a="1"/>
  <c r="H1348" i="5"/>
  <c r="G1348" i="5" a="1"/>
  <c r="G1348" i="5"/>
  <c r="F1348" i="5"/>
  <c r="J1347" i="5"/>
  <c r="H1347" i="5" a="1"/>
  <c r="H1347" i="5"/>
  <c r="G1347" i="5" a="1"/>
  <c r="G1347" i="5"/>
  <c r="F1347" i="5"/>
  <c r="J1346" i="5"/>
  <c r="H1346" i="5" a="1"/>
  <c r="H1346" i="5"/>
  <c r="G1346" i="5" a="1"/>
  <c r="G1346" i="5"/>
  <c r="F1346" i="5"/>
  <c r="J1345" i="5"/>
  <c r="H1345" i="5" a="1"/>
  <c r="H1345" i="5"/>
  <c r="G1345" i="5" a="1"/>
  <c r="G1345" i="5"/>
  <c r="F1345" i="5"/>
  <c r="J1344" i="5"/>
  <c r="H1344" i="5" a="1"/>
  <c r="H1344" i="5"/>
  <c r="G1344" i="5" a="1"/>
  <c r="G1344" i="5"/>
  <c r="F1344" i="5"/>
  <c r="J1343" i="5"/>
  <c r="H1343" i="5" a="1"/>
  <c r="H1343" i="5"/>
  <c r="G1343" i="5" a="1"/>
  <c r="G1343" i="5"/>
  <c r="F1343" i="5"/>
  <c r="J1342" i="5"/>
  <c r="H1342" i="5" a="1"/>
  <c r="H1342" i="5"/>
  <c r="G1342" i="5" a="1"/>
  <c r="G1342" i="5"/>
  <c r="F1342" i="5"/>
  <c r="J1341" i="5"/>
  <c r="H1341" i="5" a="1"/>
  <c r="H1341" i="5"/>
  <c r="G1341" i="5" a="1"/>
  <c r="G1341" i="5"/>
  <c r="F1341" i="5"/>
  <c r="J1340" i="5"/>
  <c r="H1340" i="5" a="1"/>
  <c r="H1340" i="5"/>
  <c r="G1340" i="5" a="1"/>
  <c r="G1340" i="5"/>
  <c r="F1340" i="5"/>
  <c r="J1339" i="5"/>
  <c r="H1339" i="5" a="1"/>
  <c r="H1339" i="5"/>
  <c r="G1339" i="5" a="1"/>
  <c r="G1339" i="5"/>
  <c r="F1339" i="5"/>
  <c r="J1338" i="5"/>
  <c r="H1338" i="5" a="1"/>
  <c r="H1338" i="5"/>
  <c r="G1338" i="5" a="1"/>
  <c r="G1338" i="5"/>
  <c r="F1338" i="5"/>
  <c r="J1337" i="5"/>
  <c r="H1337" i="5" a="1"/>
  <c r="H1337" i="5"/>
  <c r="G1337" i="5" a="1"/>
  <c r="G1337" i="5"/>
  <c r="F1337" i="5"/>
  <c r="J1336" i="5"/>
  <c r="H1336" i="5" a="1"/>
  <c r="H1336" i="5"/>
  <c r="G1336" i="5" a="1"/>
  <c r="G1336" i="5"/>
  <c r="F1336" i="5"/>
  <c r="J1335" i="5"/>
  <c r="H1335" i="5" a="1"/>
  <c r="H1335" i="5"/>
  <c r="G1335" i="5" a="1"/>
  <c r="G1335" i="5"/>
  <c r="F1335" i="5"/>
  <c r="J1334" i="5"/>
  <c r="H1334" i="5" a="1"/>
  <c r="H1334" i="5"/>
  <c r="G1334" i="5" a="1"/>
  <c r="G1334" i="5"/>
  <c r="F1334" i="5"/>
  <c r="J1333" i="5"/>
  <c r="H1333" i="5" a="1"/>
  <c r="H1333" i="5"/>
  <c r="G1333" i="5" a="1"/>
  <c r="G1333" i="5"/>
  <c r="F1333" i="5"/>
  <c r="J1332" i="5"/>
  <c r="H1332" i="5" a="1"/>
  <c r="H1332" i="5"/>
  <c r="G1332" i="5" a="1"/>
  <c r="G1332" i="5"/>
  <c r="F1332" i="5"/>
  <c r="J1331" i="5"/>
  <c r="H1331" i="5" a="1"/>
  <c r="H1331" i="5"/>
  <c r="G1331" i="5" a="1"/>
  <c r="G1331" i="5"/>
  <c r="F1331" i="5"/>
  <c r="J1330" i="5"/>
  <c r="H1330" i="5" a="1"/>
  <c r="H1330" i="5"/>
  <c r="G1330" i="5" a="1"/>
  <c r="G1330" i="5"/>
  <c r="F1330" i="5"/>
  <c r="J1329" i="5"/>
  <c r="H1329" i="5" a="1"/>
  <c r="H1329" i="5"/>
  <c r="G1329" i="5" a="1"/>
  <c r="G1329" i="5"/>
  <c r="F1329" i="5"/>
  <c r="J1328" i="5"/>
  <c r="H1328" i="5" a="1"/>
  <c r="H1328" i="5"/>
  <c r="G1328" i="5" a="1"/>
  <c r="G1328" i="5"/>
  <c r="F1328" i="5"/>
  <c r="J1327" i="5"/>
  <c r="H1327" i="5" a="1"/>
  <c r="H1327" i="5"/>
  <c r="G1327" i="5" a="1"/>
  <c r="G1327" i="5"/>
  <c r="F1327" i="5"/>
  <c r="J1326" i="5"/>
  <c r="H1326" i="5" a="1"/>
  <c r="H1326" i="5"/>
  <c r="G1326" i="5" a="1"/>
  <c r="G1326" i="5"/>
  <c r="F1326" i="5"/>
  <c r="J1325" i="5"/>
  <c r="H1325" i="5" a="1"/>
  <c r="H1325" i="5"/>
  <c r="G1325" i="5" a="1"/>
  <c r="G1325" i="5"/>
  <c r="F1325" i="5"/>
  <c r="J1324" i="5"/>
  <c r="H1324" i="5" a="1"/>
  <c r="H1324" i="5"/>
  <c r="G1324" i="5" a="1"/>
  <c r="G1324" i="5"/>
  <c r="F1324" i="5"/>
  <c r="J1323" i="5"/>
  <c r="H1323" i="5" a="1"/>
  <c r="H1323" i="5"/>
  <c r="G1323" i="5" a="1"/>
  <c r="G1323" i="5"/>
  <c r="F1323" i="5"/>
  <c r="J1322" i="5"/>
  <c r="H1322" i="5" a="1"/>
  <c r="H1322" i="5"/>
  <c r="G1322" i="5" a="1"/>
  <c r="G1322" i="5"/>
  <c r="F1322" i="5"/>
  <c r="J1321" i="5"/>
  <c r="H1321" i="5" a="1"/>
  <c r="H1321" i="5"/>
  <c r="G1321" i="5" a="1"/>
  <c r="G1321" i="5"/>
  <c r="F1321" i="5"/>
  <c r="J1320" i="5"/>
  <c r="H1320" i="5" a="1"/>
  <c r="H1320" i="5"/>
  <c r="G1320" i="5" a="1"/>
  <c r="G1320" i="5"/>
  <c r="F1320" i="5"/>
  <c r="J1319" i="5"/>
  <c r="H1319" i="5" a="1"/>
  <c r="H1319" i="5"/>
  <c r="G1319" i="5" a="1"/>
  <c r="G1319" i="5"/>
  <c r="F1319" i="5"/>
  <c r="J1318" i="5"/>
  <c r="H1318" i="5" a="1"/>
  <c r="H1318" i="5"/>
  <c r="G1318" i="5" a="1"/>
  <c r="G1318" i="5"/>
  <c r="F1318" i="5"/>
  <c r="J1317" i="5"/>
  <c r="H1317" i="5" a="1"/>
  <c r="H1317" i="5"/>
  <c r="G1317" i="5" a="1"/>
  <c r="G1317" i="5"/>
  <c r="F1317" i="5"/>
  <c r="J1316" i="5"/>
  <c r="H1316" i="5" a="1"/>
  <c r="H1316" i="5"/>
  <c r="G1316" i="5" a="1"/>
  <c r="G1316" i="5"/>
  <c r="F1316" i="5"/>
  <c r="J1315" i="5"/>
  <c r="H1315" i="5" a="1"/>
  <c r="H1315" i="5"/>
  <c r="G1315" i="5" a="1"/>
  <c r="G1315" i="5"/>
  <c r="F1315" i="5"/>
  <c r="J1314" i="5"/>
  <c r="H1314" i="5" a="1"/>
  <c r="H1314" i="5"/>
  <c r="G1314" i="5" a="1"/>
  <c r="G1314" i="5"/>
  <c r="F1314" i="5"/>
  <c r="J1313" i="5"/>
  <c r="H1313" i="5" a="1"/>
  <c r="H1313" i="5"/>
  <c r="G1313" i="5" a="1"/>
  <c r="G1313" i="5"/>
  <c r="F1313" i="5"/>
  <c r="J1312" i="5"/>
  <c r="H1312" i="5" a="1"/>
  <c r="H1312" i="5"/>
  <c r="G1312" i="5" a="1"/>
  <c r="G1312" i="5"/>
  <c r="F1312" i="5"/>
  <c r="J1311" i="5"/>
  <c r="H1311" i="5" a="1"/>
  <c r="H1311" i="5"/>
  <c r="G1311" i="5" a="1"/>
  <c r="G1311" i="5"/>
  <c r="F1311" i="5"/>
  <c r="J1310" i="5"/>
  <c r="H1310" i="5" a="1"/>
  <c r="H1310" i="5"/>
  <c r="G1310" i="5" a="1"/>
  <c r="G1310" i="5"/>
  <c r="F1310" i="5"/>
  <c r="J1309" i="5"/>
  <c r="H1309" i="5" a="1"/>
  <c r="H1309" i="5"/>
  <c r="G1309" i="5" a="1"/>
  <c r="G1309" i="5"/>
  <c r="F1309" i="5"/>
  <c r="J1308" i="5"/>
  <c r="H1308" i="5" a="1"/>
  <c r="H1308" i="5"/>
  <c r="G1308" i="5" a="1"/>
  <c r="G1308" i="5"/>
  <c r="F1308" i="5"/>
  <c r="J1307" i="5"/>
  <c r="H1307" i="5" a="1"/>
  <c r="H1307" i="5"/>
  <c r="G1307" i="5" a="1"/>
  <c r="G1307" i="5"/>
  <c r="F1307" i="5"/>
  <c r="J1306" i="5"/>
  <c r="H1306" i="5" a="1"/>
  <c r="H1306" i="5"/>
  <c r="G1306" i="5" a="1"/>
  <c r="G1306" i="5"/>
  <c r="F1306" i="5"/>
  <c r="J1305" i="5"/>
  <c r="H1305" i="5" a="1"/>
  <c r="H1305" i="5"/>
  <c r="G1305" i="5" a="1"/>
  <c r="G1305" i="5"/>
  <c r="F1305" i="5"/>
  <c r="J1304" i="5"/>
  <c r="H1304" i="5" a="1"/>
  <c r="H1304" i="5"/>
  <c r="G1304" i="5" a="1"/>
  <c r="G1304" i="5"/>
  <c r="F1304" i="5"/>
  <c r="J1303" i="5"/>
  <c r="H1303" i="5" a="1"/>
  <c r="H1303" i="5"/>
  <c r="G1303" i="5" a="1"/>
  <c r="G1303" i="5"/>
  <c r="F1303" i="5"/>
  <c r="J1302" i="5"/>
  <c r="H1302" i="5" a="1"/>
  <c r="H1302" i="5"/>
  <c r="G1302" i="5" a="1"/>
  <c r="G1302" i="5"/>
  <c r="F1302" i="5"/>
  <c r="J1301" i="5"/>
  <c r="H1301" i="5" a="1"/>
  <c r="H1301" i="5"/>
  <c r="G1301" i="5" a="1"/>
  <c r="G1301" i="5"/>
  <c r="F1301" i="5"/>
  <c r="J1300" i="5"/>
  <c r="H1300" i="5" a="1"/>
  <c r="H1300" i="5"/>
  <c r="G1300" i="5" a="1"/>
  <c r="G1300" i="5"/>
  <c r="F1300" i="5"/>
  <c r="J1299" i="5"/>
  <c r="H1299" i="5" a="1"/>
  <c r="H1299" i="5"/>
  <c r="G1299" i="5" a="1"/>
  <c r="G1299" i="5"/>
  <c r="F1299" i="5"/>
  <c r="J1298" i="5"/>
  <c r="H1298" i="5" a="1"/>
  <c r="H1298" i="5"/>
  <c r="G1298" i="5" a="1"/>
  <c r="G1298" i="5"/>
  <c r="F1298" i="5"/>
  <c r="J1297" i="5"/>
  <c r="H1297" i="5" a="1"/>
  <c r="H1297" i="5"/>
  <c r="G1297" i="5" a="1"/>
  <c r="G1297" i="5"/>
  <c r="F1297" i="5"/>
  <c r="J1296" i="5"/>
  <c r="H1296" i="5" a="1"/>
  <c r="H1296" i="5"/>
  <c r="G1296" i="5" a="1"/>
  <c r="G1296" i="5"/>
  <c r="F1296" i="5"/>
  <c r="J1295" i="5"/>
  <c r="H1295" i="5" a="1"/>
  <c r="H1295" i="5"/>
  <c r="G1295" i="5" a="1"/>
  <c r="G1295" i="5"/>
  <c r="F1295" i="5"/>
  <c r="J1294" i="5"/>
  <c r="H1294" i="5" a="1"/>
  <c r="H1294" i="5"/>
  <c r="G1294" i="5" a="1"/>
  <c r="G1294" i="5"/>
  <c r="F1294" i="5"/>
  <c r="J1293" i="5"/>
  <c r="H1293" i="5" a="1"/>
  <c r="H1293" i="5"/>
  <c r="G1293" i="5" a="1"/>
  <c r="G1293" i="5"/>
  <c r="F1293" i="5"/>
  <c r="J1292" i="5"/>
  <c r="H1292" i="5" a="1"/>
  <c r="H1292" i="5"/>
  <c r="G1292" i="5" a="1"/>
  <c r="G1292" i="5"/>
  <c r="F1292" i="5"/>
  <c r="J1291" i="5"/>
  <c r="H1291" i="5" a="1"/>
  <c r="H1291" i="5"/>
  <c r="G1291" i="5" a="1"/>
  <c r="G1291" i="5"/>
  <c r="F1291" i="5"/>
  <c r="J1290" i="5"/>
  <c r="H1290" i="5" a="1"/>
  <c r="H1290" i="5"/>
  <c r="G1290" i="5" a="1"/>
  <c r="G1290" i="5"/>
  <c r="F1290" i="5"/>
  <c r="J1289" i="5"/>
  <c r="H1289" i="5" a="1"/>
  <c r="H1289" i="5"/>
  <c r="G1289" i="5" a="1"/>
  <c r="G1289" i="5"/>
  <c r="F1289" i="5"/>
  <c r="J1288" i="5"/>
  <c r="H1288" i="5" a="1"/>
  <c r="H1288" i="5"/>
  <c r="G1288" i="5" a="1"/>
  <c r="G1288" i="5"/>
  <c r="F1288" i="5"/>
  <c r="J1287" i="5"/>
  <c r="H1287" i="5" a="1"/>
  <c r="H1287" i="5"/>
  <c r="G1287" i="5" a="1"/>
  <c r="G1287" i="5"/>
  <c r="F1287" i="5"/>
  <c r="J1286" i="5"/>
  <c r="H1286" i="5" a="1"/>
  <c r="H1286" i="5"/>
  <c r="G1286" i="5" a="1"/>
  <c r="G1286" i="5"/>
  <c r="F1286" i="5"/>
  <c r="J1285" i="5"/>
  <c r="H1285" i="5" a="1"/>
  <c r="H1285" i="5"/>
  <c r="G1285" i="5" a="1"/>
  <c r="G1285" i="5"/>
  <c r="F1285" i="5"/>
  <c r="J1284" i="5"/>
  <c r="H1284" i="5" a="1"/>
  <c r="H1284" i="5"/>
  <c r="G1284" i="5" a="1"/>
  <c r="G1284" i="5"/>
  <c r="F1284" i="5"/>
  <c r="J1283" i="5"/>
  <c r="H1283" i="5" a="1"/>
  <c r="H1283" i="5"/>
  <c r="G1283" i="5" a="1"/>
  <c r="G1283" i="5"/>
  <c r="F1283" i="5"/>
  <c r="J1282" i="5"/>
  <c r="H1282" i="5" a="1"/>
  <c r="H1282" i="5"/>
  <c r="G1282" i="5" a="1"/>
  <c r="G1282" i="5"/>
  <c r="F1282" i="5"/>
  <c r="J1281" i="5"/>
  <c r="H1281" i="5" a="1"/>
  <c r="H1281" i="5"/>
  <c r="G1281" i="5" a="1"/>
  <c r="G1281" i="5"/>
  <c r="F1281" i="5"/>
  <c r="J1280" i="5"/>
  <c r="H1280" i="5" a="1"/>
  <c r="H1280" i="5"/>
  <c r="G1280" i="5" a="1"/>
  <c r="G1280" i="5"/>
  <c r="F1280" i="5"/>
  <c r="J1279" i="5"/>
  <c r="H1279" i="5" a="1"/>
  <c r="H1279" i="5"/>
  <c r="G1279" i="5" a="1"/>
  <c r="G1279" i="5"/>
  <c r="F1279" i="5"/>
  <c r="J1278" i="5"/>
  <c r="H1278" i="5" a="1"/>
  <c r="H1278" i="5"/>
  <c r="G1278" i="5" a="1"/>
  <c r="G1278" i="5"/>
  <c r="F1278" i="5"/>
  <c r="J1277" i="5"/>
  <c r="H1277" i="5" a="1"/>
  <c r="H1277" i="5"/>
  <c r="G1277" i="5" a="1"/>
  <c r="G1277" i="5"/>
  <c r="F1277" i="5"/>
  <c r="J1276" i="5"/>
  <c r="H1276" i="5" a="1"/>
  <c r="H1276" i="5"/>
  <c r="G1276" i="5" a="1"/>
  <c r="G1276" i="5"/>
  <c r="F1276" i="5"/>
  <c r="J1275" i="5"/>
  <c r="H1275" i="5" a="1"/>
  <c r="H1275" i="5"/>
  <c r="G1275" i="5" a="1"/>
  <c r="G1275" i="5"/>
  <c r="F1275" i="5"/>
  <c r="J1274" i="5"/>
  <c r="H1274" i="5" a="1"/>
  <c r="H1274" i="5"/>
  <c r="G1274" i="5" a="1"/>
  <c r="G1274" i="5"/>
  <c r="F1274" i="5"/>
  <c r="J1273" i="5"/>
  <c r="H1273" i="5" a="1"/>
  <c r="H1273" i="5"/>
  <c r="G1273" i="5" a="1"/>
  <c r="G1273" i="5"/>
  <c r="F1273" i="5"/>
  <c r="J1272" i="5"/>
  <c r="H1272" i="5" a="1"/>
  <c r="H1272" i="5"/>
  <c r="G1272" i="5" a="1"/>
  <c r="G1272" i="5"/>
  <c r="F1272" i="5"/>
  <c r="J1271" i="5"/>
  <c r="H1271" i="5" a="1"/>
  <c r="H1271" i="5"/>
  <c r="G1271" i="5" a="1"/>
  <c r="G1271" i="5"/>
  <c r="F1271" i="5"/>
  <c r="J1270" i="5"/>
  <c r="H1270" i="5" a="1"/>
  <c r="H1270" i="5"/>
  <c r="G1270" i="5" a="1"/>
  <c r="G1270" i="5"/>
  <c r="F1270" i="5"/>
  <c r="J1269" i="5"/>
  <c r="H1269" i="5" a="1"/>
  <c r="H1269" i="5"/>
  <c r="G1269" i="5" a="1"/>
  <c r="G1269" i="5"/>
  <c r="F1269" i="5"/>
  <c r="J1268" i="5"/>
  <c r="H1268" i="5" a="1"/>
  <c r="H1268" i="5"/>
  <c r="G1268" i="5" a="1"/>
  <c r="G1268" i="5"/>
  <c r="F1268" i="5"/>
  <c r="J1267" i="5"/>
  <c r="H1267" i="5" a="1"/>
  <c r="H1267" i="5"/>
  <c r="G1267" i="5" a="1"/>
  <c r="G1267" i="5"/>
  <c r="F1267" i="5"/>
  <c r="J1266" i="5"/>
  <c r="H1266" i="5" a="1"/>
  <c r="H1266" i="5"/>
  <c r="G1266" i="5" a="1"/>
  <c r="G1266" i="5"/>
  <c r="F1266" i="5"/>
  <c r="J1265" i="5"/>
  <c r="H1265" i="5" a="1"/>
  <c r="H1265" i="5"/>
  <c r="G1265" i="5" a="1"/>
  <c r="G1265" i="5"/>
  <c r="F1265" i="5"/>
  <c r="J1264" i="5"/>
  <c r="H1264" i="5" a="1"/>
  <c r="H1264" i="5"/>
  <c r="G1264" i="5" a="1"/>
  <c r="G1264" i="5"/>
  <c r="F1264" i="5"/>
  <c r="J1263" i="5"/>
  <c r="H1263" i="5" a="1"/>
  <c r="H1263" i="5"/>
  <c r="G1263" i="5" a="1"/>
  <c r="G1263" i="5"/>
  <c r="F1263" i="5"/>
  <c r="J1262" i="5"/>
  <c r="H1262" i="5" a="1"/>
  <c r="H1262" i="5"/>
  <c r="G1262" i="5" a="1"/>
  <c r="G1262" i="5"/>
  <c r="F1262" i="5"/>
  <c r="J1261" i="5"/>
  <c r="H1261" i="5" a="1"/>
  <c r="H1261" i="5"/>
  <c r="G1261" i="5" a="1"/>
  <c r="G1261" i="5"/>
  <c r="F1261" i="5"/>
  <c r="J1260" i="5"/>
  <c r="H1260" i="5" a="1"/>
  <c r="H1260" i="5"/>
  <c r="G1260" i="5" a="1"/>
  <c r="G1260" i="5"/>
  <c r="F1260" i="5"/>
  <c r="J1259" i="5"/>
  <c r="H1259" i="5" a="1"/>
  <c r="H1259" i="5"/>
  <c r="G1259" i="5" a="1"/>
  <c r="G1259" i="5"/>
  <c r="F1259" i="5"/>
  <c r="J1258" i="5"/>
  <c r="H1258" i="5" a="1"/>
  <c r="H1258" i="5"/>
  <c r="G1258" i="5" a="1"/>
  <c r="G1258" i="5"/>
  <c r="F1258" i="5"/>
  <c r="J1257" i="5"/>
  <c r="H1257" i="5" a="1"/>
  <c r="H1257" i="5"/>
  <c r="G1257" i="5" a="1"/>
  <c r="G1257" i="5"/>
  <c r="F1257" i="5"/>
  <c r="J1256" i="5"/>
  <c r="H1256" i="5" a="1"/>
  <c r="H1256" i="5"/>
  <c r="G1256" i="5" a="1"/>
  <c r="G1256" i="5"/>
  <c r="F1256" i="5"/>
  <c r="J1255" i="5"/>
  <c r="H1255" i="5" a="1"/>
  <c r="H1255" i="5"/>
  <c r="G1255" i="5" a="1"/>
  <c r="G1255" i="5"/>
  <c r="F1255" i="5"/>
  <c r="J1254" i="5"/>
  <c r="H1254" i="5" a="1"/>
  <c r="H1254" i="5"/>
  <c r="G1254" i="5" a="1"/>
  <c r="G1254" i="5"/>
  <c r="F1254" i="5"/>
  <c r="J1253" i="5"/>
  <c r="H1253" i="5" a="1"/>
  <c r="H1253" i="5"/>
  <c r="G1253" i="5" a="1"/>
  <c r="G1253" i="5"/>
  <c r="F1253" i="5"/>
  <c r="J1252" i="5"/>
  <c r="H1252" i="5" a="1"/>
  <c r="H1252" i="5"/>
  <c r="G1252" i="5" a="1"/>
  <c r="G1252" i="5"/>
  <c r="F1252" i="5"/>
  <c r="J1251" i="5"/>
  <c r="H1251" i="5" a="1"/>
  <c r="H1251" i="5"/>
  <c r="G1251" i="5" a="1"/>
  <c r="G1251" i="5"/>
  <c r="F1251" i="5"/>
  <c r="J1250" i="5"/>
  <c r="H1250" i="5" a="1"/>
  <c r="H1250" i="5"/>
  <c r="G1250" i="5" a="1"/>
  <c r="G1250" i="5"/>
  <c r="F1250" i="5"/>
  <c r="J1249" i="5"/>
  <c r="H1249" i="5" a="1"/>
  <c r="H1249" i="5"/>
  <c r="G1249" i="5" a="1"/>
  <c r="G1249" i="5"/>
  <c r="F1249" i="5"/>
  <c r="J1248" i="5"/>
  <c r="H1248" i="5" a="1"/>
  <c r="H1248" i="5"/>
  <c r="G1248" i="5" a="1"/>
  <c r="G1248" i="5"/>
  <c r="F1248" i="5"/>
  <c r="J1247" i="5"/>
  <c r="H1247" i="5" a="1"/>
  <c r="H1247" i="5"/>
  <c r="G1247" i="5" a="1"/>
  <c r="G1247" i="5"/>
  <c r="F1247" i="5"/>
  <c r="J1246" i="5"/>
  <c r="H1246" i="5" a="1"/>
  <c r="H1246" i="5"/>
  <c r="G1246" i="5" a="1"/>
  <c r="G1246" i="5"/>
  <c r="F1246" i="5"/>
  <c r="J1245" i="5"/>
  <c r="H1245" i="5" a="1"/>
  <c r="H1245" i="5"/>
  <c r="G1245" i="5" a="1"/>
  <c r="G1245" i="5"/>
  <c r="F1245" i="5"/>
  <c r="J1244" i="5"/>
  <c r="H1244" i="5" a="1"/>
  <c r="H1244" i="5"/>
  <c r="G1244" i="5" a="1"/>
  <c r="G1244" i="5"/>
  <c r="F1244" i="5"/>
  <c r="J1243" i="5"/>
  <c r="H1243" i="5" a="1"/>
  <c r="H1243" i="5"/>
  <c r="G1243" i="5" a="1"/>
  <c r="G1243" i="5"/>
  <c r="F1243" i="5"/>
  <c r="J1242" i="5"/>
  <c r="H1242" i="5" a="1"/>
  <c r="H1242" i="5"/>
  <c r="G1242" i="5" a="1"/>
  <c r="G1242" i="5"/>
  <c r="F1242" i="5"/>
  <c r="J1241" i="5"/>
  <c r="H1241" i="5" a="1"/>
  <c r="H1241" i="5"/>
  <c r="G1241" i="5" a="1"/>
  <c r="G1241" i="5"/>
  <c r="F1241" i="5"/>
  <c r="J1240" i="5"/>
  <c r="H1240" i="5" a="1"/>
  <c r="H1240" i="5"/>
  <c r="G1240" i="5" a="1"/>
  <c r="G1240" i="5"/>
  <c r="F1240" i="5"/>
  <c r="J1239" i="5"/>
  <c r="H1239" i="5" a="1"/>
  <c r="H1239" i="5"/>
  <c r="G1239" i="5" a="1"/>
  <c r="G1239" i="5"/>
  <c r="F1239" i="5"/>
  <c r="J1238" i="5"/>
  <c r="H1238" i="5" a="1"/>
  <c r="H1238" i="5"/>
  <c r="G1238" i="5" a="1"/>
  <c r="G1238" i="5"/>
  <c r="F1238" i="5"/>
  <c r="J1237" i="5"/>
  <c r="H1237" i="5" a="1"/>
  <c r="H1237" i="5"/>
  <c r="G1237" i="5" a="1"/>
  <c r="G1237" i="5"/>
  <c r="F1237" i="5"/>
  <c r="J1236" i="5"/>
  <c r="H1236" i="5" a="1"/>
  <c r="H1236" i="5"/>
  <c r="G1236" i="5" a="1"/>
  <c r="G1236" i="5"/>
  <c r="F1236" i="5"/>
  <c r="J1235" i="5"/>
  <c r="H1235" i="5" a="1"/>
  <c r="H1235" i="5"/>
  <c r="G1235" i="5" a="1"/>
  <c r="G1235" i="5"/>
  <c r="F1235" i="5"/>
  <c r="J1234" i="5"/>
  <c r="H1234" i="5" a="1"/>
  <c r="H1234" i="5"/>
  <c r="G1234" i="5" a="1"/>
  <c r="G1234" i="5"/>
  <c r="F1234" i="5"/>
  <c r="J1233" i="5"/>
  <c r="H1233" i="5" a="1"/>
  <c r="H1233" i="5"/>
  <c r="G1233" i="5" a="1"/>
  <c r="G1233" i="5"/>
  <c r="F1233" i="5"/>
  <c r="J1232" i="5"/>
  <c r="H1232" i="5" a="1"/>
  <c r="H1232" i="5"/>
  <c r="G1232" i="5" a="1"/>
  <c r="G1232" i="5"/>
  <c r="F1232" i="5"/>
  <c r="J1231" i="5"/>
  <c r="H1231" i="5" a="1"/>
  <c r="H1231" i="5"/>
  <c r="G1231" i="5" a="1"/>
  <c r="G1231" i="5"/>
  <c r="F1231" i="5"/>
  <c r="J1230" i="5"/>
  <c r="H1230" i="5" a="1"/>
  <c r="H1230" i="5"/>
  <c r="G1230" i="5" a="1"/>
  <c r="G1230" i="5"/>
  <c r="F1230" i="5"/>
  <c r="J1229" i="5"/>
  <c r="H1229" i="5" a="1"/>
  <c r="H1229" i="5"/>
  <c r="G1229" i="5" a="1"/>
  <c r="G1229" i="5"/>
  <c r="F1229" i="5"/>
  <c r="J1228" i="5"/>
  <c r="H1228" i="5" a="1"/>
  <c r="H1228" i="5"/>
  <c r="G1228" i="5" a="1"/>
  <c r="G1228" i="5"/>
  <c r="F1228" i="5"/>
  <c r="J1227" i="5"/>
  <c r="H1227" i="5" a="1"/>
  <c r="H1227" i="5"/>
  <c r="G1227" i="5" a="1"/>
  <c r="G1227" i="5"/>
  <c r="F1227" i="5"/>
  <c r="J1226" i="5"/>
  <c r="H1226" i="5" a="1"/>
  <c r="H1226" i="5"/>
  <c r="G1226" i="5" a="1"/>
  <c r="G1226" i="5"/>
  <c r="F1226" i="5"/>
  <c r="J1225" i="5"/>
  <c r="H1225" i="5" a="1"/>
  <c r="H1225" i="5"/>
  <c r="G1225" i="5" a="1"/>
  <c r="G1225" i="5"/>
  <c r="F1225" i="5"/>
  <c r="J1224" i="5"/>
  <c r="H1224" i="5" a="1"/>
  <c r="H1224" i="5"/>
  <c r="G1224" i="5" a="1"/>
  <c r="G1224" i="5"/>
  <c r="F1224" i="5"/>
  <c r="J1223" i="5"/>
  <c r="H1223" i="5" a="1"/>
  <c r="H1223" i="5"/>
  <c r="G1223" i="5" a="1"/>
  <c r="G1223" i="5"/>
  <c r="F1223" i="5"/>
  <c r="J1222" i="5"/>
  <c r="H1222" i="5" a="1"/>
  <c r="H1222" i="5"/>
  <c r="G1222" i="5" a="1"/>
  <c r="G1222" i="5"/>
  <c r="F1222" i="5"/>
  <c r="J1221" i="5"/>
  <c r="H1221" i="5" a="1"/>
  <c r="H1221" i="5"/>
  <c r="G1221" i="5" a="1"/>
  <c r="G1221" i="5"/>
  <c r="F1221" i="5"/>
  <c r="J1220" i="5"/>
  <c r="H1220" i="5" a="1"/>
  <c r="H1220" i="5"/>
  <c r="G1220" i="5" a="1"/>
  <c r="G1220" i="5"/>
  <c r="F1220" i="5"/>
  <c r="J1219" i="5"/>
  <c r="H1219" i="5" a="1"/>
  <c r="H1219" i="5"/>
  <c r="G1219" i="5" a="1"/>
  <c r="G1219" i="5"/>
  <c r="F1219" i="5"/>
  <c r="J1218" i="5"/>
  <c r="H1218" i="5" a="1"/>
  <c r="H1218" i="5"/>
  <c r="G1218" i="5" a="1"/>
  <c r="G1218" i="5"/>
  <c r="F1218" i="5"/>
  <c r="J1217" i="5"/>
  <c r="H1217" i="5" a="1"/>
  <c r="H1217" i="5"/>
  <c r="G1217" i="5" a="1"/>
  <c r="G1217" i="5"/>
  <c r="F1217" i="5"/>
  <c r="J1216" i="5"/>
  <c r="H1216" i="5" a="1"/>
  <c r="H1216" i="5"/>
  <c r="G1216" i="5" a="1"/>
  <c r="G1216" i="5"/>
  <c r="F1216" i="5"/>
  <c r="J1215" i="5"/>
  <c r="H1215" i="5" a="1"/>
  <c r="H1215" i="5"/>
  <c r="G1215" i="5" a="1"/>
  <c r="G1215" i="5"/>
  <c r="F1215" i="5"/>
  <c r="J1214" i="5"/>
  <c r="H1214" i="5" a="1"/>
  <c r="H1214" i="5"/>
  <c r="G1214" i="5" a="1"/>
  <c r="G1214" i="5"/>
  <c r="F1214" i="5"/>
  <c r="J1213" i="5"/>
  <c r="H1213" i="5" a="1"/>
  <c r="H1213" i="5"/>
  <c r="G1213" i="5" a="1"/>
  <c r="G1213" i="5"/>
  <c r="F1213" i="5"/>
  <c r="J1212" i="5"/>
  <c r="H1212" i="5" a="1"/>
  <c r="H1212" i="5"/>
  <c r="G1212" i="5" a="1"/>
  <c r="G1212" i="5"/>
  <c r="F1212" i="5"/>
  <c r="J1211" i="5"/>
  <c r="H1211" i="5" a="1"/>
  <c r="H1211" i="5"/>
  <c r="G1211" i="5" a="1"/>
  <c r="G1211" i="5"/>
  <c r="F1211" i="5"/>
  <c r="J1210" i="5"/>
  <c r="H1210" i="5" a="1"/>
  <c r="H1210" i="5"/>
  <c r="G1210" i="5" a="1"/>
  <c r="G1210" i="5"/>
  <c r="F1210" i="5"/>
  <c r="J1209" i="5"/>
  <c r="H1209" i="5" a="1"/>
  <c r="H1209" i="5"/>
  <c r="G1209" i="5" a="1"/>
  <c r="G1209" i="5"/>
  <c r="F1209" i="5"/>
  <c r="J1208" i="5"/>
  <c r="H1208" i="5" a="1"/>
  <c r="H1208" i="5"/>
  <c r="G1208" i="5" a="1"/>
  <c r="G1208" i="5"/>
  <c r="F1208" i="5"/>
  <c r="J1207" i="5"/>
  <c r="H1207" i="5" a="1"/>
  <c r="H1207" i="5"/>
  <c r="G1207" i="5" a="1"/>
  <c r="G1207" i="5"/>
  <c r="F1207" i="5"/>
  <c r="J1206" i="5"/>
  <c r="H1206" i="5" a="1"/>
  <c r="H1206" i="5"/>
  <c r="G1206" i="5" a="1"/>
  <c r="G1206" i="5"/>
  <c r="F1206" i="5"/>
  <c r="J1205" i="5"/>
  <c r="H1205" i="5" a="1"/>
  <c r="H1205" i="5"/>
  <c r="G1205" i="5" a="1"/>
  <c r="G1205" i="5"/>
  <c r="F1205" i="5"/>
  <c r="J1204" i="5"/>
  <c r="H1204" i="5" a="1"/>
  <c r="H1204" i="5"/>
  <c r="G1204" i="5" a="1"/>
  <c r="G1204" i="5"/>
  <c r="F1204" i="5"/>
  <c r="J1203" i="5"/>
  <c r="H1203" i="5" a="1"/>
  <c r="H1203" i="5"/>
  <c r="G1203" i="5" a="1"/>
  <c r="G1203" i="5"/>
  <c r="F1203" i="5"/>
  <c r="J1202" i="5"/>
  <c r="H1202" i="5" a="1"/>
  <c r="H1202" i="5"/>
  <c r="G1202" i="5" a="1"/>
  <c r="G1202" i="5"/>
  <c r="F1202" i="5"/>
  <c r="J1201" i="5"/>
  <c r="H1201" i="5" a="1"/>
  <c r="H1201" i="5"/>
  <c r="G1201" i="5" a="1"/>
  <c r="G1201" i="5"/>
  <c r="F1201" i="5"/>
  <c r="J1200" i="5"/>
  <c r="H1200" i="5" a="1"/>
  <c r="H1200" i="5"/>
  <c r="G1200" i="5" a="1"/>
  <c r="G1200" i="5"/>
  <c r="F1200" i="5"/>
  <c r="J1199" i="5"/>
  <c r="H1199" i="5" a="1"/>
  <c r="H1199" i="5"/>
  <c r="G1199" i="5" a="1"/>
  <c r="G1199" i="5"/>
  <c r="F1199" i="5"/>
  <c r="J1198" i="5"/>
  <c r="H1198" i="5" a="1"/>
  <c r="H1198" i="5"/>
  <c r="G1198" i="5" a="1"/>
  <c r="G1198" i="5"/>
  <c r="F1198" i="5"/>
  <c r="J1197" i="5"/>
  <c r="H1197" i="5" a="1"/>
  <c r="H1197" i="5"/>
  <c r="G1197" i="5" a="1"/>
  <c r="G1197" i="5"/>
  <c r="F1197" i="5"/>
  <c r="J1196" i="5"/>
  <c r="H1196" i="5" a="1"/>
  <c r="H1196" i="5"/>
  <c r="G1196" i="5" a="1"/>
  <c r="G1196" i="5"/>
  <c r="F1196" i="5"/>
  <c r="J1195" i="5"/>
  <c r="H1195" i="5" a="1"/>
  <c r="H1195" i="5"/>
  <c r="G1195" i="5" a="1"/>
  <c r="G1195" i="5"/>
  <c r="F1195" i="5"/>
  <c r="J1194" i="5"/>
  <c r="H1194" i="5" a="1"/>
  <c r="H1194" i="5"/>
  <c r="G1194" i="5" a="1"/>
  <c r="G1194" i="5"/>
  <c r="F1194" i="5"/>
  <c r="J1193" i="5"/>
  <c r="H1193" i="5" a="1"/>
  <c r="H1193" i="5"/>
  <c r="G1193" i="5" a="1"/>
  <c r="G1193" i="5"/>
  <c r="F1193" i="5"/>
  <c r="J1192" i="5"/>
  <c r="H1192" i="5" a="1"/>
  <c r="H1192" i="5"/>
  <c r="G1192" i="5" a="1"/>
  <c r="G1192" i="5"/>
  <c r="F1192" i="5"/>
  <c r="J1191" i="5"/>
  <c r="H1191" i="5" a="1"/>
  <c r="H1191" i="5"/>
  <c r="G1191" i="5" a="1"/>
  <c r="G1191" i="5"/>
  <c r="F1191" i="5"/>
  <c r="J1190" i="5"/>
  <c r="H1190" i="5" a="1"/>
  <c r="H1190" i="5"/>
  <c r="G1190" i="5" a="1"/>
  <c r="G1190" i="5"/>
  <c r="F1190" i="5"/>
  <c r="J1189" i="5"/>
  <c r="H1189" i="5" a="1"/>
  <c r="H1189" i="5"/>
  <c r="G1189" i="5" a="1"/>
  <c r="G1189" i="5"/>
  <c r="F1189" i="5"/>
  <c r="J1188" i="5"/>
  <c r="H1188" i="5" a="1"/>
  <c r="H1188" i="5"/>
  <c r="G1188" i="5" a="1"/>
  <c r="G1188" i="5"/>
  <c r="F1188" i="5"/>
  <c r="J1187" i="5"/>
  <c r="H1187" i="5" a="1"/>
  <c r="H1187" i="5"/>
  <c r="G1187" i="5" a="1"/>
  <c r="G1187" i="5"/>
  <c r="F1187" i="5"/>
  <c r="J1186" i="5"/>
  <c r="H1186" i="5" a="1"/>
  <c r="H1186" i="5"/>
  <c r="G1186" i="5" a="1"/>
  <c r="G1186" i="5"/>
  <c r="F1186" i="5"/>
  <c r="J1185" i="5"/>
  <c r="H1185" i="5" a="1"/>
  <c r="H1185" i="5"/>
  <c r="G1185" i="5" a="1"/>
  <c r="G1185" i="5"/>
  <c r="F1185" i="5"/>
  <c r="J1184" i="5"/>
  <c r="H1184" i="5" a="1"/>
  <c r="H1184" i="5"/>
  <c r="G1184" i="5" a="1"/>
  <c r="G1184" i="5"/>
  <c r="F1184" i="5"/>
  <c r="J1183" i="5"/>
  <c r="H1183" i="5" a="1"/>
  <c r="H1183" i="5"/>
  <c r="G1183" i="5" a="1"/>
  <c r="G1183" i="5"/>
  <c r="F1183" i="5"/>
  <c r="J1182" i="5"/>
  <c r="H1182" i="5" a="1"/>
  <c r="H1182" i="5"/>
  <c r="G1182" i="5" a="1"/>
  <c r="G1182" i="5"/>
  <c r="F1182" i="5"/>
  <c r="J1181" i="5"/>
  <c r="H1181" i="5" a="1"/>
  <c r="H1181" i="5"/>
  <c r="G1181" i="5" a="1"/>
  <c r="G1181" i="5"/>
  <c r="F1181" i="5"/>
  <c r="J1180" i="5"/>
  <c r="H1180" i="5" a="1"/>
  <c r="H1180" i="5"/>
  <c r="G1180" i="5" a="1"/>
  <c r="G1180" i="5"/>
  <c r="F1180" i="5"/>
  <c r="J1179" i="5"/>
  <c r="H1179" i="5" a="1"/>
  <c r="H1179" i="5"/>
  <c r="G1179" i="5" a="1"/>
  <c r="G1179" i="5"/>
  <c r="F1179" i="5"/>
  <c r="J1178" i="5"/>
  <c r="H1178" i="5" a="1"/>
  <c r="H1178" i="5"/>
  <c r="G1178" i="5" a="1"/>
  <c r="G1178" i="5"/>
  <c r="F1178" i="5"/>
  <c r="J1177" i="5"/>
  <c r="H1177" i="5" a="1"/>
  <c r="H1177" i="5"/>
  <c r="G1177" i="5" a="1"/>
  <c r="G1177" i="5"/>
  <c r="F1177" i="5"/>
  <c r="J1176" i="5"/>
  <c r="H1176" i="5" a="1"/>
  <c r="H1176" i="5"/>
  <c r="G1176" i="5" a="1"/>
  <c r="G1176" i="5"/>
  <c r="F1176" i="5"/>
  <c r="J1175" i="5"/>
  <c r="H1175" i="5" a="1"/>
  <c r="H1175" i="5"/>
  <c r="G1175" i="5" a="1"/>
  <c r="G1175" i="5"/>
  <c r="F1175" i="5"/>
  <c r="J1174" i="5"/>
  <c r="H1174" i="5" a="1"/>
  <c r="H1174" i="5"/>
  <c r="G1174" i="5" a="1"/>
  <c r="G1174" i="5"/>
  <c r="F1174" i="5"/>
  <c r="J1173" i="5"/>
  <c r="H1173" i="5" a="1"/>
  <c r="H1173" i="5"/>
  <c r="G1173" i="5" a="1"/>
  <c r="G1173" i="5"/>
  <c r="F1173" i="5"/>
  <c r="J1172" i="5"/>
  <c r="H1172" i="5" a="1"/>
  <c r="H1172" i="5"/>
  <c r="G1172" i="5" a="1"/>
  <c r="G1172" i="5"/>
  <c r="F1172" i="5"/>
  <c r="J1171" i="5"/>
  <c r="H1171" i="5" a="1"/>
  <c r="H1171" i="5"/>
  <c r="G1171" i="5" a="1"/>
  <c r="G1171" i="5"/>
  <c r="F1171" i="5"/>
  <c r="J1170" i="5"/>
  <c r="H1170" i="5" a="1"/>
  <c r="H1170" i="5"/>
  <c r="G1170" i="5" a="1"/>
  <c r="G1170" i="5"/>
  <c r="F1170" i="5"/>
  <c r="J1169" i="5"/>
  <c r="H1169" i="5" a="1"/>
  <c r="H1169" i="5"/>
  <c r="G1169" i="5" a="1"/>
  <c r="G1169" i="5"/>
  <c r="F1169" i="5"/>
  <c r="J1168" i="5"/>
  <c r="H1168" i="5" a="1"/>
  <c r="H1168" i="5"/>
  <c r="G1168" i="5" a="1"/>
  <c r="G1168" i="5"/>
  <c r="F1168" i="5"/>
  <c r="J1167" i="5"/>
  <c r="H1167" i="5" a="1"/>
  <c r="H1167" i="5"/>
  <c r="G1167" i="5" a="1"/>
  <c r="G1167" i="5"/>
  <c r="F1167" i="5"/>
  <c r="J1166" i="5"/>
  <c r="H1166" i="5" a="1"/>
  <c r="H1166" i="5"/>
  <c r="G1166" i="5" a="1"/>
  <c r="G1166" i="5"/>
  <c r="F1166" i="5"/>
  <c r="J1165" i="5"/>
  <c r="H1165" i="5" a="1"/>
  <c r="H1165" i="5"/>
  <c r="G1165" i="5" a="1"/>
  <c r="G1165" i="5"/>
  <c r="F1165" i="5"/>
  <c r="J1164" i="5"/>
  <c r="H1164" i="5" a="1"/>
  <c r="H1164" i="5"/>
  <c r="G1164" i="5" a="1"/>
  <c r="G1164" i="5"/>
  <c r="F1164" i="5"/>
  <c r="J1163" i="5"/>
  <c r="H1163" i="5" a="1"/>
  <c r="H1163" i="5"/>
  <c r="G1163" i="5" a="1"/>
  <c r="G1163" i="5"/>
  <c r="F1163" i="5"/>
  <c r="J1162" i="5"/>
  <c r="H1162" i="5" a="1"/>
  <c r="H1162" i="5"/>
  <c r="G1162" i="5" a="1"/>
  <c r="G1162" i="5"/>
  <c r="F1162" i="5"/>
  <c r="J1161" i="5"/>
  <c r="H1161" i="5" a="1"/>
  <c r="H1161" i="5"/>
  <c r="G1161" i="5" a="1"/>
  <c r="G1161" i="5"/>
  <c r="F1161" i="5"/>
  <c r="J1160" i="5"/>
  <c r="H1160" i="5" a="1"/>
  <c r="H1160" i="5"/>
  <c r="G1160" i="5" a="1"/>
  <c r="G1160" i="5"/>
  <c r="F1160" i="5"/>
  <c r="J1159" i="5"/>
  <c r="H1159" i="5" a="1"/>
  <c r="H1159" i="5"/>
  <c r="G1159" i="5" a="1"/>
  <c r="G1159" i="5"/>
  <c r="F1159" i="5"/>
  <c r="J1158" i="5"/>
  <c r="H1158" i="5" a="1"/>
  <c r="H1158" i="5"/>
  <c r="G1158" i="5" a="1"/>
  <c r="G1158" i="5"/>
  <c r="F1158" i="5"/>
  <c r="J1157" i="5"/>
  <c r="H1157" i="5" a="1"/>
  <c r="H1157" i="5"/>
  <c r="G1157" i="5" a="1"/>
  <c r="G1157" i="5"/>
  <c r="F1157" i="5"/>
  <c r="J1156" i="5"/>
  <c r="H1156" i="5" a="1"/>
  <c r="H1156" i="5"/>
  <c r="G1156" i="5" a="1"/>
  <c r="G1156" i="5"/>
  <c r="F1156" i="5"/>
  <c r="J1155" i="5"/>
  <c r="H1155" i="5" a="1"/>
  <c r="H1155" i="5"/>
  <c r="G1155" i="5" a="1"/>
  <c r="G1155" i="5"/>
  <c r="F1155" i="5"/>
  <c r="J1154" i="5"/>
  <c r="H1154" i="5" a="1"/>
  <c r="H1154" i="5"/>
  <c r="G1154" i="5" a="1"/>
  <c r="G1154" i="5"/>
  <c r="F1154" i="5"/>
  <c r="J1153" i="5"/>
  <c r="H1153" i="5" a="1"/>
  <c r="H1153" i="5"/>
  <c r="G1153" i="5" a="1"/>
  <c r="G1153" i="5"/>
  <c r="F1153" i="5"/>
  <c r="J1152" i="5"/>
  <c r="H1152" i="5" a="1"/>
  <c r="H1152" i="5"/>
  <c r="G1152" i="5" a="1"/>
  <c r="G1152" i="5"/>
  <c r="F1152" i="5"/>
  <c r="J1151" i="5"/>
  <c r="H1151" i="5" a="1"/>
  <c r="H1151" i="5"/>
  <c r="G1151" i="5" a="1"/>
  <c r="G1151" i="5"/>
  <c r="F1151" i="5"/>
  <c r="J1150" i="5"/>
  <c r="H1150" i="5" a="1"/>
  <c r="H1150" i="5"/>
  <c r="G1150" i="5" a="1"/>
  <c r="G1150" i="5"/>
  <c r="F1150" i="5"/>
  <c r="J1149" i="5"/>
  <c r="H1149" i="5" a="1"/>
  <c r="H1149" i="5"/>
  <c r="G1149" i="5" a="1"/>
  <c r="G1149" i="5"/>
  <c r="F1149" i="5"/>
  <c r="J1148" i="5"/>
  <c r="H1148" i="5" a="1"/>
  <c r="H1148" i="5"/>
  <c r="G1148" i="5" a="1"/>
  <c r="G1148" i="5"/>
  <c r="F1148" i="5"/>
  <c r="J1147" i="5"/>
  <c r="H1147" i="5" a="1"/>
  <c r="H1147" i="5"/>
  <c r="G1147" i="5" a="1"/>
  <c r="G1147" i="5"/>
  <c r="F1147" i="5"/>
  <c r="J1146" i="5"/>
  <c r="H1146" i="5" a="1"/>
  <c r="H1146" i="5"/>
  <c r="G1146" i="5" a="1"/>
  <c r="G1146" i="5"/>
  <c r="F1146" i="5"/>
  <c r="J1145" i="5"/>
  <c r="H1145" i="5" a="1"/>
  <c r="H1145" i="5"/>
  <c r="G1145" i="5" a="1"/>
  <c r="G1145" i="5"/>
  <c r="F1145" i="5"/>
  <c r="J1144" i="5"/>
  <c r="H1144" i="5" a="1"/>
  <c r="H1144" i="5"/>
  <c r="G1144" i="5" a="1"/>
  <c r="G1144" i="5"/>
  <c r="F1144" i="5"/>
  <c r="J1143" i="5"/>
  <c r="H1143" i="5" a="1"/>
  <c r="H1143" i="5"/>
  <c r="G1143" i="5" a="1"/>
  <c r="G1143" i="5"/>
  <c r="F1143" i="5"/>
  <c r="J1142" i="5"/>
  <c r="H1142" i="5" a="1"/>
  <c r="H1142" i="5"/>
  <c r="G1142" i="5" a="1"/>
  <c r="G1142" i="5"/>
  <c r="F1142" i="5"/>
  <c r="J1141" i="5"/>
  <c r="H1141" i="5" a="1"/>
  <c r="H1141" i="5"/>
  <c r="G1141" i="5" a="1"/>
  <c r="G1141" i="5"/>
  <c r="F1141" i="5"/>
  <c r="J1140" i="5"/>
  <c r="H1140" i="5" a="1"/>
  <c r="H1140" i="5"/>
  <c r="G1140" i="5" a="1"/>
  <c r="G1140" i="5"/>
  <c r="F1140" i="5"/>
  <c r="J1139" i="5"/>
  <c r="H1139" i="5" a="1"/>
  <c r="H1139" i="5"/>
  <c r="G1139" i="5" a="1"/>
  <c r="G1139" i="5"/>
  <c r="F1139" i="5"/>
  <c r="J1138" i="5"/>
  <c r="H1138" i="5" a="1"/>
  <c r="H1138" i="5"/>
  <c r="G1138" i="5" a="1"/>
  <c r="G1138" i="5"/>
  <c r="F1138" i="5"/>
  <c r="J1137" i="5"/>
  <c r="H1137" i="5" a="1"/>
  <c r="H1137" i="5" s="1"/>
  <c r="G1137" i="5" a="1"/>
  <c r="G1137" i="5" s="1"/>
  <c r="F1137" i="5"/>
  <c r="J1136" i="5"/>
  <c r="H1136" i="5" a="1"/>
  <c r="H1136" i="5" s="1"/>
  <c r="G1136" i="5" a="1"/>
  <c r="G1136" i="5" s="1"/>
  <c r="F1136" i="5"/>
  <c r="J1135" i="5"/>
  <c r="H1135" i="5" a="1"/>
  <c r="H1135" i="5" s="1"/>
  <c r="G1135" i="5" a="1"/>
  <c r="G1135" i="5" s="1"/>
  <c r="F1135" i="5"/>
  <c r="J1134" i="5"/>
  <c r="H1134" i="5" a="1"/>
  <c r="H1134" i="5" s="1"/>
  <c r="G1134" i="5" a="1"/>
  <c r="G1134" i="5" s="1"/>
  <c r="F1134" i="5"/>
  <c r="J1133" i="5"/>
  <c r="H1133" i="5" a="1"/>
  <c r="H1133" i="5" s="1"/>
  <c r="G1133" i="5" a="1"/>
  <c r="G1133" i="5" s="1"/>
  <c r="F1133" i="5"/>
  <c r="J1132" i="5"/>
  <c r="H1132" i="5" a="1"/>
  <c r="H1132" i="5" s="1"/>
  <c r="G1132" i="5" a="1"/>
  <c r="G1132" i="5" s="1"/>
  <c r="F1132" i="5"/>
  <c r="J1131" i="5"/>
  <c r="H1131" i="5" a="1"/>
  <c r="H1131" i="5" s="1"/>
  <c r="G1131" i="5" a="1"/>
  <c r="G1131" i="5" s="1"/>
  <c r="F1131" i="5"/>
  <c r="J1130" i="5"/>
  <c r="H1130" i="5" a="1"/>
  <c r="H1130" i="5" s="1"/>
  <c r="G1130" i="5" a="1"/>
  <c r="G1130" i="5" s="1"/>
  <c r="F1130" i="5"/>
  <c r="J1129" i="5"/>
  <c r="H1129" i="5" a="1"/>
  <c r="H1129" i="5" s="1"/>
  <c r="G1129" i="5" a="1"/>
  <c r="G1129" i="5" s="1"/>
  <c r="F1129" i="5"/>
  <c r="J1128" i="5"/>
  <c r="H1128" i="5" a="1"/>
  <c r="H1128" i="5" s="1"/>
  <c r="G1128" i="5" a="1"/>
  <c r="G1128" i="5" s="1"/>
  <c r="F1128" i="5"/>
  <c r="J1127" i="5"/>
  <c r="H1127" i="5" a="1"/>
  <c r="H1127" i="5" s="1"/>
  <c r="G1127" i="5" a="1"/>
  <c r="G1127" i="5" s="1"/>
  <c r="F1127" i="5"/>
  <c r="J1126" i="5"/>
  <c r="H1126" i="5" a="1"/>
  <c r="H1126" i="5" s="1"/>
  <c r="G1126" i="5" a="1"/>
  <c r="G1126" i="5" s="1"/>
  <c r="F1126" i="5"/>
  <c r="J1125" i="5"/>
  <c r="H1125" i="5" a="1"/>
  <c r="H1125" i="5" s="1"/>
  <c r="G1125" i="5" a="1"/>
  <c r="G1125" i="5" s="1"/>
  <c r="F1125" i="5"/>
  <c r="J1124" i="5"/>
  <c r="H1124" i="5" a="1"/>
  <c r="H1124" i="5" s="1"/>
  <c r="G1124" i="5" a="1"/>
  <c r="G1124" i="5" s="1"/>
  <c r="F1124" i="5"/>
  <c r="J1123" i="5"/>
  <c r="H1123" i="5" a="1"/>
  <c r="H1123" i="5" s="1"/>
  <c r="G1123" i="5" a="1"/>
  <c r="G1123" i="5" s="1"/>
  <c r="F1123" i="5"/>
  <c r="J1122" i="5"/>
  <c r="H1122" i="5" a="1"/>
  <c r="H1122" i="5" s="1"/>
  <c r="G1122" i="5" a="1"/>
  <c r="G1122" i="5" s="1"/>
  <c r="F1122" i="5"/>
  <c r="J1121" i="5"/>
  <c r="H1121" i="5" a="1"/>
  <c r="H1121" i="5" s="1"/>
  <c r="G1121" i="5" a="1"/>
  <c r="G1121" i="5" s="1"/>
  <c r="F1121" i="5"/>
  <c r="J1120" i="5"/>
  <c r="H1120" i="5" a="1"/>
  <c r="H1120" i="5" s="1"/>
  <c r="G1120" i="5" a="1"/>
  <c r="G1120" i="5" s="1"/>
  <c r="F1120" i="5"/>
  <c r="J1119" i="5"/>
  <c r="H1119" i="5" a="1"/>
  <c r="H1119" i="5" s="1"/>
  <c r="G1119" i="5" a="1"/>
  <c r="G1119" i="5" s="1"/>
  <c r="F1119" i="5"/>
  <c r="J1118" i="5"/>
  <c r="H1118" i="5" a="1"/>
  <c r="H1118" i="5" s="1"/>
  <c r="G1118" i="5" a="1"/>
  <c r="G1118" i="5" s="1"/>
  <c r="F1118" i="5"/>
  <c r="J1117" i="5"/>
  <c r="H1117" i="5" a="1"/>
  <c r="H1117" i="5" s="1"/>
  <c r="G1117" i="5" a="1"/>
  <c r="G1117" i="5" s="1"/>
  <c r="F1117" i="5"/>
  <c r="J1116" i="5"/>
  <c r="H1116" i="5" a="1"/>
  <c r="H1116" i="5" s="1"/>
  <c r="G1116" i="5" a="1"/>
  <c r="G1116" i="5" s="1"/>
  <c r="F1116" i="5"/>
  <c r="J1115" i="5"/>
  <c r="H1115" i="5" a="1"/>
  <c r="H1115" i="5" s="1"/>
  <c r="G1115" i="5" a="1"/>
  <c r="G1115" i="5" s="1"/>
  <c r="F1115" i="5"/>
  <c r="J1114" i="5"/>
  <c r="H1114" i="5" a="1"/>
  <c r="H1114" i="5" s="1"/>
  <c r="G1114" i="5" a="1"/>
  <c r="G1114" i="5" s="1"/>
  <c r="F1114" i="5"/>
  <c r="J1113" i="5"/>
  <c r="H1113" i="5" a="1"/>
  <c r="H1113" i="5" s="1"/>
  <c r="G1113" i="5" a="1"/>
  <c r="G1113" i="5" s="1"/>
  <c r="F1113" i="5"/>
  <c r="J1112" i="5"/>
  <c r="H1112" i="5" a="1"/>
  <c r="H1112" i="5" s="1"/>
  <c r="G1112" i="5" a="1"/>
  <c r="G1112" i="5" s="1"/>
  <c r="F1112" i="5"/>
  <c r="J1111" i="5"/>
  <c r="H1111" i="5" a="1"/>
  <c r="H1111" i="5" s="1"/>
  <c r="G1111" i="5" a="1"/>
  <c r="G1111" i="5" s="1"/>
  <c r="F1111" i="5"/>
  <c r="J1110" i="5"/>
  <c r="H1110" i="5" a="1"/>
  <c r="H1110" i="5" s="1"/>
  <c r="G1110" i="5" a="1"/>
  <c r="G1110" i="5" s="1"/>
  <c r="F1110" i="5"/>
  <c r="J1109" i="5"/>
  <c r="H1109" i="5" a="1"/>
  <c r="H1109" i="5" s="1"/>
  <c r="G1109" i="5" a="1"/>
  <c r="G1109" i="5" s="1"/>
  <c r="F1109" i="5"/>
  <c r="J1108" i="5"/>
  <c r="H1108" i="5" a="1"/>
  <c r="H1108" i="5" s="1"/>
  <c r="G1108" i="5" a="1"/>
  <c r="G1108" i="5" s="1"/>
  <c r="F1108" i="5"/>
  <c r="J1107" i="5"/>
  <c r="H1107" i="5" a="1"/>
  <c r="H1107" i="5" s="1"/>
  <c r="G1107" i="5" a="1"/>
  <c r="G1107" i="5" s="1"/>
  <c r="F1107" i="5"/>
  <c r="J1106" i="5"/>
  <c r="H1106" i="5" a="1"/>
  <c r="H1106" i="5" s="1"/>
  <c r="G1106" i="5" a="1"/>
  <c r="G1106" i="5" s="1"/>
  <c r="F1106" i="5"/>
  <c r="J1105" i="5"/>
  <c r="H1105" i="5" a="1"/>
  <c r="H1105" i="5" s="1"/>
  <c r="G1105" i="5" a="1"/>
  <c r="G1105" i="5" s="1"/>
  <c r="F1105" i="5"/>
  <c r="J1104" i="5"/>
  <c r="H1104" i="5" a="1"/>
  <c r="H1104" i="5" s="1"/>
  <c r="G1104" i="5" a="1"/>
  <c r="G1104" i="5" s="1"/>
  <c r="F1104" i="5"/>
  <c r="J1103" i="5"/>
  <c r="H1103" i="5" a="1"/>
  <c r="H1103" i="5" s="1"/>
  <c r="G1103" i="5" a="1"/>
  <c r="G1103" i="5" s="1"/>
  <c r="F1103" i="5"/>
  <c r="J1102" i="5"/>
  <c r="H1102" i="5" a="1"/>
  <c r="H1102" i="5" s="1"/>
  <c r="G1102" i="5" a="1"/>
  <c r="G1102" i="5" s="1"/>
  <c r="F1102" i="5"/>
  <c r="J1101" i="5"/>
  <c r="H1101" i="5" a="1"/>
  <c r="H1101" i="5" s="1"/>
  <c r="G1101" i="5" a="1"/>
  <c r="G1101" i="5" s="1"/>
  <c r="F1101" i="5"/>
  <c r="J1100" i="5"/>
  <c r="H1100" i="5" a="1"/>
  <c r="H1100" i="5" s="1"/>
  <c r="G1100" i="5" a="1"/>
  <c r="G1100" i="5" s="1"/>
  <c r="F1100" i="5"/>
  <c r="J1099" i="5"/>
  <c r="H1099" i="5" a="1"/>
  <c r="H1099" i="5" s="1"/>
  <c r="G1099" i="5" a="1"/>
  <c r="G1099" i="5" s="1"/>
  <c r="F1099" i="5"/>
  <c r="J1098" i="5"/>
  <c r="H1098" i="5" a="1"/>
  <c r="H1098" i="5" s="1"/>
  <c r="G1098" i="5" a="1"/>
  <c r="G1098" i="5" s="1"/>
  <c r="F1098" i="5"/>
  <c r="J1097" i="5"/>
  <c r="H1097" i="5" a="1"/>
  <c r="H1097" i="5" s="1"/>
  <c r="G1097" i="5" a="1"/>
  <c r="G1097" i="5" s="1"/>
  <c r="F1097" i="5"/>
  <c r="J1096" i="5"/>
  <c r="H1096" i="5" a="1"/>
  <c r="H1096" i="5" s="1"/>
  <c r="G1096" i="5" a="1"/>
  <c r="G1096" i="5" s="1"/>
  <c r="F1096" i="5"/>
  <c r="J1095" i="5"/>
  <c r="H1095" i="5" a="1"/>
  <c r="H1095" i="5" s="1"/>
  <c r="G1095" i="5" a="1"/>
  <c r="G1095" i="5" s="1"/>
  <c r="F1095" i="5"/>
  <c r="J1094" i="5"/>
  <c r="H1094" i="5" a="1"/>
  <c r="H1094" i="5" s="1"/>
  <c r="G1094" i="5" a="1"/>
  <c r="G1094" i="5" s="1"/>
  <c r="F1094" i="5"/>
  <c r="J1093" i="5"/>
  <c r="H1093" i="5" a="1"/>
  <c r="H1093" i="5" s="1"/>
  <c r="G1093" i="5" a="1"/>
  <c r="G1093" i="5" s="1"/>
  <c r="F1093" i="5"/>
  <c r="J1092" i="5"/>
  <c r="H1092" i="5" a="1"/>
  <c r="H1092" i="5" s="1"/>
  <c r="G1092" i="5" a="1"/>
  <c r="G1092" i="5" s="1"/>
  <c r="F1092" i="5"/>
  <c r="J1091" i="5"/>
  <c r="H1091" i="5" a="1"/>
  <c r="H1091" i="5" s="1"/>
  <c r="G1091" i="5" a="1"/>
  <c r="G1091" i="5" s="1"/>
  <c r="F1091" i="5"/>
  <c r="J1090" i="5"/>
  <c r="H1090" i="5" a="1"/>
  <c r="H1090" i="5" s="1"/>
  <c r="G1090" i="5" a="1"/>
  <c r="G1090" i="5" s="1"/>
  <c r="F1090" i="5"/>
  <c r="J1089" i="5"/>
  <c r="H1089" i="5" a="1"/>
  <c r="H1089" i="5" s="1"/>
  <c r="G1089" i="5" a="1"/>
  <c r="G1089" i="5" s="1"/>
  <c r="F1089" i="5"/>
  <c r="J1088" i="5"/>
  <c r="H1088" i="5" a="1"/>
  <c r="H1088" i="5" s="1"/>
  <c r="G1088" i="5" a="1"/>
  <c r="G1088" i="5" s="1"/>
  <c r="F1088" i="5"/>
  <c r="J1087" i="5"/>
  <c r="H1087" i="5" a="1"/>
  <c r="H1087" i="5" s="1"/>
  <c r="G1087" i="5" a="1"/>
  <c r="G1087" i="5" s="1"/>
  <c r="F1087" i="5"/>
  <c r="J1086" i="5"/>
  <c r="H1086" i="5" a="1"/>
  <c r="H1086" i="5" s="1"/>
  <c r="G1086" i="5" a="1"/>
  <c r="G1086" i="5" s="1"/>
  <c r="F1086" i="5"/>
  <c r="J1085" i="5"/>
  <c r="H1085" i="5" a="1"/>
  <c r="H1085" i="5" s="1"/>
  <c r="G1085" i="5" a="1"/>
  <c r="G1085" i="5" s="1"/>
  <c r="F1085" i="5"/>
  <c r="J1084" i="5"/>
  <c r="H1084" i="5" a="1"/>
  <c r="H1084" i="5" s="1"/>
  <c r="G1084" i="5" a="1"/>
  <c r="G1084" i="5" s="1"/>
  <c r="F1084" i="5"/>
  <c r="J1083" i="5"/>
  <c r="H1083" i="5" a="1"/>
  <c r="H1083" i="5" s="1"/>
  <c r="G1083" i="5" a="1"/>
  <c r="G1083" i="5" s="1"/>
  <c r="F1083" i="5"/>
  <c r="J1082" i="5"/>
  <c r="H1082" i="5" a="1"/>
  <c r="H1082" i="5" s="1"/>
  <c r="G1082" i="5" a="1"/>
  <c r="G1082" i="5" s="1"/>
  <c r="F1082" i="5"/>
  <c r="J1081" i="5"/>
  <c r="H1081" i="5" a="1"/>
  <c r="H1081" i="5" s="1"/>
  <c r="G1081" i="5" a="1"/>
  <c r="G1081" i="5" s="1"/>
  <c r="F1081" i="5"/>
  <c r="J1080" i="5"/>
  <c r="H1080" i="5" a="1"/>
  <c r="H1080" i="5" s="1"/>
  <c r="G1080" i="5" a="1"/>
  <c r="G1080" i="5" s="1"/>
  <c r="F1080" i="5"/>
  <c r="J1079" i="5"/>
  <c r="H1079" i="5" a="1"/>
  <c r="H1079" i="5" s="1"/>
  <c r="G1079" i="5" a="1"/>
  <c r="G1079" i="5" s="1"/>
  <c r="F1079" i="5"/>
  <c r="J1078" i="5"/>
  <c r="H1078" i="5" a="1"/>
  <c r="H1078" i="5" s="1"/>
  <c r="G1078" i="5" a="1"/>
  <c r="G1078" i="5" s="1"/>
  <c r="F1078" i="5"/>
  <c r="J1077" i="5"/>
  <c r="H1077" i="5" a="1"/>
  <c r="H1077" i="5" s="1"/>
  <c r="G1077" i="5" a="1"/>
  <c r="G1077" i="5" s="1"/>
  <c r="F1077" i="5"/>
  <c r="J1076" i="5"/>
  <c r="H1076" i="5" a="1"/>
  <c r="H1076" i="5" s="1"/>
  <c r="G1076" i="5" a="1"/>
  <c r="G1076" i="5" s="1"/>
  <c r="F1076" i="5"/>
  <c r="J1075" i="5"/>
  <c r="H1075" i="5" a="1"/>
  <c r="H1075" i="5" s="1"/>
  <c r="G1075" i="5" a="1"/>
  <c r="G1075" i="5" s="1"/>
  <c r="F1075" i="5"/>
  <c r="J1074" i="5"/>
  <c r="H1074" i="5" a="1"/>
  <c r="H1074" i="5" s="1"/>
  <c r="G1074" i="5" a="1"/>
  <c r="G1074" i="5" s="1"/>
  <c r="F1074" i="5"/>
  <c r="J1073" i="5"/>
  <c r="H1073" i="5" a="1"/>
  <c r="H1073" i="5" s="1"/>
  <c r="G1073" i="5" a="1"/>
  <c r="G1073" i="5" s="1"/>
  <c r="F1073" i="5"/>
  <c r="J1072" i="5"/>
  <c r="H1072" i="5" a="1"/>
  <c r="H1072" i="5" s="1"/>
  <c r="G1072" i="5" a="1"/>
  <c r="G1072" i="5" s="1"/>
  <c r="F1072" i="5"/>
  <c r="J1071" i="5"/>
  <c r="H1071" i="5" a="1"/>
  <c r="H1071" i="5" s="1"/>
  <c r="G1071" i="5" a="1"/>
  <c r="G1071" i="5" s="1"/>
  <c r="F1071" i="5"/>
  <c r="J1070" i="5"/>
  <c r="H1070" i="5" a="1"/>
  <c r="H1070" i="5" s="1"/>
  <c r="G1070" i="5" a="1"/>
  <c r="G1070" i="5" s="1"/>
  <c r="F1070" i="5"/>
  <c r="J1069" i="5"/>
  <c r="H1069" i="5" a="1"/>
  <c r="H1069" i="5" s="1"/>
  <c r="G1069" i="5" a="1"/>
  <c r="G1069" i="5" s="1"/>
  <c r="F1069" i="5"/>
  <c r="J1068" i="5"/>
  <c r="H1068" i="5" a="1"/>
  <c r="H1068" i="5" s="1"/>
  <c r="G1068" i="5" a="1"/>
  <c r="G1068" i="5" s="1"/>
  <c r="F1068" i="5"/>
  <c r="J1067" i="5"/>
  <c r="H1067" i="5" a="1"/>
  <c r="H1067" i="5" s="1"/>
  <c r="G1067" i="5" a="1"/>
  <c r="G1067" i="5" s="1"/>
  <c r="F1067" i="5"/>
  <c r="J1066" i="5"/>
  <c r="H1066" i="5" a="1"/>
  <c r="H1066" i="5" s="1"/>
  <c r="G1066" i="5" a="1"/>
  <c r="G1066" i="5" s="1"/>
  <c r="F1066" i="5"/>
  <c r="J1065" i="5"/>
  <c r="H1065" i="5" a="1"/>
  <c r="H1065" i="5" s="1"/>
  <c r="G1065" i="5" a="1"/>
  <c r="G1065" i="5" s="1"/>
  <c r="F1065" i="5"/>
  <c r="J1064" i="5"/>
  <c r="H1064" i="5" a="1"/>
  <c r="H1064" i="5" s="1"/>
  <c r="G1064" i="5" a="1"/>
  <c r="G1064" i="5" s="1"/>
  <c r="F1064" i="5"/>
  <c r="J1063" i="5"/>
  <c r="H1063" i="5" a="1"/>
  <c r="H1063" i="5" s="1"/>
  <c r="G1063" i="5" a="1"/>
  <c r="G1063" i="5" s="1"/>
  <c r="F1063" i="5"/>
  <c r="J1062" i="5"/>
  <c r="H1062" i="5" a="1"/>
  <c r="H1062" i="5" s="1"/>
  <c r="G1062" i="5" a="1"/>
  <c r="G1062" i="5" s="1"/>
  <c r="F1062" i="5"/>
  <c r="J1061" i="5"/>
  <c r="H1061" i="5" a="1"/>
  <c r="H1061" i="5" s="1"/>
  <c r="G1061" i="5" a="1"/>
  <c r="G1061" i="5" s="1"/>
  <c r="F1061" i="5"/>
  <c r="J1060" i="5"/>
  <c r="H1060" i="5" a="1"/>
  <c r="H1060" i="5" s="1"/>
  <c r="G1060" i="5" a="1"/>
  <c r="G1060" i="5" s="1"/>
  <c r="F1060" i="5"/>
  <c r="J1059" i="5"/>
  <c r="H1059" i="5" a="1"/>
  <c r="H1059" i="5" s="1"/>
  <c r="G1059" i="5" a="1"/>
  <c r="G1059" i="5" s="1"/>
  <c r="F1059" i="5"/>
  <c r="J1058" i="5"/>
  <c r="H1058" i="5" a="1"/>
  <c r="H1058" i="5" s="1"/>
  <c r="G1058" i="5" a="1"/>
  <c r="G1058" i="5" s="1"/>
  <c r="F1058" i="5"/>
  <c r="J1057" i="5"/>
  <c r="H1057" i="5" a="1"/>
  <c r="H1057" i="5" s="1"/>
  <c r="G1057" i="5" a="1"/>
  <c r="G1057" i="5" s="1"/>
  <c r="F1057" i="5"/>
  <c r="J1056" i="5"/>
  <c r="H1056" i="5" a="1"/>
  <c r="H1056" i="5" s="1"/>
  <c r="G1056" i="5" a="1"/>
  <c r="G1056" i="5" s="1"/>
  <c r="F1056" i="5"/>
  <c r="J1055" i="5"/>
  <c r="H1055" i="5" a="1"/>
  <c r="H1055" i="5" s="1"/>
  <c r="G1055" i="5" a="1"/>
  <c r="G1055" i="5" s="1"/>
  <c r="F1055" i="5"/>
  <c r="J1054" i="5"/>
  <c r="H1054" i="5" a="1"/>
  <c r="H1054" i="5" s="1"/>
  <c r="G1054" i="5" a="1"/>
  <c r="G1054" i="5" s="1"/>
  <c r="F1054" i="5"/>
  <c r="J1053" i="5"/>
  <c r="H1053" i="5" a="1"/>
  <c r="H1053" i="5" s="1"/>
  <c r="G1053" i="5" a="1"/>
  <c r="G1053" i="5" s="1"/>
  <c r="F1053" i="5"/>
  <c r="J1052" i="5"/>
  <c r="H1052" i="5" a="1"/>
  <c r="H1052" i="5" s="1"/>
  <c r="G1052" i="5" a="1"/>
  <c r="G1052" i="5" s="1"/>
  <c r="F1052" i="5"/>
  <c r="J1051" i="5"/>
  <c r="H1051" i="5" a="1"/>
  <c r="H1051" i="5" s="1"/>
  <c r="G1051" i="5" a="1"/>
  <c r="G1051" i="5" s="1"/>
  <c r="F1051" i="5"/>
  <c r="J1050" i="5"/>
  <c r="H1050" i="5" a="1"/>
  <c r="H1050" i="5" s="1"/>
  <c r="G1050" i="5" a="1"/>
  <c r="G1050" i="5" s="1"/>
  <c r="F1050" i="5"/>
  <c r="J1049" i="5"/>
  <c r="H1049" i="5" a="1"/>
  <c r="H1049" i="5" s="1"/>
  <c r="G1049" i="5" a="1"/>
  <c r="G1049" i="5" s="1"/>
  <c r="F1049" i="5"/>
  <c r="J1048" i="5"/>
  <c r="H1048" i="5" a="1"/>
  <c r="H1048" i="5" s="1"/>
  <c r="G1048" i="5" a="1"/>
  <c r="G1048" i="5" s="1"/>
  <c r="F1048" i="5"/>
  <c r="J1047" i="5"/>
  <c r="H1047" i="5" a="1"/>
  <c r="H1047" i="5" s="1"/>
  <c r="G1047" i="5" a="1"/>
  <c r="G1047" i="5" s="1"/>
  <c r="F1047" i="5"/>
  <c r="J1046" i="5"/>
  <c r="H1046" i="5" a="1"/>
  <c r="H1046" i="5" s="1"/>
  <c r="G1046" i="5" a="1"/>
  <c r="G1046" i="5" s="1"/>
  <c r="F1046" i="5"/>
  <c r="J1045" i="5"/>
  <c r="H1045" i="5" a="1"/>
  <c r="H1045" i="5" s="1"/>
  <c r="G1045" i="5" a="1"/>
  <c r="G1045" i="5" s="1"/>
  <c r="F1045" i="5"/>
  <c r="J1044" i="5"/>
  <c r="H1044" i="5" a="1"/>
  <c r="H1044" i="5" s="1"/>
  <c r="G1044" i="5" a="1"/>
  <c r="G1044" i="5" s="1"/>
  <c r="F1044" i="5"/>
  <c r="J1043" i="5"/>
  <c r="H1043" i="5" a="1"/>
  <c r="H1043" i="5" s="1"/>
  <c r="G1043" i="5" a="1"/>
  <c r="G1043" i="5" s="1"/>
  <c r="F1043" i="5"/>
  <c r="J1042" i="5"/>
  <c r="H1042" i="5" a="1"/>
  <c r="H1042" i="5" s="1"/>
  <c r="G1042" i="5" a="1"/>
  <c r="G1042" i="5" s="1"/>
  <c r="F1042" i="5"/>
  <c r="J1041" i="5"/>
  <c r="H1041" i="5" a="1"/>
  <c r="H1041" i="5" s="1"/>
  <c r="G1041" i="5" a="1"/>
  <c r="G1041" i="5" s="1"/>
  <c r="F1041" i="5"/>
  <c r="J1040" i="5"/>
  <c r="H1040" i="5" a="1"/>
  <c r="H1040" i="5" s="1"/>
  <c r="G1040" i="5" a="1"/>
  <c r="G1040" i="5" s="1"/>
  <c r="F1040" i="5"/>
  <c r="J1039" i="5"/>
  <c r="H1039" i="5" a="1"/>
  <c r="H1039" i="5" s="1"/>
  <c r="G1039" i="5" a="1"/>
  <c r="G1039" i="5" s="1"/>
  <c r="F1039" i="5"/>
  <c r="J1038" i="5"/>
  <c r="H1038" i="5" a="1"/>
  <c r="H1038" i="5" s="1"/>
  <c r="G1038" i="5" a="1"/>
  <c r="G1038" i="5" s="1"/>
  <c r="F1038" i="5"/>
  <c r="J1037" i="5"/>
  <c r="H1037" i="5" a="1"/>
  <c r="H1037" i="5" s="1"/>
  <c r="G1037" i="5" a="1"/>
  <c r="G1037" i="5" s="1"/>
  <c r="F1037" i="5"/>
  <c r="J1036" i="5"/>
  <c r="H1036" i="5" a="1"/>
  <c r="H1036" i="5" s="1"/>
  <c r="G1036" i="5" a="1"/>
  <c r="G1036" i="5" s="1"/>
  <c r="F1036" i="5"/>
  <c r="J1035" i="5"/>
  <c r="H1035" i="5" a="1"/>
  <c r="H1035" i="5" s="1"/>
  <c r="G1035" i="5" a="1"/>
  <c r="G1035" i="5" s="1"/>
  <c r="F1035" i="5"/>
  <c r="J1034" i="5"/>
  <c r="H1034" i="5" a="1"/>
  <c r="H1034" i="5" s="1"/>
  <c r="G1034" i="5" a="1"/>
  <c r="G1034" i="5" s="1"/>
  <c r="F1034" i="5"/>
  <c r="J1033" i="5"/>
  <c r="H1033" i="5" a="1"/>
  <c r="H1033" i="5" s="1"/>
  <c r="G1033" i="5" a="1"/>
  <c r="G1033" i="5" s="1"/>
  <c r="F1033" i="5"/>
  <c r="J1032" i="5"/>
  <c r="H1032" i="5" a="1"/>
  <c r="H1032" i="5" s="1"/>
  <c r="G1032" i="5" a="1"/>
  <c r="G1032" i="5" s="1"/>
  <c r="F1032" i="5"/>
  <c r="J1031" i="5"/>
  <c r="H1031" i="5" a="1"/>
  <c r="H1031" i="5" s="1"/>
  <c r="G1031" i="5" a="1"/>
  <c r="G1031" i="5" s="1"/>
  <c r="F1031" i="5"/>
  <c r="J1030" i="5"/>
  <c r="H1030" i="5" a="1"/>
  <c r="H1030" i="5" s="1"/>
  <c r="G1030" i="5" a="1"/>
  <c r="G1030" i="5" s="1"/>
  <c r="F1030" i="5"/>
  <c r="J1029" i="5"/>
  <c r="H1029" i="5" a="1"/>
  <c r="H1029" i="5" s="1"/>
  <c r="G1029" i="5" a="1"/>
  <c r="G1029" i="5" s="1"/>
  <c r="F1029" i="5"/>
  <c r="J1028" i="5"/>
  <c r="H1028" i="5" a="1"/>
  <c r="H1028" i="5" s="1"/>
  <c r="G1028" i="5" a="1"/>
  <c r="G1028" i="5" s="1"/>
  <c r="F1028" i="5"/>
  <c r="J1027" i="5"/>
  <c r="H1027" i="5" a="1"/>
  <c r="H1027" i="5" s="1"/>
  <c r="G1027" i="5" a="1"/>
  <c r="G1027" i="5" s="1"/>
  <c r="F1027" i="5"/>
  <c r="J1026" i="5"/>
  <c r="H1026" i="5" a="1"/>
  <c r="H1026" i="5" s="1"/>
  <c r="G1026" i="5" a="1"/>
  <c r="G1026" i="5" s="1"/>
  <c r="F1026" i="5"/>
  <c r="J1025" i="5"/>
  <c r="H1025" i="5" a="1"/>
  <c r="H1025" i="5" s="1"/>
  <c r="G1025" i="5" a="1"/>
  <c r="G1025" i="5" s="1"/>
  <c r="F1025" i="5"/>
  <c r="J1024" i="5"/>
  <c r="H1024" i="5" a="1"/>
  <c r="H1024" i="5" s="1"/>
  <c r="G1024" i="5" a="1"/>
  <c r="G1024" i="5" s="1"/>
  <c r="F1024" i="5"/>
  <c r="J1023" i="5"/>
  <c r="H1023" i="5" a="1"/>
  <c r="H1023" i="5" s="1"/>
  <c r="G1023" i="5" a="1"/>
  <c r="G1023" i="5" s="1"/>
  <c r="F1023" i="5"/>
  <c r="J1022" i="5"/>
  <c r="H1022" i="5" a="1"/>
  <c r="H1022" i="5" s="1"/>
  <c r="G1022" i="5" a="1"/>
  <c r="G1022" i="5" s="1"/>
  <c r="F1022" i="5"/>
  <c r="J1021" i="5"/>
  <c r="H1021" i="5" a="1"/>
  <c r="H1021" i="5" s="1"/>
  <c r="G1021" i="5" a="1"/>
  <c r="G1021" i="5" s="1"/>
  <c r="F1021" i="5"/>
  <c r="J1020" i="5"/>
  <c r="H1020" i="5" a="1"/>
  <c r="H1020" i="5" s="1"/>
  <c r="G1020" i="5" a="1"/>
  <c r="G1020" i="5" s="1"/>
  <c r="F1020" i="5"/>
  <c r="J1019" i="5"/>
  <c r="H1019" i="5" a="1"/>
  <c r="H1019" i="5" s="1"/>
  <c r="G1019" i="5" a="1"/>
  <c r="G1019" i="5" s="1"/>
  <c r="F1019" i="5"/>
  <c r="J1018" i="5"/>
  <c r="H1018" i="5" a="1"/>
  <c r="H1018" i="5" s="1"/>
  <c r="G1018" i="5" a="1"/>
  <c r="G1018" i="5" s="1"/>
  <c r="F1018" i="5"/>
  <c r="J1017" i="5"/>
  <c r="H1017" i="5" a="1"/>
  <c r="H1017" i="5" s="1"/>
  <c r="G1017" i="5" a="1"/>
  <c r="G1017" i="5" s="1"/>
  <c r="F1017" i="5"/>
  <c r="J1016" i="5"/>
  <c r="H1016" i="5" a="1"/>
  <c r="H1016" i="5" s="1"/>
  <c r="G1016" i="5" a="1"/>
  <c r="G1016" i="5" s="1"/>
  <c r="F1016" i="5"/>
  <c r="J1015" i="5"/>
  <c r="H1015" i="5" a="1"/>
  <c r="H1015" i="5" s="1"/>
  <c r="G1015" i="5" a="1"/>
  <c r="G1015" i="5" s="1"/>
  <c r="F1015" i="5"/>
  <c r="J1014" i="5"/>
  <c r="H1014" i="5" a="1"/>
  <c r="H1014" i="5" s="1"/>
  <c r="G1014" i="5" a="1"/>
  <c r="G1014" i="5" s="1"/>
  <c r="F1014" i="5"/>
  <c r="J1013" i="5"/>
  <c r="H1013" i="5" a="1"/>
  <c r="H1013" i="5" s="1"/>
  <c r="G1013" i="5" a="1"/>
  <c r="G1013" i="5" s="1"/>
  <c r="F1013" i="5"/>
  <c r="J1012" i="5"/>
  <c r="H1012" i="5" a="1"/>
  <c r="H1012" i="5" s="1"/>
  <c r="G1012" i="5" a="1"/>
  <c r="G1012" i="5" s="1"/>
  <c r="F1012" i="5"/>
  <c r="J1011" i="5"/>
  <c r="H1011" i="5" a="1"/>
  <c r="H1011" i="5" s="1"/>
  <c r="G1011" i="5" a="1"/>
  <c r="G1011" i="5" s="1"/>
  <c r="F1011" i="5"/>
  <c r="J1010" i="5"/>
  <c r="H1010" i="5" a="1"/>
  <c r="H1010" i="5" s="1"/>
  <c r="G1010" i="5" a="1"/>
  <c r="G1010" i="5" s="1"/>
  <c r="F1010" i="5"/>
  <c r="J1009" i="5"/>
  <c r="H1009" i="5" a="1"/>
  <c r="H1009" i="5" s="1"/>
  <c r="G1009" i="5" a="1"/>
  <c r="G1009" i="5" s="1"/>
  <c r="F1009" i="5"/>
  <c r="J1008" i="5"/>
  <c r="H1008" i="5" a="1"/>
  <c r="H1008" i="5" s="1"/>
  <c r="G1008" i="5" a="1"/>
  <c r="G1008" i="5" s="1"/>
  <c r="F1008" i="5"/>
  <c r="J1007" i="5"/>
  <c r="H1007" i="5" a="1"/>
  <c r="H1007" i="5" s="1"/>
  <c r="G1007" i="5" a="1"/>
  <c r="G1007" i="5" s="1"/>
  <c r="F1007" i="5"/>
  <c r="J1006" i="5"/>
  <c r="H1006" i="5" a="1"/>
  <c r="H1006" i="5" s="1"/>
  <c r="G1006" i="5" a="1"/>
  <c r="G1006" i="5" s="1"/>
  <c r="F1006" i="5"/>
  <c r="J1005" i="5"/>
  <c r="H1005" i="5" a="1"/>
  <c r="H1005" i="5" s="1"/>
  <c r="G1005" i="5" a="1"/>
  <c r="G1005" i="5" s="1"/>
  <c r="F1005" i="5"/>
  <c r="J1004" i="5"/>
  <c r="H1004" i="5" a="1"/>
  <c r="H1004" i="5" s="1"/>
  <c r="G1004" i="5" a="1"/>
  <c r="G1004" i="5" s="1"/>
  <c r="F1004" i="5"/>
  <c r="J1003" i="5"/>
  <c r="H1003" i="5" a="1"/>
  <c r="H1003" i="5"/>
  <c r="G1003" i="5" a="1"/>
  <c r="G1003" i="5" s="1"/>
  <c r="F1003" i="5"/>
  <c r="J1002" i="5"/>
  <c r="H1002" i="5" a="1"/>
  <c r="H1002" i="5" s="1"/>
  <c r="G1002" i="5" a="1"/>
  <c r="G1002" i="5" s="1"/>
  <c r="F1002" i="5"/>
  <c r="J1001" i="5"/>
  <c r="H1001" i="5" a="1"/>
  <c r="H1001" i="5" s="1"/>
  <c r="G1001" i="5" a="1"/>
  <c r="G1001" i="5" s="1"/>
  <c r="F1001" i="5"/>
  <c r="J1000" i="5"/>
  <c r="H1000" i="5" a="1"/>
  <c r="H1000" i="5" s="1"/>
  <c r="G1000" i="5" a="1"/>
  <c r="G1000" i="5" s="1"/>
  <c r="F1000" i="5"/>
  <c r="J999" i="5"/>
  <c r="H999" i="5" a="1"/>
  <c r="H999" i="5" s="1"/>
  <c r="G999" i="5" a="1"/>
  <c r="G999" i="5" s="1"/>
  <c r="F999" i="5"/>
  <c r="J998" i="5"/>
  <c r="H998" i="5" a="1"/>
  <c r="H998" i="5" s="1"/>
  <c r="G998" i="5" a="1"/>
  <c r="G998" i="5" s="1"/>
  <c r="F998" i="5"/>
  <c r="J997" i="5"/>
  <c r="H997" i="5" a="1"/>
  <c r="H997" i="5" s="1"/>
  <c r="G997" i="5" a="1"/>
  <c r="G997" i="5" s="1"/>
  <c r="F997" i="5"/>
  <c r="J996" i="5"/>
  <c r="H996" i="5" a="1"/>
  <c r="H996" i="5" s="1"/>
  <c r="G996" i="5" a="1"/>
  <c r="G996" i="5" s="1"/>
  <c r="F996" i="5"/>
  <c r="J995" i="5"/>
  <c r="H995" i="5" a="1"/>
  <c r="H995" i="5" s="1"/>
  <c r="G995" i="5" a="1"/>
  <c r="G995" i="5" s="1"/>
  <c r="F995" i="5"/>
  <c r="J994" i="5"/>
  <c r="H994" i="5" a="1"/>
  <c r="H994" i="5" s="1"/>
  <c r="G994" i="5" a="1"/>
  <c r="G994" i="5" s="1"/>
  <c r="F994" i="5"/>
  <c r="J993" i="5"/>
  <c r="H993" i="5" a="1"/>
  <c r="H993" i="5" s="1"/>
  <c r="G993" i="5" a="1"/>
  <c r="G993" i="5" s="1"/>
  <c r="F993" i="5"/>
  <c r="J992" i="5"/>
  <c r="H992" i="5" a="1"/>
  <c r="H992" i="5" s="1"/>
  <c r="G992" i="5" a="1"/>
  <c r="G992" i="5" s="1"/>
  <c r="F992" i="5"/>
  <c r="J991" i="5"/>
  <c r="H991" i="5" a="1"/>
  <c r="H991" i="5" s="1"/>
  <c r="G991" i="5" a="1"/>
  <c r="G991" i="5" s="1"/>
  <c r="F991" i="5"/>
  <c r="J990" i="5"/>
  <c r="H990" i="5" a="1"/>
  <c r="H990" i="5" s="1"/>
  <c r="G990" i="5" a="1"/>
  <c r="G990" i="5" s="1"/>
  <c r="F990" i="5"/>
  <c r="J989" i="5"/>
  <c r="H989" i="5" a="1"/>
  <c r="H989" i="5" s="1"/>
  <c r="G989" i="5" a="1"/>
  <c r="G989" i="5" s="1"/>
  <c r="F989" i="5"/>
  <c r="J988" i="5"/>
  <c r="H988" i="5" a="1"/>
  <c r="H988" i="5" s="1"/>
  <c r="G988" i="5" a="1"/>
  <c r="G988" i="5" s="1"/>
  <c r="F988" i="5"/>
  <c r="J987" i="5"/>
  <c r="H987" i="5" a="1"/>
  <c r="H987" i="5" s="1"/>
  <c r="G987" i="5" a="1"/>
  <c r="G987" i="5" s="1"/>
  <c r="F987" i="5"/>
  <c r="J986" i="5"/>
  <c r="H986" i="5" a="1"/>
  <c r="H986" i="5" s="1"/>
  <c r="G986" i="5" a="1"/>
  <c r="G986" i="5" s="1"/>
  <c r="F986" i="5"/>
  <c r="J985" i="5"/>
  <c r="H985" i="5" a="1"/>
  <c r="H985" i="5" s="1"/>
  <c r="G985" i="5" a="1"/>
  <c r="G985" i="5" s="1"/>
  <c r="F985" i="5"/>
  <c r="J984" i="5"/>
  <c r="H984" i="5" a="1"/>
  <c r="H984" i="5" s="1"/>
  <c r="G984" i="5" a="1"/>
  <c r="G984" i="5" s="1"/>
  <c r="F984" i="5"/>
  <c r="J983" i="5"/>
  <c r="H983" i="5" a="1"/>
  <c r="H983" i="5" s="1"/>
  <c r="G983" i="5" a="1"/>
  <c r="G983" i="5" s="1"/>
  <c r="F983" i="5"/>
  <c r="J982" i="5"/>
  <c r="H982" i="5" a="1"/>
  <c r="H982" i="5" s="1"/>
  <c r="G982" i="5" a="1"/>
  <c r="G982" i="5" s="1"/>
  <c r="F982" i="5"/>
  <c r="J981" i="5"/>
  <c r="H981" i="5" a="1"/>
  <c r="H981" i="5" s="1"/>
  <c r="G981" i="5" a="1"/>
  <c r="G981" i="5" s="1"/>
  <c r="F981" i="5"/>
  <c r="J980" i="5"/>
  <c r="H980" i="5" a="1"/>
  <c r="H980" i="5" s="1"/>
  <c r="G980" i="5" a="1"/>
  <c r="G980" i="5" s="1"/>
  <c r="F980" i="5"/>
  <c r="J979" i="5"/>
  <c r="H979" i="5" a="1"/>
  <c r="H979" i="5" s="1"/>
  <c r="G979" i="5" a="1"/>
  <c r="G979" i="5" s="1"/>
  <c r="F979" i="5"/>
  <c r="J978" i="5"/>
  <c r="H978" i="5" a="1"/>
  <c r="H978" i="5" s="1"/>
  <c r="G978" i="5" a="1"/>
  <c r="G978" i="5" s="1"/>
  <c r="F978" i="5"/>
  <c r="J977" i="5"/>
  <c r="H977" i="5" a="1"/>
  <c r="H977" i="5" s="1"/>
  <c r="G977" i="5" a="1"/>
  <c r="G977" i="5" s="1"/>
  <c r="F977" i="5"/>
  <c r="J976" i="5"/>
  <c r="H976" i="5" a="1"/>
  <c r="H976" i="5" s="1"/>
  <c r="G976" i="5" a="1"/>
  <c r="G976" i="5" s="1"/>
  <c r="F976" i="5"/>
  <c r="J975" i="5"/>
  <c r="H975" i="5" a="1"/>
  <c r="H975" i="5" s="1"/>
  <c r="G975" i="5" a="1"/>
  <c r="G975" i="5" s="1"/>
  <c r="F975" i="5"/>
  <c r="J974" i="5"/>
  <c r="H974" i="5" a="1"/>
  <c r="H974" i="5" s="1"/>
  <c r="G974" i="5" a="1"/>
  <c r="G974" i="5" s="1"/>
  <c r="F974" i="5"/>
  <c r="J973" i="5"/>
  <c r="H973" i="5" a="1"/>
  <c r="H973" i="5" s="1"/>
  <c r="G973" i="5" a="1"/>
  <c r="G973" i="5" s="1"/>
  <c r="F973" i="5"/>
  <c r="J972" i="5"/>
  <c r="H972" i="5" a="1"/>
  <c r="H972" i="5" s="1"/>
  <c r="G972" i="5" a="1"/>
  <c r="G972" i="5" s="1"/>
  <c r="F972" i="5"/>
  <c r="J971" i="5"/>
  <c r="H971" i="5" a="1"/>
  <c r="H971" i="5" s="1"/>
  <c r="G971" i="5" a="1"/>
  <c r="G971" i="5" s="1"/>
  <c r="F971" i="5"/>
  <c r="J970" i="5"/>
  <c r="H970" i="5" a="1"/>
  <c r="H970" i="5" s="1"/>
  <c r="G970" i="5" a="1"/>
  <c r="G970" i="5" s="1"/>
  <c r="F970" i="5"/>
  <c r="J969" i="5"/>
  <c r="H969" i="5" a="1"/>
  <c r="H969" i="5" s="1"/>
  <c r="G969" i="5" a="1"/>
  <c r="G969" i="5" s="1"/>
  <c r="F969" i="5"/>
  <c r="J968" i="5"/>
  <c r="H968" i="5" a="1"/>
  <c r="H968" i="5" s="1"/>
  <c r="G968" i="5" a="1"/>
  <c r="G968" i="5" s="1"/>
  <c r="F968" i="5"/>
  <c r="J967" i="5"/>
  <c r="H967" i="5" a="1"/>
  <c r="H967" i="5" s="1"/>
  <c r="G967" i="5" a="1"/>
  <c r="G967" i="5" s="1"/>
  <c r="F967" i="5"/>
  <c r="J966" i="5"/>
  <c r="H966" i="5" a="1"/>
  <c r="H966" i="5" s="1"/>
  <c r="G966" i="5" a="1"/>
  <c r="G966" i="5" s="1"/>
  <c r="F966" i="5"/>
  <c r="J965" i="5"/>
  <c r="H965" i="5" a="1"/>
  <c r="H965" i="5" s="1"/>
  <c r="G965" i="5" a="1"/>
  <c r="G965" i="5" s="1"/>
  <c r="F965" i="5"/>
  <c r="J964" i="5"/>
  <c r="H964" i="5" a="1"/>
  <c r="H964" i="5" s="1"/>
  <c r="G964" i="5" a="1"/>
  <c r="G964" i="5" s="1"/>
  <c r="F964" i="5"/>
  <c r="J963" i="5"/>
  <c r="H963" i="5" a="1"/>
  <c r="H963" i="5" s="1"/>
  <c r="G963" i="5" a="1"/>
  <c r="G963" i="5" s="1"/>
  <c r="F963" i="5"/>
  <c r="J962" i="5"/>
  <c r="H962" i="5" a="1"/>
  <c r="H962" i="5" s="1"/>
  <c r="G962" i="5" a="1"/>
  <c r="G962" i="5" s="1"/>
  <c r="F962" i="5"/>
  <c r="J961" i="5"/>
  <c r="H961" i="5" a="1"/>
  <c r="H961" i="5" s="1"/>
  <c r="G961" i="5" a="1"/>
  <c r="G961" i="5" s="1"/>
  <c r="F961" i="5"/>
  <c r="J960" i="5"/>
  <c r="H960" i="5" a="1"/>
  <c r="H960" i="5" s="1"/>
  <c r="G960" i="5" a="1"/>
  <c r="G960" i="5" s="1"/>
  <c r="F960" i="5"/>
  <c r="J959" i="5"/>
  <c r="H959" i="5" a="1"/>
  <c r="H959" i="5" s="1"/>
  <c r="G959" i="5" a="1"/>
  <c r="G959" i="5" s="1"/>
  <c r="F959" i="5"/>
  <c r="J958" i="5"/>
  <c r="H958" i="5" a="1"/>
  <c r="H958" i="5" s="1"/>
  <c r="G958" i="5" a="1"/>
  <c r="G958" i="5" s="1"/>
  <c r="F958" i="5"/>
  <c r="J957" i="5"/>
  <c r="H957" i="5" a="1"/>
  <c r="H957" i="5" s="1"/>
  <c r="G957" i="5" a="1"/>
  <c r="G957" i="5" s="1"/>
  <c r="F957" i="5"/>
  <c r="J956" i="5"/>
  <c r="H956" i="5" a="1"/>
  <c r="H956" i="5" s="1"/>
  <c r="G956" i="5" a="1"/>
  <c r="G956" i="5" s="1"/>
  <c r="F956" i="5"/>
  <c r="J955" i="5"/>
  <c r="H955" i="5" a="1"/>
  <c r="H955" i="5" s="1"/>
  <c r="G955" i="5" a="1"/>
  <c r="G955" i="5" s="1"/>
  <c r="F955" i="5"/>
  <c r="J954" i="5"/>
  <c r="H954" i="5" a="1"/>
  <c r="H954" i="5" s="1"/>
  <c r="G954" i="5" a="1"/>
  <c r="G954" i="5" s="1"/>
  <c r="F954" i="5"/>
  <c r="J953" i="5"/>
  <c r="H953" i="5" a="1"/>
  <c r="H953" i="5" s="1"/>
  <c r="G953" i="5" a="1"/>
  <c r="G953" i="5" s="1"/>
  <c r="F953" i="5"/>
  <c r="J952" i="5"/>
  <c r="H952" i="5" a="1"/>
  <c r="H952" i="5" s="1"/>
  <c r="G952" i="5" a="1"/>
  <c r="G952" i="5" s="1"/>
  <c r="F952" i="5"/>
  <c r="J951" i="5"/>
  <c r="H951" i="5" a="1"/>
  <c r="H951" i="5" s="1"/>
  <c r="G951" i="5" a="1"/>
  <c r="G951" i="5" s="1"/>
  <c r="F951" i="5"/>
  <c r="J950" i="5"/>
  <c r="H950" i="5" a="1"/>
  <c r="H950" i="5" s="1"/>
  <c r="G950" i="5" a="1"/>
  <c r="G950" i="5" s="1"/>
  <c r="F950" i="5"/>
  <c r="J949" i="5"/>
  <c r="H949" i="5" a="1"/>
  <c r="H949" i="5" s="1"/>
  <c r="G949" i="5" a="1"/>
  <c r="G949" i="5" s="1"/>
  <c r="F949" i="5"/>
  <c r="J948" i="5"/>
  <c r="H948" i="5" a="1"/>
  <c r="H948" i="5"/>
  <c r="G948" i="5" a="1"/>
  <c r="G948" i="5" s="1"/>
  <c r="F948" i="5"/>
  <c r="J947" i="5"/>
  <c r="H947" i="5" a="1"/>
  <c r="H947" i="5" s="1"/>
  <c r="G947" i="5" a="1"/>
  <c r="G947" i="5" s="1"/>
  <c r="F947" i="5"/>
  <c r="J946" i="5"/>
  <c r="H946" i="5" a="1"/>
  <c r="H946" i="5" s="1"/>
  <c r="G946" i="5" a="1"/>
  <c r="G946" i="5" s="1"/>
  <c r="F946" i="5"/>
  <c r="J945" i="5"/>
  <c r="H945" i="5" a="1"/>
  <c r="H945" i="5" s="1"/>
  <c r="G945" i="5" a="1"/>
  <c r="G945" i="5" s="1"/>
  <c r="F945" i="5"/>
  <c r="J944" i="5"/>
  <c r="H944" i="5" a="1"/>
  <c r="H944" i="5" s="1"/>
  <c r="G944" i="5" a="1"/>
  <c r="G944" i="5" s="1"/>
  <c r="F944" i="5"/>
  <c r="J943" i="5"/>
  <c r="H943" i="5" a="1"/>
  <c r="H943" i="5" s="1"/>
  <c r="G943" i="5" a="1"/>
  <c r="G943" i="5" s="1"/>
  <c r="F943" i="5"/>
  <c r="J942" i="5"/>
  <c r="H942" i="5" a="1"/>
  <c r="H942" i="5" s="1"/>
  <c r="G942" i="5" a="1"/>
  <c r="G942" i="5" s="1"/>
  <c r="F942" i="5"/>
  <c r="J941" i="5"/>
  <c r="H941" i="5" a="1"/>
  <c r="H941" i="5" s="1"/>
  <c r="G941" i="5" a="1"/>
  <c r="G941" i="5" s="1"/>
  <c r="F941" i="5"/>
  <c r="J940" i="5"/>
  <c r="H940" i="5" a="1"/>
  <c r="H940" i="5" s="1"/>
  <c r="G940" i="5" a="1"/>
  <c r="G940" i="5" s="1"/>
  <c r="F940" i="5"/>
  <c r="J939" i="5"/>
  <c r="H939" i="5" a="1"/>
  <c r="H939" i="5" s="1"/>
  <c r="G939" i="5" a="1"/>
  <c r="G939" i="5" s="1"/>
  <c r="F939" i="5"/>
  <c r="J938" i="5"/>
  <c r="H938" i="5" a="1"/>
  <c r="H938" i="5" s="1"/>
  <c r="G938" i="5" a="1"/>
  <c r="G938" i="5" s="1"/>
  <c r="F938" i="5"/>
  <c r="J937" i="5"/>
  <c r="H937" i="5" a="1"/>
  <c r="H937" i="5" s="1"/>
  <c r="G937" i="5" a="1"/>
  <c r="G937" i="5" s="1"/>
  <c r="F937" i="5"/>
  <c r="J936" i="5"/>
  <c r="H936" i="5" a="1"/>
  <c r="H936" i="5" s="1"/>
  <c r="G936" i="5" a="1"/>
  <c r="G936" i="5" s="1"/>
  <c r="F936" i="5"/>
  <c r="J935" i="5"/>
  <c r="H935" i="5" a="1"/>
  <c r="H935" i="5" s="1"/>
  <c r="G935" i="5" a="1"/>
  <c r="G935" i="5" s="1"/>
  <c r="F935" i="5"/>
  <c r="J934" i="5"/>
  <c r="H934" i="5" a="1"/>
  <c r="H934" i="5" s="1"/>
  <c r="G934" i="5" a="1"/>
  <c r="G934" i="5" s="1"/>
  <c r="F934" i="5"/>
  <c r="J933" i="5"/>
  <c r="H933" i="5" a="1"/>
  <c r="H933" i="5" s="1"/>
  <c r="G933" i="5" a="1"/>
  <c r="G933" i="5" s="1"/>
  <c r="F933" i="5"/>
  <c r="J932" i="5"/>
  <c r="H932" i="5" a="1"/>
  <c r="H932" i="5" s="1"/>
  <c r="G932" i="5" a="1"/>
  <c r="G932" i="5" s="1"/>
  <c r="F932" i="5"/>
  <c r="J931" i="5"/>
  <c r="H931" i="5" a="1"/>
  <c r="H931" i="5" s="1"/>
  <c r="G931" i="5" a="1"/>
  <c r="G931" i="5" s="1"/>
  <c r="F931" i="5"/>
  <c r="J930" i="5"/>
  <c r="H930" i="5" a="1"/>
  <c r="H930" i="5" s="1"/>
  <c r="G930" i="5" a="1"/>
  <c r="G930" i="5" s="1"/>
  <c r="F930" i="5"/>
  <c r="J929" i="5"/>
  <c r="H929" i="5" a="1"/>
  <c r="H929" i="5" s="1"/>
  <c r="G929" i="5" a="1"/>
  <c r="G929" i="5" s="1"/>
  <c r="F929" i="5"/>
  <c r="J928" i="5"/>
  <c r="H928" i="5" a="1"/>
  <c r="H928" i="5" s="1"/>
  <c r="G928" i="5" a="1"/>
  <c r="G928" i="5" s="1"/>
  <c r="F928" i="5"/>
  <c r="J927" i="5"/>
  <c r="H927" i="5" a="1"/>
  <c r="H927" i="5" s="1"/>
  <c r="G927" i="5" a="1"/>
  <c r="G927" i="5" s="1"/>
  <c r="F927" i="5"/>
  <c r="J926" i="5"/>
  <c r="H926" i="5" a="1"/>
  <c r="H926" i="5" s="1"/>
  <c r="G926" i="5" a="1"/>
  <c r="G926" i="5" s="1"/>
  <c r="F926" i="5"/>
  <c r="J925" i="5"/>
  <c r="H925" i="5" a="1"/>
  <c r="H925" i="5" s="1"/>
  <c r="G925" i="5" a="1"/>
  <c r="G925" i="5" s="1"/>
  <c r="F925" i="5"/>
  <c r="J924" i="5"/>
  <c r="H924" i="5" a="1"/>
  <c r="H924" i="5" s="1"/>
  <c r="G924" i="5" a="1"/>
  <c r="G924" i="5" s="1"/>
  <c r="F924" i="5"/>
  <c r="J923" i="5"/>
  <c r="H923" i="5" a="1"/>
  <c r="H923" i="5" s="1"/>
  <c r="G923" i="5" a="1"/>
  <c r="G923" i="5" s="1"/>
  <c r="F923" i="5"/>
  <c r="J922" i="5"/>
  <c r="H922" i="5" a="1"/>
  <c r="H922" i="5" s="1"/>
  <c r="G922" i="5" a="1"/>
  <c r="G922" i="5" s="1"/>
  <c r="F922" i="5"/>
  <c r="J921" i="5"/>
  <c r="H921" i="5" a="1"/>
  <c r="H921" i="5" s="1"/>
  <c r="G921" i="5" a="1"/>
  <c r="G921" i="5" s="1"/>
  <c r="F921" i="5"/>
  <c r="J920" i="5"/>
  <c r="H920" i="5" a="1"/>
  <c r="H920" i="5" s="1"/>
  <c r="G920" i="5" a="1"/>
  <c r="G920" i="5" s="1"/>
  <c r="F920" i="5"/>
  <c r="J919" i="5"/>
  <c r="H919" i="5" a="1"/>
  <c r="H919" i="5" s="1"/>
  <c r="G919" i="5" a="1"/>
  <c r="G919" i="5" s="1"/>
  <c r="F919" i="5"/>
  <c r="J918" i="5"/>
  <c r="H918" i="5" a="1"/>
  <c r="H918" i="5" s="1"/>
  <c r="G918" i="5" a="1"/>
  <c r="G918" i="5" s="1"/>
  <c r="F918" i="5"/>
  <c r="J917" i="5"/>
  <c r="H917" i="5" a="1"/>
  <c r="H917" i="5" s="1"/>
  <c r="G917" i="5" a="1"/>
  <c r="G917" i="5" s="1"/>
  <c r="F917" i="5"/>
  <c r="J916" i="5"/>
  <c r="H916" i="5" a="1"/>
  <c r="H916" i="5" s="1"/>
  <c r="G916" i="5" a="1"/>
  <c r="G916" i="5" s="1"/>
  <c r="F916" i="5"/>
  <c r="J915" i="5"/>
  <c r="H915" i="5" a="1"/>
  <c r="H915" i="5" s="1"/>
  <c r="G915" i="5" a="1"/>
  <c r="G915" i="5" s="1"/>
  <c r="F915" i="5"/>
  <c r="J914" i="5"/>
  <c r="H914" i="5" a="1"/>
  <c r="H914" i="5" s="1"/>
  <c r="G914" i="5" a="1"/>
  <c r="G914" i="5" s="1"/>
  <c r="F914" i="5"/>
  <c r="J913" i="5"/>
  <c r="H913" i="5" a="1"/>
  <c r="H913" i="5" s="1"/>
  <c r="G913" i="5" a="1"/>
  <c r="G913" i="5" s="1"/>
  <c r="F913" i="5"/>
  <c r="J912" i="5"/>
  <c r="H912" i="5" a="1"/>
  <c r="H912" i="5" s="1"/>
  <c r="G912" i="5" a="1"/>
  <c r="G912" i="5" s="1"/>
  <c r="F912" i="5"/>
  <c r="J911" i="5"/>
  <c r="H911" i="5" a="1"/>
  <c r="H911" i="5" s="1"/>
  <c r="G911" i="5" a="1"/>
  <c r="G911" i="5" s="1"/>
  <c r="F911" i="5"/>
  <c r="J910" i="5"/>
  <c r="H910" i="5" a="1"/>
  <c r="H910" i="5" s="1"/>
  <c r="G910" i="5" a="1"/>
  <c r="G910" i="5" s="1"/>
  <c r="F910" i="5"/>
  <c r="J909" i="5"/>
  <c r="H909" i="5" a="1"/>
  <c r="H909" i="5" s="1"/>
  <c r="G909" i="5" a="1"/>
  <c r="G909" i="5" s="1"/>
  <c r="F909" i="5"/>
  <c r="J908" i="5"/>
  <c r="H908" i="5" a="1"/>
  <c r="H908" i="5" s="1"/>
  <c r="G908" i="5" a="1"/>
  <c r="G908" i="5" s="1"/>
  <c r="F908" i="5"/>
  <c r="J907" i="5"/>
  <c r="H907" i="5" a="1"/>
  <c r="H907" i="5" s="1"/>
  <c r="G907" i="5" a="1"/>
  <c r="G907" i="5" s="1"/>
  <c r="F907" i="5"/>
  <c r="J906" i="5"/>
  <c r="H906" i="5" a="1"/>
  <c r="H906" i="5" s="1"/>
  <c r="G906" i="5" a="1"/>
  <c r="G906" i="5" s="1"/>
  <c r="F906" i="5"/>
  <c r="J905" i="5"/>
  <c r="H905" i="5" a="1"/>
  <c r="H905" i="5" s="1"/>
  <c r="G905" i="5" a="1"/>
  <c r="G905" i="5" s="1"/>
  <c r="F905" i="5"/>
  <c r="J904" i="5"/>
  <c r="H904" i="5" a="1"/>
  <c r="H904" i="5" s="1"/>
  <c r="G904" i="5" a="1"/>
  <c r="G904" i="5" s="1"/>
  <c r="F904" i="5"/>
  <c r="J903" i="5"/>
  <c r="H903" i="5" a="1"/>
  <c r="H903" i="5" s="1"/>
  <c r="G903" i="5" a="1"/>
  <c r="G903" i="5" s="1"/>
  <c r="F903" i="5"/>
  <c r="J902" i="5"/>
  <c r="H902" i="5" a="1"/>
  <c r="H902" i="5" s="1"/>
  <c r="G902" i="5" a="1"/>
  <c r="G902" i="5" s="1"/>
  <c r="F902" i="5"/>
  <c r="J901" i="5"/>
  <c r="H901" i="5" a="1"/>
  <c r="H901" i="5" s="1"/>
  <c r="G901" i="5" a="1"/>
  <c r="G901" i="5" s="1"/>
  <c r="F901" i="5"/>
  <c r="J900" i="5"/>
  <c r="H900" i="5" a="1"/>
  <c r="H900" i="5" s="1"/>
  <c r="G900" i="5" a="1"/>
  <c r="G900" i="5" s="1"/>
  <c r="F900" i="5"/>
  <c r="J899" i="5"/>
  <c r="H899" i="5" a="1"/>
  <c r="H899" i="5" s="1"/>
  <c r="G899" i="5" a="1"/>
  <c r="G899" i="5" s="1"/>
  <c r="F899" i="5"/>
  <c r="J898" i="5"/>
  <c r="H898" i="5" a="1"/>
  <c r="H898" i="5" s="1"/>
  <c r="G898" i="5" a="1"/>
  <c r="G898" i="5" s="1"/>
  <c r="F898" i="5"/>
  <c r="J897" i="5"/>
  <c r="H897" i="5" a="1"/>
  <c r="H897" i="5" s="1"/>
  <c r="G897" i="5" a="1"/>
  <c r="G897" i="5" s="1"/>
  <c r="F897" i="5"/>
  <c r="J896" i="5"/>
  <c r="H896" i="5" a="1"/>
  <c r="H896" i="5" s="1"/>
  <c r="G896" i="5" a="1"/>
  <c r="G896" i="5" s="1"/>
  <c r="F896" i="5"/>
  <c r="J895" i="5"/>
  <c r="H895" i="5" a="1"/>
  <c r="H895" i="5"/>
  <c r="G895" i="5" a="1"/>
  <c r="G895" i="5" s="1"/>
  <c r="F895" i="5"/>
  <c r="J894" i="5"/>
  <c r="H894" i="5" a="1"/>
  <c r="H894" i="5" s="1"/>
  <c r="G894" i="5" a="1"/>
  <c r="G894" i="5" s="1"/>
  <c r="F894" i="5"/>
  <c r="J893" i="5"/>
  <c r="H893" i="5" a="1"/>
  <c r="H893" i="5" s="1"/>
  <c r="G893" i="5" a="1"/>
  <c r="G893" i="5" s="1"/>
  <c r="F893" i="5"/>
  <c r="J892" i="5"/>
  <c r="H892" i="5" a="1"/>
  <c r="H892" i="5" s="1"/>
  <c r="G892" i="5" a="1"/>
  <c r="G892" i="5" s="1"/>
  <c r="F892" i="5"/>
  <c r="J891" i="5"/>
  <c r="H891" i="5" a="1"/>
  <c r="H891" i="5" s="1"/>
  <c r="G891" i="5" a="1"/>
  <c r="G891" i="5" s="1"/>
  <c r="F891" i="5"/>
  <c r="J890" i="5"/>
  <c r="H890" i="5" a="1"/>
  <c r="H890" i="5" s="1"/>
  <c r="G890" i="5" a="1"/>
  <c r="G890" i="5" s="1"/>
  <c r="F890" i="5"/>
  <c r="J889" i="5"/>
  <c r="H889" i="5" a="1"/>
  <c r="H889" i="5" s="1"/>
  <c r="G889" i="5" a="1"/>
  <c r="G889" i="5" s="1"/>
  <c r="F889" i="5"/>
  <c r="J888" i="5"/>
  <c r="H888" i="5" a="1"/>
  <c r="H888" i="5" s="1"/>
  <c r="G888" i="5" a="1"/>
  <c r="G888" i="5" s="1"/>
  <c r="F888" i="5"/>
  <c r="J887" i="5"/>
  <c r="H887" i="5" a="1"/>
  <c r="H887" i="5" s="1"/>
  <c r="G887" i="5" a="1"/>
  <c r="G887" i="5" s="1"/>
  <c r="F887" i="5"/>
  <c r="J886" i="5"/>
  <c r="H886" i="5" a="1"/>
  <c r="H886" i="5" s="1"/>
  <c r="G886" i="5" a="1"/>
  <c r="G886" i="5" s="1"/>
  <c r="F886" i="5"/>
  <c r="J885" i="5"/>
  <c r="H885" i="5" a="1"/>
  <c r="H885" i="5" s="1"/>
  <c r="G885" i="5" a="1"/>
  <c r="G885" i="5" s="1"/>
  <c r="F885" i="5"/>
  <c r="J884" i="5"/>
  <c r="H884" i="5" a="1"/>
  <c r="H884" i="5" s="1"/>
  <c r="G884" i="5" a="1"/>
  <c r="G884" i="5" s="1"/>
  <c r="F884" i="5"/>
  <c r="J883" i="5"/>
  <c r="H883" i="5" a="1"/>
  <c r="H883" i="5" s="1"/>
  <c r="G883" i="5" a="1"/>
  <c r="G883" i="5" s="1"/>
  <c r="F883" i="5"/>
  <c r="J882" i="5"/>
  <c r="H882" i="5" a="1"/>
  <c r="H882" i="5"/>
  <c r="G882" i="5" a="1"/>
  <c r="G882" i="5" s="1"/>
  <c r="F882" i="5"/>
  <c r="J881" i="5"/>
  <c r="H881" i="5" a="1"/>
  <c r="H881" i="5" s="1"/>
  <c r="G881" i="5" a="1"/>
  <c r="G881" i="5" s="1"/>
  <c r="F881" i="5"/>
  <c r="J880" i="5"/>
  <c r="H880" i="5" a="1"/>
  <c r="H880" i="5" s="1"/>
  <c r="G880" i="5" a="1"/>
  <c r="G880" i="5" s="1"/>
  <c r="F880" i="5"/>
  <c r="J879" i="5"/>
  <c r="H879" i="5" a="1"/>
  <c r="H879" i="5" s="1"/>
  <c r="G879" i="5" a="1"/>
  <c r="G879" i="5" s="1"/>
  <c r="F879" i="5"/>
  <c r="J878" i="5"/>
  <c r="H878" i="5" a="1"/>
  <c r="H878" i="5" s="1"/>
  <c r="G878" i="5" a="1"/>
  <c r="G878" i="5" s="1"/>
  <c r="F878" i="5"/>
  <c r="J877" i="5"/>
  <c r="H877" i="5" a="1"/>
  <c r="H877" i="5" s="1"/>
  <c r="G877" i="5" a="1"/>
  <c r="G877" i="5" s="1"/>
  <c r="F877" i="5"/>
  <c r="J876" i="5"/>
  <c r="H876" i="5" a="1"/>
  <c r="H876" i="5" s="1"/>
  <c r="G876" i="5" a="1"/>
  <c r="G876" i="5" s="1"/>
  <c r="F876" i="5"/>
  <c r="J875" i="5"/>
  <c r="H875" i="5" a="1"/>
  <c r="H875" i="5" s="1"/>
  <c r="G875" i="5" a="1"/>
  <c r="G875" i="5" s="1"/>
  <c r="F875" i="5"/>
  <c r="J874" i="5"/>
  <c r="H874" i="5" a="1"/>
  <c r="H874" i="5" s="1"/>
  <c r="G874" i="5" a="1"/>
  <c r="G874" i="5" s="1"/>
  <c r="F874" i="5"/>
  <c r="J873" i="5"/>
  <c r="H873" i="5" a="1"/>
  <c r="H873" i="5" s="1"/>
  <c r="G873" i="5" a="1"/>
  <c r="G873" i="5" s="1"/>
  <c r="F873" i="5"/>
  <c r="J872" i="5"/>
  <c r="H872" i="5" a="1"/>
  <c r="H872" i="5" s="1"/>
  <c r="G872" i="5" a="1"/>
  <c r="G872" i="5" s="1"/>
  <c r="F872" i="5"/>
  <c r="J871" i="5"/>
  <c r="H871" i="5" a="1"/>
  <c r="H871" i="5" s="1"/>
  <c r="G871" i="5" a="1"/>
  <c r="G871" i="5" s="1"/>
  <c r="F871" i="5"/>
  <c r="J870" i="5"/>
  <c r="H870" i="5" a="1"/>
  <c r="H870" i="5" s="1"/>
  <c r="G870" i="5" a="1"/>
  <c r="G870" i="5" s="1"/>
  <c r="F870" i="5"/>
  <c r="J869" i="5"/>
  <c r="H869" i="5" a="1"/>
  <c r="H869" i="5" s="1"/>
  <c r="G869" i="5" a="1"/>
  <c r="G869" i="5" s="1"/>
  <c r="F869" i="5"/>
  <c r="J868" i="5"/>
  <c r="H868" i="5" a="1"/>
  <c r="H868" i="5" s="1"/>
  <c r="G868" i="5" a="1"/>
  <c r="G868" i="5" s="1"/>
  <c r="F868" i="5"/>
  <c r="J867" i="5"/>
  <c r="H867" i="5" a="1"/>
  <c r="H867" i="5" s="1"/>
  <c r="G867" i="5" a="1"/>
  <c r="G867" i="5" s="1"/>
  <c r="F867" i="5"/>
  <c r="J866" i="5"/>
  <c r="H866" i="5" a="1"/>
  <c r="H866" i="5" s="1"/>
  <c r="G866" i="5" a="1"/>
  <c r="G866" i="5" s="1"/>
  <c r="F866" i="5"/>
  <c r="J865" i="5"/>
  <c r="H865" i="5" a="1"/>
  <c r="H865" i="5" s="1"/>
  <c r="G865" i="5" a="1"/>
  <c r="G865" i="5" s="1"/>
  <c r="F865" i="5"/>
  <c r="J864" i="5"/>
  <c r="H864" i="5" a="1"/>
  <c r="H864" i="5" s="1"/>
  <c r="G864" i="5" a="1"/>
  <c r="G864" i="5" s="1"/>
  <c r="F864" i="5"/>
  <c r="J863" i="5"/>
  <c r="H863" i="5" a="1"/>
  <c r="H863" i="5" s="1"/>
  <c r="G863" i="5" a="1"/>
  <c r="G863" i="5" s="1"/>
  <c r="F863" i="5"/>
  <c r="J862" i="5"/>
  <c r="H862" i="5" a="1"/>
  <c r="H862" i="5" s="1"/>
  <c r="G862" i="5" a="1"/>
  <c r="G862" i="5" s="1"/>
  <c r="F862" i="5"/>
  <c r="J861" i="5"/>
  <c r="H861" i="5" a="1"/>
  <c r="H861" i="5" s="1"/>
  <c r="G861" i="5" a="1"/>
  <c r="G861" i="5" s="1"/>
  <c r="F861" i="5"/>
  <c r="J860" i="5"/>
  <c r="H860" i="5" a="1"/>
  <c r="H860" i="5" s="1"/>
  <c r="G860" i="5" a="1"/>
  <c r="G860" i="5" s="1"/>
  <c r="F860" i="5"/>
  <c r="J859" i="5"/>
  <c r="H859" i="5" a="1"/>
  <c r="H859" i="5" s="1"/>
  <c r="G859" i="5" a="1"/>
  <c r="G859" i="5" s="1"/>
  <c r="F859" i="5"/>
  <c r="J858" i="5"/>
  <c r="H858" i="5" a="1"/>
  <c r="H858" i="5" s="1"/>
  <c r="G858" i="5" a="1"/>
  <c r="G858" i="5" s="1"/>
  <c r="F858" i="5"/>
  <c r="J857" i="5"/>
  <c r="H857" i="5" a="1"/>
  <c r="H857" i="5" s="1"/>
  <c r="G857" i="5" a="1"/>
  <c r="G857" i="5" s="1"/>
  <c r="F857" i="5"/>
  <c r="J856" i="5"/>
  <c r="H856" i="5" a="1"/>
  <c r="H856" i="5" s="1"/>
  <c r="G856" i="5" a="1"/>
  <c r="G856" i="5" s="1"/>
  <c r="F856" i="5"/>
  <c r="J855" i="5"/>
  <c r="H855" i="5" a="1"/>
  <c r="H855" i="5" s="1"/>
  <c r="G855" i="5" a="1"/>
  <c r="G855" i="5" s="1"/>
  <c r="F855" i="5"/>
  <c r="J854" i="5"/>
  <c r="H854" i="5" a="1"/>
  <c r="H854" i="5" s="1"/>
  <c r="G854" i="5" a="1"/>
  <c r="G854" i="5" s="1"/>
  <c r="F854" i="5"/>
  <c r="J853" i="5"/>
  <c r="H853" i="5" a="1"/>
  <c r="H853" i="5" s="1"/>
  <c r="G853" i="5" a="1"/>
  <c r="G853" i="5" s="1"/>
  <c r="F853" i="5"/>
  <c r="J852" i="5"/>
  <c r="H852" i="5" a="1"/>
  <c r="H852" i="5" s="1"/>
  <c r="G852" i="5" a="1"/>
  <c r="G852" i="5" s="1"/>
  <c r="F852" i="5"/>
  <c r="J851" i="5"/>
  <c r="H851" i="5" a="1"/>
  <c r="H851" i="5" s="1"/>
  <c r="G851" i="5" a="1"/>
  <c r="G851" i="5" s="1"/>
  <c r="F851" i="5"/>
  <c r="J850" i="5"/>
  <c r="H850" i="5" a="1"/>
  <c r="H850" i="5" s="1"/>
  <c r="G850" i="5" a="1"/>
  <c r="G850" i="5" s="1"/>
  <c r="F850" i="5"/>
  <c r="J849" i="5"/>
  <c r="H849" i="5" a="1"/>
  <c r="H849" i="5" s="1"/>
  <c r="G849" i="5" a="1"/>
  <c r="G849" i="5" s="1"/>
  <c r="F849" i="5"/>
  <c r="J848" i="5"/>
  <c r="H848" i="5" a="1"/>
  <c r="H848" i="5" s="1"/>
  <c r="G848" i="5" a="1"/>
  <c r="G848" i="5" s="1"/>
  <c r="F848" i="5"/>
  <c r="J847" i="5"/>
  <c r="H847" i="5" a="1"/>
  <c r="H847" i="5" s="1"/>
  <c r="G847" i="5" a="1"/>
  <c r="G847" i="5" s="1"/>
  <c r="F847" i="5"/>
  <c r="J846" i="5"/>
  <c r="H846" i="5" a="1"/>
  <c r="H846" i="5" s="1"/>
  <c r="G846" i="5" a="1"/>
  <c r="G846" i="5" s="1"/>
  <c r="F846" i="5"/>
  <c r="J845" i="5"/>
  <c r="H845" i="5" a="1"/>
  <c r="H845" i="5" s="1"/>
  <c r="G845" i="5" a="1"/>
  <c r="G845" i="5" s="1"/>
  <c r="F845" i="5"/>
  <c r="J844" i="5"/>
  <c r="H844" i="5" a="1"/>
  <c r="H844" i="5" s="1"/>
  <c r="G844" i="5" a="1"/>
  <c r="G844" i="5" s="1"/>
  <c r="F844" i="5"/>
  <c r="J843" i="5"/>
  <c r="H843" i="5" a="1"/>
  <c r="H843" i="5"/>
  <c r="G843" i="5" a="1"/>
  <c r="G843" i="5" s="1"/>
  <c r="F843" i="5"/>
  <c r="J842" i="5"/>
  <c r="H842" i="5" a="1"/>
  <c r="H842" i="5" s="1"/>
  <c r="G842" i="5" a="1"/>
  <c r="G842" i="5" s="1"/>
  <c r="F842" i="5"/>
  <c r="J841" i="5"/>
  <c r="H841" i="5" a="1"/>
  <c r="H841" i="5" s="1"/>
  <c r="G841" i="5" a="1"/>
  <c r="G841" i="5" s="1"/>
  <c r="F841" i="5"/>
  <c r="J840" i="5"/>
  <c r="H840" i="5" a="1"/>
  <c r="H840" i="5" s="1"/>
  <c r="G840" i="5" a="1"/>
  <c r="G840" i="5" s="1"/>
  <c r="F840" i="5"/>
  <c r="J839" i="5"/>
  <c r="H839" i="5" a="1"/>
  <c r="H839" i="5" s="1"/>
  <c r="G839" i="5" a="1"/>
  <c r="G839" i="5" s="1"/>
  <c r="F839" i="5"/>
  <c r="J838" i="5"/>
  <c r="H838" i="5" a="1"/>
  <c r="H838" i="5" s="1"/>
  <c r="G838" i="5" a="1"/>
  <c r="G838" i="5" s="1"/>
  <c r="F838" i="5"/>
  <c r="J837" i="5"/>
  <c r="H837" i="5" a="1"/>
  <c r="H837" i="5" s="1"/>
  <c r="G837" i="5" a="1"/>
  <c r="G837" i="5" s="1"/>
  <c r="F837" i="5"/>
  <c r="J836" i="5"/>
  <c r="H836" i="5" a="1"/>
  <c r="H836" i="5" s="1"/>
  <c r="G836" i="5" a="1"/>
  <c r="G836" i="5" s="1"/>
  <c r="F836" i="5"/>
  <c r="J835" i="5"/>
  <c r="H835" i="5" a="1"/>
  <c r="H835" i="5" s="1"/>
  <c r="G835" i="5" a="1"/>
  <c r="G835" i="5" s="1"/>
  <c r="F835" i="5"/>
  <c r="J834" i="5"/>
  <c r="H834" i="5" a="1"/>
  <c r="H834" i="5" s="1"/>
  <c r="G834" i="5" a="1"/>
  <c r="G834" i="5" s="1"/>
  <c r="F834" i="5"/>
  <c r="J833" i="5"/>
  <c r="H833" i="5" a="1"/>
  <c r="H833" i="5" s="1"/>
  <c r="G833" i="5" a="1"/>
  <c r="G833" i="5" s="1"/>
  <c r="F833" i="5"/>
  <c r="J832" i="5"/>
  <c r="H832" i="5" a="1"/>
  <c r="H832" i="5" s="1"/>
  <c r="G832" i="5" a="1"/>
  <c r="G832" i="5" s="1"/>
  <c r="F832" i="5"/>
  <c r="J831" i="5"/>
  <c r="H831" i="5" a="1"/>
  <c r="H831" i="5" s="1"/>
  <c r="G831" i="5" a="1"/>
  <c r="G831" i="5" s="1"/>
  <c r="F831" i="5"/>
  <c r="J830" i="5"/>
  <c r="H830" i="5" a="1"/>
  <c r="H830" i="5" s="1"/>
  <c r="G830" i="5" a="1"/>
  <c r="G830" i="5" s="1"/>
  <c r="F830" i="5"/>
  <c r="J829" i="5"/>
  <c r="H829" i="5" a="1"/>
  <c r="H829" i="5" s="1"/>
  <c r="G829" i="5" a="1"/>
  <c r="G829" i="5" s="1"/>
  <c r="F829" i="5"/>
  <c r="J828" i="5"/>
  <c r="H828" i="5" a="1"/>
  <c r="H828" i="5" s="1"/>
  <c r="G828" i="5" a="1"/>
  <c r="G828" i="5" s="1"/>
  <c r="F828" i="5"/>
  <c r="J827" i="5"/>
  <c r="H827" i="5" a="1"/>
  <c r="H827" i="5" s="1"/>
  <c r="G827" i="5" a="1"/>
  <c r="G827" i="5" s="1"/>
  <c r="F827" i="5"/>
  <c r="J826" i="5"/>
  <c r="H826" i="5" a="1"/>
  <c r="H826" i="5" s="1"/>
  <c r="G826" i="5" a="1"/>
  <c r="G826" i="5" s="1"/>
  <c r="F826" i="5"/>
  <c r="J825" i="5"/>
  <c r="H825" i="5" a="1"/>
  <c r="H825" i="5" s="1"/>
  <c r="G825" i="5" a="1"/>
  <c r="G825" i="5" s="1"/>
  <c r="F825" i="5"/>
  <c r="J824" i="5"/>
  <c r="H824" i="5" a="1"/>
  <c r="H824" i="5" s="1"/>
  <c r="G824" i="5" a="1"/>
  <c r="G824" i="5" s="1"/>
  <c r="F824" i="5"/>
  <c r="J823" i="5"/>
  <c r="H823" i="5" a="1"/>
  <c r="H823" i="5" s="1"/>
  <c r="G823" i="5" a="1"/>
  <c r="G823" i="5" s="1"/>
  <c r="F823" i="5"/>
  <c r="J822" i="5"/>
  <c r="H822" i="5" a="1"/>
  <c r="H822" i="5" s="1"/>
  <c r="G822" i="5" a="1"/>
  <c r="G822" i="5" s="1"/>
  <c r="F822" i="5"/>
  <c r="J821" i="5"/>
  <c r="H821" i="5" a="1"/>
  <c r="H821" i="5" s="1"/>
  <c r="G821" i="5" a="1"/>
  <c r="G821" i="5" s="1"/>
  <c r="F821" i="5"/>
  <c r="J820" i="5"/>
  <c r="H820" i="5" a="1"/>
  <c r="H820" i="5" s="1"/>
  <c r="G820" i="5" a="1"/>
  <c r="G820" i="5" s="1"/>
  <c r="F820" i="5"/>
  <c r="J819" i="5"/>
  <c r="H819" i="5" a="1"/>
  <c r="H819" i="5" s="1"/>
  <c r="G819" i="5" a="1"/>
  <c r="G819" i="5" s="1"/>
  <c r="F819" i="5"/>
  <c r="J818" i="5"/>
  <c r="H818" i="5" a="1"/>
  <c r="H818" i="5" s="1"/>
  <c r="G818" i="5" a="1"/>
  <c r="G818" i="5" s="1"/>
  <c r="F818" i="5"/>
  <c r="J817" i="5"/>
  <c r="H817" i="5" a="1"/>
  <c r="H817" i="5" s="1"/>
  <c r="G817" i="5" a="1"/>
  <c r="G817" i="5" s="1"/>
  <c r="F817" i="5"/>
  <c r="J816" i="5"/>
  <c r="H816" i="5" a="1"/>
  <c r="H816" i="5" s="1"/>
  <c r="G816" i="5" a="1"/>
  <c r="G816" i="5" s="1"/>
  <c r="F816" i="5"/>
  <c r="J815" i="5"/>
  <c r="H815" i="5" a="1"/>
  <c r="H815" i="5" s="1"/>
  <c r="G815" i="5" a="1"/>
  <c r="G815" i="5" s="1"/>
  <c r="F815" i="5"/>
  <c r="J814" i="5"/>
  <c r="H814" i="5" a="1"/>
  <c r="H814" i="5" s="1"/>
  <c r="G814" i="5" a="1"/>
  <c r="G814" i="5" s="1"/>
  <c r="F814" i="5"/>
  <c r="J813" i="5"/>
  <c r="H813" i="5" a="1"/>
  <c r="H813" i="5" s="1"/>
  <c r="G813" i="5" a="1"/>
  <c r="G813" i="5" s="1"/>
  <c r="F813" i="5"/>
  <c r="J812" i="5"/>
  <c r="H812" i="5" a="1"/>
  <c r="H812" i="5" s="1"/>
  <c r="G812" i="5" a="1"/>
  <c r="G812" i="5" s="1"/>
  <c r="F812" i="5"/>
  <c r="J811" i="5"/>
  <c r="H811" i="5" a="1"/>
  <c r="H811" i="5" s="1"/>
  <c r="G811" i="5" a="1"/>
  <c r="G811" i="5" s="1"/>
  <c r="F811" i="5"/>
  <c r="J810" i="5"/>
  <c r="H810" i="5" a="1"/>
  <c r="H810" i="5" s="1"/>
  <c r="G810" i="5" a="1"/>
  <c r="G810" i="5" s="1"/>
  <c r="F810" i="5"/>
  <c r="J809" i="5"/>
  <c r="H809" i="5" a="1"/>
  <c r="H809" i="5" s="1"/>
  <c r="G809" i="5" a="1"/>
  <c r="G809" i="5" s="1"/>
  <c r="F809" i="5"/>
  <c r="J808" i="5"/>
  <c r="H808" i="5" a="1"/>
  <c r="H808" i="5" s="1"/>
  <c r="G808" i="5" a="1"/>
  <c r="G808" i="5" s="1"/>
  <c r="F808" i="5"/>
  <c r="J807" i="5"/>
  <c r="H807" i="5" a="1"/>
  <c r="H807" i="5" s="1"/>
  <c r="G807" i="5" a="1"/>
  <c r="G807" i="5" s="1"/>
  <c r="F807" i="5"/>
  <c r="J806" i="5"/>
  <c r="H806" i="5" a="1"/>
  <c r="H806" i="5" s="1"/>
  <c r="G806" i="5" a="1"/>
  <c r="G806" i="5" s="1"/>
  <c r="F806" i="5"/>
  <c r="J805" i="5"/>
  <c r="H805" i="5" a="1"/>
  <c r="H805" i="5" s="1"/>
  <c r="G805" i="5" a="1"/>
  <c r="G805" i="5" s="1"/>
  <c r="F805" i="5"/>
  <c r="J804" i="5"/>
  <c r="H804" i="5" a="1"/>
  <c r="H804" i="5" s="1"/>
  <c r="G804" i="5" a="1"/>
  <c r="G804" i="5" s="1"/>
  <c r="F804" i="5"/>
  <c r="J803" i="5"/>
  <c r="H803" i="5" a="1"/>
  <c r="H803" i="5" s="1"/>
  <c r="G803" i="5" a="1"/>
  <c r="G803" i="5" s="1"/>
  <c r="F803" i="5"/>
  <c r="J802" i="5"/>
  <c r="H802" i="5" a="1"/>
  <c r="H802" i="5" s="1"/>
  <c r="G802" i="5" a="1"/>
  <c r="G802" i="5" s="1"/>
  <c r="F802" i="5"/>
  <c r="J801" i="5"/>
  <c r="H801" i="5" a="1"/>
  <c r="H801" i="5" s="1"/>
  <c r="G801" i="5" a="1"/>
  <c r="G801" i="5" s="1"/>
  <c r="F801" i="5"/>
  <c r="J800" i="5"/>
  <c r="H800" i="5" a="1"/>
  <c r="H800" i="5" s="1"/>
  <c r="G800" i="5" a="1"/>
  <c r="G800" i="5" s="1"/>
  <c r="F800" i="5"/>
  <c r="J799" i="5"/>
  <c r="H799" i="5" a="1"/>
  <c r="H799" i="5" s="1"/>
  <c r="G799" i="5" a="1"/>
  <c r="G799" i="5" s="1"/>
  <c r="F799" i="5"/>
  <c r="J798" i="5"/>
  <c r="H798" i="5" a="1"/>
  <c r="H798" i="5" s="1"/>
  <c r="G798" i="5" a="1"/>
  <c r="G798" i="5" s="1"/>
  <c r="F798" i="5"/>
  <c r="J797" i="5"/>
  <c r="H797" i="5" a="1"/>
  <c r="H797" i="5" s="1"/>
  <c r="G797" i="5" a="1"/>
  <c r="G797" i="5" s="1"/>
  <c r="F797" i="5"/>
  <c r="J796" i="5"/>
  <c r="H796" i="5" a="1"/>
  <c r="H796" i="5" s="1"/>
  <c r="G796" i="5" a="1"/>
  <c r="G796" i="5" s="1"/>
  <c r="F796" i="5"/>
  <c r="J795" i="5"/>
  <c r="H795" i="5" a="1"/>
  <c r="H795" i="5" s="1"/>
  <c r="G795" i="5" a="1"/>
  <c r="G795" i="5" s="1"/>
  <c r="F795" i="5"/>
  <c r="J794" i="5"/>
  <c r="H794" i="5" a="1"/>
  <c r="H794" i="5" s="1"/>
  <c r="G794" i="5" a="1"/>
  <c r="G794" i="5" s="1"/>
  <c r="F794" i="5"/>
  <c r="J793" i="5"/>
  <c r="H793" i="5" a="1"/>
  <c r="H793" i="5" s="1"/>
  <c r="G793" i="5" a="1"/>
  <c r="G793" i="5" s="1"/>
  <c r="F793" i="5"/>
  <c r="J792" i="5"/>
  <c r="H792" i="5" a="1"/>
  <c r="H792" i="5" s="1"/>
  <c r="G792" i="5" a="1"/>
  <c r="G792" i="5" s="1"/>
  <c r="F792" i="5"/>
  <c r="J791" i="5"/>
  <c r="H791" i="5" a="1"/>
  <c r="H791" i="5" s="1"/>
  <c r="G791" i="5" a="1"/>
  <c r="G791" i="5" s="1"/>
  <c r="F791" i="5"/>
  <c r="J790" i="5"/>
  <c r="H790" i="5" a="1"/>
  <c r="H790" i="5" s="1"/>
  <c r="G790" i="5" a="1"/>
  <c r="G790" i="5" s="1"/>
  <c r="F790" i="5"/>
  <c r="J789" i="5"/>
  <c r="H789" i="5" a="1"/>
  <c r="H789" i="5" s="1"/>
  <c r="G789" i="5" a="1"/>
  <c r="G789" i="5"/>
  <c r="F789" i="5"/>
  <c r="J788" i="5"/>
  <c r="H788" i="5" a="1"/>
  <c r="H788" i="5" s="1"/>
  <c r="G788" i="5" a="1"/>
  <c r="G788" i="5" s="1"/>
  <c r="F788" i="5"/>
  <c r="J787" i="5"/>
  <c r="H787" i="5" a="1"/>
  <c r="H787" i="5" s="1"/>
  <c r="G787" i="5" a="1"/>
  <c r="G787" i="5" s="1"/>
  <c r="F787" i="5"/>
  <c r="J786" i="5"/>
  <c r="H786" i="5" a="1"/>
  <c r="H786" i="5" s="1"/>
  <c r="G786" i="5" a="1"/>
  <c r="G786" i="5" s="1"/>
  <c r="F786" i="5"/>
  <c r="J785" i="5"/>
  <c r="H785" i="5" a="1"/>
  <c r="H785" i="5" s="1"/>
  <c r="G785" i="5" a="1"/>
  <c r="G785" i="5" s="1"/>
  <c r="F785" i="5"/>
  <c r="J784" i="5"/>
  <c r="H784" i="5" a="1"/>
  <c r="H784" i="5" s="1"/>
  <c r="G784" i="5" a="1"/>
  <c r="G784" i="5" s="1"/>
  <c r="F784" i="5"/>
  <c r="J783" i="5"/>
  <c r="H783" i="5" a="1"/>
  <c r="H783" i="5" s="1"/>
  <c r="G783" i="5" a="1"/>
  <c r="G783" i="5" s="1"/>
  <c r="F783" i="5"/>
  <c r="J782" i="5"/>
  <c r="H782" i="5" a="1"/>
  <c r="H782" i="5" s="1"/>
  <c r="G782" i="5" a="1"/>
  <c r="G782" i="5" s="1"/>
  <c r="F782" i="5"/>
  <c r="J781" i="5"/>
  <c r="H781" i="5" a="1"/>
  <c r="H781" i="5" s="1"/>
  <c r="G781" i="5" a="1"/>
  <c r="G781" i="5" s="1"/>
  <c r="F781" i="5"/>
  <c r="J780" i="5"/>
  <c r="H780" i="5" a="1"/>
  <c r="H780" i="5" s="1"/>
  <c r="G780" i="5" a="1"/>
  <c r="G780" i="5" s="1"/>
  <c r="F780" i="5"/>
  <c r="J779" i="5"/>
  <c r="H779" i="5" a="1"/>
  <c r="H779" i="5" s="1"/>
  <c r="G779" i="5" a="1"/>
  <c r="G779" i="5" s="1"/>
  <c r="F779" i="5"/>
  <c r="J778" i="5"/>
  <c r="H778" i="5" a="1"/>
  <c r="H778" i="5" s="1"/>
  <c r="G778" i="5" a="1"/>
  <c r="G778" i="5" s="1"/>
  <c r="F778" i="5"/>
  <c r="J777" i="5"/>
  <c r="H777" i="5" a="1"/>
  <c r="H777" i="5" s="1"/>
  <c r="G777" i="5" a="1"/>
  <c r="G777" i="5" s="1"/>
  <c r="F777" i="5"/>
  <c r="J776" i="5"/>
  <c r="H776" i="5" a="1"/>
  <c r="H776" i="5" s="1"/>
  <c r="G776" i="5" a="1"/>
  <c r="G776" i="5" s="1"/>
  <c r="F776" i="5"/>
  <c r="J775" i="5"/>
  <c r="H775" i="5" a="1"/>
  <c r="H775" i="5" s="1"/>
  <c r="G775" i="5" a="1"/>
  <c r="G775" i="5" s="1"/>
  <c r="F775" i="5"/>
  <c r="J774" i="5"/>
  <c r="H774" i="5" a="1"/>
  <c r="H774" i="5" s="1"/>
  <c r="G774" i="5" a="1"/>
  <c r="G774" i="5" s="1"/>
  <c r="F774" i="5"/>
  <c r="J773" i="5"/>
  <c r="H773" i="5" a="1"/>
  <c r="H773" i="5" s="1"/>
  <c r="G773" i="5" a="1"/>
  <c r="G773" i="5" s="1"/>
  <c r="F773" i="5"/>
  <c r="J772" i="5"/>
  <c r="H772" i="5" a="1"/>
  <c r="H772" i="5" s="1"/>
  <c r="G772" i="5" a="1"/>
  <c r="G772" i="5" s="1"/>
  <c r="F772" i="5"/>
  <c r="J771" i="5"/>
  <c r="H771" i="5" a="1"/>
  <c r="H771" i="5"/>
  <c r="G771" i="5" a="1"/>
  <c r="G771" i="5" s="1"/>
  <c r="F771" i="5"/>
  <c r="J770" i="5"/>
  <c r="H770" i="5" a="1"/>
  <c r="H770" i="5" s="1"/>
  <c r="G770" i="5" a="1"/>
  <c r="G770" i="5" s="1"/>
  <c r="F770" i="5"/>
  <c r="J769" i="5"/>
  <c r="H769" i="5" a="1"/>
  <c r="H769" i="5"/>
  <c r="G769" i="5" a="1"/>
  <c r="G769" i="5" s="1"/>
  <c r="F769" i="5"/>
  <c r="J768" i="5"/>
  <c r="H768" i="5" a="1"/>
  <c r="H768" i="5" s="1"/>
  <c r="G768" i="5" a="1"/>
  <c r="G768" i="5" s="1"/>
  <c r="F768" i="5"/>
  <c r="J767" i="5"/>
  <c r="H767" i="5" a="1"/>
  <c r="H767" i="5" s="1"/>
  <c r="G767" i="5" a="1"/>
  <c r="G767" i="5" s="1"/>
  <c r="F767" i="5"/>
  <c r="J766" i="5"/>
  <c r="H766" i="5" a="1"/>
  <c r="H766" i="5" s="1"/>
  <c r="G766" i="5" a="1"/>
  <c r="G766" i="5" s="1"/>
  <c r="F766" i="5"/>
  <c r="J765" i="5"/>
  <c r="H765" i="5" a="1"/>
  <c r="H765" i="5" s="1"/>
  <c r="G765" i="5" a="1"/>
  <c r="G765" i="5" s="1"/>
  <c r="F765" i="5"/>
  <c r="J764" i="5"/>
  <c r="H764" i="5" a="1"/>
  <c r="H764" i="5" s="1"/>
  <c r="G764" i="5" a="1"/>
  <c r="G764" i="5" s="1"/>
  <c r="F764" i="5"/>
  <c r="J763" i="5"/>
  <c r="H763" i="5" a="1"/>
  <c r="H763" i="5" s="1"/>
  <c r="G763" i="5" a="1"/>
  <c r="G763" i="5" s="1"/>
  <c r="F763" i="5"/>
  <c r="J762" i="5"/>
  <c r="H762" i="5" a="1"/>
  <c r="H762" i="5" s="1"/>
  <c r="G762" i="5" a="1"/>
  <c r="G762" i="5" s="1"/>
  <c r="F762" i="5"/>
  <c r="J761" i="5"/>
  <c r="H761" i="5" a="1"/>
  <c r="H761" i="5" s="1"/>
  <c r="G761" i="5" a="1"/>
  <c r="G761" i="5" s="1"/>
  <c r="F761" i="5"/>
  <c r="J760" i="5"/>
  <c r="H760" i="5" a="1"/>
  <c r="H760" i="5" s="1"/>
  <c r="G760" i="5" a="1"/>
  <c r="G760" i="5" s="1"/>
  <c r="F760" i="5"/>
  <c r="J759" i="5"/>
  <c r="H759" i="5" a="1"/>
  <c r="H759" i="5"/>
  <c r="G759" i="5" a="1"/>
  <c r="G759" i="5"/>
  <c r="F759" i="5"/>
  <c r="J758" i="5"/>
  <c r="H758" i="5" a="1"/>
  <c r="H758" i="5"/>
  <c r="G758" i="5" a="1"/>
  <c r="G758" i="5"/>
  <c r="F758" i="5"/>
  <c r="J757" i="5"/>
  <c r="H757" i="5" a="1"/>
  <c r="H757" i="5"/>
  <c r="G757" i="5" a="1"/>
  <c r="G757" i="5"/>
  <c r="F757" i="5"/>
  <c r="J756" i="5"/>
  <c r="H756" i="5" a="1"/>
  <c r="H756" i="5" s="1"/>
  <c r="G756" i="5" a="1"/>
  <c r="G756" i="5"/>
  <c r="F756" i="5"/>
  <c r="J755" i="5"/>
  <c r="H755" i="5" a="1"/>
  <c r="H755" i="5" s="1"/>
  <c r="G755" i="5" a="1"/>
  <c r="G755" i="5" s="1"/>
  <c r="F755" i="5"/>
  <c r="J754" i="5"/>
  <c r="H754" i="5" a="1"/>
  <c r="H754" i="5" s="1"/>
  <c r="G754" i="5" a="1"/>
  <c r="G754" i="5" s="1"/>
  <c r="F754" i="5"/>
  <c r="J753" i="5"/>
  <c r="H753" i="5" a="1"/>
  <c r="H753" i="5" s="1"/>
  <c r="G753" i="5" a="1"/>
  <c r="G753" i="5" s="1"/>
  <c r="F753" i="5"/>
  <c r="J752" i="5"/>
  <c r="H752" i="5" a="1"/>
  <c r="H752" i="5" s="1"/>
  <c r="G752" i="5" a="1"/>
  <c r="G752" i="5" s="1"/>
  <c r="F752" i="5"/>
  <c r="J751" i="5"/>
  <c r="H751" i="5" a="1"/>
  <c r="H751" i="5" s="1"/>
  <c r="G751" i="5" a="1"/>
  <c r="G751" i="5" s="1"/>
  <c r="F751" i="5"/>
  <c r="J750" i="5"/>
  <c r="H750" i="5" a="1"/>
  <c r="H750" i="5" s="1"/>
  <c r="G750" i="5" a="1"/>
  <c r="G750" i="5" s="1"/>
  <c r="F750" i="5"/>
  <c r="J749" i="5"/>
  <c r="H749" i="5" a="1"/>
  <c r="H749" i="5" s="1"/>
  <c r="G749" i="5" a="1"/>
  <c r="G749" i="5" s="1"/>
  <c r="F749" i="5"/>
  <c r="J748" i="5"/>
  <c r="H748" i="5" a="1"/>
  <c r="H748" i="5" s="1"/>
  <c r="G748" i="5" a="1"/>
  <c r="G748" i="5" s="1"/>
  <c r="F748" i="5"/>
  <c r="J747" i="5"/>
  <c r="H747" i="5" a="1"/>
  <c r="H747" i="5" s="1"/>
  <c r="G747" i="5" a="1"/>
  <c r="G747" i="5" s="1"/>
  <c r="F747" i="5"/>
  <c r="J746" i="5"/>
  <c r="H746" i="5" a="1"/>
  <c r="H746" i="5" s="1"/>
  <c r="G746" i="5" a="1"/>
  <c r="G746" i="5" s="1"/>
  <c r="F746" i="5"/>
  <c r="J745" i="5"/>
  <c r="H745" i="5" a="1"/>
  <c r="H745" i="5" s="1"/>
  <c r="G745" i="5" a="1"/>
  <c r="G745" i="5" s="1"/>
  <c r="F745" i="5"/>
  <c r="J744" i="5"/>
  <c r="H744" i="5" a="1"/>
  <c r="H744" i="5" s="1"/>
  <c r="G744" i="5" a="1"/>
  <c r="G744" i="5" s="1"/>
  <c r="F744" i="5"/>
  <c r="J743" i="5"/>
  <c r="H743" i="5" a="1"/>
  <c r="H743" i="5" s="1"/>
  <c r="G743" i="5" a="1"/>
  <c r="G743" i="5" s="1"/>
  <c r="F743" i="5"/>
  <c r="J742" i="5"/>
  <c r="H742" i="5" a="1"/>
  <c r="H742" i="5" s="1"/>
  <c r="G742" i="5" a="1"/>
  <c r="G742" i="5" s="1"/>
  <c r="F742" i="5"/>
  <c r="J741" i="5"/>
  <c r="H741" i="5" a="1"/>
  <c r="H741" i="5" s="1"/>
  <c r="G741" i="5" a="1"/>
  <c r="G741" i="5" s="1"/>
  <c r="F741" i="5"/>
  <c r="J740" i="5"/>
  <c r="H740" i="5" a="1"/>
  <c r="H740" i="5" s="1"/>
  <c r="G740" i="5" a="1"/>
  <c r="G740" i="5" s="1"/>
  <c r="F740" i="5"/>
  <c r="J739" i="5"/>
  <c r="H739" i="5" a="1"/>
  <c r="H739" i="5" s="1"/>
  <c r="G739" i="5" a="1"/>
  <c r="G739" i="5" s="1"/>
  <c r="F739" i="5"/>
  <c r="J738" i="5"/>
  <c r="H738" i="5" a="1"/>
  <c r="H738" i="5" s="1"/>
  <c r="G738" i="5" a="1"/>
  <c r="G738" i="5" s="1"/>
  <c r="F738" i="5"/>
  <c r="J737" i="5"/>
  <c r="H737" i="5" a="1"/>
  <c r="H737" i="5" s="1"/>
  <c r="G737" i="5" a="1"/>
  <c r="G737" i="5" s="1"/>
  <c r="F737" i="5"/>
  <c r="J736" i="5"/>
  <c r="H736" i="5" a="1"/>
  <c r="H736" i="5"/>
  <c r="G736" i="5" a="1"/>
  <c r="G736" i="5"/>
  <c r="F736" i="5"/>
  <c r="J735" i="5"/>
  <c r="H735" i="5" a="1"/>
  <c r="H735" i="5"/>
  <c r="G735" i="5" a="1"/>
  <c r="G735" i="5"/>
  <c r="F735" i="5"/>
  <c r="J734" i="5"/>
  <c r="H734" i="5" a="1"/>
  <c r="H734" i="5"/>
  <c r="G734" i="5" a="1"/>
  <c r="G734" i="5"/>
  <c r="F734" i="5"/>
  <c r="J733" i="5"/>
  <c r="H733" i="5" a="1"/>
  <c r="H733" i="5"/>
  <c r="G733" i="5" a="1"/>
  <c r="G733" i="5"/>
  <c r="F733" i="5"/>
  <c r="J732" i="5"/>
  <c r="H732" i="5" a="1"/>
  <c r="H732" i="5"/>
  <c r="G732" i="5" a="1"/>
  <c r="G732" i="5"/>
  <c r="F732" i="5"/>
  <c r="J731" i="5"/>
  <c r="H731" i="5" a="1"/>
  <c r="H731" i="5"/>
  <c r="G731" i="5" a="1"/>
  <c r="G731" i="5"/>
  <c r="F731" i="5"/>
  <c r="J730" i="5"/>
  <c r="H730" i="5" a="1"/>
  <c r="H730" i="5"/>
  <c r="G730" i="5" a="1"/>
  <c r="G730" i="5"/>
  <c r="F730" i="5"/>
  <c r="J729" i="5"/>
  <c r="H729" i="5" a="1"/>
  <c r="H729" i="5"/>
  <c r="G729" i="5" a="1"/>
  <c r="G729" i="5"/>
  <c r="F729" i="5"/>
  <c r="J728" i="5"/>
  <c r="H728" i="5" a="1"/>
  <c r="H728" i="5"/>
  <c r="G728" i="5" a="1"/>
  <c r="G728" i="5"/>
  <c r="F728" i="5"/>
  <c r="J727" i="5"/>
  <c r="H727" i="5" a="1"/>
  <c r="H727" i="5"/>
  <c r="G727" i="5" a="1"/>
  <c r="G727" i="5"/>
  <c r="F727" i="5"/>
  <c r="J726" i="5"/>
  <c r="H726" i="5" a="1"/>
  <c r="H726" i="5"/>
  <c r="G726" i="5" a="1"/>
  <c r="G726" i="5"/>
  <c r="F726" i="5"/>
  <c r="J725" i="5"/>
  <c r="H725" i="5" a="1"/>
  <c r="H725" i="5"/>
  <c r="G725" i="5" a="1"/>
  <c r="G725" i="5"/>
  <c r="F725" i="5"/>
  <c r="J724" i="5"/>
  <c r="H724" i="5" a="1"/>
  <c r="H724" i="5"/>
  <c r="G724" i="5" a="1"/>
  <c r="G724" i="5"/>
  <c r="F724" i="5"/>
  <c r="J723" i="5"/>
  <c r="H723" i="5" a="1"/>
  <c r="H723" i="5"/>
  <c r="G723" i="5" a="1"/>
  <c r="G723" i="5"/>
  <c r="F723" i="5"/>
  <c r="J722" i="5"/>
  <c r="H722" i="5" a="1"/>
  <c r="H722" i="5"/>
  <c r="G722" i="5" a="1"/>
  <c r="G722" i="5"/>
  <c r="F722" i="5"/>
  <c r="J721" i="5"/>
  <c r="H721" i="5" a="1"/>
  <c r="H721" i="5"/>
  <c r="G721" i="5" a="1"/>
  <c r="G721" i="5"/>
  <c r="F721" i="5"/>
  <c r="J720" i="5"/>
  <c r="H720" i="5" a="1"/>
  <c r="H720" i="5"/>
  <c r="G720" i="5" a="1"/>
  <c r="G720" i="5"/>
  <c r="F720" i="5"/>
  <c r="J719" i="5"/>
  <c r="H719" i="5" a="1"/>
  <c r="H719" i="5"/>
  <c r="G719" i="5" a="1"/>
  <c r="G719" i="5"/>
  <c r="F719" i="5"/>
  <c r="J718" i="5"/>
  <c r="H718" i="5" a="1"/>
  <c r="H718" i="5"/>
  <c r="G718" i="5" a="1"/>
  <c r="G718" i="5"/>
  <c r="F718" i="5"/>
  <c r="J717" i="5"/>
  <c r="H717" i="5" a="1"/>
  <c r="H717" i="5"/>
  <c r="G717" i="5" a="1"/>
  <c r="G717" i="5"/>
  <c r="F717" i="5"/>
  <c r="J716" i="5"/>
  <c r="H716" i="5" a="1"/>
  <c r="H716" i="5"/>
  <c r="G716" i="5" a="1"/>
  <c r="G716" i="5"/>
  <c r="F716" i="5"/>
  <c r="J715" i="5"/>
  <c r="H715" i="5" a="1"/>
  <c r="H715" i="5"/>
  <c r="G715" i="5" a="1"/>
  <c r="G715" i="5"/>
  <c r="F715" i="5"/>
  <c r="J714" i="5"/>
  <c r="H714" i="5" a="1"/>
  <c r="H714" i="5"/>
  <c r="G714" i="5" a="1"/>
  <c r="G714" i="5"/>
  <c r="F714" i="5"/>
  <c r="J713" i="5"/>
  <c r="H713" i="5" a="1"/>
  <c r="H713" i="5"/>
  <c r="G713" i="5" a="1"/>
  <c r="G713" i="5"/>
  <c r="F713" i="5"/>
  <c r="J712" i="5"/>
  <c r="H712" i="5" a="1"/>
  <c r="H712" i="5"/>
  <c r="G712" i="5" a="1"/>
  <c r="G712" i="5"/>
  <c r="F712" i="5"/>
  <c r="J711" i="5"/>
  <c r="H711" i="5" a="1"/>
  <c r="H711" i="5"/>
  <c r="G711" i="5" a="1"/>
  <c r="G711" i="5"/>
  <c r="F711" i="5"/>
  <c r="J710" i="5"/>
  <c r="H710" i="5" a="1"/>
  <c r="H710" i="5"/>
  <c r="G710" i="5" a="1"/>
  <c r="G710" i="5"/>
  <c r="F710" i="5"/>
  <c r="J709" i="5"/>
  <c r="H709" i="5" a="1"/>
  <c r="H709" i="5"/>
  <c r="G709" i="5" a="1"/>
  <c r="G709" i="5"/>
  <c r="F709" i="5"/>
  <c r="J708" i="5"/>
  <c r="H708" i="5" a="1"/>
  <c r="H708" i="5"/>
  <c r="G708" i="5" a="1"/>
  <c r="G708" i="5"/>
  <c r="F708" i="5"/>
  <c r="J707" i="5"/>
  <c r="H707" i="5" a="1"/>
  <c r="H707" i="5"/>
  <c r="G707" i="5" a="1"/>
  <c r="G707" i="5"/>
  <c r="F707" i="5"/>
  <c r="J706" i="5"/>
  <c r="H706" i="5" a="1"/>
  <c r="H706" i="5"/>
  <c r="G706" i="5" a="1"/>
  <c r="G706" i="5"/>
  <c r="F706" i="5"/>
  <c r="J705" i="5"/>
  <c r="H705" i="5" a="1"/>
  <c r="H705" i="5"/>
  <c r="G705" i="5" a="1"/>
  <c r="G705" i="5"/>
  <c r="F705" i="5"/>
  <c r="J704" i="5"/>
  <c r="H704" i="5" a="1"/>
  <c r="H704" i="5" s="1"/>
  <c r="G704" i="5" a="1"/>
  <c r="G704" i="5" s="1"/>
  <c r="F704" i="5"/>
  <c r="J703" i="5"/>
  <c r="H703" i="5" a="1"/>
  <c r="H703" i="5" s="1"/>
  <c r="G703" i="5" a="1"/>
  <c r="G703" i="5"/>
  <c r="F703" i="5"/>
  <c r="J702" i="5"/>
  <c r="H702" i="5" a="1"/>
  <c r="H702" i="5" s="1"/>
  <c r="G702" i="5" a="1"/>
  <c r="G702" i="5" s="1"/>
  <c r="F702" i="5"/>
  <c r="J701" i="5"/>
  <c r="H701" i="5" a="1"/>
  <c r="H701" i="5" s="1"/>
  <c r="G701" i="5" a="1"/>
  <c r="G701" i="5" s="1"/>
  <c r="F701" i="5"/>
  <c r="J700" i="5"/>
  <c r="H700" i="5" a="1"/>
  <c r="H700" i="5" s="1"/>
  <c r="G700" i="5" a="1"/>
  <c r="G700" i="5" s="1"/>
  <c r="F700" i="5"/>
  <c r="J699" i="5"/>
  <c r="H699" i="5" a="1"/>
  <c r="H699" i="5" s="1"/>
  <c r="G699" i="5" a="1"/>
  <c r="G699" i="5"/>
  <c r="F699" i="5"/>
  <c r="J698" i="5"/>
  <c r="H698" i="5" a="1"/>
  <c r="H698" i="5" s="1"/>
  <c r="G698" i="5" a="1"/>
  <c r="G698" i="5" s="1"/>
  <c r="F698" i="5"/>
  <c r="J697" i="5"/>
  <c r="H697" i="5" a="1"/>
  <c r="H697" i="5" s="1"/>
  <c r="G697" i="5" a="1"/>
  <c r="G697" i="5"/>
  <c r="F697" i="5"/>
  <c r="J696" i="5"/>
  <c r="H696" i="5" a="1"/>
  <c r="H696" i="5" s="1"/>
  <c r="G696" i="5" a="1"/>
  <c r="G696" i="5" s="1"/>
  <c r="F696" i="5"/>
  <c r="J695" i="5"/>
  <c r="H695" i="5" a="1"/>
  <c r="H695" i="5" s="1"/>
  <c r="G695" i="5" a="1"/>
  <c r="G695" i="5"/>
  <c r="F695" i="5"/>
  <c r="J694" i="5"/>
  <c r="H694" i="5" a="1"/>
  <c r="H694" i="5" s="1"/>
  <c r="G694" i="5" a="1"/>
  <c r="G694" i="5" s="1"/>
  <c r="F694" i="5"/>
  <c r="J693" i="5"/>
  <c r="H693" i="5" a="1"/>
  <c r="H693" i="5" s="1"/>
  <c r="G693" i="5" a="1"/>
  <c r="G693" i="5"/>
  <c r="F693" i="5"/>
  <c r="J692" i="5"/>
  <c r="H692" i="5" a="1"/>
  <c r="H692" i="5" s="1"/>
  <c r="G692" i="5" a="1"/>
  <c r="G692" i="5" s="1"/>
  <c r="F692" i="5"/>
  <c r="J691" i="5"/>
  <c r="H691" i="5" a="1"/>
  <c r="H691" i="5" s="1"/>
  <c r="G691" i="5" a="1"/>
  <c r="G691" i="5"/>
  <c r="F691" i="5"/>
  <c r="J690" i="5"/>
  <c r="H690" i="5" a="1"/>
  <c r="H690" i="5" s="1"/>
  <c r="G690" i="5" a="1"/>
  <c r="G690" i="5" s="1"/>
  <c r="F690" i="5"/>
  <c r="J689" i="5"/>
  <c r="H689" i="5" a="1"/>
  <c r="H689" i="5" s="1"/>
  <c r="G689" i="5" a="1"/>
  <c r="G689" i="5" s="1"/>
  <c r="F689" i="5"/>
  <c r="J688" i="5"/>
  <c r="H688" i="5" a="1"/>
  <c r="H688" i="5" s="1"/>
  <c r="G688" i="5" a="1"/>
  <c r="G688" i="5" s="1"/>
  <c r="F688" i="5"/>
  <c r="J687" i="5"/>
  <c r="H687" i="5" a="1"/>
  <c r="H687" i="5" s="1"/>
  <c r="G687" i="5" a="1"/>
  <c r="G687" i="5" s="1"/>
  <c r="F687" i="5"/>
  <c r="J686" i="5"/>
  <c r="H686" i="5" a="1"/>
  <c r="H686" i="5" s="1"/>
  <c r="G686" i="5" a="1"/>
  <c r="G686" i="5" s="1"/>
  <c r="F686" i="5"/>
  <c r="J685" i="5"/>
  <c r="H685" i="5" a="1"/>
  <c r="H685" i="5" s="1"/>
  <c r="G685" i="5" a="1"/>
  <c r="G685" i="5" s="1"/>
  <c r="F685" i="5"/>
  <c r="J684" i="5"/>
  <c r="H684" i="5" a="1"/>
  <c r="H684" i="5" s="1"/>
  <c r="G684" i="5" a="1"/>
  <c r="G684" i="5" s="1"/>
  <c r="F684" i="5"/>
  <c r="J683" i="5"/>
  <c r="H683" i="5" a="1"/>
  <c r="H683" i="5" s="1"/>
  <c r="G683" i="5" a="1"/>
  <c r="G683" i="5" s="1"/>
  <c r="F683" i="5"/>
  <c r="J682" i="5"/>
  <c r="H682" i="5" a="1"/>
  <c r="H682" i="5" s="1"/>
  <c r="G682" i="5" a="1"/>
  <c r="G682" i="5" s="1"/>
  <c r="F682" i="5"/>
  <c r="J681" i="5"/>
  <c r="H681" i="5" a="1"/>
  <c r="H681" i="5" s="1"/>
  <c r="G681" i="5" a="1"/>
  <c r="G681" i="5"/>
  <c r="F681" i="5"/>
  <c r="J680" i="5"/>
  <c r="H680" i="5" a="1"/>
  <c r="H680" i="5" s="1"/>
  <c r="G680" i="5" a="1"/>
  <c r="G680" i="5" s="1"/>
  <c r="F680" i="5"/>
  <c r="J679" i="5"/>
  <c r="H679" i="5" a="1"/>
  <c r="H679" i="5" s="1"/>
  <c r="G679" i="5" a="1"/>
  <c r="G679" i="5" s="1"/>
  <c r="F679" i="5"/>
  <c r="J678" i="5"/>
  <c r="H678" i="5" a="1"/>
  <c r="H678" i="5"/>
  <c r="G678" i="5" a="1"/>
  <c r="G678" i="5" s="1"/>
  <c r="F678" i="5"/>
  <c r="J677" i="5"/>
  <c r="H677" i="5" a="1"/>
  <c r="H677" i="5"/>
  <c r="G677" i="5" a="1"/>
  <c r="G677" i="5"/>
  <c r="F677" i="5"/>
  <c r="J676" i="5"/>
  <c r="H676" i="5" a="1"/>
  <c r="H676" i="5"/>
  <c r="G676" i="5" a="1"/>
  <c r="G676" i="5"/>
  <c r="F676" i="5"/>
  <c r="J675" i="5"/>
  <c r="H675" i="5" a="1"/>
  <c r="H675" i="5"/>
  <c r="G675" i="5" a="1"/>
  <c r="G675" i="5" s="1"/>
  <c r="F675" i="5"/>
  <c r="J674" i="5"/>
  <c r="H674" i="5" a="1"/>
  <c r="H674" i="5"/>
  <c r="G674" i="5" a="1"/>
  <c r="G674" i="5"/>
  <c r="F674" i="5"/>
  <c r="J673" i="5"/>
  <c r="H673" i="5" a="1"/>
  <c r="H673" i="5" s="1"/>
  <c r="G673" i="5" a="1"/>
  <c r="G673" i="5"/>
  <c r="F673" i="5"/>
  <c r="J672" i="5"/>
  <c r="H672" i="5" a="1"/>
  <c r="H672" i="5" s="1"/>
  <c r="G672" i="5" a="1"/>
  <c r="G672" i="5" s="1"/>
  <c r="F672" i="5"/>
  <c r="J671" i="5"/>
  <c r="H671" i="5" a="1"/>
  <c r="H671" i="5" s="1"/>
  <c r="G671" i="5" a="1"/>
  <c r="G671" i="5" s="1"/>
  <c r="F671" i="5"/>
  <c r="J670" i="5"/>
  <c r="H670" i="5" a="1"/>
  <c r="H670" i="5" s="1"/>
  <c r="G670" i="5" a="1"/>
  <c r="G670" i="5" s="1"/>
  <c r="F670" i="5"/>
  <c r="J669" i="5"/>
  <c r="H669" i="5" a="1"/>
  <c r="H669" i="5" s="1"/>
  <c r="G669" i="5" a="1"/>
  <c r="G669" i="5" s="1"/>
  <c r="F669" i="5"/>
  <c r="J668" i="5"/>
  <c r="H668" i="5" a="1"/>
  <c r="H668" i="5" s="1"/>
  <c r="G668" i="5" a="1"/>
  <c r="G668" i="5" s="1"/>
  <c r="F668" i="5"/>
  <c r="J667" i="5"/>
  <c r="H667" i="5" a="1"/>
  <c r="H667" i="5" s="1"/>
  <c r="G667" i="5" a="1"/>
  <c r="G667" i="5" s="1"/>
  <c r="F667" i="5"/>
  <c r="J666" i="5"/>
  <c r="H666" i="5" a="1"/>
  <c r="H666" i="5"/>
  <c r="G666" i="5" a="1"/>
  <c r="G666" i="5"/>
  <c r="F666" i="5"/>
  <c r="J665" i="5"/>
  <c r="H665" i="5" a="1"/>
  <c r="H665" i="5"/>
  <c r="G665" i="5" a="1"/>
  <c r="G665" i="5"/>
  <c r="F665" i="5"/>
  <c r="J664" i="5"/>
  <c r="H664" i="5" a="1"/>
  <c r="H664" i="5" s="1"/>
  <c r="G664" i="5" a="1"/>
  <c r="G664" i="5" s="1"/>
  <c r="F664" i="5"/>
  <c r="J663" i="5"/>
  <c r="H663" i="5" a="1"/>
  <c r="H663" i="5" s="1"/>
  <c r="G663" i="5" a="1"/>
  <c r="G663" i="5" s="1"/>
  <c r="F663" i="5"/>
  <c r="J662" i="5"/>
  <c r="H662" i="5" a="1"/>
  <c r="H662" i="5" s="1"/>
  <c r="G662" i="5" a="1"/>
  <c r="G662" i="5" s="1"/>
  <c r="F662" i="5"/>
  <c r="J661" i="5"/>
  <c r="H661" i="5" a="1"/>
  <c r="H661" i="5" s="1"/>
  <c r="G661" i="5" a="1"/>
  <c r="G661" i="5"/>
  <c r="F661" i="5"/>
  <c r="J660" i="5"/>
  <c r="H660" i="5" a="1"/>
  <c r="H660" i="5" s="1"/>
  <c r="G660" i="5" a="1"/>
  <c r="G660" i="5" s="1"/>
  <c r="F660" i="5"/>
  <c r="J659" i="5"/>
  <c r="H659" i="5" a="1"/>
  <c r="H659" i="5" s="1"/>
  <c r="G659" i="5" a="1"/>
  <c r="G659" i="5" s="1"/>
  <c r="F659" i="5"/>
  <c r="J658" i="5"/>
  <c r="H658" i="5" a="1"/>
  <c r="H658" i="5" s="1"/>
  <c r="G658" i="5" a="1"/>
  <c r="G658" i="5" s="1"/>
  <c r="F658" i="5"/>
  <c r="J657" i="5"/>
  <c r="H657" i="5" a="1"/>
  <c r="H657" i="5" s="1"/>
  <c r="G657" i="5" a="1"/>
  <c r="G657" i="5" s="1"/>
  <c r="F657" i="5"/>
  <c r="J656" i="5"/>
  <c r="H656" i="5" a="1"/>
  <c r="H656" i="5" s="1"/>
  <c r="G656" i="5" a="1"/>
  <c r="G656" i="5" s="1"/>
  <c r="F656" i="5"/>
  <c r="J655" i="5"/>
  <c r="H655" i="5" a="1"/>
  <c r="H655" i="5" s="1"/>
  <c r="G655" i="5" a="1"/>
  <c r="G655" i="5" s="1"/>
  <c r="F655" i="5"/>
  <c r="J654" i="5"/>
  <c r="H654" i="5" a="1"/>
  <c r="H654" i="5" s="1"/>
  <c r="G654" i="5" a="1"/>
  <c r="G654" i="5" s="1"/>
  <c r="F654" i="5"/>
  <c r="J653" i="5"/>
  <c r="H653" i="5" a="1"/>
  <c r="H653" i="5" s="1"/>
  <c r="G653" i="5" a="1"/>
  <c r="G653" i="5" s="1"/>
  <c r="F653" i="5"/>
  <c r="J652" i="5"/>
  <c r="H652" i="5" a="1"/>
  <c r="H652" i="5" s="1"/>
  <c r="G652" i="5" a="1"/>
  <c r="G652" i="5" s="1"/>
  <c r="F652" i="5"/>
  <c r="J651" i="5"/>
  <c r="H651" i="5" a="1"/>
  <c r="H651" i="5" s="1"/>
  <c r="G651" i="5" a="1"/>
  <c r="G651" i="5" s="1"/>
  <c r="F651" i="5"/>
  <c r="J650" i="5"/>
  <c r="H650" i="5" a="1"/>
  <c r="H650" i="5" s="1"/>
  <c r="G650" i="5" a="1"/>
  <c r="G650" i="5" s="1"/>
  <c r="F650" i="5"/>
  <c r="J649" i="5"/>
  <c r="H649" i="5" a="1"/>
  <c r="H649" i="5" s="1"/>
  <c r="G649" i="5" a="1"/>
  <c r="G649" i="5" s="1"/>
  <c r="F649" i="5"/>
  <c r="J648" i="5"/>
  <c r="H648" i="5" a="1"/>
  <c r="H648" i="5" s="1"/>
  <c r="G648" i="5" a="1"/>
  <c r="G648" i="5" s="1"/>
  <c r="F648" i="5"/>
  <c r="J647" i="5"/>
  <c r="H647" i="5" a="1"/>
  <c r="H647" i="5" s="1"/>
  <c r="G647" i="5" a="1"/>
  <c r="G647" i="5" s="1"/>
  <c r="F647" i="5"/>
  <c r="J646" i="5"/>
  <c r="H646" i="5" a="1"/>
  <c r="H646" i="5" s="1"/>
  <c r="G646" i="5" a="1"/>
  <c r="G646" i="5" s="1"/>
  <c r="F646" i="5"/>
  <c r="J645" i="5"/>
  <c r="H645" i="5" a="1"/>
  <c r="H645" i="5" s="1"/>
  <c r="G645" i="5" a="1"/>
  <c r="G645" i="5" s="1"/>
  <c r="F645" i="5"/>
  <c r="J644" i="5"/>
  <c r="H644" i="5" a="1"/>
  <c r="H644" i="5" s="1"/>
  <c r="G644" i="5" a="1"/>
  <c r="G644" i="5" s="1"/>
  <c r="F644" i="5"/>
  <c r="J643" i="5"/>
  <c r="H643" i="5" a="1"/>
  <c r="H643" i="5" s="1"/>
  <c r="G643" i="5" a="1"/>
  <c r="G643" i="5" s="1"/>
  <c r="F643" i="5"/>
  <c r="J642" i="5"/>
  <c r="H642" i="5" a="1"/>
  <c r="H642" i="5" s="1"/>
  <c r="G642" i="5" a="1"/>
  <c r="G642" i="5" s="1"/>
  <c r="F642" i="5"/>
  <c r="J641" i="5"/>
  <c r="H641" i="5" a="1"/>
  <c r="H641" i="5" s="1"/>
  <c r="G641" i="5" a="1"/>
  <c r="G641" i="5" s="1"/>
  <c r="F641" i="5"/>
  <c r="J640" i="5"/>
  <c r="H640" i="5" a="1"/>
  <c r="H640" i="5" s="1"/>
  <c r="G640" i="5" a="1"/>
  <c r="G640" i="5" s="1"/>
  <c r="F640" i="5"/>
  <c r="J639" i="5"/>
  <c r="H639" i="5" a="1"/>
  <c r="H639" i="5" s="1"/>
  <c r="G639" i="5" a="1"/>
  <c r="G639" i="5" s="1"/>
  <c r="F639" i="5"/>
  <c r="J638" i="5"/>
  <c r="H638" i="5" a="1"/>
  <c r="H638" i="5" s="1"/>
  <c r="G638" i="5" a="1"/>
  <c r="G638" i="5" s="1"/>
  <c r="F638" i="5"/>
  <c r="J637" i="5"/>
  <c r="H637" i="5" a="1"/>
  <c r="H637" i="5" s="1"/>
  <c r="G637" i="5" a="1"/>
  <c r="G637" i="5" s="1"/>
  <c r="F637" i="5"/>
  <c r="J636" i="5"/>
  <c r="H636" i="5" a="1"/>
  <c r="H636" i="5" s="1"/>
  <c r="G636" i="5" a="1"/>
  <c r="G636" i="5" s="1"/>
  <c r="F636" i="5"/>
  <c r="J635" i="5"/>
  <c r="H635" i="5" a="1"/>
  <c r="H635" i="5" s="1"/>
  <c r="G635" i="5" a="1"/>
  <c r="G635" i="5" s="1"/>
  <c r="F635" i="5"/>
  <c r="J634" i="5"/>
  <c r="H634" i="5" a="1"/>
  <c r="H634" i="5" s="1"/>
  <c r="G634" i="5" a="1"/>
  <c r="G634" i="5" s="1"/>
  <c r="F634" i="5"/>
  <c r="J633" i="5"/>
  <c r="H633" i="5" a="1"/>
  <c r="H633" i="5" s="1"/>
  <c r="G633" i="5" a="1"/>
  <c r="G633" i="5" s="1"/>
  <c r="F633" i="5"/>
  <c r="J632" i="5"/>
  <c r="H632" i="5" a="1"/>
  <c r="H632" i="5" s="1"/>
  <c r="G632" i="5" a="1"/>
  <c r="G632" i="5" s="1"/>
  <c r="F632" i="5"/>
  <c r="J631" i="5"/>
  <c r="H631" i="5" a="1"/>
  <c r="H631" i="5" s="1"/>
  <c r="G631" i="5" a="1"/>
  <c r="G631" i="5" s="1"/>
  <c r="F631" i="5"/>
  <c r="J630" i="5"/>
  <c r="H630" i="5" a="1"/>
  <c r="H630" i="5" s="1"/>
  <c r="G630" i="5" a="1"/>
  <c r="G630" i="5" s="1"/>
  <c r="F630" i="5"/>
  <c r="J629" i="5"/>
  <c r="H629" i="5" a="1"/>
  <c r="H629" i="5" s="1"/>
  <c r="G629" i="5" a="1"/>
  <c r="G629" i="5" s="1"/>
  <c r="F629" i="5"/>
  <c r="J628" i="5"/>
  <c r="H628" i="5" a="1"/>
  <c r="H628" i="5" s="1"/>
  <c r="G628" i="5" a="1"/>
  <c r="G628" i="5" s="1"/>
  <c r="F628" i="5"/>
  <c r="J627" i="5"/>
  <c r="H627" i="5" a="1"/>
  <c r="H627" i="5" s="1"/>
  <c r="G627" i="5" a="1"/>
  <c r="G627" i="5" s="1"/>
  <c r="F627" i="5"/>
  <c r="J626" i="5"/>
  <c r="H626" i="5" a="1"/>
  <c r="H626" i="5" s="1"/>
  <c r="G626" i="5" a="1"/>
  <c r="G626" i="5" s="1"/>
  <c r="F626" i="5"/>
  <c r="J625" i="5"/>
  <c r="H625" i="5" a="1"/>
  <c r="H625" i="5" s="1"/>
  <c r="G625" i="5" a="1"/>
  <c r="G625" i="5" s="1"/>
  <c r="F625" i="5"/>
  <c r="J624" i="5"/>
  <c r="H624" i="5" a="1"/>
  <c r="H624" i="5" s="1"/>
  <c r="G624" i="5" a="1"/>
  <c r="G624" i="5" s="1"/>
  <c r="F624" i="5"/>
  <c r="J623" i="5"/>
  <c r="H623" i="5" a="1"/>
  <c r="H623" i="5" s="1"/>
  <c r="G623" i="5" a="1"/>
  <c r="G623" i="5" s="1"/>
  <c r="F623" i="5"/>
  <c r="J622" i="5"/>
  <c r="H622" i="5" a="1"/>
  <c r="H622" i="5" s="1"/>
  <c r="G622" i="5" a="1"/>
  <c r="G622" i="5" s="1"/>
  <c r="F622" i="5"/>
  <c r="J621" i="5"/>
  <c r="H621" i="5" a="1"/>
  <c r="H621" i="5" s="1"/>
  <c r="G621" i="5" a="1"/>
  <c r="G621" i="5" s="1"/>
  <c r="F621" i="5"/>
  <c r="J620" i="5"/>
  <c r="H620" i="5" a="1"/>
  <c r="H620" i="5" s="1"/>
  <c r="G620" i="5" a="1"/>
  <c r="G620" i="5" s="1"/>
  <c r="F620" i="5"/>
  <c r="J619" i="5"/>
  <c r="H619" i="5" a="1"/>
  <c r="H619" i="5" s="1"/>
  <c r="G619" i="5" a="1"/>
  <c r="G619" i="5" s="1"/>
  <c r="F619" i="5"/>
  <c r="J618" i="5"/>
  <c r="H618" i="5" a="1"/>
  <c r="H618" i="5" s="1"/>
  <c r="G618" i="5" a="1"/>
  <c r="G618" i="5" s="1"/>
  <c r="F618" i="5"/>
  <c r="J617" i="5"/>
  <c r="H617" i="5" a="1"/>
  <c r="H617" i="5" s="1"/>
  <c r="G617" i="5" a="1"/>
  <c r="G617" i="5" s="1"/>
  <c r="F617" i="5"/>
  <c r="J616" i="5"/>
  <c r="H616" i="5" a="1"/>
  <c r="H616" i="5" s="1"/>
  <c r="G616" i="5" a="1"/>
  <c r="G616" i="5" s="1"/>
  <c r="F616" i="5"/>
  <c r="J615" i="5"/>
  <c r="H615" i="5" a="1"/>
  <c r="H615" i="5" s="1"/>
  <c r="G615" i="5" a="1"/>
  <c r="G615" i="5" s="1"/>
  <c r="F615" i="5"/>
  <c r="J614" i="5"/>
  <c r="H614" i="5" a="1"/>
  <c r="H614" i="5" s="1"/>
  <c r="G614" i="5" a="1"/>
  <c r="G614" i="5" s="1"/>
  <c r="F614" i="5"/>
  <c r="J613" i="5"/>
  <c r="H613" i="5" a="1"/>
  <c r="H613" i="5" s="1"/>
  <c r="G613" i="5" a="1"/>
  <c r="G613" i="5" s="1"/>
  <c r="F613" i="5"/>
  <c r="J612" i="5"/>
  <c r="H612" i="5" a="1"/>
  <c r="H612" i="5" s="1"/>
  <c r="G612" i="5" a="1"/>
  <c r="G612" i="5" s="1"/>
  <c r="F612" i="5"/>
  <c r="J611" i="5"/>
  <c r="H611" i="5" a="1"/>
  <c r="H611" i="5" s="1"/>
  <c r="G611" i="5" a="1"/>
  <c r="G611" i="5" s="1"/>
  <c r="F611" i="5"/>
  <c r="J610" i="5"/>
  <c r="H610" i="5" a="1"/>
  <c r="H610" i="5" s="1"/>
  <c r="G610" i="5" a="1"/>
  <c r="G610" i="5" s="1"/>
  <c r="F610" i="5"/>
  <c r="J609" i="5"/>
  <c r="H609" i="5" a="1"/>
  <c r="H609" i="5" s="1"/>
  <c r="G609" i="5" a="1"/>
  <c r="G609" i="5" s="1"/>
  <c r="F609" i="5"/>
  <c r="J608" i="5"/>
  <c r="H608" i="5" a="1"/>
  <c r="H608" i="5" s="1"/>
  <c r="G608" i="5" a="1"/>
  <c r="G608" i="5" s="1"/>
  <c r="F608" i="5"/>
  <c r="J607" i="5"/>
  <c r="H607" i="5" a="1"/>
  <c r="H607" i="5" s="1"/>
  <c r="G607" i="5" a="1"/>
  <c r="G607" i="5" s="1"/>
  <c r="F607" i="5"/>
  <c r="J606" i="5"/>
  <c r="H606" i="5" a="1"/>
  <c r="H606" i="5" s="1"/>
  <c r="G606" i="5" a="1"/>
  <c r="G606" i="5" s="1"/>
  <c r="F606" i="5"/>
  <c r="J605" i="5"/>
  <c r="H605" i="5" a="1"/>
  <c r="H605" i="5" s="1"/>
  <c r="G605" i="5" a="1"/>
  <c r="G605" i="5" s="1"/>
  <c r="F605" i="5"/>
  <c r="J604" i="5"/>
  <c r="H604" i="5" a="1"/>
  <c r="H604" i="5" s="1"/>
  <c r="G604" i="5" a="1"/>
  <c r="G604" i="5" s="1"/>
  <c r="F604" i="5"/>
  <c r="J603" i="5"/>
  <c r="H603" i="5" a="1"/>
  <c r="H603" i="5" s="1"/>
  <c r="G603" i="5" a="1"/>
  <c r="G603" i="5" s="1"/>
  <c r="F603" i="5"/>
  <c r="J602" i="5"/>
  <c r="H602" i="5" a="1"/>
  <c r="H602" i="5" s="1"/>
  <c r="G602" i="5" a="1"/>
  <c r="G602" i="5" s="1"/>
  <c r="F602" i="5"/>
  <c r="J601" i="5"/>
  <c r="H601" i="5" a="1"/>
  <c r="H601" i="5" s="1"/>
  <c r="G601" i="5" a="1"/>
  <c r="G601" i="5" s="1"/>
  <c r="F601" i="5"/>
  <c r="J600" i="5"/>
  <c r="H600" i="5" a="1"/>
  <c r="H600" i="5" s="1"/>
  <c r="G600" i="5" a="1"/>
  <c r="G600" i="5" s="1"/>
  <c r="F600" i="5"/>
  <c r="J599" i="5"/>
  <c r="H599" i="5" a="1"/>
  <c r="H599" i="5" s="1"/>
  <c r="G599" i="5" a="1"/>
  <c r="G599" i="5" s="1"/>
  <c r="F599" i="5"/>
  <c r="J598" i="5"/>
  <c r="H598" i="5" a="1"/>
  <c r="H598" i="5" s="1"/>
  <c r="G598" i="5" a="1"/>
  <c r="G598" i="5" s="1"/>
  <c r="F598" i="5"/>
  <c r="J597" i="5"/>
  <c r="H597" i="5" a="1"/>
  <c r="H597" i="5"/>
  <c r="G597" i="5" a="1"/>
  <c r="G597" i="5"/>
  <c r="F597" i="5"/>
  <c r="J596" i="5"/>
  <c r="H596" i="5" a="1"/>
  <c r="H596" i="5"/>
  <c r="G596" i="5" a="1"/>
  <c r="G596" i="5"/>
  <c r="F596" i="5"/>
  <c r="J595" i="5"/>
  <c r="H595" i="5" a="1"/>
  <c r="H595" i="5"/>
  <c r="G595" i="5" a="1"/>
  <c r="G595" i="5"/>
  <c r="F595" i="5"/>
  <c r="J594" i="5"/>
  <c r="H594" i="5" a="1"/>
  <c r="H594" i="5"/>
  <c r="G594" i="5" a="1"/>
  <c r="G594" i="5"/>
  <c r="F594" i="5"/>
  <c r="J593" i="5"/>
  <c r="H593" i="5" a="1"/>
  <c r="H593" i="5"/>
  <c r="G593" i="5" a="1"/>
  <c r="G593" i="5"/>
  <c r="F593" i="5"/>
  <c r="J592" i="5"/>
  <c r="H592" i="5" a="1"/>
  <c r="H592" i="5"/>
  <c r="G592" i="5" a="1"/>
  <c r="G592" i="5"/>
  <c r="F592" i="5"/>
  <c r="J591" i="5"/>
  <c r="H591" i="5" a="1"/>
  <c r="H591" i="5"/>
  <c r="G591" i="5" a="1"/>
  <c r="G591" i="5"/>
  <c r="F591" i="5"/>
  <c r="J590" i="5"/>
  <c r="H590" i="5" a="1"/>
  <c r="H590" i="5"/>
  <c r="G590" i="5" a="1"/>
  <c r="G590" i="5"/>
  <c r="F590" i="5"/>
  <c r="J589" i="5"/>
  <c r="H589" i="5" a="1"/>
  <c r="H589" i="5"/>
  <c r="G589" i="5" a="1"/>
  <c r="G589" i="5"/>
  <c r="F589" i="5"/>
  <c r="J588" i="5"/>
  <c r="H588" i="5" a="1"/>
  <c r="H588" i="5"/>
  <c r="G588" i="5" a="1"/>
  <c r="G588" i="5"/>
  <c r="F588" i="5"/>
  <c r="J587" i="5"/>
  <c r="H587" i="5" a="1"/>
  <c r="H587" i="5"/>
  <c r="G587" i="5" a="1"/>
  <c r="G587" i="5"/>
  <c r="F587" i="5"/>
  <c r="J586" i="5"/>
  <c r="H586" i="5" a="1"/>
  <c r="H586" i="5"/>
  <c r="G586" i="5" a="1"/>
  <c r="G586" i="5"/>
  <c r="F586" i="5"/>
  <c r="J585" i="5"/>
  <c r="H585" i="5" a="1"/>
  <c r="H585" i="5"/>
  <c r="G585" i="5" a="1"/>
  <c r="G585" i="5"/>
  <c r="F585" i="5"/>
  <c r="J584" i="5"/>
  <c r="H584" i="5" a="1"/>
  <c r="H584" i="5"/>
  <c r="G584" i="5" a="1"/>
  <c r="G584" i="5"/>
  <c r="F584" i="5"/>
  <c r="J583" i="5"/>
  <c r="H583" i="5" a="1"/>
  <c r="H583" i="5"/>
  <c r="G583" i="5" a="1"/>
  <c r="G583" i="5"/>
  <c r="F583" i="5"/>
  <c r="J582" i="5"/>
  <c r="H582" i="5" a="1"/>
  <c r="H582" i="5"/>
  <c r="G582" i="5" a="1"/>
  <c r="G582" i="5"/>
  <c r="F582" i="5"/>
  <c r="J581" i="5"/>
  <c r="H581" i="5" a="1"/>
  <c r="H581" i="5"/>
  <c r="G581" i="5" a="1"/>
  <c r="G581" i="5"/>
  <c r="F581" i="5"/>
  <c r="J580" i="5"/>
  <c r="H580" i="5" a="1"/>
  <c r="H580" i="5"/>
  <c r="G580" i="5" a="1"/>
  <c r="G580" i="5"/>
  <c r="F580" i="5"/>
  <c r="J579" i="5"/>
  <c r="H579" i="5" a="1"/>
  <c r="H579" i="5"/>
  <c r="G579" i="5" a="1"/>
  <c r="G579" i="5"/>
  <c r="F579" i="5"/>
  <c r="J578" i="5"/>
  <c r="H578" i="5" a="1"/>
  <c r="H578" i="5"/>
  <c r="G578" i="5" a="1"/>
  <c r="G578" i="5"/>
  <c r="F578" i="5"/>
  <c r="J577" i="5"/>
  <c r="H577" i="5" a="1"/>
  <c r="H577" i="5"/>
  <c r="G577" i="5" a="1"/>
  <c r="G577" i="5"/>
  <c r="F577" i="5"/>
  <c r="J576" i="5"/>
  <c r="H576" i="5" a="1"/>
  <c r="H576" i="5"/>
  <c r="G576" i="5" a="1"/>
  <c r="G576" i="5"/>
  <c r="F576" i="5"/>
  <c r="J575" i="5"/>
  <c r="H575" i="5" a="1"/>
  <c r="H575" i="5"/>
  <c r="G575" i="5" a="1"/>
  <c r="G575" i="5"/>
  <c r="F575" i="5"/>
  <c r="J574" i="5"/>
  <c r="H574" i="5" a="1"/>
  <c r="H574" i="5"/>
  <c r="G574" i="5" a="1"/>
  <c r="G574" i="5"/>
  <c r="F574" i="5"/>
  <c r="J573" i="5"/>
  <c r="H573" i="5" a="1"/>
  <c r="H573" i="5"/>
  <c r="G573" i="5" a="1"/>
  <c r="G573" i="5"/>
  <c r="F573" i="5"/>
  <c r="J572" i="5"/>
  <c r="H572" i="5" a="1"/>
  <c r="H572" i="5"/>
  <c r="G572" i="5" a="1"/>
  <c r="G572" i="5"/>
  <c r="F572" i="5"/>
  <c r="J571" i="5"/>
  <c r="H571" i="5" a="1"/>
  <c r="H571" i="5"/>
  <c r="G571" i="5" a="1"/>
  <c r="G571" i="5"/>
  <c r="F571" i="5"/>
  <c r="J570" i="5"/>
  <c r="H570" i="5" a="1"/>
  <c r="H570" i="5"/>
  <c r="G570" i="5" a="1"/>
  <c r="G570" i="5"/>
  <c r="F570" i="5"/>
  <c r="J569" i="5"/>
  <c r="H569" i="5" a="1"/>
  <c r="H569" i="5"/>
  <c r="G569" i="5" a="1"/>
  <c r="G569" i="5"/>
  <c r="F569" i="5"/>
  <c r="J568" i="5"/>
  <c r="H568" i="5" a="1"/>
  <c r="H568" i="5"/>
  <c r="G568" i="5" a="1"/>
  <c r="G568" i="5"/>
  <c r="F568" i="5"/>
  <c r="J567" i="5"/>
  <c r="H567" i="5" a="1"/>
  <c r="H567" i="5"/>
  <c r="G567" i="5" a="1"/>
  <c r="G567" i="5"/>
  <c r="F567" i="5"/>
  <c r="J566" i="5"/>
  <c r="H566" i="5" a="1"/>
  <c r="H566" i="5"/>
  <c r="G566" i="5" a="1"/>
  <c r="G566" i="5"/>
  <c r="F566" i="5"/>
  <c r="J565" i="5"/>
  <c r="H565" i="5" a="1"/>
  <c r="H565" i="5"/>
  <c r="G565" i="5" a="1"/>
  <c r="G565" i="5"/>
  <c r="F565" i="5"/>
  <c r="J564" i="5"/>
  <c r="H564" i="5" a="1"/>
  <c r="H564" i="5"/>
  <c r="G564" i="5" a="1"/>
  <c r="G564" i="5"/>
  <c r="F564" i="5"/>
  <c r="J563" i="5"/>
  <c r="H563" i="5" a="1"/>
  <c r="H563" i="5"/>
  <c r="G563" i="5" a="1"/>
  <c r="G563" i="5"/>
  <c r="F563" i="5"/>
  <c r="J562" i="5"/>
  <c r="H562" i="5" a="1"/>
  <c r="H562" i="5"/>
  <c r="G562" i="5" a="1"/>
  <c r="G562" i="5"/>
  <c r="F562" i="5"/>
  <c r="J561" i="5"/>
  <c r="H561" i="5" a="1"/>
  <c r="H561" i="5"/>
  <c r="G561" i="5" a="1"/>
  <c r="G561" i="5"/>
  <c r="F561" i="5"/>
  <c r="J560" i="5"/>
  <c r="H560" i="5" a="1"/>
  <c r="H560" i="5"/>
  <c r="G560" i="5" a="1"/>
  <c r="G560" i="5"/>
  <c r="F560" i="5"/>
  <c r="J559" i="5"/>
  <c r="H559" i="5" a="1"/>
  <c r="H559" i="5"/>
  <c r="G559" i="5" a="1"/>
  <c r="G559" i="5"/>
  <c r="F559" i="5"/>
  <c r="J558" i="5"/>
  <c r="H558" i="5" a="1"/>
  <c r="H558" i="5"/>
  <c r="G558" i="5" a="1"/>
  <c r="G558" i="5"/>
  <c r="F558" i="5"/>
  <c r="J557" i="5"/>
  <c r="H557" i="5" a="1"/>
  <c r="H557" i="5"/>
  <c r="G557" i="5" a="1"/>
  <c r="G557" i="5"/>
  <c r="F557" i="5"/>
  <c r="J556" i="5"/>
  <c r="H556" i="5" a="1"/>
  <c r="H556" i="5"/>
  <c r="G556" i="5" a="1"/>
  <c r="G556" i="5"/>
  <c r="F556" i="5"/>
  <c r="J555" i="5"/>
  <c r="H555" i="5" a="1"/>
  <c r="H555" i="5"/>
  <c r="G555" i="5" a="1"/>
  <c r="G555" i="5"/>
  <c r="F555" i="5"/>
  <c r="J554" i="5"/>
  <c r="H554" i="5" a="1"/>
  <c r="H554" i="5"/>
  <c r="G554" i="5" a="1"/>
  <c r="G554" i="5"/>
  <c r="F554" i="5"/>
  <c r="J553" i="5"/>
  <c r="H553" i="5" a="1"/>
  <c r="H553" i="5"/>
  <c r="G553" i="5" a="1"/>
  <c r="G553" i="5"/>
  <c r="F553" i="5"/>
  <c r="J552" i="5"/>
  <c r="H552" i="5" a="1"/>
  <c r="H552" i="5"/>
  <c r="G552" i="5" a="1"/>
  <c r="G552" i="5"/>
  <c r="F552" i="5"/>
  <c r="J551" i="5"/>
  <c r="H551" i="5" a="1"/>
  <c r="H551" i="5"/>
  <c r="G551" i="5" a="1"/>
  <c r="G551" i="5"/>
  <c r="F551" i="5"/>
  <c r="J550" i="5"/>
  <c r="H550" i="5" a="1"/>
  <c r="H550" i="5"/>
  <c r="G550" i="5" a="1"/>
  <c r="G550" i="5"/>
  <c r="F550" i="5"/>
  <c r="J549" i="5"/>
  <c r="H549" i="5" a="1"/>
  <c r="H549" i="5"/>
  <c r="G549" i="5" a="1"/>
  <c r="G549" i="5"/>
  <c r="F549" i="5"/>
  <c r="J548" i="5"/>
  <c r="H548" i="5" a="1"/>
  <c r="H548" i="5"/>
  <c r="G548" i="5" a="1"/>
  <c r="G548" i="5"/>
  <c r="F548" i="5"/>
  <c r="J547" i="5"/>
  <c r="H547" i="5" a="1"/>
  <c r="H547" i="5"/>
  <c r="G547" i="5" a="1"/>
  <c r="G547" i="5"/>
  <c r="F547" i="5"/>
  <c r="J546" i="5"/>
  <c r="H546" i="5" a="1"/>
  <c r="H546" i="5"/>
  <c r="G546" i="5" a="1"/>
  <c r="G546" i="5"/>
  <c r="F546" i="5"/>
  <c r="J545" i="5"/>
  <c r="H545" i="5" a="1"/>
  <c r="H545" i="5"/>
  <c r="G545" i="5" a="1"/>
  <c r="G545" i="5"/>
  <c r="F545" i="5"/>
  <c r="J544" i="5"/>
  <c r="H544" i="5" a="1"/>
  <c r="H544" i="5"/>
  <c r="G544" i="5" a="1"/>
  <c r="G544" i="5"/>
  <c r="F544" i="5"/>
  <c r="J543" i="5"/>
  <c r="H543" i="5" a="1"/>
  <c r="H543" i="5"/>
  <c r="G543" i="5" a="1"/>
  <c r="G543" i="5"/>
  <c r="F543" i="5"/>
  <c r="J542" i="5"/>
  <c r="H542" i="5" a="1"/>
  <c r="H542" i="5"/>
  <c r="G542" i="5" a="1"/>
  <c r="G542" i="5"/>
  <c r="F542" i="5"/>
  <c r="J541" i="5"/>
  <c r="H541" i="5" a="1"/>
  <c r="H541" i="5"/>
  <c r="G541" i="5" a="1"/>
  <c r="G541" i="5"/>
  <c r="F541" i="5"/>
  <c r="J540" i="5"/>
  <c r="H540" i="5" a="1"/>
  <c r="H540" i="5"/>
  <c r="G540" i="5" a="1"/>
  <c r="G540" i="5"/>
  <c r="F540" i="5"/>
  <c r="J539" i="5"/>
  <c r="H539" i="5" a="1"/>
  <c r="H539" i="5"/>
  <c r="G539" i="5" a="1"/>
  <c r="G539" i="5"/>
  <c r="F539" i="5"/>
  <c r="J538" i="5"/>
  <c r="H538" i="5" a="1"/>
  <c r="H538" i="5"/>
  <c r="G538" i="5" a="1"/>
  <c r="G538" i="5"/>
  <c r="F538" i="5"/>
  <c r="J537" i="5"/>
  <c r="H537" i="5" a="1"/>
  <c r="H537" i="5"/>
  <c r="G537" i="5" a="1"/>
  <c r="G537" i="5"/>
  <c r="F537" i="5"/>
  <c r="J536" i="5"/>
  <c r="H536" i="5" a="1"/>
  <c r="H536" i="5"/>
  <c r="G536" i="5" a="1"/>
  <c r="G536" i="5"/>
  <c r="F536" i="5"/>
  <c r="J535" i="5"/>
  <c r="H535" i="5" a="1"/>
  <c r="H535" i="5"/>
  <c r="G535" i="5" a="1"/>
  <c r="G535" i="5"/>
  <c r="F535" i="5"/>
  <c r="J534" i="5"/>
  <c r="H534" i="5" a="1"/>
  <c r="H534" i="5"/>
  <c r="G534" i="5" a="1"/>
  <c r="G534" i="5"/>
  <c r="F534" i="5"/>
  <c r="J533" i="5"/>
  <c r="H533" i="5" a="1"/>
  <c r="H533" i="5"/>
  <c r="G533" i="5" a="1"/>
  <c r="G533" i="5"/>
  <c r="F533" i="5"/>
  <c r="J532" i="5"/>
  <c r="H532" i="5" a="1"/>
  <c r="H532" i="5"/>
  <c r="G532" i="5" a="1"/>
  <c r="G532" i="5"/>
  <c r="F532" i="5"/>
  <c r="J531" i="5"/>
  <c r="H531" i="5" a="1"/>
  <c r="H531" i="5"/>
  <c r="G531" i="5" a="1"/>
  <c r="G531" i="5"/>
  <c r="F531" i="5"/>
  <c r="J530" i="5"/>
  <c r="H530" i="5" a="1"/>
  <c r="H530" i="5"/>
  <c r="G530" i="5" a="1"/>
  <c r="G530" i="5"/>
  <c r="F530" i="5"/>
  <c r="J529" i="5"/>
  <c r="H529" i="5" a="1"/>
  <c r="H529" i="5"/>
  <c r="G529" i="5" a="1"/>
  <c r="G529" i="5"/>
  <c r="F529" i="5"/>
  <c r="J528" i="5"/>
  <c r="H528" i="5" a="1"/>
  <c r="H528" i="5"/>
  <c r="G528" i="5" a="1"/>
  <c r="G528" i="5"/>
  <c r="F528" i="5"/>
  <c r="J527" i="5"/>
  <c r="H527" i="5" a="1"/>
  <c r="H527" i="5"/>
  <c r="G527" i="5" a="1"/>
  <c r="G527" i="5"/>
  <c r="F527" i="5"/>
  <c r="J526" i="5"/>
  <c r="H526" i="5" a="1"/>
  <c r="H526" i="5"/>
  <c r="G526" i="5" a="1"/>
  <c r="G526" i="5"/>
  <c r="F526" i="5"/>
  <c r="J525" i="5"/>
  <c r="H525" i="5" a="1"/>
  <c r="H525" i="5"/>
  <c r="G525" i="5" a="1"/>
  <c r="G525" i="5"/>
  <c r="F525" i="5"/>
  <c r="J524" i="5"/>
  <c r="H524" i="5" a="1"/>
  <c r="H524" i="5"/>
  <c r="G524" i="5" a="1"/>
  <c r="G524" i="5"/>
  <c r="F524" i="5"/>
  <c r="J523" i="5"/>
  <c r="H523" i="5" a="1"/>
  <c r="H523" i="5"/>
  <c r="G523" i="5" a="1"/>
  <c r="G523" i="5"/>
  <c r="F523" i="5"/>
  <c r="J522" i="5"/>
  <c r="H522" i="5" a="1"/>
  <c r="H522" i="5"/>
  <c r="G522" i="5" a="1"/>
  <c r="G522" i="5"/>
  <c r="F522" i="5"/>
  <c r="J521" i="5"/>
  <c r="H521" i="5" a="1"/>
  <c r="H521" i="5"/>
  <c r="G521" i="5" a="1"/>
  <c r="G521" i="5"/>
  <c r="F521" i="5"/>
  <c r="J520" i="5"/>
  <c r="H520" i="5" a="1"/>
  <c r="H520" i="5"/>
  <c r="G520" i="5" a="1"/>
  <c r="G520" i="5"/>
  <c r="F520" i="5"/>
  <c r="J519" i="5"/>
  <c r="H519" i="5" a="1"/>
  <c r="H519" i="5"/>
  <c r="G519" i="5" a="1"/>
  <c r="G519" i="5"/>
  <c r="F519" i="5"/>
  <c r="J518" i="5"/>
  <c r="H518" i="5" a="1"/>
  <c r="H518" i="5"/>
  <c r="G518" i="5" a="1"/>
  <c r="G518" i="5"/>
  <c r="F518" i="5"/>
  <c r="J517" i="5"/>
  <c r="H517" i="5" a="1"/>
  <c r="H517" i="5"/>
  <c r="G517" i="5" a="1"/>
  <c r="G517" i="5"/>
  <c r="F517" i="5"/>
  <c r="J516" i="5"/>
  <c r="H516" i="5" a="1"/>
  <c r="H516" i="5"/>
  <c r="G516" i="5" a="1"/>
  <c r="G516" i="5"/>
  <c r="F516" i="5"/>
  <c r="J515" i="5"/>
  <c r="H515" i="5" a="1"/>
  <c r="H515" i="5"/>
  <c r="G515" i="5" a="1"/>
  <c r="G515" i="5"/>
  <c r="F515" i="5"/>
  <c r="J514" i="5"/>
  <c r="H514" i="5" a="1"/>
  <c r="H514" i="5"/>
  <c r="G514" i="5" a="1"/>
  <c r="G514" i="5"/>
  <c r="F514" i="5"/>
  <c r="J513" i="5"/>
  <c r="H513" i="5" a="1"/>
  <c r="H513" i="5"/>
  <c r="G513" i="5" a="1"/>
  <c r="G513" i="5"/>
  <c r="F513" i="5"/>
  <c r="J512" i="5"/>
  <c r="H512" i="5" a="1"/>
  <c r="H512" i="5"/>
  <c r="G512" i="5" a="1"/>
  <c r="G512" i="5"/>
  <c r="F512" i="5"/>
  <c r="J511" i="5"/>
  <c r="H511" i="5" a="1"/>
  <c r="H511" i="5"/>
  <c r="G511" i="5" a="1"/>
  <c r="G511" i="5"/>
  <c r="F511" i="5"/>
  <c r="J510" i="5"/>
  <c r="H510" i="5" a="1"/>
  <c r="H510" i="5"/>
  <c r="G510" i="5" a="1"/>
  <c r="G510" i="5"/>
  <c r="F510" i="5"/>
  <c r="J509" i="5"/>
  <c r="H509" i="5" a="1"/>
  <c r="H509" i="5"/>
  <c r="G509" i="5" a="1"/>
  <c r="G509" i="5"/>
  <c r="F509" i="5"/>
  <c r="J508" i="5"/>
  <c r="H508" i="5" a="1"/>
  <c r="H508" i="5"/>
  <c r="G508" i="5" a="1"/>
  <c r="G508" i="5"/>
  <c r="F508" i="5"/>
  <c r="J507" i="5"/>
  <c r="H507" i="5" a="1"/>
  <c r="H507" i="5"/>
  <c r="G507" i="5" a="1"/>
  <c r="G507" i="5"/>
  <c r="F507" i="5"/>
  <c r="J506" i="5"/>
  <c r="H506" i="5" a="1"/>
  <c r="H506" i="5"/>
  <c r="G506" i="5" a="1"/>
  <c r="G506" i="5"/>
  <c r="F506" i="5"/>
  <c r="J505" i="5"/>
  <c r="H505" i="5" a="1"/>
  <c r="H505" i="5"/>
  <c r="G505" i="5" a="1"/>
  <c r="G505" i="5"/>
  <c r="F505" i="5"/>
  <c r="J504" i="5"/>
  <c r="H504" i="5" a="1"/>
  <c r="H504" i="5"/>
  <c r="G504" i="5" a="1"/>
  <c r="G504" i="5"/>
  <c r="F504" i="5"/>
  <c r="J503" i="5"/>
  <c r="H503" i="5" a="1"/>
  <c r="H503" i="5"/>
  <c r="G503" i="5" a="1"/>
  <c r="G503" i="5"/>
  <c r="F503" i="5"/>
  <c r="J502" i="5"/>
  <c r="H502" i="5" a="1"/>
  <c r="H502" i="5"/>
  <c r="G502" i="5" a="1"/>
  <c r="G502" i="5"/>
  <c r="F502" i="5"/>
  <c r="J501" i="5"/>
  <c r="H501" i="5" a="1"/>
  <c r="H501" i="5"/>
  <c r="G501" i="5" a="1"/>
  <c r="G501" i="5"/>
  <c r="F501" i="5"/>
  <c r="J500" i="5"/>
  <c r="H500" i="5" a="1"/>
  <c r="H500" i="5"/>
  <c r="G500" i="5" a="1"/>
  <c r="G500" i="5"/>
  <c r="F500" i="5"/>
  <c r="J499" i="5"/>
  <c r="H499" i="5" a="1"/>
  <c r="H499" i="5"/>
  <c r="G499" i="5" a="1"/>
  <c r="G499" i="5"/>
  <c r="F499" i="5"/>
  <c r="J498" i="5"/>
  <c r="H498" i="5" a="1"/>
  <c r="H498" i="5"/>
  <c r="G498" i="5" a="1"/>
  <c r="G498" i="5"/>
  <c r="F498" i="5"/>
  <c r="J497" i="5"/>
  <c r="H497" i="5" a="1"/>
  <c r="H497" i="5"/>
  <c r="G497" i="5" a="1"/>
  <c r="G497" i="5"/>
  <c r="F497" i="5"/>
  <c r="J496" i="5"/>
  <c r="H496" i="5" a="1"/>
  <c r="H496" i="5"/>
  <c r="G496" i="5" a="1"/>
  <c r="G496" i="5"/>
  <c r="F496" i="5"/>
  <c r="J495" i="5"/>
  <c r="H495" i="5" a="1"/>
  <c r="H495" i="5"/>
  <c r="G495" i="5" a="1"/>
  <c r="G495" i="5"/>
  <c r="F495" i="5"/>
  <c r="J494" i="5"/>
  <c r="H494" i="5" a="1"/>
  <c r="H494" i="5"/>
  <c r="G494" i="5" a="1"/>
  <c r="G494" i="5"/>
  <c r="F494" i="5"/>
  <c r="J493" i="5"/>
  <c r="H493" i="5" a="1"/>
  <c r="H493" i="5"/>
  <c r="G493" i="5" a="1"/>
  <c r="G493" i="5"/>
  <c r="F493" i="5"/>
  <c r="J492" i="5"/>
  <c r="H492" i="5" a="1"/>
  <c r="H492" i="5"/>
  <c r="G492" i="5" a="1"/>
  <c r="G492" i="5"/>
  <c r="F492" i="5"/>
  <c r="J491" i="5"/>
  <c r="H491" i="5" a="1"/>
  <c r="H491" i="5"/>
  <c r="G491" i="5" a="1"/>
  <c r="G491" i="5"/>
  <c r="F491" i="5"/>
  <c r="J490" i="5"/>
  <c r="H490" i="5" a="1"/>
  <c r="H490" i="5"/>
  <c r="G490" i="5" a="1"/>
  <c r="G490" i="5"/>
  <c r="F490" i="5"/>
  <c r="J489" i="5"/>
  <c r="H489" i="5" a="1"/>
  <c r="H489" i="5"/>
  <c r="G489" i="5" a="1"/>
  <c r="G489" i="5"/>
  <c r="F489" i="5"/>
  <c r="J488" i="5"/>
  <c r="H488" i="5" a="1"/>
  <c r="H488" i="5"/>
  <c r="G488" i="5" a="1"/>
  <c r="G488" i="5"/>
  <c r="F488" i="5"/>
  <c r="J487" i="5"/>
  <c r="H487" i="5" a="1"/>
  <c r="H487" i="5"/>
  <c r="G487" i="5" a="1"/>
  <c r="G487" i="5"/>
  <c r="F487" i="5"/>
  <c r="J486" i="5"/>
  <c r="H486" i="5" a="1"/>
  <c r="H486" i="5"/>
  <c r="G486" i="5" a="1"/>
  <c r="G486" i="5"/>
  <c r="F486" i="5"/>
  <c r="J485" i="5"/>
  <c r="H485" i="5" a="1"/>
  <c r="H485" i="5"/>
  <c r="G485" i="5" a="1"/>
  <c r="G485" i="5"/>
  <c r="F485" i="5"/>
  <c r="J484" i="5"/>
  <c r="H484" i="5" a="1"/>
  <c r="H484" i="5"/>
  <c r="G484" i="5" a="1"/>
  <c r="G484" i="5"/>
  <c r="F484" i="5"/>
  <c r="J483" i="5"/>
  <c r="H483" i="5" a="1"/>
  <c r="H483" i="5"/>
  <c r="G483" i="5" a="1"/>
  <c r="G483" i="5"/>
  <c r="F483" i="5"/>
  <c r="J482" i="5"/>
  <c r="H482" i="5" a="1"/>
  <c r="H482" i="5"/>
  <c r="G482" i="5" a="1"/>
  <c r="G482" i="5"/>
  <c r="F482" i="5"/>
  <c r="J481" i="5"/>
  <c r="H481" i="5" a="1"/>
  <c r="H481" i="5"/>
  <c r="G481" i="5" a="1"/>
  <c r="G481" i="5"/>
  <c r="F481" i="5"/>
  <c r="J480" i="5"/>
  <c r="H480" i="5" a="1"/>
  <c r="H480" i="5"/>
  <c r="G480" i="5" a="1"/>
  <c r="G480" i="5"/>
  <c r="F480" i="5"/>
  <c r="J479" i="5"/>
  <c r="H479" i="5" a="1"/>
  <c r="H479" i="5"/>
  <c r="G479" i="5" a="1"/>
  <c r="G479" i="5"/>
  <c r="F479" i="5"/>
  <c r="J478" i="5"/>
  <c r="H478" i="5" a="1"/>
  <c r="H478" i="5"/>
  <c r="G478" i="5" a="1"/>
  <c r="G478" i="5"/>
  <c r="F478" i="5"/>
  <c r="J477" i="5"/>
  <c r="H477" i="5" a="1"/>
  <c r="H477" i="5"/>
  <c r="G477" i="5" a="1"/>
  <c r="G477" i="5"/>
  <c r="F477" i="5"/>
  <c r="J476" i="5"/>
  <c r="H476" i="5" a="1"/>
  <c r="H476" i="5"/>
  <c r="G476" i="5" a="1"/>
  <c r="G476" i="5"/>
  <c r="F476" i="5"/>
  <c r="J475" i="5"/>
  <c r="H475" i="5" a="1"/>
  <c r="H475" i="5"/>
  <c r="G475" i="5" a="1"/>
  <c r="G475" i="5"/>
  <c r="F475" i="5"/>
  <c r="J474" i="5"/>
  <c r="H474" i="5" a="1"/>
  <c r="H474" i="5"/>
  <c r="G474" i="5" a="1"/>
  <c r="G474" i="5"/>
  <c r="F474" i="5"/>
  <c r="J473" i="5"/>
  <c r="H473" i="5" a="1"/>
  <c r="H473" i="5"/>
  <c r="G473" i="5" a="1"/>
  <c r="G473" i="5"/>
  <c r="F473" i="5"/>
  <c r="J472" i="5"/>
  <c r="H472" i="5" a="1"/>
  <c r="H472" i="5"/>
  <c r="G472" i="5" a="1"/>
  <c r="G472" i="5"/>
  <c r="F472" i="5"/>
  <c r="J471" i="5"/>
  <c r="H471" i="5" a="1"/>
  <c r="H471" i="5"/>
  <c r="G471" i="5" a="1"/>
  <c r="G471" i="5"/>
  <c r="F471" i="5"/>
  <c r="J470" i="5"/>
  <c r="H470" i="5" a="1"/>
  <c r="H470" i="5"/>
  <c r="G470" i="5" a="1"/>
  <c r="G470" i="5"/>
  <c r="F470" i="5"/>
  <c r="J469" i="5"/>
  <c r="H469" i="5" a="1"/>
  <c r="H469" i="5"/>
  <c r="G469" i="5" a="1"/>
  <c r="G469" i="5"/>
  <c r="F469" i="5"/>
  <c r="J468" i="5"/>
  <c r="H468" i="5" a="1"/>
  <c r="H468" i="5"/>
  <c r="G468" i="5" a="1"/>
  <c r="G468" i="5"/>
  <c r="F468" i="5"/>
  <c r="J467" i="5"/>
  <c r="H467" i="5" a="1"/>
  <c r="H467" i="5"/>
  <c r="G467" i="5" a="1"/>
  <c r="G467" i="5"/>
  <c r="F467" i="5"/>
  <c r="J466" i="5"/>
  <c r="H466" i="5" a="1"/>
  <c r="H466" i="5"/>
  <c r="G466" i="5" a="1"/>
  <c r="G466" i="5"/>
  <c r="F466" i="5"/>
  <c r="J465" i="5"/>
  <c r="H465" i="5" a="1"/>
  <c r="H465" i="5"/>
  <c r="G465" i="5" a="1"/>
  <c r="G465" i="5"/>
  <c r="F465" i="5"/>
  <c r="J464" i="5"/>
  <c r="H464" i="5" a="1"/>
  <c r="H464" i="5"/>
  <c r="G464" i="5" a="1"/>
  <c r="G464" i="5"/>
  <c r="F464" i="5"/>
  <c r="J463" i="5"/>
  <c r="H463" i="5" a="1"/>
  <c r="H463" i="5"/>
  <c r="G463" i="5" a="1"/>
  <c r="G463" i="5"/>
  <c r="F463" i="5"/>
  <c r="J462" i="5"/>
  <c r="H462" i="5" a="1"/>
  <c r="H462" i="5"/>
  <c r="G462" i="5" a="1"/>
  <c r="G462" i="5"/>
  <c r="F462" i="5"/>
  <c r="J461" i="5"/>
  <c r="H461" i="5" a="1"/>
  <c r="H461" i="5"/>
  <c r="G461" i="5" a="1"/>
  <c r="G461" i="5"/>
  <c r="F461" i="5"/>
  <c r="J460" i="5"/>
  <c r="H460" i="5" a="1"/>
  <c r="H460" i="5"/>
  <c r="G460" i="5" a="1"/>
  <c r="G460" i="5"/>
  <c r="F460" i="5"/>
  <c r="J459" i="5"/>
  <c r="H459" i="5" a="1"/>
  <c r="H459" i="5"/>
  <c r="G459" i="5" a="1"/>
  <c r="G459" i="5"/>
  <c r="F459" i="5"/>
  <c r="J458" i="5"/>
  <c r="H458" i="5" a="1"/>
  <c r="H458" i="5"/>
  <c r="G458" i="5" a="1"/>
  <c r="G458" i="5"/>
  <c r="F458" i="5"/>
  <c r="J457" i="5"/>
  <c r="H457" i="5" a="1"/>
  <c r="H457" i="5"/>
  <c r="G457" i="5" a="1"/>
  <c r="G457" i="5"/>
  <c r="F457" i="5"/>
  <c r="J456" i="5"/>
  <c r="H456" i="5" a="1"/>
  <c r="H456" i="5"/>
  <c r="G456" i="5" a="1"/>
  <c r="G456" i="5"/>
  <c r="F456" i="5"/>
  <c r="J455" i="5"/>
  <c r="H455" i="5" a="1"/>
  <c r="H455" i="5"/>
  <c r="G455" i="5" a="1"/>
  <c r="G455" i="5"/>
  <c r="F455" i="5"/>
  <c r="J454" i="5"/>
  <c r="H454" i="5" a="1"/>
  <c r="H454" i="5"/>
  <c r="G454" i="5" a="1"/>
  <c r="G454" i="5"/>
  <c r="F454" i="5"/>
  <c r="J453" i="5"/>
  <c r="H453" i="5" a="1"/>
  <c r="H453" i="5"/>
  <c r="G453" i="5" a="1"/>
  <c r="G453" i="5"/>
  <c r="F453" i="5"/>
  <c r="J452" i="5"/>
  <c r="H452" i="5" a="1"/>
  <c r="H452" i="5"/>
  <c r="G452" i="5" a="1"/>
  <c r="G452" i="5"/>
  <c r="F452" i="5"/>
  <c r="J451" i="5"/>
  <c r="H451" i="5" a="1"/>
  <c r="H451" i="5"/>
  <c r="G451" i="5" a="1"/>
  <c r="G451" i="5"/>
  <c r="F451" i="5"/>
  <c r="J450" i="5"/>
  <c r="H450" i="5" a="1"/>
  <c r="H450" i="5"/>
  <c r="G450" i="5" a="1"/>
  <c r="G450" i="5"/>
  <c r="F450" i="5"/>
  <c r="J449" i="5"/>
  <c r="H449" i="5" a="1"/>
  <c r="H449" i="5"/>
  <c r="G449" i="5" a="1"/>
  <c r="G449" i="5"/>
  <c r="F449" i="5"/>
  <c r="J448" i="5"/>
  <c r="H448" i="5" a="1"/>
  <c r="H448" i="5"/>
  <c r="G448" i="5" a="1"/>
  <c r="G448" i="5"/>
  <c r="F448" i="5"/>
  <c r="J447" i="5"/>
  <c r="H447" i="5" a="1"/>
  <c r="H447" i="5"/>
  <c r="G447" i="5" a="1"/>
  <c r="G447" i="5"/>
  <c r="F447" i="5"/>
  <c r="J446" i="5"/>
  <c r="H446" i="5" a="1"/>
  <c r="H446" i="5"/>
  <c r="G446" i="5" a="1"/>
  <c r="G446" i="5"/>
  <c r="F446" i="5"/>
  <c r="J445" i="5"/>
  <c r="H445" i="5" a="1"/>
  <c r="H445" i="5"/>
  <c r="G445" i="5" a="1"/>
  <c r="G445" i="5"/>
  <c r="F445" i="5"/>
  <c r="J444" i="5"/>
  <c r="H444" i="5" a="1"/>
  <c r="H444" i="5"/>
  <c r="G444" i="5" a="1"/>
  <c r="G444" i="5"/>
  <c r="F444" i="5"/>
  <c r="J443" i="5"/>
  <c r="H443" i="5" a="1"/>
  <c r="H443" i="5"/>
  <c r="G443" i="5" a="1"/>
  <c r="G443" i="5"/>
  <c r="F443" i="5"/>
  <c r="J442" i="5"/>
  <c r="H442" i="5" a="1"/>
  <c r="H442" i="5"/>
  <c r="G442" i="5" a="1"/>
  <c r="G442" i="5"/>
  <c r="F442" i="5"/>
  <c r="J441" i="5"/>
  <c r="H441" i="5" a="1"/>
  <c r="H441" i="5"/>
  <c r="G441" i="5" a="1"/>
  <c r="G441" i="5"/>
  <c r="F441" i="5"/>
  <c r="J440" i="5"/>
  <c r="H440" i="5" a="1"/>
  <c r="H440" i="5"/>
  <c r="G440" i="5" a="1"/>
  <c r="G440" i="5"/>
  <c r="F440" i="5"/>
  <c r="J439" i="5"/>
  <c r="H439" i="5" a="1"/>
  <c r="H439" i="5"/>
  <c r="G439" i="5" a="1"/>
  <c r="G439" i="5"/>
  <c r="F439" i="5"/>
  <c r="J438" i="5"/>
  <c r="H438" i="5" a="1"/>
  <c r="H438" i="5"/>
  <c r="G438" i="5" a="1"/>
  <c r="G438" i="5"/>
  <c r="F438" i="5"/>
  <c r="J437" i="5"/>
  <c r="H437" i="5" a="1"/>
  <c r="H437" i="5"/>
  <c r="G437" i="5" a="1"/>
  <c r="G437" i="5"/>
  <c r="F437" i="5"/>
  <c r="J436" i="5"/>
  <c r="H436" i="5" a="1"/>
  <c r="H436" i="5"/>
  <c r="G436" i="5" a="1"/>
  <c r="G436" i="5"/>
  <c r="F436" i="5"/>
  <c r="J435" i="5"/>
  <c r="H435" i="5" a="1"/>
  <c r="H435" i="5"/>
  <c r="G435" i="5" a="1"/>
  <c r="G435" i="5"/>
  <c r="F435" i="5"/>
  <c r="J434" i="5"/>
  <c r="H434" i="5" a="1"/>
  <c r="H434" i="5"/>
  <c r="G434" i="5" a="1"/>
  <c r="G434" i="5"/>
  <c r="F434" i="5"/>
  <c r="J433" i="5"/>
  <c r="H433" i="5" a="1"/>
  <c r="H433" i="5"/>
  <c r="G433" i="5" a="1"/>
  <c r="G433" i="5"/>
  <c r="F433" i="5"/>
  <c r="J432" i="5"/>
  <c r="H432" i="5" a="1"/>
  <c r="H432" i="5"/>
  <c r="G432" i="5" a="1"/>
  <c r="G432" i="5"/>
  <c r="F432" i="5"/>
  <c r="J431" i="5"/>
  <c r="H431" i="5" a="1"/>
  <c r="H431" i="5"/>
  <c r="G431" i="5" a="1"/>
  <c r="G431" i="5"/>
  <c r="F431" i="5"/>
  <c r="J430" i="5"/>
  <c r="H430" i="5" a="1"/>
  <c r="H430" i="5"/>
  <c r="G430" i="5" a="1"/>
  <c r="G430" i="5"/>
  <c r="F430" i="5"/>
  <c r="J429" i="5"/>
  <c r="H429" i="5" a="1"/>
  <c r="H429" i="5"/>
  <c r="G429" i="5" a="1"/>
  <c r="G429" i="5"/>
  <c r="F429" i="5"/>
  <c r="J428" i="5"/>
  <c r="H428" i="5" a="1"/>
  <c r="H428" i="5"/>
  <c r="G428" i="5" a="1"/>
  <c r="G428" i="5"/>
  <c r="F428" i="5"/>
  <c r="J427" i="5"/>
  <c r="H427" i="5" a="1"/>
  <c r="H427" i="5"/>
  <c r="G427" i="5" a="1"/>
  <c r="G427" i="5"/>
  <c r="F427" i="5"/>
  <c r="J426" i="5"/>
  <c r="H426" i="5" a="1"/>
  <c r="H426" i="5"/>
  <c r="G426" i="5" a="1"/>
  <c r="G426" i="5"/>
  <c r="F426" i="5"/>
  <c r="J425" i="5"/>
  <c r="H425" i="5" a="1"/>
  <c r="H425" i="5"/>
  <c r="G425" i="5" a="1"/>
  <c r="G425" i="5"/>
  <c r="F425" i="5"/>
  <c r="J424" i="5"/>
  <c r="H424" i="5" a="1"/>
  <c r="H424" i="5"/>
  <c r="G424" i="5" a="1"/>
  <c r="G424" i="5"/>
  <c r="F424" i="5"/>
  <c r="J423" i="5"/>
  <c r="H423" i="5" a="1"/>
  <c r="H423" i="5"/>
  <c r="G423" i="5" a="1"/>
  <c r="G423" i="5"/>
  <c r="F423" i="5"/>
  <c r="J422" i="5"/>
  <c r="H422" i="5" a="1"/>
  <c r="H422" i="5"/>
  <c r="G422" i="5" a="1"/>
  <c r="G422" i="5"/>
  <c r="F422" i="5"/>
  <c r="J421" i="5"/>
  <c r="H421" i="5" a="1"/>
  <c r="H421" i="5"/>
  <c r="G421" i="5" a="1"/>
  <c r="G421" i="5"/>
  <c r="F421" i="5"/>
  <c r="J420" i="5"/>
  <c r="H420" i="5" a="1"/>
  <c r="H420" i="5"/>
  <c r="G420" i="5" a="1"/>
  <c r="G420" i="5"/>
  <c r="F420" i="5"/>
  <c r="J419" i="5"/>
  <c r="H419" i="5" a="1"/>
  <c r="H419" i="5"/>
  <c r="G419" i="5" a="1"/>
  <c r="G419" i="5"/>
  <c r="F419" i="5"/>
  <c r="J418" i="5"/>
  <c r="H418" i="5" a="1"/>
  <c r="H418" i="5"/>
  <c r="G418" i="5" a="1"/>
  <c r="G418" i="5"/>
  <c r="F418" i="5"/>
  <c r="J417" i="5"/>
  <c r="H417" i="5" a="1"/>
  <c r="H417" i="5"/>
  <c r="G417" i="5" a="1"/>
  <c r="G417" i="5"/>
  <c r="F417" i="5"/>
  <c r="J416" i="5"/>
  <c r="H416" i="5" a="1"/>
  <c r="H416" i="5"/>
  <c r="G416" i="5" a="1"/>
  <c r="G416" i="5"/>
  <c r="F416" i="5"/>
  <c r="J415" i="5"/>
  <c r="H415" i="5" a="1"/>
  <c r="H415" i="5"/>
  <c r="G415" i="5" a="1"/>
  <c r="G415" i="5"/>
  <c r="F415" i="5"/>
  <c r="J414" i="5"/>
  <c r="H414" i="5" a="1"/>
  <c r="H414" i="5"/>
  <c r="G414" i="5" a="1"/>
  <c r="G414" i="5"/>
  <c r="F414" i="5"/>
  <c r="J413" i="5"/>
  <c r="H413" i="5" a="1"/>
  <c r="H413" i="5"/>
  <c r="G413" i="5" a="1"/>
  <c r="G413" i="5"/>
  <c r="F413" i="5"/>
  <c r="J412" i="5"/>
  <c r="H412" i="5" a="1"/>
  <c r="H412" i="5"/>
  <c r="G412" i="5" a="1"/>
  <c r="G412" i="5"/>
  <c r="F412" i="5"/>
  <c r="J411" i="5"/>
  <c r="H411" i="5" a="1"/>
  <c r="H411" i="5"/>
  <c r="G411" i="5" a="1"/>
  <c r="G411" i="5"/>
  <c r="F411" i="5"/>
  <c r="J410" i="5"/>
  <c r="H410" i="5" a="1"/>
  <c r="H410" i="5"/>
  <c r="G410" i="5" a="1"/>
  <c r="G410" i="5"/>
  <c r="F410" i="5"/>
  <c r="J409" i="5"/>
  <c r="H409" i="5" a="1"/>
  <c r="H409" i="5"/>
  <c r="G409" i="5" a="1"/>
  <c r="G409" i="5"/>
  <c r="F409" i="5"/>
  <c r="J408" i="5"/>
  <c r="H408" i="5" a="1"/>
  <c r="H408" i="5"/>
  <c r="G408" i="5" a="1"/>
  <c r="G408" i="5"/>
  <c r="F408" i="5"/>
  <c r="J407" i="5"/>
  <c r="H407" i="5" a="1"/>
  <c r="H407" i="5"/>
  <c r="G407" i="5" a="1"/>
  <c r="G407" i="5"/>
  <c r="F407" i="5"/>
  <c r="J406" i="5"/>
  <c r="H406" i="5" a="1"/>
  <c r="H406" i="5"/>
  <c r="G406" i="5" a="1"/>
  <c r="G406" i="5"/>
  <c r="F406" i="5"/>
  <c r="J405" i="5"/>
  <c r="H405" i="5" a="1"/>
  <c r="H405" i="5"/>
  <c r="G405" i="5" a="1"/>
  <c r="G405" i="5"/>
  <c r="F405" i="5"/>
  <c r="J404" i="5"/>
  <c r="H404" i="5" a="1"/>
  <c r="H404" i="5"/>
  <c r="G404" i="5" a="1"/>
  <c r="G404" i="5"/>
  <c r="F404" i="5"/>
  <c r="J403" i="5"/>
  <c r="H403" i="5" a="1"/>
  <c r="H403" i="5"/>
  <c r="G403" i="5" a="1"/>
  <c r="G403" i="5"/>
  <c r="F403" i="5"/>
  <c r="J402" i="5"/>
  <c r="H402" i="5" a="1"/>
  <c r="H402" i="5"/>
  <c r="G402" i="5" a="1"/>
  <c r="G402" i="5"/>
  <c r="F402" i="5"/>
  <c r="J401" i="5"/>
  <c r="H401" i="5" a="1"/>
  <c r="H401" i="5"/>
  <c r="G401" i="5" a="1"/>
  <c r="G401" i="5"/>
  <c r="F401" i="5"/>
  <c r="J400" i="5"/>
  <c r="H400" i="5" a="1"/>
  <c r="H400" i="5"/>
  <c r="G400" i="5" a="1"/>
  <c r="G400" i="5"/>
  <c r="F400" i="5"/>
  <c r="J399" i="5"/>
  <c r="H399" i="5" a="1"/>
  <c r="H399" i="5"/>
  <c r="G399" i="5" a="1"/>
  <c r="G399" i="5"/>
  <c r="F399" i="5"/>
  <c r="J398" i="5"/>
  <c r="H398" i="5" a="1"/>
  <c r="H398" i="5"/>
  <c r="G398" i="5" a="1"/>
  <c r="G398" i="5"/>
  <c r="F398" i="5"/>
  <c r="J397" i="5"/>
  <c r="H397" i="5" a="1"/>
  <c r="H397" i="5"/>
  <c r="G397" i="5" a="1"/>
  <c r="G397" i="5"/>
  <c r="F397" i="5"/>
  <c r="J396" i="5"/>
  <c r="H396" i="5" a="1"/>
  <c r="H396" i="5"/>
  <c r="G396" i="5" a="1"/>
  <c r="G396" i="5"/>
  <c r="F396" i="5"/>
  <c r="J395" i="5"/>
  <c r="H395" i="5" a="1"/>
  <c r="H395" i="5"/>
  <c r="G395" i="5" a="1"/>
  <c r="G395" i="5"/>
  <c r="F395" i="5"/>
  <c r="J394" i="5"/>
  <c r="H394" i="5" a="1"/>
  <c r="H394" i="5"/>
  <c r="G394" i="5" a="1"/>
  <c r="G394" i="5"/>
  <c r="F394" i="5"/>
  <c r="J393" i="5"/>
  <c r="H393" i="5" a="1"/>
  <c r="H393" i="5"/>
  <c r="G393" i="5" a="1"/>
  <c r="G393" i="5"/>
  <c r="F393" i="5"/>
  <c r="J392" i="5"/>
  <c r="H392" i="5" a="1"/>
  <c r="H392" i="5"/>
  <c r="G392" i="5" a="1"/>
  <c r="G392" i="5"/>
  <c r="F392" i="5"/>
  <c r="J391" i="5"/>
  <c r="H391" i="5" a="1"/>
  <c r="H391" i="5"/>
  <c r="G391" i="5" a="1"/>
  <c r="G391" i="5"/>
  <c r="F391" i="5"/>
  <c r="J390" i="5"/>
  <c r="H390" i="5" a="1"/>
  <c r="H390" i="5"/>
  <c r="G390" i="5" a="1"/>
  <c r="G390" i="5"/>
  <c r="F390" i="5"/>
  <c r="J389" i="5"/>
  <c r="H389" i="5" a="1"/>
  <c r="H389" i="5"/>
  <c r="G389" i="5" a="1"/>
  <c r="G389" i="5"/>
  <c r="F389" i="5"/>
  <c r="J388" i="5"/>
  <c r="H388" i="5" a="1"/>
  <c r="H388" i="5"/>
  <c r="G388" i="5" a="1"/>
  <c r="G388" i="5"/>
  <c r="F388" i="5"/>
  <c r="J387" i="5"/>
  <c r="H387" i="5" a="1"/>
  <c r="H387" i="5"/>
  <c r="G387" i="5" a="1"/>
  <c r="G387" i="5"/>
  <c r="F387" i="5"/>
  <c r="J386" i="5"/>
  <c r="H386" i="5" a="1"/>
  <c r="H386" i="5"/>
  <c r="G386" i="5" a="1"/>
  <c r="G386" i="5"/>
  <c r="F386" i="5"/>
  <c r="J385" i="5"/>
  <c r="H385" i="5" a="1"/>
  <c r="H385" i="5"/>
  <c r="G385" i="5" a="1"/>
  <c r="G385" i="5"/>
  <c r="F385" i="5"/>
  <c r="J384" i="5"/>
  <c r="H384" i="5" a="1"/>
  <c r="H384" i="5"/>
  <c r="G384" i="5" a="1"/>
  <c r="G384" i="5"/>
  <c r="F384" i="5"/>
  <c r="J383" i="5"/>
  <c r="H383" i="5" a="1"/>
  <c r="H383" i="5"/>
  <c r="G383" i="5" a="1"/>
  <c r="G383" i="5"/>
  <c r="F383" i="5"/>
  <c r="J382" i="5"/>
  <c r="H382" i="5" a="1"/>
  <c r="H382" i="5"/>
  <c r="G382" i="5" a="1"/>
  <c r="G382" i="5"/>
  <c r="F382" i="5"/>
  <c r="J381" i="5"/>
  <c r="H381" i="5" a="1"/>
  <c r="H381" i="5"/>
  <c r="G381" i="5" a="1"/>
  <c r="G381" i="5"/>
  <c r="F381" i="5"/>
  <c r="J380" i="5"/>
  <c r="H380" i="5" a="1"/>
  <c r="H380" i="5"/>
  <c r="G380" i="5" a="1"/>
  <c r="G380" i="5"/>
  <c r="F380" i="5"/>
  <c r="J379" i="5"/>
  <c r="H379" i="5" a="1"/>
  <c r="H379" i="5"/>
  <c r="G379" i="5" a="1"/>
  <c r="G379" i="5"/>
  <c r="F379" i="5"/>
  <c r="J378" i="5"/>
  <c r="H378" i="5" a="1"/>
  <c r="H378" i="5"/>
  <c r="G378" i="5" a="1"/>
  <c r="G378" i="5"/>
  <c r="F378" i="5"/>
  <c r="J377" i="5"/>
  <c r="H377" i="5" a="1"/>
  <c r="H377" i="5"/>
  <c r="G377" i="5" a="1"/>
  <c r="G377" i="5"/>
  <c r="F377" i="5"/>
  <c r="J376" i="5"/>
  <c r="H376" i="5" a="1"/>
  <c r="H376" i="5"/>
  <c r="G376" i="5" a="1"/>
  <c r="G376" i="5"/>
  <c r="F376" i="5"/>
  <c r="J375" i="5"/>
  <c r="H375" i="5" a="1"/>
  <c r="H375" i="5"/>
  <c r="G375" i="5" a="1"/>
  <c r="G375" i="5"/>
  <c r="F375" i="5"/>
  <c r="J374" i="5"/>
  <c r="H374" i="5" a="1"/>
  <c r="H374" i="5"/>
  <c r="G374" i="5" a="1"/>
  <c r="G374" i="5"/>
  <c r="F374" i="5"/>
  <c r="J373" i="5"/>
  <c r="H373" i="5" a="1"/>
  <c r="H373" i="5"/>
  <c r="G373" i="5" a="1"/>
  <c r="G373" i="5"/>
  <c r="F373" i="5"/>
  <c r="J372" i="5"/>
  <c r="H372" i="5" a="1"/>
  <c r="H372" i="5"/>
  <c r="G372" i="5" a="1"/>
  <c r="G372" i="5"/>
  <c r="F372" i="5"/>
  <c r="J371" i="5"/>
  <c r="H371" i="5" a="1"/>
  <c r="H371" i="5"/>
  <c r="G371" i="5" a="1"/>
  <c r="G371" i="5"/>
  <c r="F371" i="5"/>
  <c r="J370" i="5"/>
  <c r="H370" i="5" a="1"/>
  <c r="H370" i="5"/>
  <c r="G370" i="5" a="1"/>
  <c r="G370" i="5"/>
  <c r="F370" i="5"/>
  <c r="J369" i="5"/>
  <c r="H369" i="5" a="1"/>
  <c r="H369" i="5"/>
  <c r="G369" i="5" a="1"/>
  <c r="G369" i="5"/>
  <c r="F369" i="5"/>
  <c r="J368" i="5"/>
  <c r="H368" i="5" a="1"/>
  <c r="H368" i="5"/>
  <c r="G368" i="5" a="1"/>
  <c r="G368" i="5"/>
  <c r="F368" i="5"/>
  <c r="J367" i="5"/>
  <c r="H367" i="5" a="1"/>
  <c r="H367" i="5"/>
  <c r="G367" i="5" a="1"/>
  <c r="G367" i="5"/>
  <c r="F367" i="5"/>
  <c r="J366" i="5"/>
  <c r="H366" i="5" a="1"/>
  <c r="H366" i="5"/>
  <c r="G366" i="5" a="1"/>
  <c r="G366" i="5"/>
  <c r="F366" i="5"/>
  <c r="J365" i="5"/>
  <c r="H365" i="5" a="1"/>
  <c r="H365" i="5"/>
  <c r="G365" i="5" a="1"/>
  <c r="G365" i="5"/>
  <c r="F365" i="5"/>
  <c r="J364" i="5"/>
  <c r="H364" i="5" a="1"/>
  <c r="H364" i="5"/>
  <c r="G364" i="5" a="1"/>
  <c r="G364" i="5"/>
  <c r="F364" i="5"/>
  <c r="J363" i="5"/>
  <c r="H363" i="5" a="1"/>
  <c r="H363" i="5"/>
  <c r="G363" i="5" a="1"/>
  <c r="G363" i="5"/>
  <c r="F363" i="5"/>
  <c r="J362" i="5"/>
  <c r="H362" i="5" a="1"/>
  <c r="H362" i="5"/>
  <c r="G362" i="5" a="1"/>
  <c r="G362" i="5"/>
  <c r="F362" i="5"/>
  <c r="J361" i="5"/>
  <c r="H361" i="5" a="1"/>
  <c r="H361" i="5"/>
  <c r="G361" i="5" a="1"/>
  <c r="G361" i="5"/>
  <c r="F361" i="5"/>
  <c r="J360" i="5"/>
  <c r="H360" i="5" a="1"/>
  <c r="H360" i="5"/>
  <c r="G360" i="5" a="1"/>
  <c r="G360" i="5"/>
  <c r="F360" i="5"/>
  <c r="J359" i="5"/>
  <c r="H359" i="5" a="1"/>
  <c r="H359" i="5"/>
  <c r="G359" i="5" a="1"/>
  <c r="G359" i="5"/>
  <c r="F359" i="5"/>
  <c r="J358" i="5"/>
  <c r="H358" i="5" a="1"/>
  <c r="H358" i="5"/>
  <c r="G358" i="5" a="1"/>
  <c r="G358" i="5"/>
  <c r="F358" i="5"/>
  <c r="J357" i="5"/>
  <c r="H357" i="5" a="1"/>
  <c r="H357" i="5"/>
  <c r="G357" i="5" a="1"/>
  <c r="G357" i="5"/>
  <c r="F357" i="5"/>
  <c r="J356" i="5"/>
  <c r="H356" i="5" a="1"/>
  <c r="H356" i="5"/>
  <c r="G356" i="5" a="1"/>
  <c r="G356" i="5"/>
  <c r="F356" i="5"/>
  <c r="J355" i="5"/>
  <c r="H355" i="5" a="1"/>
  <c r="H355" i="5"/>
  <c r="G355" i="5" a="1"/>
  <c r="G355" i="5"/>
  <c r="F355" i="5"/>
  <c r="J354" i="5"/>
  <c r="H354" i="5" a="1"/>
  <c r="H354" i="5"/>
  <c r="G354" i="5" a="1"/>
  <c r="G354" i="5"/>
  <c r="F354" i="5"/>
  <c r="J353" i="5"/>
  <c r="H353" i="5" a="1"/>
  <c r="H353" i="5"/>
  <c r="G353" i="5" a="1"/>
  <c r="G353" i="5"/>
  <c r="F353" i="5"/>
  <c r="J352" i="5"/>
  <c r="H352" i="5" a="1"/>
  <c r="H352" i="5"/>
  <c r="G352" i="5" a="1"/>
  <c r="G352" i="5"/>
  <c r="F352" i="5"/>
  <c r="J351" i="5"/>
  <c r="H351" i="5" a="1"/>
  <c r="H351" i="5"/>
  <c r="G351" i="5" a="1"/>
  <c r="G351" i="5"/>
  <c r="F351" i="5"/>
  <c r="J350" i="5"/>
  <c r="H350" i="5" a="1"/>
  <c r="H350" i="5"/>
  <c r="G350" i="5" a="1"/>
  <c r="G350" i="5"/>
  <c r="F350" i="5"/>
  <c r="J349" i="5"/>
  <c r="H349" i="5" a="1"/>
  <c r="H349" i="5"/>
  <c r="G349" i="5" a="1"/>
  <c r="G349" i="5"/>
  <c r="F349" i="5"/>
  <c r="J348" i="5"/>
  <c r="H348" i="5" a="1"/>
  <c r="H348" i="5"/>
  <c r="G348" i="5" a="1"/>
  <c r="G348" i="5"/>
  <c r="F348" i="5"/>
  <c r="J347" i="5"/>
  <c r="H347" i="5" a="1"/>
  <c r="H347" i="5"/>
  <c r="G347" i="5" a="1"/>
  <c r="G347" i="5"/>
  <c r="F347" i="5"/>
  <c r="J346" i="5"/>
  <c r="H346" i="5" a="1"/>
  <c r="H346" i="5"/>
  <c r="G346" i="5" a="1"/>
  <c r="G346" i="5"/>
  <c r="F346" i="5"/>
  <c r="J345" i="5"/>
  <c r="H345" i="5" a="1"/>
  <c r="H345" i="5"/>
  <c r="G345" i="5" a="1"/>
  <c r="G345" i="5"/>
  <c r="F345" i="5"/>
  <c r="J344" i="5"/>
  <c r="H344" i="5" a="1"/>
  <c r="H344" i="5"/>
  <c r="G344" i="5" a="1"/>
  <c r="G344" i="5"/>
  <c r="F344" i="5"/>
  <c r="J343" i="5"/>
  <c r="H343" i="5" a="1"/>
  <c r="H343" i="5"/>
  <c r="G343" i="5" a="1"/>
  <c r="G343" i="5"/>
  <c r="F343" i="5"/>
  <c r="J342" i="5"/>
  <c r="H342" i="5" a="1"/>
  <c r="H342" i="5"/>
  <c r="G342" i="5" a="1"/>
  <c r="G342" i="5"/>
  <c r="F342" i="5"/>
  <c r="J341" i="5"/>
  <c r="H341" i="5" a="1"/>
  <c r="H341" i="5"/>
  <c r="G341" i="5" a="1"/>
  <c r="G341" i="5"/>
  <c r="F341" i="5"/>
  <c r="J340" i="5"/>
  <c r="H340" i="5" a="1"/>
  <c r="H340" i="5"/>
  <c r="G340" i="5" a="1"/>
  <c r="G340" i="5"/>
  <c r="F340" i="5"/>
  <c r="J339" i="5"/>
  <c r="H339" i="5" a="1"/>
  <c r="H339" i="5"/>
  <c r="G339" i="5" a="1"/>
  <c r="G339" i="5"/>
  <c r="F339" i="5"/>
  <c r="J338" i="5"/>
  <c r="H338" i="5" a="1"/>
  <c r="H338" i="5"/>
  <c r="G338" i="5" a="1"/>
  <c r="G338" i="5"/>
  <c r="F338" i="5"/>
  <c r="J337" i="5"/>
  <c r="H337" i="5" a="1"/>
  <c r="H337" i="5"/>
  <c r="G337" i="5" a="1"/>
  <c r="G337" i="5"/>
  <c r="F337" i="5"/>
  <c r="J336" i="5"/>
  <c r="H336" i="5" a="1"/>
  <c r="H336" i="5"/>
  <c r="G336" i="5" a="1"/>
  <c r="G336" i="5"/>
  <c r="F336" i="5"/>
  <c r="J335" i="5"/>
  <c r="H335" i="5" a="1"/>
  <c r="H335" i="5"/>
  <c r="G335" i="5" a="1"/>
  <c r="G335" i="5"/>
  <c r="F335" i="5"/>
  <c r="J334" i="5"/>
  <c r="H334" i="5" a="1"/>
  <c r="H334" i="5"/>
  <c r="G334" i="5" a="1"/>
  <c r="G334" i="5"/>
  <c r="F334" i="5"/>
  <c r="J333" i="5"/>
  <c r="H333" i="5" a="1"/>
  <c r="H333" i="5"/>
  <c r="G333" i="5" a="1"/>
  <c r="G333" i="5"/>
  <c r="F333" i="5"/>
  <c r="J332" i="5"/>
  <c r="H332" i="5" a="1"/>
  <c r="H332" i="5"/>
  <c r="G332" i="5" a="1"/>
  <c r="G332" i="5"/>
  <c r="F332" i="5"/>
  <c r="J331" i="5"/>
  <c r="H331" i="5" a="1"/>
  <c r="H331" i="5"/>
  <c r="G331" i="5" a="1"/>
  <c r="G331" i="5"/>
  <c r="F331" i="5"/>
  <c r="J330" i="5"/>
  <c r="H330" i="5" a="1"/>
  <c r="H330" i="5"/>
  <c r="G330" i="5" a="1"/>
  <c r="G330" i="5"/>
  <c r="F330" i="5"/>
  <c r="J329" i="5"/>
  <c r="H329" i="5" a="1"/>
  <c r="H329" i="5"/>
  <c r="G329" i="5" a="1"/>
  <c r="G329" i="5"/>
  <c r="F329" i="5"/>
  <c r="J328" i="5"/>
  <c r="H328" i="5" a="1"/>
  <c r="H328" i="5"/>
  <c r="G328" i="5" a="1"/>
  <c r="G328" i="5"/>
  <c r="F328" i="5"/>
  <c r="J327" i="5"/>
  <c r="H327" i="5" a="1"/>
  <c r="H327" i="5"/>
  <c r="G327" i="5" a="1"/>
  <c r="G327" i="5"/>
  <c r="F327" i="5"/>
  <c r="J326" i="5"/>
  <c r="H326" i="5" a="1"/>
  <c r="H326" i="5"/>
  <c r="G326" i="5" a="1"/>
  <c r="G326" i="5"/>
  <c r="F326" i="5"/>
  <c r="J325" i="5"/>
  <c r="H325" i="5" a="1"/>
  <c r="H325" i="5"/>
  <c r="G325" i="5" a="1"/>
  <c r="G325" i="5"/>
  <c r="F325" i="5"/>
  <c r="J324" i="5"/>
  <c r="H324" i="5" a="1"/>
  <c r="H324" i="5"/>
  <c r="G324" i="5" a="1"/>
  <c r="G324" i="5"/>
  <c r="F324" i="5"/>
  <c r="J323" i="5"/>
  <c r="H323" i="5" a="1"/>
  <c r="H323" i="5"/>
  <c r="G323" i="5" a="1"/>
  <c r="G323" i="5"/>
  <c r="F323" i="5"/>
  <c r="J322" i="5"/>
  <c r="H322" i="5" a="1"/>
  <c r="H322" i="5"/>
  <c r="G322" i="5" a="1"/>
  <c r="G322" i="5"/>
  <c r="F322" i="5"/>
  <c r="J321" i="5"/>
  <c r="H321" i="5" a="1"/>
  <c r="H321" i="5"/>
  <c r="G321" i="5" a="1"/>
  <c r="G321" i="5"/>
  <c r="F321" i="5"/>
  <c r="J320" i="5"/>
  <c r="H320" i="5" a="1"/>
  <c r="H320" i="5"/>
  <c r="G320" i="5" a="1"/>
  <c r="G320" i="5"/>
  <c r="F320" i="5"/>
  <c r="J319" i="5"/>
  <c r="H319" i="5" a="1"/>
  <c r="H319" i="5"/>
  <c r="G319" i="5" a="1"/>
  <c r="G319" i="5"/>
  <c r="F319" i="5"/>
  <c r="J318" i="5"/>
  <c r="H318" i="5" a="1"/>
  <c r="H318" i="5"/>
  <c r="G318" i="5" a="1"/>
  <c r="G318" i="5"/>
  <c r="F318" i="5"/>
  <c r="J317" i="5"/>
  <c r="H317" i="5" a="1"/>
  <c r="H317" i="5"/>
  <c r="G317" i="5" a="1"/>
  <c r="G317" i="5"/>
  <c r="F317" i="5"/>
  <c r="J316" i="5"/>
  <c r="H316" i="5" a="1"/>
  <c r="H316" i="5"/>
  <c r="G316" i="5" a="1"/>
  <c r="G316" i="5"/>
  <c r="F316" i="5"/>
  <c r="J315" i="5"/>
  <c r="H315" i="5" a="1"/>
  <c r="H315" i="5"/>
  <c r="G315" i="5" a="1"/>
  <c r="G315" i="5"/>
  <c r="F315" i="5"/>
  <c r="J314" i="5"/>
  <c r="H314" i="5" a="1"/>
  <c r="H314" i="5"/>
  <c r="G314" i="5" a="1"/>
  <c r="G314" i="5"/>
  <c r="F314" i="5"/>
  <c r="J313" i="5"/>
  <c r="H313" i="5" a="1"/>
  <c r="H313" i="5"/>
  <c r="G313" i="5" a="1"/>
  <c r="G313" i="5"/>
  <c r="F313" i="5"/>
  <c r="J312" i="5"/>
  <c r="H312" i="5" a="1"/>
  <c r="H312" i="5"/>
  <c r="G312" i="5" a="1"/>
  <c r="G312" i="5"/>
  <c r="F312" i="5"/>
  <c r="J311" i="5"/>
  <c r="H311" i="5" a="1"/>
  <c r="H311" i="5"/>
  <c r="G311" i="5" a="1"/>
  <c r="G311" i="5"/>
  <c r="F311" i="5"/>
  <c r="J310" i="5"/>
  <c r="H310" i="5" a="1"/>
  <c r="H310" i="5"/>
  <c r="G310" i="5" a="1"/>
  <c r="G310" i="5"/>
  <c r="F310" i="5"/>
  <c r="J309" i="5"/>
  <c r="H309" i="5" a="1"/>
  <c r="H309" i="5"/>
  <c r="G309" i="5" a="1"/>
  <c r="G309" i="5"/>
  <c r="F309" i="5"/>
  <c r="J308" i="5"/>
  <c r="H308" i="5" a="1"/>
  <c r="H308" i="5"/>
  <c r="G308" i="5" a="1"/>
  <c r="G308" i="5"/>
  <c r="F308" i="5"/>
  <c r="J307" i="5"/>
  <c r="H307" i="5" a="1"/>
  <c r="H307" i="5"/>
  <c r="G307" i="5" a="1"/>
  <c r="G307" i="5"/>
  <c r="F307" i="5"/>
  <c r="J306" i="5"/>
  <c r="H306" i="5" a="1"/>
  <c r="H306" i="5"/>
  <c r="G306" i="5" a="1"/>
  <c r="G306" i="5"/>
  <c r="F306" i="5"/>
  <c r="J305" i="5"/>
  <c r="H305" i="5" a="1"/>
  <c r="H305" i="5"/>
  <c r="G305" i="5" a="1"/>
  <c r="G305" i="5"/>
  <c r="F305" i="5"/>
  <c r="J304" i="5"/>
  <c r="H304" i="5" a="1"/>
  <c r="H304" i="5"/>
  <c r="G304" i="5" a="1"/>
  <c r="G304" i="5"/>
  <c r="F304" i="5"/>
  <c r="J303" i="5"/>
  <c r="H303" i="5" a="1"/>
  <c r="H303" i="5"/>
  <c r="G303" i="5" a="1"/>
  <c r="G303" i="5"/>
  <c r="F303" i="5"/>
  <c r="J302" i="5"/>
  <c r="H302" i="5" a="1"/>
  <c r="H302" i="5"/>
  <c r="G302" i="5" a="1"/>
  <c r="G302" i="5"/>
  <c r="F302" i="5"/>
  <c r="J301" i="5"/>
  <c r="H301" i="5" a="1"/>
  <c r="H301" i="5"/>
  <c r="G301" i="5" a="1"/>
  <c r="G301" i="5"/>
  <c r="F301" i="5"/>
  <c r="J300" i="5"/>
  <c r="H300" i="5" a="1"/>
  <c r="H300" i="5"/>
  <c r="G300" i="5" a="1"/>
  <c r="G300" i="5"/>
  <c r="F300" i="5"/>
  <c r="J299" i="5"/>
  <c r="H299" i="5" a="1"/>
  <c r="H299" i="5"/>
  <c r="G299" i="5" a="1"/>
  <c r="G299" i="5"/>
  <c r="F299" i="5"/>
  <c r="J298" i="5"/>
  <c r="H298" i="5" a="1"/>
  <c r="H298" i="5"/>
  <c r="G298" i="5" a="1"/>
  <c r="G298" i="5"/>
  <c r="F298" i="5"/>
  <c r="J297" i="5"/>
  <c r="H297" i="5" a="1"/>
  <c r="H297" i="5"/>
  <c r="G297" i="5" a="1"/>
  <c r="G297" i="5"/>
  <c r="F297" i="5"/>
  <c r="J296" i="5"/>
  <c r="H296" i="5" a="1"/>
  <c r="H296" i="5"/>
  <c r="G296" i="5" a="1"/>
  <c r="G296" i="5"/>
  <c r="F296" i="5"/>
  <c r="J295" i="5"/>
  <c r="H295" i="5" a="1"/>
  <c r="H295" i="5"/>
  <c r="G295" i="5" a="1"/>
  <c r="G295" i="5"/>
  <c r="F295" i="5"/>
  <c r="J294" i="5"/>
  <c r="H294" i="5" a="1"/>
  <c r="H294" i="5"/>
  <c r="G294" i="5" a="1"/>
  <c r="G294" i="5"/>
  <c r="F294" i="5"/>
  <c r="J293" i="5"/>
  <c r="H293" i="5" a="1"/>
  <c r="H293" i="5"/>
  <c r="G293" i="5" a="1"/>
  <c r="G293" i="5"/>
  <c r="F293" i="5"/>
  <c r="J292" i="5"/>
  <c r="H292" i="5" a="1"/>
  <c r="H292" i="5"/>
  <c r="G292" i="5" a="1"/>
  <c r="G292" i="5"/>
  <c r="F292" i="5"/>
  <c r="J291" i="5"/>
  <c r="H291" i="5" a="1"/>
  <c r="H291" i="5"/>
  <c r="G291" i="5" a="1"/>
  <c r="G291" i="5"/>
  <c r="F291" i="5"/>
  <c r="J290" i="5"/>
  <c r="H290" i="5" a="1"/>
  <c r="H290" i="5"/>
  <c r="G290" i="5" a="1"/>
  <c r="G290" i="5"/>
  <c r="F290" i="5"/>
  <c r="J289" i="5"/>
  <c r="H289" i="5" a="1"/>
  <c r="H289" i="5"/>
  <c r="G289" i="5" a="1"/>
  <c r="G289" i="5"/>
  <c r="F289" i="5"/>
  <c r="J288" i="5"/>
  <c r="H288" i="5" a="1"/>
  <c r="H288" i="5"/>
  <c r="G288" i="5" a="1"/>
  <c r="G288" i="5"/>
  <c r="F288" i="5"/>
  <c r="J287" i="5"/>
  <c r="H287" i="5" a="1"/>
  <c r="H287" i="5"/>
  <c r="G287" i="5" a="1"/>
  <c r="G287" i="5"/>
  <c r="F287" i="5"/>
  <c r="J286" i="5"/>
  <c r="H286" i="5" a="1"/>
  <c r="H286" i="5"/>
  <c r="G286" i="5" a="1"/>
  <c r="G286" i="5"/>
  <c r="F286" i="5"/>
  <c r="J285" i="5"/>
  <c r="H285" i="5" a="1"/>
  <c r="H285" i="5"/>
  <c r="G285" i="5" a="1"/>
  <c r="G285" i="5"/>
  <c r="F285" i="5"/>
  <c r="J284" i="5"/>
  <c r="H284" i="5" a="1"/>
  <c r="H284" i="5"/>
  <c r="G284" i="5" a="1"/>
  <c r="G284" i="5"/>
  <c r="F284" i="5"/>
  <c r="J283" i="5"/>
  <c r="H283" i="5" a="1"/>
  <c r="H283" i="5"/>
  <c r="G283" i="5" a="1"/>
  <c r="G283" i="5"/>
  <c r="F283" i="5"/>
  <c r="J282" i="5"/>
  <c r="H282" i="5" a="1"/>
  <c r="H282" i="5"/>
  <c r="G282" i="5" a="1"/>
  <c r="G282" i="5"/>
  <c r="F282" i="5"/>
  <c r="J281" i="5"/>
  <c r="H281" i="5" a="1"/>
  <c r="H281" i="5"/>
  <c r="G281" i="5" a="1"/>
  <c r="G281" i="5"/>
  <c r="F281" i="5"/>
  <c r="J280" i="5"/>
  <c r="H280" i="5" a="1"/>
  <c r="H280" i="5"/>
  <c r="G280" i="5" a="1"/>
  <c r="G280" i="5"/>
  <c r="F280" i="5"/>
  <c r="J279" i="5"/>
  <c r="H279" i="5" a="1"/>
  <c r="H279" i="5"/>
  <c r="G279" i="5" a="1"/>
  <c r="G279" i="5"/>
  <c r="F279" i="5"/>
  <c r="J278" i="5"/>
  <c r="H278" i="5" a="1"/>
  <c r="H278" i="5"/>
  <c r="G278" i="5" a="1"/>
  <c r="G278" i="5"/>
  <c r="F278" i="5"/>
  <c r="J277" i="5"/>
  <c r="H277" i="5" a="1"/>
  <c r="H277" i="5"/>
  <c r="G277" i="5" a="1"/>
  <c r="G277" i="5"/>
  <c r="F277" i="5"/>
  <c r="J276" i="5"/>
  <c r="H276" i="5" a="1"/>
  <c r="H276" i="5"/>
  <c r="G276" i="5" a="1"/>
  <c r="G276" i="5"/>
  <c r="F276" i="5"/>
  <c r="J275" i="5"/>
  <c r="H275" i="5" a="1"/>
  <c r="H275" i="5"/>
  <c r="G275" i="5" a="1"/>
  <c r="G275" i="5"/>
  <c r="F275" i="5"/>
  <c r="J274" i="5"/>
  <c r="H274" i="5" a="1"/>
  <c r="H274" i="5"/>
  <c r="G274" i="5" a="1"/>
  <c r="G274" i="5"/>
  <c r="F274" i="5"/>
  <c r="J273" i="5"/>
  <c r="H273" i="5" a="1"/>
  <c r="H273" i="5"/>
  <c r="G273" i="5" a="1"/>
  <c r="G273" i="5"/>
  <c r="F273" i="5"/>
  <c r="J272" i="5"/>
  <c r="H272" i="5" a="1"/>
  <c r="H272" i="5"/>
  <c r="G272" i="5" a="1"/>
  <c r="G272" i="5"/>
  <c r="F272" i="5"/>
  <c r="J271" i="5"/>
  <c r="H271" i="5" a="1"/>
  <c r="H271" i="5"/>
  <c r="G271" i="5" a="1"/>
  <c r="G271" i="5"/>
  <c r="F271" i="5"/>
  <c r="J270" i="5"/>
  <c r="H270" i="5" a="1"/>
  <c r="H270" i="5"/>
  <c r="G270" i="5" a="1"/>
  <c r="G270" i="5"/>
  <c r="F270" i="5"/>
  <c r="J269" i="5"/>
  <c r="H269" i="5" a="1"/>
  <c r="H269" i="5"/>
  <c r="G269" i="5" a="1"/>
  <c r="G269" i="5"/>
  <c r="F269" i="5"/>
  <c r="J268" i="5"/>
  <c r="H268" i="5" a="1"/>
  <c r="H268" i="5"/>
  <c r="G268" i="5" a="1"/>
  <c r="G268" i="5"/>
  <c r="F268" i="5"/>
  <c r="J267" i="5"/>
  <c r="H267" i="5" a="1"/>
  <c r="H267" i="5"/>
  <c r="G267" i="5" a="1"/>
  <c r="G267" i="5"/>
  <c r="F267" i="5"/>
  <c r="J266" i="5"/>
  <c r="H266" i="5" a="1"/>
  <c r="H266" i="5"/>
  <c r="G266" i="5" a="1"/>
  <c r="G266" i="5"/>
  <c r="F266" i="5"/>
  <c r="J265" i="5"/>
  <c r="H265" i="5" a="1"/>
  <c r="H265" i="5"/>
  <c r="G265" i="5" a="1"/>
  <c r="G265" i="5"/>
  <c r="F265" i="5"/>
  <c r="J264" i="5"/>
  <c r="H264" i="5" a="1"/>
  <c r="H264" i="5"/>
  <c r="G264" i="5" a="1"/>
  <c r="G264" i="5"/>
  <c r="F264" i="5"/>
  <c r="J263" i="5"/>
  <c r="H263" i="5" a="1"/>
  <c r="H263" i="5"/>
  <c r="G263" i="5" a="1"/>
  <c r="G263" i="5"/>
  <c r="F263" i="5"/>
  <c r="J262" i="5"/>
  <c r="H262" i="5" a="1"/>
  <c r="H262" i="5"/>
  <c r="G262" i="5" a="1"/>
  <c r="G262" i="5"/>
  <c r="F262" i="5"/>
  <c r="J261" i="5"/>
  <c r="H261" i="5" a="1"/>
  <c r="H261" i="5"/>
  <c r="G261" i="5" a="1"/>
  <c r="G261" i="5"/>
  <c r="F261" i="5"/>
  <c r="J260" i="5"/>
  <c r="H260" i="5" a="1"/>
  <c r="H260" i="5"/>
  <c r="G260" i="5" a="1"/>
  <c r="G260" i="5"/>
  <c r="F260" i="5"/>
  <c r="J259" i="5"/>
  <c r="H259" i="5" a="1"/>
  <c r="H259" i="5"/>
  <c r="G259" i="5" a="1"/>
  <c r="G259" i="5"/>
  <c r="F259" i="5"/>
  <c r="J258" i="5"/>
  <c r="H258" i="5" a="1"/>
  <c r="H258" i="5"/>
  <c r="G258" i="5" a="1"/>
  <c r="G258" i="5"/>
  <c r="F258" i="5"/>
  <c r="J257" i="5"/>
  <c r="H257" i="5" a="1"/>
  <c r="H257" i="5"/>
  <c r="G257" i="5" a="1"/>
  <c r="G257" i="5"/>
  <c r="F257" i="5"/>
  <c r="J256" i="5"/>
  <c r="H256" i="5" a="1"/>
  <c r="H256" i="5"/>
  <c r="G256" i="5" a="1"/>
  <c r="G256" i="5"/>
  <c r="F256" i="5"/>
  <c r="J255" i="5"/>
  <c r="H255" i="5" a="1"/>
  <c r="H255" i="5"/>
  <c r="G255" i="5" a="1"/>
  <c r="G255" i="5"/>
  <c r="F255" i="5"/>
  <c r="J254" i="5"/>
  <c r="H254" i="5" a="1"/>
  <c r="H254" i="5"/>
  <c r="G254" i="5" a="1"/>
  <c r="G254" i="5"/>
  <c r="F254" i="5"/>
  <c r="J253" i="5"/>
  <c r="H253" i="5" a="1"/>
  <c r="H253" i="5"/>
  <c r="G253" i="5" a="1"/>
  <c r="G253" i="5"/>
  <c r="F253" i="5"/>
  <c r="J252" i="5"/>
  <c r="H252" i="5" a="1"/>
  <c r="H252" i="5"/>
  <c r="G252" i="5" a="1"/>
  <c r="G252" i="5"/>
  <c r="F252" i="5"/>
  <c r="J251" i="5"/>
  <c r="H251" i="5" a="1"/>
  <c r="H251" i="5"/>
  <c r="G251" i="5" a="1"/>
  <c r="G251" i="5"/>
  <c r="F251" i="5"/>
  <c r="J250" i="5"/>
  <c r="H250" i="5" a="1"/>
  <c r="H250" i="5"/>
  <c r="G250" i="5" a="1"/>
  <c r="G250" i="5"/>
  <c r="F250" i="5"/>
  <c r="J249" i="5"/>
  <c r="H249" i="5" a="1"/>
  <c r="H249" i="5"/>
  <c r="G249" i="5" a="1"/>
  <c r="G249" i="5"/>
  <c r="F249" i="5"/>
  <c r="J248" i="5"/>
  <c r="H248" i="5" a="1"/>
  <c r="H248" i="5"/>
  <c r="G248" i="5" a="1"/>
  <c r="G248" i="5"/>
  <c r="F248" i="5"/>
  <c r="J247" i="5"/>
  <c r="H247" i="5" a="1"/>
  <c r="H247" i="5"/>
  <c r="G247" i="5" a="1"/>
  <c r="G247" i="5"/>
  <c r="F247" i="5"/>
  <c r="J246" i="5"/>
  <c r="H246" i="5" a="1"/>
  <c r="H246" i="5"/>
  <c r="G246" i="5" a="1"/>
  <c r="G246" i="5"/>
  <c r="F246" i="5"/>
  <c r="J245" i="5"/>
  <c r="H245" i="5" a="1"/>
  <c r="H245" i="5"/>
  <c r="G245" i="5" a="1"/>
  <c r="G245" i="5"/>
  <c r="F245" i="5"/>
  <c r="J244" i="5"/>
  <c r="H244" i="5" a="1"/>
  <c r="H244" i="5"/>
  <c r="G244" i="5" a="1"/>
  <c r="G244" i="5"/>
  <c r="F244" i="5"/>
  <c r="J243" i="5"/>
  <c r="H243" i="5" a="1"/>
  <c r="H243" i="5"/>
  <c r="G243" i="5" a="1"/>
  <c r="G243" i="5"/>
  <c r="F243" i="5"/>
  <c r="J242" i="5"/>
  <c r="H242" i="5" a="1"/>
  <c r="H242" i="5"/>
  <c r="G242" i="5" a="1"/>
  <c r="G242" i="5"/>
  <c r="F242" i="5"/>
  <c r="J241" i="5"/>
  <c r="H241" i="5" a="1"/>
  <c r="H241" i="5"/>
  <c r="G241" i="5" a="1"/>
  <c r="G241" i="5"/>
  <c r="F241" i="5"/>
  <c r="J240" i="5"/>
  <c r="H240" i="5" a="1"/>
  <c r="H240" i="5"/>
  <c r="G240" i="5" a="1"/>
  <c r="G240" i="5"/>
  <c r="F240" i="5"/>
  <c r="J239" i="5"/>
  <c r="H239" i="5" a="1"/>
  <c r="H239" i="5"/>
  <c r="G239" i="5" a="1"/>
  <c r="G239" i="5"/>
  <c r="F239" i="5"/>
  <c r="J238" i="5"/>
  <c r="H238" i="5" a="1"/>
  <c r="H238" i="5"/>
  <c r="G238" i="5" a="1"/>
  <c r="G238" i="5"/>
  <c r="F238" i="5"/>
  <c r="J237" i="5"/>
  <c r="H237" i="5" a="1"/>
  <c r="H237" i="5"/>
  <c r="G237" i="5" a="1"/>
  <c r="G237" i="5"/>
  <c r="F237" i="5"/>
  <c r="J236" i="5"/>
  <c r="H236" i="5" a="1"/>
  <c r="H236" i="5"/>
  <c r="G236" i="5" a="1"/>
  <c r="G236" i="5"/>
  <c r="F236" i="5"/>
  <c r="J235" i="5"/>
  <c r="H235" i="5" a="1"/>
  <c r="H235" i="5"/>
  <c r="G235" i="5" a="1"/>
  <c r="G235" i="5"/>
  <c r="F235" i="5"/>
  <c r="J234" i="5"/>
  <c r="H234" i="5" a="1"/>
  <c r="H234" i="5"/>
  <c r="G234" i="5" a="1"/>
  <c r="G234" i="5"/>
  <c r="F234" i="5"/>
  <c r="J233" i="5"/>
  <c r="H233" i="5" a="1"/>
  <c r="H233" i="5"/>
  <c r="G233" i="5" a="1"/>
  <c r="G233" i="5"/>
  <c r="F233" i="5"/>
  <c r="J232" i="5"/>
  <c r="H232" i="5" a="1"/>
  <c r="H232" i="5"/>
  <c r="G232" i="5" a="1"/>
  <c r="G232" i="5"/>
  <c r="F232" i="5"/>
  <c r="J231" i="5"/>
  <c r="H231" i="5" a="1"/>
  <c r="H231" i="5"/>
  <c r="G231" i="5" a="1"/>
  <c r="G231" i="5"/>
  <c r="F231" i="5"/>
  <c r="J230" i="5"/>
  <c r="H230" i="5" a="1"/>
  <c r="H230" i="5"/>
  <c r="G230" i="5" a="1"/>
  <c r="G230" i="5"/>
  <c r="F230" i="5"/>
  <c r="J229" i="5"/>
  <c r="H229" i="5" a="1"/>
  <c r="H229" i="5"/>
  <c r="G229" i="5" a="1"/>
  <c r="G229" i="5"/>
  <c r="F229" i="5"/>
  <c r="J228" i="5"/>
  <c r="H228" i="5" a="1"/>
  <c r="H228" i="5"/>
  <c r="G228" i="5" a="1"/>
  <c r="G228" i="5"/>
  <c r="F228" i="5"/>
  <c r="J227" i="5"/>
  <c r="H227" i="5" a="1"/>
  <c r="H227" i="5"/>
  <c r="G227" i="5" a="1"/>
  <c r="G227" i="5"/>
  <c r="F227" i="5"/>
  <c r="J226" i="5"/>
  <c r="H226" i="5" a="1"/>
  <c r="H226" i="5"/>
  <c r="G226" i="5" a="1"/>
  <c r="G226" i="5"/>
  <c r="F226" i="5"/>
  <c r="J225" i="5"/>
  <c r="H225" i="5" a="1"/>
  <c r="H225" i="5"/>
  <c r="G225" i="5" a="1"/>
  <c r="G225" i="5"/>
  <c r="F225" i="5"/>
  <c r="J224" i="5"/>
  <c r="H224" i="5" a="1"/>
  <c r="H224" i="5"/>
  <c r="G224" i="5" a="1"/>
  <c r="G224" i="5"/>
  <c r="F224" i="5"/>
  <c r="J223" i="5"/>
  <c r="H223" i="5" a="1"/>
  <c r="H223" i="5"/>
  <c r="G223" i="5" a="1"/>
  <c r="G223" i="5"/>
  <c r="F223" i="5"/>
  <c r="J222" i="5"/>
  <c r="H222" i="5" a="1"/>
  <c r="H222" i="5"/>
  <c r="G222" i="5" a="1"/>
  <c r="G222" i="5"/>
  <c r="F222" i="5"/>
  <c r="J221" i="5"/>
  <c r="H221" i="5" a="1"/>
  <c r="H221" i="5"/>
  <c r="G221" i="5" a="1"/>
  <c r="G221" i="5"/>
  <c r="F221" i="5"/>
  <c r="J220" i="5"/>
  <c r="H220" i="5" a="1"/>
  <c r="H220" i="5"/>
  <c r="G220" i="5" a="1"/>
  <c r="G220" i="5"/>
  <c r="F220" i="5"/>
  <c r="J219" i="5"/>
  <c r="H219" i="5" a="1"/>
  <c r="H219" i="5"/>
  <c r="G219" i="5" a="1"/>
  <c r="G219" i="5"/>
  <c r="F219" i="5"/>
  <c r="J218" i="5"/>
  <c r="H218" i="5" a="1"/>
  <c r="H218" i="5"/>
  <c r="G218" i="5" a="1"/>
  <c r="G218" i="5"/>
  <c r="F218" i="5"/>
  <c r="J217" i="5"/>
  <c r="H217" i="5" a="1"/>
  <c r="H217" i="5"/>
  <c r="G217" i="5" a="1"/>
  <c r="G217" i="5"/>
  <c r="F217" i="5"/>
  <c r="J216" i="5"/>
  <c r="H216" i="5" a="1"/>
  <c r="H216" i="5"/>
  <c r="G216" i="5" a="1"/>
  <c r="G216" i="5"/>
  <c r="F216" i="5"/>
  <c r="J215" i="5"/>
  <c r="H215" i="5" a="1"/>
  <c r="H215" i="5"/>
  <c r="G215" i="5" a="1"/>
  <c r="G215" i="5"/>
  <c r="F215" i="5"/>
  <c r="J214" i="5"/>
  <c r="H214" i="5" a="1"/>
  <c r="H214" i="5"/>
  <c r="G214" i="5" a="1"/>
  <c r="G214" i="5"/>
  <c r="F214" i="5"/>
  <c r="J213" i="5"/>
  <c r="H213" i="5" a="1"/>
  <c r="H213" i="5"/>
  <c r="G213" i="5" a="1"/>
  <c r="G213" i="5"/>
  <c r="F213" i="5"/>
  <c r="J212" i="5"/>
  <c r="H212" i="5" a="1"/>
  <c r="H212" i="5"/>
  <c r="G212" i="5" a="1"/>
  <c r="G212" i="5"/>
  <c r="F212" i="5"/>
  <c r="J211" i="5"/>
  <c r="H211" i="5" a="1"/>
  <c r="H211" i="5"/>
  <c r="G211" i="5" a="1"/>
  <c r="G211" i="5"/>
  <c r="F211" i="5"/>
  <c r="J210" i="5"/>
  <c r="H210" i="5" a="1"/>
  <c r="H210" i="5"/>
  <c r="G210" i="5" a="1"/>
  <c r="G210" i="5"/>
  <c r="F210" i="5"/>
  <c r="J209" i="5"/>
  <c r="H209" i="5" a="1"/>
  <c r="H209" i="5"/>
  <c r="G209" i="5" a="1"/>
  <c r="G209" i="5"/>
  <c r="F209" i="5"/>
  <c r="J208" i="5"/>
  <c r="H208" i="5" a="1"/>
  <c r="H208" i="5"/>
  <c r="G208" i="5" a="1"/>
  <c r="G208" i="5"/>
  <c r="F208" i="5"/>
  <c r="J207" i="5"/>
  <c r="H207" i="5" a="1"/>
  <c r="H207" i="5"/>
  <c r="G207" i="5" a="1"/>
  <c r="G207" i="5"/>
  <c r="F207" i="5"/>
  <c r="J206" i="5"/>
  <c r="H206" i="5" a="1"/>
  <c r="H206" i="5"/>
  <c r="G206" i="5" a="1"/>
  <c r="G206" i="5"/>
  <c r="F206" i="5"/>
  <c r="J205" i="5"/>
  <c r="H205" i="5" a="1"/>
  <c r="H205" i="5"/>
  <c r="G205" i="5" a="1"/>
  <c r="G205" i="5"/>
  <c r="F205" i="5"/>
  <c r="J204" i="5"/>
  <c r="H204" i="5" a="1"/>
  <c r="H204" i="5"/>
  <c r="G204" i="5" a="1"/>
  <c r="G204" i="5"/>
  <c r="F204" i="5"/>
  <c r="J203" i="5"/>
  <c r="H203" i="5" a="1"/>
  <c r="H203" i="5"/>
  <c r="G203" i="5" a="1"/>
  <c r="G203" i="5"/>
  <c r="F203" i="5"/>
  <c r="J202" i="5"/>
  <c r="H202" i="5" a="1"/>
  <c r="H202" i="5"/>
  <c r="G202" i="5" a="1"/>
  <c r="G202" i="5"/>
  <c r="F202" i="5"/>
  <c r="J201" i="5"/>
  <c r="H201" i="5" a="1"/>
  <c r="H201" i="5"/>
  <c r="G201" i="5" a="1"/>
  <c r="G201" i="5"/>
  <c r="F201" i="5"/>
  <c r="J200" i="5"/>
  <c r="H200" i="5" a="1"/>
  <c r="H200" i="5"/>
  <c r="G200" i="5" a="1"/>
  <c r="G200" i="5"/>
  <c r="F200" i="5"/>
  <c r="J199" i="5"/>
  <c r="H199" i="5" a="1"/>
  <c r="H199" i="5"/>
  <c r="G199" i="5" a="1"/>
  <c r="G199" i="5"/>
  <c r="F199" i="5"/>
  <c r="J198" i="5"/>
  <c r="H198" i="5" a="1"/>
  <c r="H198" i="5"/>
  <c r="G198" i="5" a="1"/>
  <c r="G198" i="5"/>
  <c r="F198" i="5"/>
  <c r="J197" i="5"/>
  <c r="H197" i="5" a="1"/>
  <c r="H197" i="5"/>
  <c r="G197" i="5" a="1"/>
  <c r="G197" i="5"/>
  <c r="F197" i="5"/>
  <c r="J196" i="5"/>
  <c r="H196" i="5" a="1"/>
  <c r="H196" i="5"/>
  <c r="G196" i="5" a="1"/>
  <c r="G196" i="5"/>
  <c r="F196" i="5"/>
  <c r="J195" i="5"/>
  <c r="H195" i="5" a="1"/>
  <c r="H195" i="5"/>
  <c r="G195" i="5" a="1"/>
  <c r="G195" i="5"/>
  <c r="F195" i="5"/>
  <c r="J194" i="5"/>
  <c r="H194" i="5" a="1"/>
  <c r="H194" i="5"/>
  <c r="G194" i="5" a="1"/>
  <c r="G194" i="5"/>
  <c r="F194" i="5"/>
  <c r="J193" i="5"/>
  <c r="H193" i="5" a="1"/>
  <c r="H193" i="5"/>
  <c r="G193" i="5" a="1"/>
  <c r="G193" i="5"/>
  <c r="F193" i="5"/>
  <c r="J192" i="5"/>
  <c r="H192" i="5" a="1"/>
  <c r="H192" i="5"/>
  <c r="G192" i="5" a="1"/>
  <c r="G192" i="5"/>
  <c r="F192" i="5"/>
  <c r="J191" i="5"/>
  <c r="H191" i="5" a="1"/>
  <c r="H191" i="5"/>
  <c r="G191" i="5" a="1"/>
  <c r="G191" i="5"/>
  <c r="F191" i="5"/>
  <c r="J190" i="5"/>
  <c r="H190" i="5" a="1"/>
  <c r="H190" i="5"/>
  <c r="G190" i="5" a="1"/>
  <c r="G190" i="5"/>
  <c r="F190" i="5"/>
  <c r="J189" i="5"/>
  <c r="H189" i="5" a="1"/>
  <c r="H189" i="5"/>
  <c r="G189" i="5" a="1"/>
  <c r="G189" i="5"/>
  <c r="F189" i="5"/>
  <c r="J188" i="5"/>
  <c r="H188" i="5" a="1"/>
  <c r="H188" i="5"/>
  <c r="G188" i="5" a="1"/>
  <c r="G188" i="5"/>
  <c r="F188" i="5"/>
  <c r="J187" i="5"/>
  <c r="H187" i="5" a="1"/>
  <c r="H187" i="5"/>
  <c r="G187" i="5" a="1"/>
  <c r="G187" i="5"/>
  <c r="F187" i="5"/>
  <c r="J186" i="5"/>
  <c r="H186" i="5" a="1"/>
  <c r="H186" i="5"/>
  <c r="G186" i="5" a="1"/>
  <c r="G186" i="5"/>
  <c r="F186" i="5"/>
  <c r="J185" i="5"/>
  <c r="H185" i="5" a="1"/>
  <c r="H185" i="5"/>
  <c r="G185" i="5" a="1"/>
  <c r="G185" i="5"/>
  <c r="F185" i="5"/>
  <c r="J184" i="5"/>
  <c r="H184" i="5" a="1"/>
  <c r="H184" i="5"/>
  <c r="G184" i="5" a="1"/>
  <c r="G184" i="5"/>
  <c r="F184" i="5"/>
  <c r="J183" i="5"/>
  <c r="H183" i="5" a="1"/>
  <c r="H183" i="5"/>
  <c r="G183" i="5" a="1"/>
  <c r="G183" i="5"/>
  <c r="F183" i="5"/>
  <c r="J182" i="5"/>
  <c r="H182" i="5" a="1"/>
  <c r="H182" i="5"/>
  <c r="G182" i="5" a="1"/>
  <c r="G182" i="5"/>
  <c r="F182" i="5"/>
  <c r="J181" i="5"/>
  <c r="H181" i="5" a="1"/>
  <c r="H181" i="5"/>
  <c r="G181" i="5" a="1"/>
  <c r="G181" i="5"/>
  <c r="F181" i="5"/>
  <c r="J180" i="5"/>
  <c r="H180" i="5" a="1"/>
  <c r="H180" i="5"/>
  <c r="G180" i="5" a="1"/>
  <c r="G180" i="5"/>
  <c r="F180" i="5"/>
  <c r="J179" i="5"/>
  <c r="H179" i="5" a="1"/>
  <c r="H179" i="5"/>
  <c r="G179" i="5" a="1"/>
  <c r="G179" i="5"/>
  <c r="F179" i="5"/>
  <c r="J178" i="5"/>
  <c r="H178" i="5" a="1"/>
  <c r="H178" i="5"/>
  <c r="G178" i="5" a="1"/>
  <c r="G178" i="5"/>
  <c r="F178" i="5"/>
  <c r="J177" i="5"/>
  <c r="H177" i="5" a="1"/>
  <c r="H177" i="5"/>
  <c r="G177" i="5" a="1"/>
  <c r="G177" i="5"/>
  <c r="F177" i="5"/>
  <c r="J176" i="5"/>
  <c r="H176" i="5" a="1"/>
  <c r="H176" i="5"/>
  <c r="G176" i="5" a="1"/>
  <c r="G176" i="5"/>
  <c r="F176" i="5"/>
  <c r="J175" i="5"/>
  <c r="H175" i="5" a="1"/>
  <c r="H175" i="5"/>
  <c r="G175" i="5" a="1"/>
  <c r="G175" i="5"/>
  <c r="F175" i="5"/>
  <c r="J174" i="5"/>
  <c r="H174" i="5" a="1"/>
  <c r="H174" i="5"/>
  <c r="G174" i="5" a="1"/>
  <c r="G174" i="5"/>
  <c r="F174" i="5"/>
  <c r="J173" i="5"/>
  <c r="H173" i="5" a="1"/>
  <c r="H173" i="5"/>
  <c r="G173" i="5" a="1"/>
  <c r="G173" i="5"/>
  <c r="F173" i="5"/>
  <c r="J172" i="5"/>
  <c r="H172" i="5" a="1"/>
  <c r="H172" i="5"/>
  <c r="G172" i="5" a="1"/>
  <c r="G172" i="5"/>
  <c r="F172" i="5"/>
  <c r="J171" i="5"/>
  <c r="H171" i="5" a="1"/>
  <c r="H171" i="5"/>
  <c r="G171" i="5" a="1"/>
  <c r="G171" i="5"/>
  <c r="F171" i="5"/>
  <c r="J170" i="5"/>
  <c r="H170" i="5" a="1"/>
  <c r="H170" i="5"/>
  <c r="G170" i="5" a="1"/>
  <c r="G170" i="5"/>
  <c r="F170" i="5"/>
  <c r="J169" i="5"/>
  <c r="H169" i="5" a="1"/>
  <c r="H169" i="5"/>
  <c r="G169" i="5" a="1"/>
  <c r="G169" i="5"/>
  <c r="F169" i="5"/>
  <c r="J168" i="5"/>
  <c r="H168" i="5" a="1"/>
  <c r="H168" i="5"/>
  <c r="G168" i="5" a="1"/>
  <c r="G168" i="5"/>
  <c r="F168" i="5"/>
  <c r="J167" i="5"/>
  <c r="H167" i="5" a="1"/>
  <c r="H167" i="5"/>
  <c r="G167" i="5" a="1"/>
  <c r="G167" i="5"/>
  <c r="F167" i="5"/>
  <c r="J166" i="5"/>
  <c r="H166" i="5" a="1"/>
  <c r="H166" i="5"/>
  <c r="G166" i="5" a="1"/>
  <c r="G166" i="5"/>
  <c r="F166" i="5"/>
  <c r="J165" i="5"/>
  <c r="H165" i="5" a="1"/>
  <c r="H165" i="5"/>
  <c r="G165" i="5" a="1"/>
  <c r="G165" i="5"/>
  <c r="F165" i="5"/>
  <c r="J164" i="5"/>
  <c r="H164" i="5" a="1"/>
  <c r="H164" i="5"/>
  <c r="G164" i="5" a="1"/>
  <c r="G164" i="5"/>
  <c r="F164" i="5"/>
  <c r="J163" i="5"/>
  <c r="H163" i="5" a="1"/>
  <c r="H163" i="5"/>
  <c r="G163" i="5" a="1"/>
  <c r="G163" i="5"/>
  <c r="F163" i="5"/>
  <c r="J162" i="5"/>
  <c r="H162" i="5" a="1"/>
  <c r="H162" i="5"/>
  <c r="G162" i="5" a="1"/>
  <c r="G162" i="5"/>
  <c r="F162" i="5"/>
  <c r="J161" i="5"/>
  <c r="H161" i="5" a="1"/>
  <c r="H161" i="5"/>
  <c r="G161" i="5" a="1"/>
  <c r="G161" i="5"/>
  <c r="F161" i="5"/>
  <c r="J160" i="5"/>
  <c r="H160" i="5" a="1"/>
  <c r="H160" i="5"/>
  <c r="G160" i="5" a="1"/>
  <c r="G160" i="5"/>
  <c r="F160" i="5"/>
  <c r="J159" i="5"/>
  <c r="H159" i="5" a="1"/>
  <c r="H159" i="5"/>
  <c r="G159" i="5" a="1"/>
  <c r="G159" i="5"/>
  <c r="F159" i="5"/>
  <c r="J158" i="5"/>
  <c r="H158" i="5" a="1"/>
  <c r="H158" i="5"/>
  <c r="G158" i="5" a="1"/>
  <c r="G158" i="5"/>
  <c r="F158" i="5"/>
  <c r="J157" i="5"/>
  <c r="H157" i="5" a="1"/>
  <c r="H157" i="5"/>
  <c r="G157" i="5" a="1"/>
  <c r="G157" i="5"/>
  <c r="F157" i="5"/>
  <c r="J156" i="5"/>
  <c r="H156" i="5" a="1"/>
  <c r="H156" i="5"/>
  <c r="G156" i="5" a="1"/>
  <c r="G156" i="5"/>
  <c r="F156" i="5"/>
  <c r="J155" i="5"/>
  <c r="H155" i="5" a="1"/>
  <c r="H155" i="5"/>
  <c r="G155" i="5" a="1"/>
  <c r="G155" i="5"/>
  <c r="F155" i="5"/>
  <c r="J154" i="5"/>
  <c r="H154" i="5" a="1"/>
  <c r="H154" i="5"/>
  <c r="G154" i="5" a="1"/>
  <c r="G154" i="5"/>
  <c r="F154" i="5"/>
  <c r="J153" i="5"/>
  <c r="H153" i="5" a="1"/>
  <c r="H153" i="5"/>
  <c r="G153" i="5" a="1"/>
  <c r="G153" i="5"/>
  <c r="F153" i="5"/>
  <c r="J152" i="5"/>
  <c r="H152" i="5" a="1"/>
  <c r="H152" i="5"/>
  <c r="G152" i="5" a="1"/>
  <c r="G152" i="5"/>
  <c r="F152" i="5"/>
  <c r="J151" i="5"/>
  <c r="H151" i="5" a="1"/>
  <c r="H151" i="5"/>
  <c r="G151" i="5" a="1"/>
  <c r="G151" i="5"/>
  <c r="F151" i="5"/>
  <c r="J150" i="5"/>
  <c r="H150" i="5" a="1"/>
  <c r="H150" i="5"/>
  <c r="G150" i="5" a="1"/>
  <c r="G150" i="5"/>
  <c r="F150" i="5"/>
  <c r="J149" i="5"/>
  <c r="H149" i="5" a="1"/>
  <c r="H149" i="5"/>
  <c r="G149" i="5" a="1"/>
  <c r="G149" i="5"/>
  <c r="F149" i="5"/>
  <c r="J148" i="5"/>
  <c r="H148" i="5" a="1"/>
  <c r="H148" i="5"/>
  <c r="G148" i="5" a="1"/>
  <c r="G148" i="5"/>
  <c r="F148" i="5"/>
  <c r="J147" i="5"/>
  <c r="H147" i="5" a="1"/>
  <c r="H147" i="5"/>
  <c r="G147" i="5" a="1"/>
  <c r="G147" i="5"/>
  <c r="F147" i="5"/>
  <c r="J146" i="5"/>
  <c r="H146" i="5" a="1"/>
  <c r="H146" i="5"/>
  <c r="G146" i="5" a="1"/>
  <c r="G146" i="5"/>
  <c r="F146" i="5"/>
  <c r="J145" i="5"/>
  <c r="H145" i="5" a="1"/>
  <c r="H145" i="5"/>
  <c r="G145" i="5" a="1"/>
  <c r="G145" i="5"/>
  <c r="F145" i="5"/>
  <c r="J144" i="5"/>
  <c r="H144" i="5" a="1"/>
  <c r="H144" i="5"/>
  <c r="G144" i="5" a="1"/>
  <c r="G144" i="5"/>
  <c r="F144" i="5"/>
  <c r="J143" i="5"/>
  <c r="H143" i="5" a="1"/>
  <c r="H143" i="5"/>
  <c r="G143" i="5" a="1"/>
  <c r="G143" i="5"/>
  <c r="F143" i="5"/>
  <c r="J142" i="5"/>
  <c r="H142" i="5" a="1"/>
  <c r="H142" i="5"/>
  <c r="G142" i="5" a="1"/>
  <c r="G142" i="5"/>
  <c r="F142" i="5"/>
  <c r="J141" i="5"/>
  <c r="H141" i="5" a="1"/>
  <c r="H141" i="5"/>
  <c r="G141" i="5" a="1"/>
  <c r="G141" i="5"/>
  <c r="F141" i="5"/>
  <c r="J140" i="5"/>
  <c r="H140" i="5" a="1"/>
  <c r="H140" i="5"/>
  <c r="G140" i="5" a="1"/>
  <c r="G140" i="5"/>
  <c r="F140" i="5"/>
  <c r="J139" i="5"/>
  <c r="H139" i="5" a="1"/>
  <c r="H139" i="5"/>
  <c r="G139" i="5" a="1"/>
  <c r="G139" i="5"/>
  <c r="F139" i="5"/>
  <c r="J138" i="5"/>
  <c r="H138" i="5" a="1"/>
  <c r="H138" i="5"/>
  <c r="G138" i="5" a="1"/>
  <c r="G138" i="5"/>
  <c r="F138" i="5"/>
  <c r="J137" i="5"/>
  <c r="H137" i="5" a="1"/>
  <c r="H137" i="5"/>
  <c r="G137" i="5" a="1"/>
  <c r="G137" i="5"/>
  <c r="F137" i="5"/>
  <c r="J136" i="5"/>
  <c r="H136" i="5" a="1"/>
  <c r="H136" i="5"/>
  <c r="G136" i="5" a="1"/>
  <c r="G136" i="5"/>
  <c r="F136" i="5"/>
  <c r="J135" i="5"/>
  <c r="H135" i="5" a="1"/>
  <c r="H135" i="5"/>
  <c r="G135" i="5" a="1"/>
  <c r="G135" i="5"/>
  <c r="F135" i="5"/>
  <c r="J134" i="5"/>
  <c r="H134" i="5" a="1"/>
  <c r="H134" i="5"/>
  <c r="G134" i="5" a="1"/>
  <c r="G134" i="5"/>
  <c r="F134" i="5"/>
  <c r="J133" i="5"/>
  <c r="H133" i="5" a="1"/>
  <c r="H133" i="5"/>
  <c r="G133" i="5" a="1"/>
  <c r="G133" i="5"/>
  <c r="F133" i="5"/>
  <c r="J132" i="5"/>
  <c r="H132" i="5" a="1"/>
  <c r="H132" i="5"/>
  <c r="G132" i="5" a="1"/>
  <c r="G132" i="5"/>
  <c r="F132" i="5"/>
  <c r="J131" i="5"/>
  <c r="H131" i="5" a="1"/>
  <c r="H131" i="5"/>
  <c r="G131" i="5" a="1"/>
  <c r="G131" i="5"/>
  <c r="F131" i="5"/>
  <c r="J130" i="5"/>
  <c r="H130" i="5" a="1"/>
  <c r="H130" i="5"/>
  <c r="G130" i="5" a="1"/>
  <c r="G130" i="5"/>
  <c r="F130" i="5"/>
  <c r="J129" i="5"/>
  <c r="H129" i="5" a="1"/>
  <c r="H129" i="5"/>
  <c r="G129" i="5" a="1"/>
  <c r="G129" i="5"/>
  <c r="F129" i="5"/>
  <c r="J128" i="5"/>
  <c r="H128" i="5" a="1"/>
  <c r="H128" i="5"/>
  <c r="G128" i="5" a="1"/>
  <c r="G128" i="5"/>
  <c r="F128" i="5"/>
  <c r="J127" i="5"/>
  <c r="H127" i="5" a="1"/>
  <c r="H127" i="5"/>
  <c r="G127" i="5" a="1"/>
  <c r="G127" i="5"/>
  <c r="F127" i="5"/>
  <c r="J126" i="5"/>
  <c r="H126" i="5" a="1"/>
  <c r="H126" i="5"/>
  <c r="G126" i="5" a="1"/>
  <c r="G126" i="5"/>
  <c r="F126" i="5"/>
  <c r="J125" i="5"/>
  <c r="H125" i="5" a="1"/>
  <c r="H125" i="5"/>
  <c r="G125" i="5" a="1"/>
  <c r="G125" i="5"/>
  <c r="F125" i="5"/>
  <c r="J124" i="5"/>
  <c r="H124" i="5" a="1"/>
  <c r="H124" i="5"/>
  <c r="G124" i="5" a="1"/>
  <c r="G124" i="5"/>
  <c r="F124" i="5"/>
  <c r="J123" i="5"/>
  <c r="H123" i="5" a="1"/>
  <c r="H123" i="5"/>
  <c r="G123" i="5" a="1"/>
  <c r="G123" i="5"/>
  <c r="F123" i="5"/>
  <c r="J122" i="5"/>
  <c r="H122" i="5" a="1"/>
  <c r="H122" i="5"/>
  <c r="G122" i="5" a="1"/>
  <c r="G122" i="5"/>
  <c r="F122" i="5"/>
  <c r="J121" i="5"/>
  <c r="H121" i="5" a="1"/>
  <c r="H121" i="5"/>
  <c r="G121" i="5" a="1"/>
  <c r="G121" i="5"/>
  <c r="F121" i="5"/>
  <c r="J120" i="5"/>
  <c r="H120" i="5" a="1"/>
  <c r="H120" i="5"/>
  <c r="G120" i="5" a="1"/>
  <c r="G120" i="5"/>
  <c r="F120" i="5"/>
  <c r="J119" i="5"/>
  <c r="H119" i="5" a="1"/>
  <c r="H119" i="5"/>
  <c r="G119" i="5" a="1"/>
  <c r="G119" i="5"/>
  <c r="F119" i="5"/>
  <c r="J118" i="5"/>
  <c r="H118" i="5" a="1"/>
  <c r="H118" i="5"/>
  <c r="G118" i="5" a="1"/>
  <c r="G118" i="5"/>
  <c r="F118" i="5"/>
  <c r="J117" i="5"/>
  <c r="H117" i="5" a="1"/>
  <c r="H117" i="5"/>
  <c r="G117" i="5" a="1"/>
  <c r="G117" i="5"/>
  <c r="F117" i="5"/>
  <c r="J116" i="5"/>
  <c r="H116" i="5" a="1"/>
  <c r="H116" i="5"/>
  <c r="G116" i="5" a="1"/>
  <c r="G116" i="5"/>
  <c r="F116" i="5"/>
  <c r="J115" i="5"/>
  <c r="H115" i="5" a="1"/>
  <c r="H115" i="5"/>
  <c r="G115" i="5" a="1"/>
  <c r="G115" i="5"/>
  <c r="F115" i="5"/>
  <c r="J114" i="5"/>
  <c r="H114" i="5" a="1"/>
  <c r="H114" i="5"/>
  <c r="G114" i="5" a="1"/>
  <c r="G114" i="5"/>
  <c r="F114" i="5"/>
  <c r="J113" i="5"/>
  <c r="H113" i="5" a="1"/>
  <c r="H113" i="5"/>
  <c r="G113" i="5" a="1"/>
  <c r="G113" i="5"/>
  <c r="F113" i="5"/>
  <c r="J112" i="5"/>
  <c r="H112" i="5" a="1"/>
  <c r="H112" i="5"/>
  <c r="G112" i="5" a="1"/>
  <c r="G112" i="5"/>
  <c r="F112" i="5"/>
  <c r="J111" i="5"/>
  <c r="H111" i="5" a="1"/>
  <c r="H111" i="5"/>
  <c r="G111" i="5" a="1"/>
  <c r="G111" i="5"/>
  <c r="F111" i="5"/>
  <c r="J110" i="5"/>
  <c r="H110" i="5" a="1"/>
  <c r="H110" i="5"/>
  <c r="G110" i="5" a="1"/>
  <c r="G110" i="5"/>
  <c r="F110" i="5"/>
  <c r="J109" i="5"/>
  <c r="H109" i="5" a="1"/>
  <c r="H109" i="5"/>
  <c r="G109" i="5" a="1"/>
  <c r="G109" i="5"/>
  <c r="F109" i="5"/>
  <c r="J108" i="5"/>
  <c r="H108" i="5" a="1"/>
  <c r="H108" i="5"/>
  <c r="G108" i="5" a="1"/>
  <c r="G108" i="5"/>
  <c r="F108" i="5"/>
  <c r="J107" i="5"/>
  <c r="H107" i="5" a="1"/>
  <c r="H107" i="5"/>
  <c r="G107" i="5" a="1"/>
  <c r="G107" i="5"/>
  <c r="F107" i="5"/>
  <c r="J106" i="5"/>
  <c r="H106" i="5" a="1"/>
  <c r="H106" i="5"/>
  <c r="G106" i="5" a="1"/>
  <c r="G106" i="5"/>
  <c r="F106" i="5"/>
  <c r="J105" i="5"/>
  <c r="H105" i="5" a="1"/>
  <c r="H105" i="5"/>
  <c r="G105" i="5" a="1"/>
  <c r="G105" i="5"/>
  <c r="F105" i="5"/>
  <c r="J104" i="5"/>
  <c r="H104" i="5" a="1"/>
  <c r="H104" i="5"/>
  <c r="G104" i="5" a="1"/>
  <c r="G104" i="5"/>
  <c r="F104" i="5"/>
  <c r="J103" i="5"/>
  <c r="H103" i="5" a="1"/>
  <c r="H103" i="5"/>
  <c r="G103" i="5" a="1"/>
  <c r="G103" i="5"/>
  <c r="F103" i="5"/>
  <c r="J102" i="5"/>
  <c r="H102" i="5" a="1"/>
  <c r="H102" i="5"/>
  <c r="G102" i="5" a="1"/>
  <c r="G102" i="5"/>
  <c r="F102" i="5"/>
  <c r="J101" i="5"/>
  <c r="H101" i="5" a="1"/>
  <c r="H101" i="5"/>
  <c r="G101" i="5" a="1"/>
  <c r="G101" i="5"/>
  <c r="F101" i="5"/>
  <c r="J100" i="5"/>
  <c r="H100" i="5" a="1"/>
  <c r="H100" i="5"/>
  <c r="G100" i="5" a="1"/>
  <c r="G100" i="5"/>
  <c r="F100" i="5"/>
  <c r="J99" i="5"/>
  <c r="H99" i="5" a="1"/>
  <c r="H99" i="5"/>
  <c r="G99" i="5" a="1"/>
  <c r="G99" i="5"/>
  <c r="F99" i="5"/>
  <c r="J98" i="5"/>
  <c r="H98" i="5" a="1"/>
  <c r="H98" i="5"/>
  <c r="G98" i="5" a="1"/>
  <c r="G98" i="5"/>
  <c r="F98" i="5"/>
  <c r="J97" i="5"/>
  <c r="H97" i="5" a="1"/>
  <c r="H97" i="5"/>
  <c r="G97" i="5" a="1"/>
  <c r="G97" i="5"/>
  <c r="F97" i="5"/>
  <c r="J96" i="5"/>
  <c r="H96" i="5" a="1"/>
  <c r="H96" i="5"/>
  <c r="G96" i="5" a="1"/>
  <c r="G96" i="5"/>
  <c r="F96" i="5"/>
  <c r="J95" i="5"/>
  <c r="H95" i="5" a="1"/>
  <c r="H95" i="5"/>
  <c r="G95" i="5" a="1"/>
  <c r="G95" i="5"/>
  <c r="F95" i="5"/>
  <c r="J94" i="5"/>
  <c r="H94" i="5" a="1"/>
  <c r="H94" i="5"/>
  <c r="G94" i="5" a="1"/>
  <c r="G94" i="5"/>
  <c r="F94" i="5"/>
  <c r="J93" i="5"/>
  <c r="H93" i="5" a="1"/>
  <c r="H93" i="5"/>
  <c r="G93" i="5" a="1"/>
  <c r="G93" i="5"/>
  <c r="F93" i="5"/>
  <c r="J92" i="5"/>
  <c r="H92" i="5" a="1"/>
  <c r="H92" i="5"/>
  <c r="G92" i="5" a="1"/>
  <c r="G92" i="5"/>
  <c r="F92" i="5"/>
  <c r="J91" i="5"/>
  <c r="H91" i="5" a="1"/>
  <c r="H91" i="5"/>
  <c r="G91" i="5" a="1"/>
  <c r="G91" i="5"/>
  <c r="F91" i="5"/>
  <c r="J90" i="5"/>
  <c r="H90" i="5" a="1"/>
  <c r="H90" i="5"/>
  <c r="G90" i="5" a="1"/>
  <c r="G90" i="5"/>
  <c r="F90" i="5"/>
  <c r="J89" i="5"/>
  <c r="H89" i="5" a="1"/>
  <c r="H89" i="5"/>
  <c r="G89" i="5" a="1"/>
  <c r="G89" i="5"/>
  <c r="F89" i="5"/>
  <c r="J88" i="5"/>
  <c r="H88" i="5" a="1"/>
  <c r="H88" i="5"/>
  <c r="G88" i="5" a="1"/>
  <c r="G88" i="5"/>
  <c r="F88" i="5"/>
  <c r="J87" i="5"/>
  <c r="H87" i="5" a="1"/>
  <c r="H87" i="5"/>
  <c r="G87" i="5" a="1"/>
  <c r="G87" i="5"/>
  <c r="F87" i="5"/>
  <c r="J86" i="5"/>
  <c r="H86" i="5" a="1"/>
  <c r="H86" i="5"/>
  <c r="G86" i="5" a="1"/>
  <c r="G86" i="5"/>
  <c r="F86" i="5"/>
  <c r="J85" i="5"/>
  <c r="H85" i="5" a="1"/>
  <c r="H85" i="5"/>
  <c r="G85" i="5" a="1"/>
  <c r="G85" i="5"/>
  <c r="F85" i="5"/>
  <c r="J84" i="5"/>
  <c r="H84" i="5" a="1"/>
  <c r="H84" i="5"/>
  <c r="G84" i="5" a="1"/>
  <c r="G84" i="5"/>
  <c r="F84" i="5"/>
  <c r="J83" i="5"/>
  <c r="H83" i="5" a="1"/>
  <c r="H83" i="5"/>
  <c r="G83" i="5" a="1"/>
  <c r="G83" i="5"/>
  <c r="F83" i="5"/>
  <c r="J82" i="5"/>
  <c r="H82" i="5" a="1"/>
  <c r="H82" i="5"/>
  <c r="G82" i="5" a="1"/>
  <c r="G82" i="5"/>
  <c r="F82" i="5"/>
  <c r="J81" i="5"/>
  <c r="H81" i="5" a="1"/>
  <c r="H81" i="5"/>
  <c r="G81" i="5" a="1"/>
  <c r="G81" i="5"/>
  <c r="F81" i="5"/>
  <c r="J80" i="5"/>
  <c r="H80" i="5" a="1"/>
  <c r="H80" i="5"/>
  <c r="G80" i="5" a="1"/>
  <c r="G80" i="5"/>
  <c r="F80" i="5"/>
  <c r="J79" i="5"/>
  <c r="H79" i="5" a="1"/>
  <c r="H79" i="5"/>
  <c r="G79" i="5" a="1"/>
  <c r="G79" i="5"/>
  <c r="F79" i="5"/>
  <c r="J78" i="5"/>
  <c r="H78" i="5" a="1"/>
  <c r="H78" i="5"/>
  <c r="G78" i="5" a="1"/>
  <c r="G78" i="5"/>
  <c r="F78" i="5"/>
  <c r="J77" i="5"/>
  <c r="H77" i="5" a="1"/>
  <c r="H77" i="5"/>
  <c r="G77" i="5" a="1"/>
  <c r="G77" i="5"/>
  <c r="F77" i="5"/>
  <c r="J76" i="5"/>
  <c r="H76" i="5" a="1"/>
  <c r="H76" i="5"/>
  <c r="G76" i="5" a="1"/>
  <c r="G76" i="5"/>
  <c r="F76" i="5"/>
  <c r="J75" i="5"/>
  <c r="H75" i="5" a="1"/>
  <c r="H75" i="5"/>
  <c r="G75" i="5" a="1"/>
  <c r="G75" i="5"/>
  <c r="F75" i="5"/>
  <c r="J74" i="5"/>
  <c r="H74" i="5" a="1"/>
  <c r="H74" i="5"/>
  <c r="G74" i="5" a="1"/>
  <c r="G74" i="5"/>
  <c r="F74" i="5"/>
  <c r="J73" i="5"/>
  <c r="H73" i="5" a="1"/>
  <c r="H73" i="5"/>
  <c r="G73" i="5" a="1"/>
  <c r="G73" i="5"/>
  <c r="F73" i="5"/>
  <c r="J72" i="5"/>
  <c r="H72" i="5" a="1"/>
  <c r="H72" i="5"/>
  <c r="G72" i="5" a="1"/>
  <c r="G72" i="5"/>
  <c r="F72" i="5"/>
  <c r="J71" i="5"/>
  <c r="H71" i="5" a="1"/>
  <c r="H71" i="5"/>
  <c r="G71" i="5" a="1"/>
  <c r="G71" i="5"/>
  <c r="F71" i="5"/>
  <c r="J70" i="5"/>
  <c r="H70" i="5" a="1"/>
  <c r="H70" i="5"/>
  <c r="G70" i="5" a="1"/>
  <c r="G70" i="5"/>
  <c r="F70" i="5"/>
  <c r="J69" i="5"/>
  <c r="H69" i="5" a="1"/>
  <c r="H69" i="5"/>
  <c r="G69" i="5" a="1"/>
  <c r="G69" i="5"/>
  <c r="F69" i="5"/>
  <c r="J68" i="5"/>
  <c r="H68" i="5" a="1"/>
  <c r="H68" i="5"/>
  <c r="G68" i="5" a="1"/>
  <c r="G68" i="5"/>
  <c r="F68" i="5"/>
  <c r="J67" i="5"/>
  <c r="H67" i="5" a="1"/>
  <c r="H67" i="5"/>
  <c r="G67" i="5" a="1"/>
  <c r="G67" i="5"/>
  <c r="F67" i="5"/>
  <c r="J66" i="5"/>
  <c r="H66" i="5" a="1"/>
  <c r="H66" i="5"/>
  <c r="G66" i="5" a="1"/>
  <c r="G66" i="5"/>
  <c r="F66" i="5"/>
  <c r="J65" i="5"/>
  <c r="H65" i="5" a="1"/>
  <c r="H65" i="5"/>
  <c r="G65" i="5" a="1"/>
  <c r="G65" i="5"/>
  <c r="F65" i="5"/>
  <c r="J64" i="5"/>
  <c r="H64" i="5" a="1"/>
  <c r="H64" i="5"/>
  <c r="G64" i="5" a="1"/>
  <c r="G64" i="5"/>
  <c r="F64" i="5"/>
  <c r="J63" i="5"/>
  <c r="H63" i="5" a="1"/>
  <c r="H63" i="5"/>
  <c r="G63" i="5" a="1"/>
  <c r="G63" i="5"/>
  <c r="F63" i="5"/>
  <c r="J62" i="5"/>
  <c r="H62" i="5" a="1"/>
  <c r="H62" i="5"/>
  <c r="G62" i="5" a="1"/>
  <c r="G62" i="5"/>
  <c r="F62" i="5"/>
  <c r="J61" i="5"/>
  <c r="H61" i="5" a="1"/>
  <c r="H61" i="5"/>
  <c r="G61" i="5" a="1"/>
  <c r="G61" i="5"/>
  <c r="F61" i="5"/>
  <c r="J60" i="5"/>
  <c r="H60" i="5" a="1"/>
  <c r="H60" i="5"/>
  <c r="G60" i="5" a="1"/>
  <c r="G60" i="5"/>
  <c r="F60" i="5"/>
  <c r="J59" i="5"/>
  <c r="H59" i="5" a="1"/>
  <c r="H59" i="5"/>
  <c r="G59" i="5" a="1"/>
  <c r="G59" i="5"/>
  <c r="F59" i="5"/>
  <c r="J58" i="5"/>
  <c r="H58" i="5" a="1"/>
  <c r="H58" i="5"/>
  <c r="G58" i="5" a="1"/>
  <c r="G58" i="5"/>
  <c r="F58" i="5"/>
  <c r="J57" i="5"/>
  <c r="H57" i="5" a="1"/>
  <c r="H57" i="5"/>
  <c r="G57" i="5" a="1"/>
  <c r="G57" i="5"/>
  <c r="F57" i="5"/>
  <c r="J56" i="5"/>
  <c r="H56" i="5" a="1"/>
  <c r="H56" i="5"/>
  <c r="G56" i="5" a="1"/>
  <c r="G56" i="5"/>
  <c r="F56" i="5"/>
  <c r="J55" i="5"/>
  <c r="H55" i="5" a="1"/>
  <c r="H55" i="5"/>
  <c r="G55" i="5" a="1"/>
  <c r="G55" i="5"/>
  <c r="F55" i="5"/>
  <c r="J54" i="5"/>
  <c r="H54" i="5" a="1"/>
  <c r="H54" i="5"/>
  <c r="G54" i="5" a="1"/>
  <c r="G54" i="5"/>
  <c r="F54" i="5"/>
  <c r="J53" i="5"/>
  <c r="H53" i="5" a="1"/>
  <c r="H53" i="5"/>
  <c r="G53" i="5" a="1"/>
  <c r="G53" i="5"/>
  <c r="F53" i="5"/>
  <c r="J52" i="5"/>
  <c r="H52" i="5" a="1"/>
  <c r="H52" i="5"/>
  <c r="G52" i="5" a="1"/>
  <c r="G52" i="5"/>
  <c r="F52" i="5"/>
  <c r="J51" i="5"/>
  <c r="H51" i="5" a="1"/>
  <c r="H51" i="5"/>
  <c r="G51" i="5" a="1"/>
  <c r="G51" i="5"/>
  <c r="F51" i="5"/>
  <c r="J50" i="5"/>
  <c r="H50" i="5" a="1"/>
  <c r="H50" i="5"/>
  <c r="G50" i="5" a="1"/>
  <c r="G50" i="5"/>
  <c r="F50" i="5"/>
  <c r="J49" i="5"/>
  <c r="H49" i="5" a="1"/>
  <c r="H49" i="5"/>
  <c r="G49" i="5" a="1"/>
  <c r="G49" i="5"/>
  <c r="F49" i="5"/>
  <c r="J48" i="5"/>
  <c r="H48" i="5" a="1"/>
  <c r="H48" i="5"/>
  <c r="G48" i="5" a="1"/>
  <c r="G48" i="5"/>
  <c r="F48" i="5"/>
  <c r="J47" i="5"/>
  <c r="H47" i="5" a="1"/>
  <c r="H47" i="5"/>
  <c r="G47" i="5" a="1"/>
  <c r="G47" i="5"/>
  <c r="F47" i="5"/>
  <c r="J46" i="5"/>
  <c r="H46" i="5" a="1"/>
  <c r="H46" i="5"/>
  <c r="G46" i="5" a="1"/>
  <c r="G46" i="5"/>
  <c r="F46" i="5"/>
  <c r="J45" i="5"/>
  <c r="H45" i="5" a="1"/>
  <c r="H45" i="5"/>
  <c r="G45" i="5" a="1"/>
  <c r="G45" i="5"/>
  <c r="F45" i="5"/>
  <c r="J44" i="5"/>
  <c r="H44" i="5" a="1"/>
  <c r="H44" i="5"/>
  <c r="G44" i="5" a="1"/>
  <c r="G44" i="5"/>
  <c r="F44" i="5"/>
  <c r="J43" i="5"/>
  <c r="H43" i="5" a="1"/>
  <c r="H43" i="5"/>
  <c r="G43" i="5" a="1"/>
  <c r="G43" i="5"/>
  <c r="F43" i="5"/>
  <c r="J42" i="5"/>
  <c r="H42" i="5" a="1"/>
  <c r="H42" i="5"/>
  <c r="G42" i="5" a="1"/>
  <c r="G42" i="5"/>
  <c r="F42" i="5"/>
  <c r="J41" i="5"/>
  <c r="H41" i="5" a="1"/>
  <c r="H41" i="5"/>
  <c r="G41" i="5" a="1"/>
  <c r="G41" i="5"/>
  <c r="F41" i="5"/>
  <c r="J40" i="5"/>
  <c r="H40" i="5" a="1"/>
  <c r="H40" i="5"/>
  <c r="G40" i="5" a="1"/>
  <c r="G40" i="5"/>
  <c r="F40" i="5"/>
  <c r="J39" i="5"/>
  <c r="H39" i="5" a="1"/>
  <c r="H39" i="5"/>
  <c r="G39" i="5" a="1"/>
  <c r="G39" i="5"/>
  <c r="F39" i="5"/>
  <c r="J38" i="5"/>
  <c r="H38" i="5" a="1"/>
  <c r="H38" i="5"/>
  <c r="G38" i="5" a="1"/>
  <c r="G38" i="5"/>
  <c r="F38" i="5"/>
  <c r="J37" i="5"/>
  <c r="H37" i="5" a="1"/>
  <c r="H37" i="5"/>
  <c r="G37" i="5" a="1"/>
  <c r="G37" i="5"/>
  <c r="F37" i="5"/>
  <c r="J36" i="5"/>
  <c r="H36" i="5" a="1"/>
  <c r="H36" i="5"/>
  <c r="G36" i="5" a="1"/>
  <c r="G36" i="5"/>
  <c r="F36" i="5"/>
  <c r="J35" i="5"/>
  <c r="H35" i="5" a="1"/>
  <c r="H35" i="5"/>
  <c r="G35" i="5" a="1"/>
  <c r="G35" i="5"/>
  <c r="F35" i="5"/>
  <c r="J34" i="5"/>
  <c r="H34" i="5" a="1"/>
  <c r="H34" i="5"/>
  <c r="G34" i="5" a="1"/>
  <c r="G34" i="5"/>
  <c r="F34" i="5"/>
  <c r="J33" i="5"/>
  <c r="H33" i="5" a="1"/>
  <c r="H33" i="5"/>
  <c r="G33" i="5" a="1"/>
  <c r="G33" i="5"/>
  <c r="F33" i="5"/>
  <c r="J32" i="5"/>
  <c r="H32" i="5" a="1"/>
  <c r="H32" i="5"/>
  <c r="G32" i="5" a="1"/>
  <c r="G32" i="5"/>
  <c r="F32" i="5"/>
  <c r="J31" i="5"/>
  <c r="H31" i="5" a="1"/>
  <c r="H31" i="5"/>
  <c r="G31" i="5" a="1"/>
  <c r="G31" i="5"/>
  <c r="F31" i="5"/>
  <c r="J30" i="5"/>
  <c r="H30" i="5" a="1"/>
  <c r="H30" i="5"/>
  <c r="G30" i="5" a="1"/>
  <c r="G30" i="5"/>
  <c r="F30" i="5"/>
  <c r="J29" i="5"/>
  <c r="H29" i="5" a="1"/>
  <c r="H29" i="5"/>
  <c r="G29" i="5" a="1"/>
  <c r="G29" i="5"/>
  <c r="F29" i="5"/>
  <c r="J28" i="5"/>
  <c r="H28" i="5" a="1"/>
  <c r="H28" i="5"/>
  <c r="G28" i="5" a="1"/>
  <c r="G28" i="5"/>
  <c r="F28" i="5"/>
  <c r="J27" i="5"/>
  <c r="H27" i="5" a="1"/>
  <c r="H27" i="5"/>
  <c r="G27" i="5" a="1"/>
  <c r="G27" i="5"/>
  <c r="F27" i="5"/>
  <c r="J26" i="5"/>
  <c r="H26" i="5" a="1"/>
  <c r="H26" i="5"/>
  <c r="G26" i="5" a="1"/>
  <c r="G26" i="5"/>
  <c r="F26" i="5"/>
  <c r="J25" i="5"/>
  <c r="H25" i="5" a="1"/>
  <c r="H25" i="5"/>
  <c r="G25" i="5" a="1"/>
  <c r="G25" i="5"/>
  <c r="F25" i="5"/>
  <c r="J24" i="5"/>
  <c r="H24" i="5" a="1"/>
  <c r="H24" i="5"/>
  <c r="G24" i="5" a="1"/>
  <c r="G24" i="5"/>
  <c r="F24" i="5"/>
  <c r="J23" i="5"/>
  <c r="H23" i="5" a="1"/>
  <c r="H23" i="5"/>
  <c r="G23" i="5" a="1"/>
  <c r="G23" i="5"/>
  <c r="F23" i="5"/>
  <c r="J22" i="5"/>
  <c r="H22" i="5" a="1"/>
  <c r="H22" i="5"/>
  <c r="G22" i="5" a="1"/>
  <c r="G22" i="5"/>
  <c r="F22" i="5"/>
  <c r="J21" i="5"/>
  <c r="H21" i="5" a="1"/>
  <c r="H21" i="5"/>
  <c r="G21" i="5" a="1"/>
  <c r="G21" i="5"/>
  <c r="F21" i="5"/>
  <c r="J20" i="5"/>
  <c r="H20" i="5" a="1"/>
  <c r="H20" i="5"/>
  <c r="G20" i="5" a="1"/>
  <c r="G20" i="5"/>
  <c r="F20" i="5"/>
  <c r="J19" i="5"/>
  <c r="H19" i="5" a="1"/>
  <c r="H19" i="5"/>
  <c r="G19" i="5" a="1"/>
  <c r="G19" i="5"/>
  <c r="F19" i="5"/>
  <c r="J18" i="5"/>
  <c r="H18" i="5" a="1"/>
  <c r="H18" i="5"/>
  <c r="G18" i="5" a="1"/>
  <c r="G18" i="5"/>
  <c r="F18" i="5"/>
  <c r="J17" i="5"/>
  <c r="H17" i="5" a="1"/>
  <c r="H17" i="5"/>
  <c r="G17" i="5" a="1"/>
  <c r="G17" i="5"/>
  <c r="F17" i="5"/>
  <c r="J16" i="5"/>
  <c r="H16" i="5" a="1"/>
  <c r="H16" i="5"/>
  <c r="G16" i="5" a="1"/>
  <c r="G16" i="5"/>
  <c r="F16" i="5"/>
  <c r="J15" i="5"/>
  <c r="H15" i="5" a="1"/>
  <c r="H15" i="5"/>
  <c r="G15" i="5" a="1"/>
  <c r="G15" i="5"/>
  <c r="F15" i="5"/>
  <c r="J14" i="5"/>
  <c r="H14" i="5" a="1"/>
  <c r="H14" i="5"/>
  <c r="G14" i="5" a="1"/>
  <c r="G14" i="5"/>
  <c r="F14" i="5"/>
  <c r="J13" i="5"/>
  <c r="H13" i="5" a="1"/>
  <c r="H13" i="5"/>
  <c r="G13" i="5" a="1"/>
  <c r="G13" i="5"/>
  <c r="F13" i="5"/>
  <c r="J12" i="5"/>
  <c r="H12" i="5" a="1"/>
  <c r="H12" i="5"/>
  <c r="G12" i="5" a="1"/>
  <c r="G12" i="5"/>
  <c r="F12" i="5"/>
  <c r="J11" i="5"/>
  <c r="H11" i="5" a="1"/>
  <c r="H11" i="5"/>
  <c r="G11" i="5" a="1"/>
  <c r="G11" i="5"/>
  <c r="F11" i="5"/>
  <c r="J10" i="5"/>
  <c r="H10" i="5" a="1"/>
  <c r="H10" i="5"/>
  <c r="G10" i="5" a="1"/>
  <c r="G10" i="5"/>
  <c r="F10" i="5"/>
  <c r="J9" i="5"/>
  <c r="H9" i="5" a="1"/>
  <c r="H9" i="5"/>
  <c r="G9" i="5" a="1"/>
  <c r="G9" i="5"/>
  <c r="F9" i="5"/>
  <c r="J8" i="5"/>
  <c r="H8" i="5" a="1"/>
  <c r="H8" i="5"/>
  <c r="G8" i="5" a="1"/>
  <c r="G8" i="5"/>
  <c r="F8" i="5"/>
  <c r="J7" i="5"/>
  <c r="H7" i="5" a="1"/>
  <c r="H7" i="5"/>
  <c r="G7" i="5" a="1"/>
  <c r="G7" i="5"/>
  <c r="F7" i="5"/>
  <c r="J6" i="5"/>
  <c r="H6" i="5" a="1"/>
  <c r="H6" i="5"/>
  <c r="G6" i="5" a="1"/>
  <c r="G6" i="5"/>
  <c r="F6" i="5"/>
  <c r="J5" i="5"/>
  <c r="H5" i="5" a="1"/>
  <c r="H5" i="5"/>
  <c r="G5" i="5" a="1"/>
  <c r="G5" i="5"/>
  <c r="F5" i="5"/>
  <c r="J4" i="5"/>
  <c r="H4" i="5" a="1"/>
  <c r="H4" i="5"/>
  <c r="G4" i="5" a="1"/>
  <c r="G4" i="5"/>
  <c r="F4" i="5"/>
  <c r="J3" i="5"/>
  <c r="H3" i="5" a="1"/>
  <c r="H3" i="5"/>
  <c r="G3" i="5" a="1"/>
  <c r="G3" i="5"/>
  <c r="F3" i="5"/>
  <c r="J2" i="5"/>
  <c r="H2" i="5" a="1"/>
  <c r="H2" i="5"/>
  <c r="G2" i="5" a="1"/>
  <c r="G2" i="5"/>
  <c r="F2" i="5"/>
</calcChain>
</file>

<file path=xl/sharedStrings.xml><?xml version="1.0" encoding="utf-8"?>
<sst xmlns="http://schemas.openxmlformats.org/spreadsheetml/2006/main" count="17146" uniqueCount="4994">
  <si>
    <t>COSTEO/ENSAMBLE/GGOO</t>
  </si>
  <si>
    <t>BLUESKY</t>
  </si>
  <si>
    <t>REPUESTOS NACIONALES/PLAZA</t>
  </si>
  <si>
    <t>ELEMENTOS ENSAMBLE</t>
  </si>
  <si>
    <t>DFSK</t>
  </si>
  <si>
    <t>FALT REP DFSK</t>
  </si>
  <si>
    <t>FALT REP GAC</t>
  </si>
  <si>
    <t>SHINERAY</t>
  </si>
  <si>
    <t>DONGFENG</t>
  </si>
  <si>
    <t>RETOMAS</t>
  </si>
  <si>
    <t>GAC</t>
  </si>
  <si>
    <t>FAW</t>
  </si>
  <si>
    <t>MATERIAL POP</t>
  </si>
  <si>
    <t>ACTIVO FIJO</t>
  </si>
  <si>
    <t>ALISTAMIENTO</t>
  </si>
  <si>
    <t>REPUESTOS</t>
  </si>
  <si>
    <t>REPUESTOS GAC</t>
  </si>
  <si>
    <t>LATONERIA Y PINTURA</t>
  </si>
  <si>
    <t>REPUESTOS DFSK</t>
  </si>
  <si>
    <t>REPUESTOS SHINERAY</t>
  </si>
  <si>
    <t>REPUESTOS REBITTE</t>
  </si>
  <si>
    <t>REPUESTOS  REBATTE</t>
  </si>
  <si>
    <t xml:space="preserve">REPUESTOS - GLORY 500 </t>
  </si>
  <si>
    <t xml:space="preserve">REPUESTOS - SERIE K </t>
  </si>
  <si>
    <t>ESTACAS/CISTERNA</t>
  </si>
  <si>
    <t>89339-1</t>
  </si>
  <si>
    <t>89620-1</t>
  </si>
  <si>
    <t>REPUESTOS "DESUSO"</t>
  </si>
  <si>
    <t>REPUESTOS GRUA</t>
  </si>
  <si>
    <t>UBICACION</t>
  </si>
  <si>
    <t>MARCA</t>
  </si>
  <si>
    <t>SERIE</t>
  </si>
  <si>
    <t>MODELO</t>
  </si>
  <si>
    <t>3610100C0301</t>
  </si>
  <si>
    <t>4133210-ST01</t>
  </si>
  <si>
    <t>4133220-ST01</t>
  </si>
  <si>
    <t>1000052-C10000-AA000</t>
  </si>
  <si>
    <t>1000054C1000-A000000</t>
  </si>
  <si>
    <t>1307200-C1400-A0000</t>
  </si>
  <si>
    <t>1004012-C1415-A0000</t>
  </si>
  <si>
    <t>1004020-C1000-A0000</t>
  </si>
  <si>
    <t>1004021-C1000-A000000</t>
  </si>
  <si>
    <t>1004022-C1000-A000000</t>
  </si>
  <si>
    <t>1004110-C1400-AA00000</t>
  </si>
  <si>
    <t>1007012-C1400-A1000</t>
  </si>
  <si>
    <t>1007013-C1400-A0000</t>
  </si>
  <si>
    <t>1007014-D1500-A000000</t>
  </si>
  <si>
    <t>1007016-C1400-A0000</t>
  </si>
  <si>
    <t>1007016-D1500-A0000</t>
  </si>
  <si>
    <t>1007017-C1400-A000000</t>
  </si>
  <si>
    <t>1007100-C1400-A0000</t>
  </si>
  <si>
    <t>1007701-C1400-A100000</t>
  </si>
  <si>
    <t>1009002-C1400-A0000</t>
  </si>
  <si>
    <t>1010400-C1400-A000000</t>
  </si>
  <si>
    <t>1010401-C1400-A000000</t>
  </si>
  <si>
    <t>1012105-C1400-AA00000</t>
  </si>
  <si>
    <t>1021005-C1406-A0000</t>
  </si>
  <si>
    <t>1021020-C1406-A0000</t>
  </si>
  <si>
    <t>1025017-Q2000-A046500</t>
  </si>
  <si>
    <t>1101110-BA040-A0000</t>
  </si>
  <si>
    <t>1103100-BB020-A0000</t>
  </si>
  <si>
    <t>1104110-BA010-A000000</t>
  </si>
  <si>
    <t>1104120-BA010-B100000</t>
  </si>
  <si>
    <t>1106110-BA010-A000000</t>
  </si>
  <si>
    <t>100108030-BA010-B1000</t>
  </si>
  <si>
    <t>23F0106005</t>
  </si>
  <si>
    <t>1101120-BB010</t>
  </si>
  <si>
    <t>1117010-BA010-B1000</t>
  </si>
  <si>
    <t>1303011-BB010-A0002</t>
  </si>
  <si>
    <t>1201100-BA070-A1000</t>
  </si>
  <si>
    <t>1203210-BA010-A0000</t>
  </si>
  <si>
    <t>1205050-BB010-A0000</t>
  </si>
  <si>
    <t>1303000-BA010-A0000</t>
  </si>
  <si>
    <t>1303011-BB010-A0000</t>
  </si>
  <si>
    <t>1303012-BA010-A000000</t>
  </si>
  <si>
    <t>1303013-BA010-A000000</t>
  </si>
  <si>
    <t>1303016-BA010-A100000</t>
  </si>
  <si>
    <t>1303100-BA010-B1000</t>
  </si>
  <si>
    <t>1307010-C1000-AA000</t>
  </si>
  <si>
    <t>1602012-JB010-B1000</t>
  </si>
  <si>
    <t>2803100-BB050-A000000</t>
  </si>
  <si>
    <t>2806200-BB050-A0000</t>
  </si>
  <si>
    <t>2804100-BA020-A000000</t>
  </si>
  <si>
    <t>2904100-BA010-300000</t>
  </si>
  <si>
    <t>2904100-BA010-A300</t>
  </si>
  <si>
    <t>2911211-BA010A000000</t>
  </si>
  <si>
    <t>3735110-JB010-A0000</t>
  </si>
  <si>
    <t>2912100-BA010-A0000</t>
  </si>
  <si>
    <t>2915010-BA010-A000000</t>
  </si>
  <si>
    <t>3003010-BA010-A000000</t>
  </si>
  <si>
    <t>3003020-BA010-A000000</t>
  </si>
  <si>
    <t>3501155-BA010-A000000</t>
  </si>
  <si>
    <t>3501156-BA010-A000000</t>
  </si>
  <si>
    <t>3502100-BA010-A0000</t>
  </si>
  <si>
    <t>3502120-BA010-A0000</t>
  </si>
  <si>
    <t>3502200-BA010-A0000</t>
  </si>
  <si>
    <t>3611010D1600AA00000</t>
  </si>
  <si>
    <t>3611020-C1402-A000002</t>
  </si>
  <si>
    <t>3612200-C1400-A000G02</t>
  </si>
  <si>
    <t>3700100-Q1000-AA46200</t>
  </si>
  <si>
    <t>3700200-C1400-A000002</t>
  </si>
  <si>
    <t>3704000-BA030-AA000</t>
  </si>
  <si>
    <t xml:space="preserve">3707010-C1000-A000000 </t>
  </si>
  <si>
    <t>3707030-C1000-A0000</t>
  </si>
  <si>
    <t>3721010-BB030-A0000</t>
  </si>
  <si>
    <t>3725010-JB010-A0000</t>
  </si>
  <si>
    <t>3735080-BM010-A0000</t>
  </si>
  <si>
    <t>3735120-JB010-A0000</t>
  </si>
  <si>
    <t>741010-BA01L-A0000</t>
  </si>
  <si>
    <t>37741000-BA010-A1000</t>
  </si>
  <si>
    <t>4133100-BA010-A2000</t>
  </si>
  <si>
    <t>4116020-BA010-A0000</t>
  </si>
  <si>
    <t>G560</t>
  </si>
  <si>
    <t>4121100-BB010-A1000</t>
  </si>
  <si>
    <t>4121200-BB010-A1000</t>
  </si>
  <si>
    <t>4121210-BA010-A0000</t>
  </si>
  <si>
    <t>4133200-BA010-A2000</t>
  </si>
  <si>
    <t xml:space="preserve">5206101-BA010-B100000 </t>
  </si>
  <si>
    <t>5207110-BA010-B1000</t>
  </si>
  <si>
    <t>1106110-BA010-A0000</t>
  </si>
  <si>
    <t>5519110-BA010-A0000</t>
  </si>
  <si>
    <t>8202110-BB010-A1000</t>
  </si>
  <si>
    <t>8202120-BB010-A1000</t>
  </si>
  <si>
    <t>231002ZG0A</t>
  </si>
  <si>
    <t>561102ZG1A+C205</t>
  </si>
  <si>
    <t>23300Y3000+A008</t>
  </si>
  <si>
    <t>200E02ZG1C+A317</t>
  </si>
  <si>
    <t>440602ZG8A+D504</t>
  </si>
  <si>
    <t>113202ZG1A+R304</t>
  </si>
  <si>
    <t>112202ZG1A+R304</t>
  </si>
  <si>
    <t>2TZ0059+A006</t>
  </si>
  <si>
    <t>2TZ0051+A006</t>
  </si>
  <si>
    <t>460102ZG5A+D505</t>
  </si>
  <si>
    <t>491102ZG1A+D021</t>
  </si>
  <si>
    <t xml:space="preserve">490012ZG1A+D001 </t>
  </si>
  <si>
    <t xml:space="preserve">651002ZG0A+Z001 </t>
  </si>
  <si>
    <t>441102ZG0A+D504</t>
  </si>
  <si>
    <t xml:space="preserve">926002ZG1A+F102 </t>
  </si>
  <si>
    <t>282682ZG0A+E404</t>
  </si>
  <si>
    <t>117202ZG0A+E108</t>
  </si>
  <si>
    <t>402022ZG2A+C319</t>
  </si>
  <si>
    <t>301002ZG0A+B003</t>
  </si>
  <si>
    <t>402062ZG0A+B401</t>
  </si>
  <si>
    <t>850102ZG0A+L038</t>
  </si>
  <si>
    <t>260102ZG0A+E304</t>
  </si>
  <si>
    <t>D1</t>
  </si>
  <si>
    <t>260602ZG0A+E304</t>
  </si>
  <si>
    <t xml:space="preserve">6075+A006 </t>
  </si>
  <si>
    <t xml:space="preserve">165462ZG0B+A201 </t>
  </si>
  <si>
    <t>808205JG0A+L013</t>
  </si>
  <si>
    <t>808215JG0A+L013</t>
  </si>
  <si>
    <t>631002ZG01A+Z01</t>
  </si>
  <si>
    <t>631012ZG0A+Z001</t>
  </si>
  <si>
    <t>265102ZG0B+E324</t>
  </si>
  <si>
    <t>265152ZG0B+E324</t>
  </si>
  <si>
    <t>23RBT-179-C002</t>
  </si>
  <si>
    <t>545015JG0A+B900</t>
  </si>
  <si>
    <t>545245JG0A+B900</t>
  </si>
  <si>
    <t>545255JG0A+B900</t>
  </si>
  <si>
    <t>285562ZG0A+D017</t>
  </si>
  <si>
    <t>727002ZG0A+G004</t>
  </si>
  <si>
    <t>797002ZG0A+G020</t>
  </si>
  <si>
    <t>6202222G0H+115</t>
  </si>
  <si>
    <t>623102ZG0A+P115</t>
  </si>
  <si>
    <t>30210Y2900+B003</t>
  </si>
  <si>
    <t>801002ZG0A+Z001</t>
  </si>
  <si>
    <t>801012ZE0A+Z001</t>
  </si>
  <si>
    <t>821002ZG0A+Z001</t>
  </si>
  <si>
    <t>821012ZG0A+Z001</t>
  </si>
  <si>
    <t>210602ZG6A+P122</t>
  </si>
  <si>
    <t>963012ZG0E+P224</t>
  </si>
  <si>
    <t>963022ZG0E+P224</t>
  </si>
  <si>
    <t>7B101601308+B103</t>
  </si>
  <si>
    <t>288902ZG1A+F302</t>
  </si>
  <si>
    <t>288902ZG0A+F302</t>
  </si>
  <si>
    <t xml:space="preserve">265502ZG0A+E306 </t>
  </si>
  <si>
    <t xml:space="preserve">265552ZG0A+E306 </t>
  </si>
  <si>
    <t>391002ZG0A+B409</t>
  </si>
  <si>
    <t>107558B</t>
  </si>
  <si>
    <t xml:space="preserve">1012200F0000 </t>
  </si>
  <si>
    <t xml:space="preserve">1109100-SF01 </t>
  </si>
  <si>
    <t xml:space="preserve">1117140-F00-00 </t>
  </si>
  <si>
    <t>1106100-CA02</t>
  </si>
  <si>
    <t xml:space="preserve">3707200F0000A </t>
  </si>
  <si>
    <t>1109100SF02</t>
  </si>
  <si>
    <t>3614100-F00-00A</t>
  </si>
  <si>
    <t>23RBT-138-P0002</t>
  </si>
  <si>
    <t>4133110-ST01</t>
  </si>
  <si>
    <t>SFG18R0033</t>
  </si>
  <si>
    <t>1012200-K00-00</t>
  </si>
  <si>
    <t>1301110-FK02</t>
  </si>
  <si>
    <t>2803011-FK01-X</t>
  </si>
  <si>
    <t>3501500-SC01</t>
  </si>
  <si>
    <t>3502500-FB01</t>
  </si>
  <si>
    <t>4133010-FK01</t>
  </si>
  <si>
    <t>8105100-FK01</t>
  </si>
  <si>
    <t>1012200-R01-00</t>
  </si>
  <si>
    <t xml:space="preserve">3611020-C1402-A000002 </t>
  </si>
  <si>
    <t>2904200-FK01</t>
  </si>
  <si>
    <t>2904100-FK01</t>
  </si>
  <si>
    <t>1106100-FK02</t>
  </si>
  <si>
    <t xml:space="preserve">1106100-FK02RYBX </t>
  </si>
  <si>
    <t xml:space="preserve">1117140F0000A </t>
  </si>
  <si>
    <t>4116040-FK01</t>
  </si>
  <si>
    <t>SERIE C</t>
  </si>
  <si>
    <t>1101670-01</t>
  </si>
  <si>
    <t>1101670-02</t>
  </si>
  <si>
    <t>3741010-01</t>
  </si>
  <si>
    <t>4121010-CA01</t>
  </si>
  <si>
    <t>5205010-01</t>
  </si>
  <si>
    <t>3501100-CA02</t>
  </si>
  <si>
    <t>3501100-EK01</t>
  </si>
  <si>
    <t>3501101-EK01</t>
  </si>
  <si>
    <t>3501200-EK01</t>
  </si>
  <si>
    <t>3501470-CA01</t>
  </si>
  <si>
    <t>3501480-CA01</t>
  </si>
  <si>
    <t xml:space="preserve">3501500-CA01 </t>
  </si>
  <si>
    <t>3502100-EK01</t>
  </si>
  <si>
    <t>3502100-VD01</t>
  </si>
  <si>
    <t>3502200-EK01</t>
  </si>
  <si>
    <t>3502200-VD01</t>
  </si>
  <si>
    <t>3502470-EK01</t>
  </si>
  <si>
    <t>3502480-EK01</t>
  </si>
  <si>
    <t>3505100-CA03</t>
  </si>
  <si>
    <t>3506300-CA01</t>
  </si>
  <si>
    <t>3507100E-J01</t>
  </si>
  <si>
    <t xml:space="preserve">3508100-CA03 </t>
  </si>
  <si>
    <t xml:space="preserve">3508100-EJ01 </t>
  </si>
  <si>
    <t xml:space="preserve">3508110-EK01 </t>
  </si>
  <si>
    <t xml:space="preserve">3508120-EK01 </t>
  </si>
  <si>
    <t xml:space="preserve">3820020-01 </t>
  </si>
  <si>
    <t>3004200-KA01</t>
  </si>
  <si>
    <t xml:space="preserve">3401100-CA04 </t>
  </si>
  <si>
    <t>3401100-CA04</t>
  </si>
  <si>
    <t>3501371-EK01</t>
  </si>
  <si>
    <t>3501381-EK01</t>
  </si>
  <si>
    <t>1300013E0100</t>
  </si>
  <si>
    <t>1302020-01</t>
  </si>
  <si>
    <t>1302040-FA01</t>
  </si>
  <si>
    <t>1303100-CA01</t>
  </si>
  <si>
    <t xml:space="preserve">1306000B0000 </t>
  </si>
  <si>
    <t>1306029E0100</t>
  </si>
  <si>
    <t xml:space="preserve">1307100E0200 </t>
  </si>
  <si>
    <t>3611200B1100</t>
  </si>
  <si>
    <t>8101020-CA03</t>
  </si>
  <si>
    <t xml:space="preserve">1000410C0300 </t>
  </si>
  <si>
    <t xml:space="preserve">1000510E0100 </t>
  </si>
  <si>
    <t xml:space="preserve">1000531E0100 </t>
  </si>
  <si>
    <t xml:space="preserve">1003280D1500 </t>
  </si>
  <si>
    <t>1003700E0100B</t>
  </si>
  <si>
    <t>1008200E0200</t>
  </si>
  <si>
    <t xml:space="preserve">1009050E0200 </t>
  </si>
  <si>
    <t xml:space="preserve">1009100E0200A </t>
  </si>
  <si>
    <t xml:space="preserve">1011100E0100 </t>
  </si>
  <si>
    <t>1014002E0200</t>
  </si>
  <si>
    <t>1014100C0300</t>
  </si>
  <si>
    <t>1021500E0500</t>
  </si>
  <si>
    <t>1021600E0100</t>
  </si>
  <si>
    <t>1021700D0300</t>
  </si>
  <si>
    <t>1021800D0300</t>
  </si>
  <si>
    <t>1021810E0100</t>
  </si>
  <si>
    <t xml:space="preserve">1025003E0200 </t>
  </si>
  <si>
    <t>1025300E0502</t>
  </si>
  <si>
    <t xml:space="preserve">1106100-CA02 </t>
  </si>
  <si>
    <t>1108100-CA02</t>
  </si>
  <si>
    <t>C37</t>
  </si>
  <si>
    <t>1108110-CA07</t>
  </si>
  <si>
    <t>1008110-EJ01</t>
  </si>
  <si>
    <t>1109100-EJ01</t>
  </si>
  <si>
    <t xml:space="preserve">1109120-VC04 </t>
  </si>
  <si>
    <t xml:space="preserve">1300026E0200 </t>
  </si>
  <si>
    <t>1301110-CA03</t>
  </si>
  <si>
    <t>4121020-CA01</t>
  </si>
  <si>
    <t>1303C00E0200</t>
  </si>
  <si>
    <t>1307101E0100B</t>
  </si>
  <si>
    <t>1308100-CA02</t>
  </si>
  <si>
    <t>1308100-EJ02</t>
  </si>
  <si>
    <t>1706231MR510A01</t>
  </si>
  <si>
    <t>1706269-MR510A01</t>
  </si>
  <si>
    <t xml:space="preserve">2201100-CA05 </t>
  </si>
  <si>
    <t>2400102-CA02</t>
  </si>
  <si>
    <t>3600200E0100B</t>
  </si>
  <si>
    <t>3610100E0100</t>
  </si>
  <si>
    <t>3610500B0200</t>
  </si>
  <si>
    <t xml:space="preserve">3611100B1006 </t>
  </si>
  <si>
    <t>3611550C0300</t>
  </si>
  <si>
    <t xml:space="preserve">3611600E0100C </t>
  </si>
  <si>
    <t>3705100E0100</t>
  </si>
  <si>
    <t xml:space="preserve">3707200E0100 </t>
  </si>
  <si>
    <t>3742040A2603</t>
  </si>
  <si>
    <t xml:space="preserve">1012200B0612 </t>
  </si>
  <si>
    <t>3505110-EK01</t>
  </si>
  <si>
    <t>100501E0100A</t>
  </si>
  <si>
    <t>3003100-CA02</t>
  </si>
  <si>
    <t xml:space="preserve">3003100-VA01 </t>
  </si>
  <si>
    <t>3003140-CA01</t>
  </si>
  <si>
    <t xml:space="preserve">3003200-VA01 </t>
  </si>
  <si>
    <t>2403011-EK01</t>
  </si>
  <si>
    <t xml:space="preserve">2403015-EK01 </t>
  </si>
  <si>
    <t xml:space="preserve">2904100-CA02 </t>
  </si>
  <si>
    <t xml:space="preserve">2904100-EK02-C </t>
  </si>
  <si>
    <t>2904200-CA02</t>
  </si>
  <si>
    <t>2904200-EK02-C</t>
  </si>
  <si>
    <t>2904300-91</t>
  </si>
  <si>
    <t>2904400-91</t>
  </si>
  <si>
    <t>2906110-01</t>
  </si>
  <si>
    <t>2906110-CA01</t>
  </si>
  <si>
    <t xml:space="preserve">2906130-01 </t>
  </si>
  <si>
    <t>2909100-91</t>
  </si>
  <si>
    <t>2909100-CA01</t>
  </si>
  <si>
    <t>2909200-91</t>
  </si>
  <si>
    <t>2909200CA01</t>
  </si>
  <si>
    <t xml:space="preserve">2915100-VD01 </t>
  </si>
  <si>
    <t>2915100-CA01</t>
  </si>
  <si>
    <t xml:space="preserve">3001100-01 </t>
  </si>
  <si>
    <t xml:space="preserve">3501600-EK01 </t>
  </si>
  <si>
    <t>3501610-EK01</t>
  </si>
  <si>
    <t>2400020-CA02</t>
  </si>
  <si>
    <t>1005100E0200</t>
  </si>
  <si>
    <t>1600100E0100</t>
  </si>
  <si>
    <t xml:space="preserve">1600200E0100 </t>
  </si>
  <si>
    <t>1602110-CA07</t>
  </si>
  <si>
    <t>1602110-EJ01</t>
  </si>
  <si>
    <t>1703100-CA05</t>
  </si>
  <si>
    <t>1703200-CA08</t>
  </si>
  <si>
    <t>1703200-EJ02</t>
  </si>
  <si>
    <t>1703300-CA05</t>
  </si>
  <si>
    <t>1703300-CA08</t>
  </si>
  <si>
    <t>1703300-EJ02</t>
  </si>
  <si>
    <t>1706265-MR515D03</t>
  </si>
  <si>
    <t>2403012-EK01</t>
  </si>
  <si>
    <t>3404010-CA06</t>
  </si>
  <si>
    <t>C35</t>
  </si>
  <si>
    <t>8202100-CA01</t>
  </si>
  <si>
    <t xml:space="preserve">8202200-CA01 </t>
  </si>
  <si>
    <t xml:space="preserve">6105150-CA01 </t>
  </si>
  <si>
    <t xml:space="preserve">6205150-CA01 </t>
  </si>
  <si>
    <t xml:space="preserve">8402000-CA01 </t>
  </si>
  <si>
    <t>KPR-9663</t>
  </si>
  <si>
    <t>C32</t>
  </si>
  <si>
    <t>1021140E2900</t>
  </si>
  <si>
    <t>1021300H0000</t>
  </si>
  <si>
    <t xml:space="preserve">1307100E3700 </t>
  </si>
  <si>
    <t>C31</t>
  </si>
  <si>
    <t xml:space="preserve">S00125-1025004-E05-02 </t>
  </si>
  <si>
    <t>1002021-E01-00</t>
  </si>
  <si>
    <t>1002100-E30-00</t>
  </si>
  <si>
    <t>1003100-E29-00</t>
  </si>
  <si>
    <t>1004001-E29-00</t>
  </si>
  <si>
    <t>1004004-E01-00</t>
  </si>
  <si>
    <t>1004014-E29-00</t>
  </si>
  <si>
    <t>1004030-E29-00</t>
  </si>
  <si>
    <t>1004100-E29-00</t>
  </si>
  <si>
    <t>1004203-D00-00</t>
  </si>
  <si>
    <t>1007006-E07-00</t>
  </si>
  <si>
    <t>1007020-C03-00</t>
  </si>
  <si>
    <t>1007026-E01-00</t>
  </si>
  <si>
    <t>1007029-E07-00</t>
  </si>
  <si>
    <t>1007032-E07-00</t>
  </si>
  <si>
    <t>1007033-E07-00</t>
  </si>
  <si>
    <t>1007431-D00-00A</t>
  </si>
  <si>
    <t>1014022-E23-01</t>
  </si>
  <si>
    <t>1015080-E29-00</t>
  </si>
  <si>
    <t>1021140-E29-00</t>
  </si>
  <si>
    <t>1021300-H00-00</t>
  </si>
  <si>
    <t>1021500-E31-00</t>
  </si>
  <si>
    <t>1021600-E08-09</t>
  </si>
  <si>
    <t>1109120-VC04</t>
  </si>
  <si>
    <t>1130100-H03-00</t>
  </si>
  <si>
    <t>1600100-E02-00</t>
  </si>
  <si>
    <t>1600200-E02-00</t>
  </si>
  <si>
    <t>1700100-E31-00</t>
  </si>
  <si>
    <t>2803011-EJ01-X</t>
  </si>
  <si>
    <t>3614100-E22-00</t>
  </si>
  <si>
    <t>3705100-E30-00</t>
  </si>
  <si>
    <t>3745100-D18-00</t>
  </si>
  <si>
    <t>5206012-91</t>
  </si>
  <si>
    <t>5509011-EJ01-A02J</t>
  </si>
  <si>
    <t>1000047-A00-00</t>
  </si>
  <si>
    <t>1012100-C03-00</t>
  </si>
  <si>
    <t>1025004-E05-02</t>
  </si>
  <si>
    <t>3550130-CA01</t>
  </si>
  <si>
    <t>3550140-CA01</t>
  </si>
  <si>
    <t>3774010-VC02</t>
  </si>
  <si>
    <t>4106010-CA01</t>
  </si>
  <si>
    <t>4135010-CA01</t>
  </si>
  <si>
    <t>4135020-CA01</t>
  </si>
  <si>
    <t>5306841-CA01-BK02</t>
  </si>
  <si>
    <t>2803010-CA01-X</t>
  </si>
  <si>
    <t>3600100-CA24</t>
  </si>
  <si>
    <t>4116010-CA01</t>
  </si>
  <si>
    <t>4116020-CA01</t>
  </si>
  <si>
    <t>5101701-CA01D</t>
  </si>
  <si>
    <t>5101702-CA01D</t>
  </si>
  <si>
    <t>5206012-CA01</t>
  </si>
  <si>
    <t>6209210-CA01</t>
  </si>
  <si>
    <t>1011100-E01-00</t>
  </si>
  <si>
    <t>1304100-02</t>
  </si>
  <si>
    <t>3508100-EJ01</t>
  </si>
  <si>
    <t>4106020-CA01</t>
  </si>
  <si>
    <t>4133010-CA01</t>
  </si>
  <si>
    <t>5504012-CA01-BK01</t>
  </si>
  <si>
    <t>6105150-CA01</t>
  </si>
  <si>
    <t>6205150-CA01</t>
  </si>
  <si>
    <t>G330</t>
  </si>
  <si>
    <t>3745100D1800-1330S</t>
  </si>
  <si>
    <t>8110000-FA16</t>
  </si>
  <si>
    <t>5403501-FA01</t>
  </si>
  <si>
    <t>5403601-FA01</t>
  </si>
  <si>
    <t>6101100-FA01D</t>
  </si>
  <si>
    <t>6103011FA01</t>
  </si>
  <si>
    <t>6103012-FA01</t>
  </si>
  <si>
    <t>6201100-FA01D</t>
  </si>
  <si>
    <t>6201200-FA01D</t>
  </si>
  <si>
    <t>6203311-FA01</t>
  </si>
  <si>
    <t>6301100-FA01D</t>
  </si>
  <si>
    <t>6303012-FA01</t>
  </si>
  <si>
    <t>8201100-FA01</t>
  </si>
  <si>
    <t>8402250-FA01</t>
  </si>
  <si>
    <t>8511011-FA01</t>
  </si>
  <si>
    <t>8511012-FA01</t>
  </si>
  <si>
    <t>3501500-FA01</t>
  </si>
  <si>
    <t>3502100-FA01</t>
  </si>
  <si>
    <t>3502200-FA01</t>
  </si>
  <si>
    <t>3003100-FA02</t>
  </si>
  <si>
    <t>3003200-FA02</t>
  </si>
  <si>
    <t xml:space="preserve">3401100-FA02 </t>
  </si>
  <si>
    <t>3722010-FA01</t>
  </si>
  <si>
    <t>3722010-FA03</t>
  </si>
  <si>
    <t>3722010-FA04</t>
  </si>
  <si>
    <t>3722010-FA05</t>
  </si>
  <si>
    <t>3722010-FA07</t>
  </si>
  <si>
    <t>3722220-FA02</t>
  </si>
  <si>
    <t>3722020-FA04</t>
  </si>
  <si>
    <t>3722020-FA06</t>
  </si>
  <si>
    <t>3735030-FA01</t>
  </si>
  <si>
    <t>3735030-FA03</t>
  </si>
  <si>
    <t>1000047A0000330S</t>
  </si>
  <si>
    <t>1000106C0300</t>
  </si>
  <si>
    <t>1000410C0300</t>
  </si>
  <si>
    <t>1000501E0100A</t>
  </si>
  <si>
    <t>1003280D1500330S</t>
  </si>
  <si>
    <t>1004030E0100</t>
  </si>
  <si>
    <t>1008201E0100</t>
  </si>
  <si>
    <t>1021048E0100</t>
  </si>
  <si>
    <t>1021161E0100330S</t>
  </si>
  <si>
    <t>1025003E0501</t>
  </si>
  <si>
    <t>1025004E0302</t>
  </si>
  <si>
    <t>1101670-FA01</t>
  </si>
  <si>
    <t>1106100-FA01</t>
  </si>
  <si>
    <t>1109100-FA04</t>
  </si>
  <si>
    <t>1300016E0100</t>
  </si>
  <si>
    <t>1300020E0100A</t>
  </si>
  <si>
    <t>1300028E0100</t>
  </si>
  <si>
    <t>1301110-FA02</t>
  </si>
  <si>
    <t>1303030-FA03</t>
  </si>
  <si>
    <t>1306100E0100</t>
  </si>
  <si>
    <t>1307100E0100</t>
  </si>
  <si>
    <t>3610500B0200330S</t>
  </si>
  <si>
    <t>3611100B1006330S</t>
  </si>
  <si>
    <t>3611200B1100330C</t>
  </si>
  <si>
    <t>3611600E0100C330S</t>
  </si>
  <si>
    <t>3611700E0100</t>
  </si>
  <si>
    <t>3701100E0100</t>
  </si>
  <si>
    <t>3742040A2603330S</t>
  </si>
  <si>
    <t>8101021-FA07</t>
  </si>
  <si>
    <t>2904300-FA01</t>
  </si>
  <si>
    <t>290400-FA01</t>
  </si>
  <si>
    <t>2906100-FA01</t>
  </si>
  <si>
    <t>2906110-FA01</t>
  </si>
  <si>
    <t>2906130-FA01</t>
  </si>
  <si>
    <t>2906140-FA01</t>
  </si>
  <si>
    <t>2912101-FA01</t>
  </si>
  <si>
    <t>2915100-FA02</t>
  </si>
  <si>
    <t>1600100E0200</t>
  </si>
  <si>
    <t>K01S</t>
  </si>
  <si>
    <t>2400020-01-A</t>
  </si>
  <si>
    <t>2400100-FA02</t>
  </si>
  <si>
    <t>1025300-E05-02</t>
  </si>
  <si>
    <t>1025401-E05-02A</t>
  </si>
  <si>
    <t>1101600-FQ02</t>
  </si>
  <si>
    <t>1201180-FQ05+1201190-FQ05</t>
  </si>
  <si>
    <t>1700100-E21-04</t>
  </si>
  <si>
    <t>1700100-E21-05</t>
  </si>
  <si>
    <t>2203100-FQ06</t>
  </si>
  <si>
    <t>2203200-FQ06</t>
  </si>
  <si>
    <t>2802231-FS01</t>
  </si>
  <si>
    <t>2802431-FQ02</t>
  </si>
  <si>
    <t>2803011-FQ03-X</t>
  </si>
  <si>
    <t>2803042-FQ02-CR01</t>
  </si>
  <si>
    <t>3401100-FQ01</t>
  </si>
  <si>
    <t>3701100F0000</t>
  </si>
  <si>
    <t>3880000-FQ02</t>
  </si>
  <si>
    <t>4106010-FS01</t>
  </si>
  <si>
    <t>4106020-FS01</t>
  </si>
  <si>
    <t>4133110-FS01</t>
  </si>
  <si>
    <t>4133120-FS01</t>
  </si>
  <si>
    <t>4133210-FS01</t>
  </si>
  <si>
    <t>4133220-FS01</t>
  </si>
  <si>
    <t>4134010-FS01</t>
  </si>
  <si>
    <t>5006200-FS01</t>
  </si>
  <si>
    <t>5206012-FQ01-LB01</t>
  </si>
  <si>
    <t>5500080-FS02-BK06</t>
  </si>
  <si>
    <t>5500160-FS01</t>
  </si>
  <si>
    <t>5500171-FS01</t>
  </si>
  <si>
    <t>5500612-FS01</t>
  </si>
  <si>
    <t>5500623-FS01</t>
  </si>
  <si>
    <t>5504021-FS01</t>
  </si>
  <si>
    <t>5504022-FS01</t>
  </si>
  <si>
    <t>5506100-FS02</t>
  </si>
  <si>
    <t>5514021-FQ01</t>
  </si>
  <si>
    <t>5514022-FQ01</t>
  </si>
  <si>
    <t>5614100-FQ02</t>
  </si>
  <si>
    <t>5709304-FS01-B04J</t>
  </si>
  <si>
    <t>6105003-01</t>
  </si>
  <si>
    <t>6106100-SF01</t>
  </si>
  <si>
    <t>6302120-FS01-BK06</t>
  </si>
  <si>
    <t>8112100-FQ02</t>
  </si>
  <si>
    <t>8200120-FS01</t>
  </si>
  <si>
    <t>8204010-FK02-P074</t>
  </si>
  <si>
    <t>RDC15-1515300A</t>
  </si>
  <si>
    <t>1012200-F00-00</t>
  </si>
  <si>
    <t>1118100-F00-00C</t>
  </si>
  <si>
    <t>3921101-FA01</t>
  </si>
  <si>
    <t>3921101-FA04</t>
  </si>
  <si>
    <t>5509010-FQ15-F</t>
  </si>
  <si>
    <t xml:space="preserve">2804011-FS02 </t>
  </si>
  <si>
    <t>3745100D1800-1500</t>
  </si>
  <si>
    <t>8105100-FQ01</t>
  </si>
  <si>
    <t>2803017-FQ03</t>
  </si>
  <si>
    <t>2803018-FQ03</t>
  </si>
  <si>
    <t>370400-FQ04</t>
  </si>
  <si>
    <t>3746050-SA04</t>
  </si>
  <si>
    <t>3746060-SA04</t>
  </si>
  <si>
    <t>3758020-FB01</t>
  </si>
  <si>
    <t>3758100-FS01</t>
  </si>
  <si>
    <t>3774100-SF11</t>
  </si>
  <si>
    <t>3820010FQ06</t>
  </si>
  <si>
    <t>3921208-SF01</t>
  </si>
  <si>
    <t>5402040-FS01-BK02</t>
  </si>
  <si>
    <t>5403501-FS01-LB01</t>
  </si>
  <si>
    <t>5403601-FS01-LB01</t>
  </si>
  <si>
    <t>5500031-FS01</t>
  </si>
  <si>
    <t>5500040FC01</t>
  </si>
  <si>
    <t>5500070-DC02-BK06</t>
  </si>
  <si>
    <t>5500172-FS01</t>
  </si>
  <si>
    <t>5500430-FS01-K06</t>
  </si>
  <si>
    <t>5500613-FS01</t>
  </si>
  <si>
    <t>5500622-FS01</t>
  </si>
  <si>
    <t>5506200-FF02</t>
  </si>
  <si>
    <t>5509010-FQ13</t>
  </si>
  <si>
    <t>Serie Glory</t>
  </si>
  <si>
    <t>6101200-FS01D</t>
  </si>
  <si>
    <t>6103011-FS01-LB01</t>
  </si>
  <si>
    <t>6103012-FS01-LB01</t>
  </si>
  <si>
    <t>6105110-SS01</t>
  </si>
  <si>
    <t>6105152-FS01</t>
  </si>
  <si>
    <t>6105153-FS01</t>
  </si>
  <si>
    <t>6105154-FS01</t>
  </si>
  <si>
    <t>6105160-FS01-CR03</t>
  </si>
  <si>
    <t>6105252-S01</t>
  </si>
  <si>
    <t>6105253FS01</t>
  </si>
  <si>
    <t>6105254-FS01</t>
  </si>
  <si>
    <t>6105260-FS01-CR03</t>
  </si>
  <si>
    <t>6201100-FS01D</t>
  </si>
  <si>
    <t>6201200-FS01D</t>
  </si>
  <si>
    <t>6203311-FS01-LB01</t>
  </si>
  <si>
    <t>6206500-SF01</t>
  </si>
  <si>
    <t>6206600-SF01</t>
  </si>
  <si>
    <t>22SDR-0057-P0103</t>
  </si>
  <si>
    <t>6302120-FQ01-BK06</t>
  </si>
  <si>
    <t>6302220-FQ01-BK06</t>
  </si>
  <si>
    <t>6303012-FQ01-LB01</t>
  </si>
  <si>
    <t>6306100266-CA01</t>
  </si>
  <si>
    <t>7903010-FR01</t>
  </si>
  <si>
    <t>8201100-CA03-BK02</t>
  </si>
  <si>
    <t>8202100-FS01</t>
  </si>
  <si>
    <t>8202113-FS01</t>
  </si>
  <si>
    <t>8202123-FS01</t>
  </si>
  <si>
    <t>8202200-FS01</t>
  </si>
  <si>
    <t>8204020-FQ01-P074</t>
  </si>
  <si>
    <t>8402010-FS01</t>
  </si>
  <si>
    <t>8402210-FS01</t>
  </si>
  <si>
    <t>8402240-FS01</t>
  </si>
  <si>
    <t>8403111-FS01BD</t>
  </si>
  <si>
    <t>8403211-FS01BD</t>
  </si>
  <si>
    <t>Q2715519</t>
  </si>
  <si>
    <t>Q274423</t>
  </si>
  <si>
    <t>Q32006</t>
  </si>
  <si>
    <t>3502101-CA01</t>
  </si>
  <si>
    <t>3502102-SA01</t>
  </si>
  <si>
    <t>3502202-SA01</t>
  </si>
  <si>
    <t>3502301-SA01</t>
  </si>
  <si>
    <t>3502401-SA01</t>
  </si>
  <si>
    <t>3503100-SD010</t>
  </si>
  <si>
    <t>3503200-SD01</t>
  </si>
  <si>
    <t>3505100-FQ04</t>
  </si>
  <si>
    <t>3506130-SA01</t>
  </si>
  <si>
    <t>3506270-SA01</t>
  </si>
  <si>
    <t>3506280-SA01</t>
  </si>
  <si>
    <t>3507100-SA01-T0003</t>
  </si>
  <si>
    <t>3508110-FQ01</t>
  </si>
  <si>
    <t>3508120-FQ01</t>
  </si>
  <si>
    <t>3550120-FF01</t>
  </si>
  <si>
    <t>3550135-FS01</t>
  </si>
  <si>
    <t>3550155-FS01</t>
  </si>
  <si>
    <t>1000047A0000500</t>
  </si>
  <si>
    <t>1000501E0305</t>
  </si>
  <si>
    <t>1000502E0100500</t>
  </si>
  <si>
    <t>1000516E0100</t>
  </si>
  <si>
    <t>1000529E0100</t>
  </si>
  <si>
    <t>1000531E0100500</t>
  </si>
  <si>
    <t>1001A50E2104</t>
  </si>
  <si>
    <t>1001B50E2104</t>
  </si>
  <si>
    <t>1001D50E2103</t>
  </si>
  <si>
    <t>1002200E0100500</t>
  </si>
  <si>
    <t>1003100E0305A</t>
  </si>
  <si>
    <t>1003200E0305A</t>
  </si>
  <si>
    <t>1003280D1500500</t>
  </si>
  <si>
    <t>1004001E3600</t>
  </si>
  <si>
    <t>1004004E0100500</t>
  </si>
  <si>
    <t>1004100E0100550</t>
  </si>
  <si>
    <t>1004141E2108</t>
  </si>
  <si>
    <t>1004142E2108</t>
  </si>
  <si>
    <t>100415E22108</t>
  </si>
  <si>
    <t>1005001E0809</t>
  </si>
  <si>
    <t>1005005E3600</t>
  </si>
  <si>
    <t>1005007E3600</t>
  </si>
  <si>
    <t>1006100E3600</t>
  </si>
  <si>
    <t>1006200E3600</t>
  </si>
  <si>
    <t>1007020003000</t>
  </si>
  <si>
    <t>1007032E0100A500</t>
  </si>
  <si>
    <t>1007033E0100B500</t>
  </si>
  <si>
    <t>1008200E0300</t>
  </si>
  <si>
    <t>1008210E0100500</t>
  </si>
  <si>
    <t>1009050E0300</t>
  </si>
  <si>
    <t>1009100E0809B</t>
  </si>
  <si>
    <t>1010100E0300</t>
  </si>
  <si>
    <t>1011100E0100</t>
  </si>
  <si>
    <t>1014040E2338</t>
  </si>
  <si>
    <t>1021002E1600</t>
  </si>
  <si>
    <t>1021060E1600</t>
  </si>
  <si>
    <t>1021161E0100500</t>
  </si>
  <si>
    <t>1021200E0100500</t>
  </si>
  <si>
    <t>1025004E0502</t>
  </si>
  <si>
    <t>1025100F0016</t>
  </si>
  <si>
    <t>1101670-SA02</t>
  </si>
  <si>
    <t>1108200-SA01</t>
  </si>
  <si>
    <t>1301110-FQ01</t>
  </si>
  <si>
    <t>1303001F0900</t>
  </si>
  <si>
    <t>1303010-FQ03</t>
  </si>
  <si>
    <t>1303030-FQ03</t>
  </si>
  <si>
    <t>1303033-FQ02</t>
  </si>
  <si>
    <t>1303050-FQ03</t>
  </si>
  <si>
    <t>1303C00E0200A</t>
  </si>
  <si>
    <t>1306300F0016</t>
  </si>
  <si>
    <t>1307100E3500</t>
  </si>
  <si>
    <t>1308100-SF01</t>
  </si>
  <si>
    <t>3611200B1100500</t>
  </si>
  <si>
    <t>3611600E0100C500</t>
  </si>
  <si>
    <t>3611600H0300</t>
  </si>
  <si>
    <t>3611900E2101</t>
  </si>
  <si>
    <t>3614100E2100</t>
  </si>
  <si>
    <t>3708100E2104</t>
  </si>
  <si>
    <t>3742040A2603500</t>
  </si>
  <si>
    <t>3765100E0300500</t>
  </si>
  <si>
    <t>8101120-FQ01</t>
  </si>
  <si>
    <t>8114200-SA01</t>
  </si>
  <si>
    <t>2401010-SA01</t>
  </si>
  <si>
    <t>2810110-SA02</t>
  </si>
  <si>
    <t>2904188-FQ01</t>
  </si>
  <si>
    <t>2904200-FQ01</t>
  </si>
  <si>
    <t>2904300-CA01</t>
  </si>
  <si>
    <t>2904400-SA01</t>
  </si>
  <si>
    <t>2906100-FQ01</t>
  </si>
  <si>
    <t>2906110-FQ01</t>
  </si>
  <si>
    <t>2906130-SA01</t>
  </si>
  <si>
    <t>2906140SA01</t>
  </si>
  <si>
    <t>2912102-CA01</t>
  </si>
  <si>
    <t>2912103-CA01</t>
  </si>
  <si>
    <t>3502600-SA01</t>
  </si>
  <si>
    <t>1005100E2104</t>
  </si>
  <si>
    <t>1015010E0809</t>
  </si>
  <si>
    <t>100-FQ10</t>
  </si>
  <si>
    <t>1703400-FQ09</t>
  </si>
  <si>
    <t>1703600-FQ04</t>
  </si>
  <si>
    <t>2203100-FQ07</t>
  </si>
  <si>
    <t>2203200-FQ07</t>
  </si>
  <si>
    <t>DCLDGLORY500W</t>
  </si>
  <si>
    <t>7901302-FQ02-B</t>
  </si>
  <si>
    <t>2802253-FS01</t>
  </si>
  <si>
    <t>2802263-FS01</t>
  </si>
  <si>
    <t>8112100-FQ04</t>
  </si>
  <si>
    <t>5207100FQ01</t>
  </si>
  <si>
    <t>1025003E2103</t>
  </si>
  <si>
    <t>1106100-FQ02</t>
  </si>
  <si>
    <t>3791000-SF05</t>
  </si>
  <si>
    <t>5205103-FQ01</t>
  </si>
  <si>
    <t>5205203-FQ01</t>
  </si>
  <si>
    <t>RDC18FA-1512300</t>
  </si>
  <si>
    <t>RDCBZ-1531013</t>
  </si>
  <si>
    <t>(3503100-SD01)</t>
  </si>
  <si>
    <t>(3503200-SD01)</t>
  </si>
  <si>
    <t>3707200E0100</t>
  </si>
  <si>
    <t>5409110-FS01</t>
  </si>
  <si>
    <t>1004002F0000</t>
  </si>
  <si>
    <t>1004004F0000</t>
  </si>
  <si>
    <t>1004100F1100A</t>
  </si>
  <si>
    <t>1004200F0000</t>
  </si>
  <si>
    <t>3745100-KP01</t>
  </si>
  <si>
    <t>8105000-SM02</t>
  </si>
  <si>
    <t>Serie K</t>
  </si>
  <si>
    <t>2804011-CM01-X</t>
  </si>
  <si>
    <t>3704000-CM01</t>
  </si>
  <si>
    <t>3704000-CP01</t>
  </si>
  <si>
    <t>3704000-CQ010</t>
  </si>
  <si>
    <t>3704050-CM01</t>
  </si>
  <si>
    <t>3735090-01K01S</t>
  </si>
  <si>
    <t>3774010-EJ0</t>
  </si>
  <si>
    <t>3820010-KP01</t>
  </si>
  <si>
    <t>3900000-KJ01</t>
  </si>
  <si>
    <t>4116051-KP01</t>
  </si>
  <si>
    <t>4121010-CM02</t>
  </si>
  <si>
    <t>4133010-CM01</t>
  </si>
  <si>
    <t>4133020-CM01</t>
  </si>
  <si>
    <t>4133020EK01</t>
  </si>
  <si>
    <t>5403011-KH01</t>
  </si>
  <si>
    <t>5403013-KH01</t>
  </si>
  <si>
    <t>5403014-KH01</t>
  </si>
  <si>
    <t>6103012-01</t>
  </si>
  <si>
    <t>6105410-01BK02</t>
  </si>
  <si>
    <t>6105520-01-BK02</t>
  </si>
  <si>
    <t>6201100-CM01D</t>
  </si>
  <si>
    <t>6201200-CM01D</t>
  </si>
  <si>
    <t>6203011-01</t>
  </si>
  <si>
    <t>6203012-01</t>
  </si>
  <si>
    <t>6505150-CM02</t>
  </si>
  <si>
    <t>6205250-CM02</t>
  </si>
  <si>
    <t>6205400-01</t>
  </si>
  <si>
    <t>6301100-CM01D</t>
  </si>
  <si>
    <t>6305800-FA02</t>
  </si>
  <si>
    <t>7903010-01</t>
  </si>
  <si>
    <t>8201010-01</t>
  </si>
  <si>
    <t>8202010-KA01</t>
  </si>
  <si>
    <t>8202020-KA01</t>
  </si>
  <si>
    <t>8204010-02</t>
  </si>
  <si>
    <t>8204020-02</t>
  </si>
  <si>
    <t>8402110-CM01</t>
  </si>
  <si>
    <t>8402200-CM01</t>
  </si>
  <si>
    <t>8408100-CMO1D</t>
  </si>
  <si>
    <t>3501101-01</t>
  </si>
  <si>
    <t>3502010-01</t>
  </si>
  <si>
    <t>35002100-21</t>
  </si>
  <si>
    <t>3502200-21</t>
  </si>
  <si>
    <t>350250001</t>
  </si>
  <si>
    <t>3504100-CP01</t>
  </si>
  <si>
    <t>3505100-93</t>
  </si>
  <si>
    <t>3505110-02</t>
  </si>
  <si>
    <t>3506120-01</t>
  </si>
  <si>
    <t>3506130-01</t>
  </si>
  <si>
    <t>3506300-21</t>
  </si>
  <si>
    <t>3507100-VG01-BK01</t>
  </si>
  <si>
    <t>3508100-01</t>
  </si>
  <si>
    <t>3508110-01</t>
  </si>
  <si>
    <t>3508120-01</t>
  </si>
  <si>
    <t>3003100-KA01</t>
  </si>
  <si>
    <t>3401100-CM01</t>
  </si>
  <si>
    <t>1000000SA2600</t>
  </si>
  <si>
    <t>1000024A0300</t>
  </si>
  <si>
    <t>1000043A2600A</t>
  </si>
  <si>
    <t>1000048A0300</t>
  </si>
  <si>
    <t>1000049A0109</t>
  </si>
  <si>
    <t>1000051A0300</t>
  </si>
  <si>
    <t>1000052A0000</t>
  </si>
  <si>
    <t>1000053A0200</t>
  </si>
  <si>
    <t>1000061A0000</t>
  </si>
  <si>
    <t>1000064A0000</t>
  </si>
  <si>
    <t>1000065A0000</t>
  </si>
  <si>
    <t>1000077A0109</t>
  </si>
  <si>
    <t>1000101A0200</t>
  </si>
  <si>
    <t>1001100B0900</t>
  </si>
  <si>
    <t>1001200A1400</t>
  </si>
  <si>
    <t>1001300A0102</t>
  </si>
  <si>
    <t>1002050A0300</t>
  </si>
  <si>
    <t>1002060A0300</t>
  </si>
  <si>
    <t>1002100A2600</t>
  </si>
  <si>
    <t>1003050A0106A</t>
  </si>
  <si>
    <t>1003052A0000</t>
  </si>
  <si>
    <t>1003055A0000</t>
  </si>
  <si>
    <t>10031100A2600</t>
  </si>
  <si>
    <t>1004100A0200</t>
  </si>
  <si>
    <t>1005022A2600</t>
  </si>
  <si>
    <t>1006013A2600</t>
  </si>
  <si>
    <t>1007020A2600</t>
  </si>
  <si>
    <t>1007032A2600</t>
  </si>
  <si>
    <t>1001033A2600</t>
  </si>
  <si>
    <t>1008031A0300</t>
  </si>
  <si>
    <t>1008400A2603</t>
  </si>
  <si>
    <t>1009100A2600A</t>
  </si>
  <si>
    <t>10091104C0300</t>
  </si>
  <si>
    <t>1010010A0000</t>
  </si>
  <si>
    <t>1011000A0000</t>
  </si>
  <si>
    <t>1011200A0300</t>
  </si>
  <si>
    <t>1014010A0000</t>
  </si>
  <si>
    <t>1021010A0000</t>
  </si>
  <si>
    <t>1021100A0200</t>
  </si>
  <si>
    <t>1108110-KD01</t>
  </si>
  <si>
    <t>1109100-KH08</t>
  </si>
  <si>
    <t>1301110-CM01</t>
  </si>
  <si>
    <t>1303010-CM02</t>
  </si>
  <si>
    <t>1303020-CM02</t>
  </si>
  <si>
    <t>1303030-CM01</t>
  </si>
  <si>
    <t>1306000A0000</t>
  </si>
  <si>
    <t>1306041A0000A</t>
  </si>
  <si>
    <t>1307070A0000</t>
  </si>
  <si>
    <t>1308100-CM02</t>
  </si>
  <si>
    <t>3600200A2603</t>
  </si>
  <si>
    <t>3610100A2603</t>
  </si>
  <si>
    <t>3610500B00200K01</t>
  </si>
  <si>
    <t>3611100A0300</t>
  </si>
  <si>
    <t>3611200B1100K01S</t>
  </si>
  <si>
    <t>3611E00A2602</t>
  </si>
  <si>
    <t>3665100D0300A</t>
  </si>
  <si>
    <t>3701100A1100</t>
  </si>
  <si>
    <t>3705100D0000</t>
  </si>
  <si>
    <t>3707100A2603</t>
  </si>
  <si>
    <t>3708000A0000</t>
  </si>
  <si>
    <t>3742040A2603K01S</t>
  </si>
  <si>
    <t>2904100-KA01</t>
  </si>
  <si>
    <t>2904200-KA01</t>
  </si>
  <si>
    <t>2904300-01A</t>
  </si>
  <si>
    <t>2904400-01A</t>
  </si>
  <si>
    <t>2906130-01</t>
  </si>
  <si>
    <t>2909100-01</t>
  </si>
  <si>
    <t>2909200-01</t>
  </si>
  <si>
    <t>2912010-61A</t>
  </si>
  <si>
    <t>2912070-01</t>
  </si>
  <si>
    <t>2912071-01</t>
  </si>
  <si>
    <t>2912072-01</t>
  </si>
  <si>
    <t>2912080-01</t>
  </si>
  <si>
    <t>2912090-01</t>
  </si>
  <si>
    <t>2915100-21</t>
  </si>
  <si>
    <t>3501610-CM01</t>
  </si>
  <si>
    <t>Q361B12</t>
  </si>
  <si>
    <t>09262-35031</t>
  </si>
  <si>
    <t>1005100B0900</t>
  </si>
  <si>
    <t>1600100A0300</t>
  </si>
  <si>
    <t>1600200-A03-00</t>
  </si>
  <si>
    <t>1700100-A26-29</t>
  </si>
  <si>
    <t>1703200-KA04</t>
  </si>
  <si>
    <t>1703300-KA04</t>
  </si>
  <si>
    <t>2201100-81</t>
  </si>
  <si>
    <t>2403011-01</t>
  </si>
  <si>
    <t>2403012-01</t>
  </si>
  <si>
    <t>2403014-01-A</t>
  </si>
  <si>
    <t>T9016000-2Z</t>
  </si>
  <si>
    <t>8111000-02</t>
  </si>
  <si>
    <t>DCLDK0SW</t>
  </si>
  <si>
    <t>8111000-CM04</t>
  </si>
  <si>
    <t>3501100-01</t>
  </si>
  <si>
    <t>5101600-VC02</t>
  </si>
  <si>
    <t>1106100-KA01</t>
  </si>
  <si>
    <t>3704050-03</t>
  </si>
  <si>
    <t>3900000-KA02</t>
  </si>
  <si>
    <t>3501200-KH01-C</t>
  </si>
  <si>
    <t>K01LCCXDCF1020</t>
  </si>
  <si>
    <t>280156171</t>
  </si>
  <si>
    <t>1000928-D00-00A</t>
  </si>
  <si>
    <t>1001100-C03-00A</t>
  </si>
  <si>
    <t>1001200-C03-00</t>
  </si>
  <si>
    <t>1001300-C03-00</t>
  </si>
  <si>
    <t>1007020-A26-00</t>
  </si>
  <si>
    <t>1007021-A26-00</t>
  </si>
  <si>
    <t>1007028-A26-00</t>
  </si>
  <si>
    <t>1007030-A00-00</t>
  </si>
  <si>
    <t>1007032-A26-00</t>
  </si>
  <si>
    <t>1007033-A26-00</t>
  </si>
  <si>
    <t>1011200-D24-00</t>
  </si>
  <si>
    <t>1012000-A00-00</t>
  </si>
  <si>
    <t>1021002-C03-00</t>
  </si>
  <si>
    <t>1021003-C03-00</t>
  </si>
  <si>
    <t>1021101-C03-00</t>
  </si>
  <si>
    <t>1021200-C03-00</t>
  </si>
  <si>
    <t>1021400-C03-00</t>
  </si>
  <si>
    <t>1600100-C03-00A</t>
  </si>
  <si>
    <t>1600200-C03-00B</t>
  </si>
  <si>
    <t>2400100-02</t>
  </si>
  <si>
    <t>2803010-CM02</t>
  </si>
  <si>
    <t>3101100-VG01</t>
  </si>
  <si>
    <t>3106100-01-B</t>
  </si>
  <si>
    <t>3610100-C03-01</t>
  </si>
  <si>
    <t>3707100-C03-00</t>
  </si>
  <si>
    <t xml:space="preserve">3773010-11 </t>
  </si>
  <si>
    <t>3773020-11</t>
  </si>
  <si>
    <t>4121020-CM02</t>
  </si>
  <si>
    <t>5014101-01</t>
  </si>
  <si>
    <t>5206012-01</t>
  </si>
  <si>
    <t>5401112-13</t>
  </si>
  <si>
    <t>5402212-13</t>
  </si>
  <si>
    <t>5504011-CM01</t>
  </si>
  <si>
    <t>5504012-CM01</t>
  </si>
  <si>
    <t>6303012-CM01</t>
  </si>
  <si>
    <t xml:space="preserve"> S06011-8 </t>
  </si>
  <si>
    <t>1709915-MR513A01</t>
  </si>
  <si>
    <t>1003070A2600</t>
  </si>
  <si>
    <t>1109120-FK03</t>
  </si>
  <si>
    <t>1205100-FQ04</t>
  </si>
  <si>
    <t>3701100-C03-00</t>
  </si>
  <si>
    <t xml:space="preserve">5403610-CA02 </t>
  </si>
  <si>
    <t>1025401E0502</t>
  </si>
  <si>
    <t>8910002DRS0000</t>
  </si>
  <si>
    <t>D924-7825</t>
  </si>
  <si>
    <t>G57C</t>
  </si>
  <si>
    <t>1109111-D00</t>
  </si>
  <si>
    <t>W-10489A</t>
  </si>
  <si>
    <t>165465JGOB</t>
  </si>
  <si>
    <t>2803018-CM01</t>
  </si>
  <si>
    <t>4116020-CM01</t>
  </si>
  <si>
    <t>5206012-SA03-LB03</t>
  </si>
  <si>
    <t>85010-2ZG0H</t>
  </si>
  <si>
    <t>55040112-CA01</t>
  </si>
  <si>
    <t>4116010-CM01</t>
  </si>
  <si>
    <t>2803017-CM01</t>
  </si>
  <si>
    <t>5402121-KH01</t>
  </si>
  <si>
    <t>2803042-FQ02</t>
  </si>
  <si>
    <t>TE4-0077</t>
  </si>
  <si>
    <t>1109110</t>
  </si>
  <si>
    <t>340110001</t>
  </si>
  <si>
    <t>300110-01</t>
  </si>
  <si>
    <t>300410-01</t>
  </si>
  <si>
    <t>CO264</t>
  </si>
  <si>
    <t>C2358 B</t>
  </si>
  <si>
    <t>2TZ0060+U811</t>
  </si>
  <si>
    <t>023-89865602</t>
  </si>
  <si>
    <t>F38112ZG0A+P147</t>
  </si>
  <si>
    <t>55810-25F10</t>
  </si>
  <si>
    <t>ECU03G-45-C37</t>
  </si>
  <si>
    <t>5500620-FS01</t>
  </si>
  <si>
    <t xml:space="preserve">2803041-FQ02 </t>
  </si>
  <si>
    <t>208A02ZG0A+A317</t>
  </si>
  <si>
    <t xml:space="preserve">8111601-01 </t>
  </si>
  <si>
    <t>8105000-KH07</t>
  </si>
  <si>
    <t>8107200-01</t>
  </si>
  <si>
    <t>8111000-01</t>
  </si>
  <si>
    <t>8112150-01</t>
  </si>
  <si>
    <t>JISAK2233BF-4</t>
  </si>
  <si>
    <t>CPE0623540595</t>
  </si>
  <si>
    <t>D349-7241</t>
  </si>
  <si>
    <t>33120-01</t>
  </si>
  <si>
    <t>90R-02A0786/24650</t>
  </si>
  <si>
    <t>6304-ZNR</t>
  </si>
  <si>
    <t>5207101-01</t>
  </si>
  <si>
    <t>1021004C0300</t>
  </si>
  <si>
    <t>1021050C0300</t>
  </si>
  <si>
    <t>3701133D0000</t>
  </si>
  <si>
    <t>1000819C0300</t>
  </si>
  <si>
    <t>8112000-CM05</t>
  </si>
  <si>
    <t>3903105-SF01</t>
  </si>
  <si>
    <t xml:space="preserve">8111818-01 </t>
  </si>
  <si>
    <t>8110000-CM03</t>
  </si>
  <si>
    <t>3709100D0000</t>
  </si>
  <si>
    <t>5305421-03-Bk02</t>
  </si>
  <si>
    <t>2904300-01</t>
  </si>
  <si>
    <t>5306400-CA01-Ye04</t>
  </si>
  <si>
    <t>7901010-CA01</t>
  </si>
  <si>
    <t>8107100-CA01</t>
  </si>
  <si>
    <t>8105000-91</t>
  </si>
  <si>
    <t>5306310-CA01
 5306320-CA01</t>
  </si>
  <si>
    <t>6105160-CA01-Ye04</t>
  </si>
  <si>
    <t>6105250-CA01</t>
  </si>
  <si>
    <t>6105260-CA01-Ye04</t>
  </si>
  <si>
    <t>6205250-CA01</t>
  </si>
  <si>
    <t>8101100-CA01</t>
  </si>
  <si>
    <t>D51</t>
  </si>
  <si>
    <t>3401100-HC02</t>
  </si>
  <si>
    <t>1000410-C03-00</t>
  </si>
  <si>
    <t>5306320-FS01</t>
  </si>
  <si>
    <t>1703600-FQ01</t>
  </si>
  <si>
    <t>1109120-SN01</t>
  </si>
  <si>
    <t>5306310-FS01</t>
  </si>
  <si>
    <t>1000501-E03-05</t>
  </si>
  <si>
    <t>1021161-E01-00</t>
  </si>
  <si>
    <t>8202200-FS03</t>
  </si>
  <si>
    <t>3707200-E01-00</t>
  </si>
  <si>
    <t>6106200-SF01</t>
  </si>
  <si>
    <t>1021200-E01-00</t>
  </si>
  <si>
    <t>3614100-E21-00</t>
  </si>
  <si>
    <t>3402010-SF02</t>
  </si>
  <si>
    <t>3705100-E35-00</t>
  </si>
  <si>
    <t>1021800-D03-00</t>
  </si>
  <si>
    <t>3705100-E01-00</t>
  </si>
  <si>
    <t>5500460-FS01</t>
  </si>
  <si>
    <t>5504012-FS01</t>
  </si>
  <si>
    <t>1003700-E01-00B</t>
  </si>
  <si>
    <t>3003100-FQ01</t>
  </si>
  <si>
    <t>3820010-FQ03</t>
  </si>
  <si>
    <t>3623100-FQ06</t>
  </si>
  <si>
    <t>6101100-FS01D</t>
  </si>
  <si>
    <t>2804011-FS02</t>
  </si>
  <si>
    <t>2802431-FQ01</t>
  </si>
  <si>
    <t>3701100-F00-00</t>
  </si>
  <si>
    <t>3404100-FQ02</t>
  </si>
  <si>
    <t>1205100-FQ05</t>
  </si>
  <si>
    <t>5206012-FS01-LB01</t>
  </si>
  <si>
    <t>5403601-FS01-HB01</t>
  </si>
  <si>
    <t>3820010-FK02</t>
  </si>
  <si>
    <t>3401100-FK01</t>
  </si>
  <si>
    <t>2916010-FK01</t>
  </si>
  <si>
    <t>2904300-FK01</t>
  </si>
  <si>
    <t>2904400-FK01</t>
  </si>
  <si>
    <t>2906100-FK01</t>
  </si>
  <si>
    <t>1008200-K00-00A</t>
  </si>
  <si>
    <t>1008100-K00-00</t>
  </si>
  <si>
    <t>2906110-FB01</t>
  </si>
  <si>
    <t>3600100-FK17</t>
  </si>
  <si>
    <t>3623100-FK03</t>
  </si>
  <si>
    <t>2803017-FK01</t>
  </si>
  <si>
    <t>2803018-FK01</t>
  </si>
  <si>
    <t>2906150-FK01</t>
  </si>
  <si>
    <t>2917200-FK01</t>
  </si>
  <si>
    <t>2918150-FK01</t>
  </si>
  <si>
    <t>SFG18 AT</t>
  </si>
  <si>
    <t>1700100-F00-04</t>
  </si>
  <si>
    <t>2803010-FK01</t>
  </si>
  <si>
    <t>2904100-FK01
 2904200-FK01</t>
  </si>
  <si>
    <t>1205120-SA02</t>
  </si>
  <si>
    <t>5206012-FK02</t>
  </si>
  <si>
    <t>5305030-FK01</t>
  </si>
  <si>
    <t>1000000S-A26-01</t>
  </si>
  <si>
    <t>3614100-A26-45</t>
  </si>
  <si>
    <t>F20612ZG0A+P147</t>
  </si>
  <si>
    <t>934002ZG0A+Z001</t>
  </si>
  <si>
    <t>320102ZG2A+B103</t>
  </si>
  <si>
    <t>623102ZG0C+P115</t>
  </si>
  <si>
    <t>3TZ0012+A006</t>
  </si>
  <si>
    <t>6176+A006</t>
  </si>
  <si>
    <t>3TZ0021+A006</t>
  </si>
  <si>
    <t>7134+A006</t>
  </si>
  <si>
    <t>6173+A006</t>
  </si>
  <si>
    <t>7049+A006</t>
  </si>
  <si>
    <t>A15T0065+A006</t>
  </si>
  <si>
    <t>2TZ0017+A006</t>
  </si>
  <si>
    <t>2TZ0057.01+A006</t>
  </si>
  <si>
    <t>2TZ0012+A006</t>
  </si>
  <si>
    <t>2TZ0068+A006</t>
  </si>
  <si>
    <t>5104+A006</t>
  </si>
  <si>
    <t>2TZ0082+A006</t>
  </si>
  <si>
    <t>A3134+A006</t>
  </si>
  <si>
    <t>V22.031+A006</t>
  </si>
  <si>
    <t>2TZ0032+A006</t>
  </si>
  <si>
    <t>2TZ0033+A006</t>
  </si>
  <si>
    <t>2TZ0035+A006</t>
  </si>
  <si>
    <t>2TZ0064+A006</t>
  </si>
  <si>
    <t>2TZ0065+A006</t>
  </si>
  <si>
    <t>2TZ0071+A006</t>
  </si>
  <si>
    <t>7132+A006</t>
  </si>
  <si>
    <t>ZG0030+A006</t>
  </si>
  <si>
    <t>2TZ0027+A006</t>
  </si>
  <si>
    <t>2TZ0029+A006</t>
  </si>
  <si>
    <t>2TZ0031+A006</t>
  </si>
  <si>
    <t>2TZ0050+A006</t>
  </si>
  <si>
    <t>6076+A006</t>
  </si>
  <si>
    <t>2TZ0022+A006</t>
  </si>
  <si>
    <t>2TZ0076+A006</t>
  </si>
  <si>
    <t>2TZ0078+A006</t>
  </si>
  <si>
    <t>2TZ0034+A006</t>
  </si>
  <si>
    <t>6060+A006</t>
  </si>
  <si>
    <t>6069+A006</t>
  </si>
  <si>
    <t>2TZ0014+A006</t>
  </si>
  <si>
    <t>7013+A006</t>
  </si>
  <si>
    <t>2TZ0069+A006</t>
  </si>
  <si>
    <t>2TZ0113+A006</t>
  </si>
  <si>
    <t>2TZ0024+A006</t>
  </si>
  <si>
    <t>2TZ0024.01+A006</t>
  </si>
  <si>
    <t>6119+A006</t>
  </si>
  <si>
    <t>6177+A006</t>
  </si>
  <si>
    <t>2TZ0095.01+A006</t>
  </si>
  <si>
    <t>2TZ0096.01+A006</t>
  </si>
  <si>
    <t>2TZ0036+A006</t>
  </si>
  <si>
    <t>6184+A006</t>
  </si>
  <si>
    <t>2TZ0011+A006</t>
  </si>
  <si>
    <t>6077+A006</t>
  </si>
  <si>
    <t>2TZ0055+A006</t>
  </si>
  <si>
    <t>2TZ0111+A006</t>
  </si>
  <si>
    <t>6023+A006</t>
  </si>
  <si>
    <t>2TZ0099</t>
  </si>
  <si>
    <t>2TZ0038.01+A006</t>
  </si>
  <si>
    <t>2TZ0005.04+A006</t>
  </si>
  <si>
    <t>172025JG1A+A116</t>
  </si>
  <si>
    <t>2TZ0049+A006</t>
  </si>
  <si>
    <t>6026+A006</t>
  </si>
  <si>
    <t>7027+A006</t>
  </si>
  <si>
    <t>2TZ0067+A006</t>
  </si>
  <si>
    <t>6054+A006</t>
  </si>
  <si>
    <t>210602ZG0A+A406</t>
  </si>
  <si>
    <t>2TZ0080+A006</t>
  </si>
  <si>
    <t>2TZ0074+A006</t>
  </si>
  <si>
    <t>265502ZG0A+E306</t>
  </si>
  <si>
    <t>272775JG0A+1434</t>
  </si>
  <si>
    <t>631002ZL6A+Z001</t>
  </si>
  <si>
    <t>101002ZG1A+A006</t>
  </si>
  <si>
    <t>217102ZG0A+R311</t>
  </si>
  <si>
    <t>281882ZG0C+E525</t>
  </si>
  <si>
    <t>248102ZG0C+E610</t>
  </si>
  <si>
    <t>L026.01+A006</t>
  </si>
  <si>
    <t>281565MA0A+E502</t>
  </si>
  <si>
    <t>284B62ZG0A+E220</t>
  </si>
  <si>
    <t>256102ZG0A+E706</t>
  </si>
  <si>
    <t>2TZ0016+A006</t>
  </si>
  <si>
    <t>255502ZY9E+E706</t>
  </si>
  <si>
    <t>255602ZG0B+E412</t>
  </si>
  <si>
    <t>241262ZG0B+E206</t>
  </si>
  <si>
    <t>241272ZG0B+E206</t>
  </si>
  <si>
    <t>240112ZG2A+E206</t>
  </si>
  <si>
    <t>240272ZG1A+E206</t>
  </si>
  <si>
    <t>284B22ZG0A+E404</t>
  </si>
  <si>
    <t>6125+A006</t>
  </si>
  <si>
    <t>1229+A006</t>
  </si>
  <si>
    <t>1TZ0021+A006</t>
  </si>
  <si>
    <t>2TZ0028+A006</t>
  </si>
  <si>
    <t>6061+A006</t>
  </si>
  <si>
    <t>7209+A006</t>
  </si>
  <si>
    <t>215032ZG0A+R211</t>
  </si>
  <si>
    <t>237102HC0B+A006</t>
  </si>
  <si>
    <t>6027+A006</t>
  </si>
  <si>
    <t>118232ZG0A+R211</t>
  </si>
  <si>
    <t>240602ZG1A+P223</t>
  </si>
  <si>
    <t>251452ZG0A+E706</t>
  </si>
  <si>
    <t>264102ZS6A+E304</t>
  </si>
  <si>
    <t>240122ZG1J+E206</t>
  </si>
  <si>
    <t>240142ZG0A+E206</t>
  </si>
  <si>
    <t>240152ZG7A+E206</t>
  </si>
  <si>
    <t>240172ZG0B+E206</t>
  </si>
  <si>
    <t>241242ZG0A+E206</t>
  </si>
  <si>
    <t>7163.01+A006</t>
  </si>
  <si>
    <t>165752ZG1A+A201</t>
  </si>
  <si>
    <t>2TZ0077+A006</t>
  </si>
  <si>
    <t>164402ZG0A+R211</t>
  </si>
  <si>
    <t>240252ZG0A+E206</t>
  </si>
  <si>
    <t>252802ZG0A+E706</t>
  </si>
  <si>
    <t>254012ZG0A+E706</t>
  </si>
  <si>
    <t>254112ZG0A+E706</t>
  </si>
  <si>
    <t>2TZ0094+A006</t>
  </si>
  <si>
    <t>240802ZG2A+E206</t>
  </si>
  <si>
    <t>231002ZG0A+E111</t>
  </si>
  <si>
    <t>165002ZG0B+A201</t>
  </si>
  <si>
    <t>170402ZG0A+A117</t>
  </si>
  <si>
    <t>244202ZG0A+D507</t>
  </si>
  <si>
    <t>2TZ0025+A006</t>
  </si>
  <si>
    <t>2TZ0073+A006</t>
  </si>
  <si>
    <t>7068+A006</t>
  </si>
  <si>
    <t>V048+A006</t>
  </si>
  <si>
    <t>2TZ0091+A006</t>
  </si>
  <si>
    <t>255542ZG0B+E706</t>
  </si>
  <si>
    <t>241252ZG0A+E206</t>
  </si>
  <si>
    <t>648602ZG0A+P102</t>
  </si>
  <si>
    <t>252242ZG1A+E220</t>
  </si>
  <si>
    <t>252242ZG1B+E220</t>
  </si>
  <si>
    <t>252242ZG1C+E220</t>
  </si>
  <si>
    <t>252242ZG1D+E220</t>
  </si>
  <si>
    <t>253202DT0A+E707</t>
  </si>
  <si>
    <t>242302ZG0B+E206</t>
  </si>
  <si>
    <t>243192ZG0B+E206</t>
  </si>
  <si>
    <t>243192ZG0C+E206</t>
  </si>
  <si>
    <t>243192ZG0D+E206</t>
  </si>
  <si>
    <t>243192ZG0E+E206</t>
  </si>
  <si>
    <t>253252ZY9E+E706</t>
  </si>
  <si>
    <t>259942ZG0B+E404</t>
  </si>
  <si>
    <t>165542ZG0B+A201</t>
  </si>
  <si>
    <t>180052ZG0A+E014</t>
  </si>
  <si>
    <t>2TZ0052+A006</t>
  </si>
  <si>
    <t>2TZ0015.01+A006</t>
  </si>
  <si>
    <t>3TZ0015+A006</t>
  </si>
  <si>
    <t>165852ZG1A+A201</t>
  </si>
  <si>
    <t>2TZ0013+A006</t>
  </si>
  <si>
    <t>631012ZL6A+Z001</t>
  </si>
  <si>
    <t>240102HD0D+E206</t>
  </si>
  <si>
    <t>215012ZG0A+R211</t>
  </si>
  <si>
    <t>-</t>
  </si>
  <si>
    <t>10110441560000</t>
  </si>
  <si>
    <t>EMPOW</t>
  </si>
  <si>
    <t>10130352060000</t>
  </si>
  <si>
    <t>2010005BSV0000</t>
  </si>
  <si>
    <t>2630004BSV0000</t>
  </si>
  <si>
    <t>7105013BSV0101</t>
  </si>
  <si>
    <t>7210001BSV0101C10</t>
  </si>
  <si>
    <t>7210002BSV0101C10</t>
  </si>
  <si>
    <t>7305001BSV0000M10</t>
  </si>
  <si>
    <t>7305002BSV0000M10</t>
  </si>
  <si>
    <t>7310002BSV0000M10</t>
  </si>
  <si>
    <t>7335003BSV0000</t>
  </si>
  <si>
    <t>10070151570000</t>
  </si>
  <si>
    <t>10110451570000</t>
  </si>
  <si>
    <t>10130061530000</t>
  </si>
  <si>
    <t>1324403TCW0000</t>
  </si>
  <si>
    <t>1324409TBW0000</t>
  </si>
  <si>
    <t>1324410TCW0000</t>
  </si>
  <si>
    <t>2120003BSV0301</t>
  </si>
  <si>
    <t>8880027BSV0100</t>
  </si>
  <si>
    <t>8910030BAC0000</t>
  </si>
  <si>
    <t>8910045BAC0000</t>
  </si>
  <si>
    <t>8910060BAC0000</t>
  </si>
  <si>
    <t>8910240BAD0000</t>
  </si>
  <si>
    <t>EMZOOM</t>
  </si>
  <si>
    <t>10070071570001</t>
  </si>
  <si>
    <t>10100202050200</t>
  </si>
  <si>
    <t>10130331570000</t>
  </si>
  <si>
    <t>4014084CRV0000A00</t>
  </si>
  <si>
    <t>5810004BAD0000</t>
  </si>
  <si>
    <t>6510003CRV0000XJ4</t>
  </si>
  <si>
    <t>7105005CRV0000M00</t>
  </si>
  <si>
    <t>7105007CRV0000</t>
  </si>
  <si>
    <t>7105011CRV0000</t>
  </si>
  <si>
    <t>7105012CRV0000</t>
  </si>
  <si>
    <t>7105016CRV0000</t>
  </si>
  <si>
    <t>7105029CRV0000</t>
  </si>
  <si>
    <t>7105030CRV0000</t>
  </si>
  <si>
    <t>7105061CRV0000</t>
  </si>
  <si>
    <t>7105062CRV0000</t>
  </si>
  <si>
    <t>7105083CRV0000</t>
  </si>
  <si>
    <t>7135001CRV0200</t>
  </si>
  <si>
    <t>7135002CRV0200</t>
  </si>
  <si>
    <t>7135061CRV0000</t>
  </si>
  <si>
    <t>7135062CRV0000</t>
  </si>
  <si>
    <t>7185001CRV0000MCB</t>
  </si>
  <si>
    <t>7185002CRV0000MCB</t>
  </si>
  <si>
    <t>7185061CRV0000MCB</t>
  </si>
  <si>
    <t>7185062CRV0000MCB</t>
  </si>
  <si>
    <t>7185071CRV0000MCB</t>
  </si>
  <si>
    <t>7185072CRV0000MCB</t>
  </si>
  <si>
    <t>8210003BSV0400</t>
  </si>
  <si>
    <t>8220005CRV0000M10</t>
  </si>
  <si>
    <t>8560010CRV0000C10</t>
  </si>
  <si>
    <t>10020282060001</t>
  </si>
  <si>
    <t>10060961310000</t>
  </si>
  <si>
    <t>10100392040000</t>
  </si>
  <si>
    <t>10130141560000</t>
  </si>
  <si>
    <t>10020181570000</t>
  </si>
  <si>
    <t>10040081560000</t>
  </si>
  <si>
    <t>10040081560100</t>
  </si>
  <si>
    <t>10040081560200</t>
  </si>
  <si>
    <t>10040241560000</t>
  </si>
  <si>
    <t>10040241560100</t>
  </si>
  <si>
    <t>10040241560200</t>
  </si>
  <si>
    <t>10050101570000</t>
  </si>
  <si>
    <t>10050331530000</t>
  </si>
  <si>
    <t>10060181040000</t>
  </si>
  <si>
    <t>10060241570000</t>
  </si>
  <si>
    <t>10060801570000</t>
  </si>
  <si>
    <t>10060831570000</t>
  </si>
  <si>
    <t>10060931570100</t>
  </si>
  <si>
    <t>10060932060000</t>
  </si>
  <si>
    <t>10070061570000</t>
  </si>
  <si>
    <t>10100051570000</t>
  </si>
  <si>
    <t>10100331570000</t>
  </si>
  <si>
    <t>10100381570000</t>
  </si>
  <si>
    <t>10110271570000</t>
  </si>
  <si>
    <t>10110861570000</t>
  </si>
  <si>
    <t>10120051570000</t>
  </si>
  <si>
    <t>10120281570000</t>
  </si>
  <si>
    <t>10130151560000</t>
  </si>
  <si>
    <t>10130201560000</t>
  </si>
  <si>
    <t>10130352060100</t>
  </si>
  <si>
    <t>1120004DSV0000</t>
  </si>
  <si>
    <t>1311020TCW0000</t>
  </si>
  <si>
    <t>1324408TBW0100</t>
  </si>
  <si>
    <t>2010003BSV0000M10</t>
  </si>
  <si>
    <t>2020003CRV0000</t>
  </si>
  <si>
    <t>2030004BSV0000</t>
  </si>
  <si>
    <t>2120003CRV0200</t>
  </si>
  <si>
    <t>2140008ADE0001</t>
  </si>
  <si>
    <t>2150004BSV0001</t>
  </si>
  <si>
    <t>2150033CRV0000</t>
  </si>
  <si>
    <t>2150036CRV0000</t>
  </si>
  <si>
    <t>2150048BSV0000</t>
  </si>
  <si>
    <t>2150058BSV0000</t>
  </si>
  <si>
    <t>2210019CRV0000</t>
  </si>
  <si>
    <t>2310004BSV0000</t>
  </si>
  <si>
    <t>2310008CRV0000</t>
  </si>
  <si>
    <t>2320003DSV0000</t>
  </si>
  <si>
    <t>2320005DRS0000</t>
  </si>
  <si>
    <t>2330003DSV0200</t>
  </si>
  <si>
    <t>2330037DSV0000</t>
  </si>
  <si>
    <t>2420003BSV0002</t>
  </si>
  <si>
    <t>2420005BSV0001</t>
  </si>
  <si>
    <t>2420010CRV0000</t>
  </si>
  <si>
    <t>2420054BSV0000</t>
  </si>
  <si>
    <t>3410001DSV0000</t>
  </si>
  <si>
    <t>3410002DSV0000</t>
  </si>
  <si>
    <t>3410008CRV0001</t>
  </si>
  <si>
    <t>3510003BSV0000</t>
  </si>
  <si>
    <t>3510010CRV0000</t>
  </si>
  <si>
    <t>3520001CRV0000</t>
  </si>
  <si>
    <t>3520002CRV0000</t>
  </si>
  <si>
    <t>3520006CRV0000</t>
  </si>
  <si>
    <t>3520007CRV0000</t>
  </si>
  <si>
    <t>3530041CRV0000</t>
  </si>
  <si>
    <t>3530042CRV0000</t>
  </si>
  <si>
    <t>3530051CRV0000</t>
  </si>
  <si>
    <t>3530052CRV0000</t>
  </si>
  <si>
    <t>3550003CRV0000</t>
  </si>
  <si>
    <t>3550008CRV0100</t>
  </si>
  <si>
    <t>3610001CRV0002</t>
  </si>
  <si>
    <t>3610001CRV0102</t>
  </si>
  <si>
    <t>3610002CRV0002</t>
  </si>
  <si>
    <t>3610006CRV0000</t>
  </si>
  <si>
    <t>3610019CRV0000</t>
  </si>
  <si>
    <t>3610071BSV0103</t>
  </si>
  <si>
    <t>3610072BSV0103</t>
  </si>
  <si>
    <t>3610101CRV0100</t>
  </si>
  <si>
    <t>3610102CRV0100</t>
  </si>
  <si>
    <t>3610121CRV0001</t>
  </si>
  <si>
    <t>3610122CRV0001</t>
  </si>
  <si>
    <t>3620003CRV0000</t>
  </si>
  <si>
    <t>3620004BSV0000</t>
  </si>
  <si>
    <t>3620006CRV0000</t>
  </si>
  <si>
    <t>3620100BSV0000</t>
  </si>
  <si>
    <t>3620103CRV0000</t>
  </si>
  <si>
    <t>4030079CRV0000A00</t>
  </si>
  <si>
    <t>4030120CRV0000A00</t>
  </si>
  <si>
    <t>4140011CRV0000A00</t>
  </si>
  <si>
    <t>4150011CRV0000A00</t>
  </si>
  <si>
    <t>5010011CRV0000A00</t>
  </si>
  <si>
    <t>5020011CRV0000A00</t>
  </si>
  <si>
    <t>5030011CRV0000A00</t>
  </si>
  <si>
    <t>5040011CRV0000A00</t>
  </si>
  <si>
    <t>5110004CRV0000A00</t>
  </si>
  <si>
    <t>5210004CRV0100A00</t>
  </si>
  <si>
    <t>5410001CRV0000</t>
  </si>
  <si>
    <t>5410002CRV0000</t>
  </si>
  <si>
    <t>5410011CRV0000</t>
  </si>
  <si>
    <t>5410012CRV0000</t>
  </si>
  <si>
    <t>5410061CRV0000</t>
  </si>
  <si>
    <t>5410061CRV0001</t>
  </si>
  <si>
    <t>5410062CRV0000</t>
  </si>
  <si>
    <t>5410071CRV0000</t>
  </si>
  <si>
    <t>5410072CRV0000</t>
  </si>
  <si>
    <t>5420004CRV0000</t>
  </si>
  <si>
    <t>5510003CRV0200</t>
  </si>
  <si>
    <t>5520003CRV0200</t>
  </si>
  <si>
    <t>5530042CRV0000</t>
  </si>
  <si>
    <t>5610001CRV0001</t>
  </si>
  <si>
    <t>5610002CRV0001</t>
  </si>
  <si>
    <t>5610003CRVZ000</t>
  </si>
  <si>
    <t>5610051CRV0001</t>
  </si>
  <si>
    <t>5610052CRV0001</t>
  </si>
  <si>
    <t>5615011CRV0100A09</t>
  </si>
  <si>
    <t>5615011CRV0100B22</t>
  </si>
  <si>
    <t>5615011CRV0100B96</t>
  </si>
  <si>
    <t>5615011CRV0100B9K</t>
  </si>
  <si>
    <t>5615012CRV0100A09</t>
  </si>
  <si>
    <t>5615012CRV0100B22</t>
  </si>
  <si>
    <t>5615012CRV0100B96</t>
  </si>
  <si>
    <t>5615012CRV0100B9K</t>
  </si>
  <si>
    <t>5615041CRV0000A09</t>
  </si>
  <si>
    <t>5615041CRV0000B22</t>
  </si>
  <si>
    <t>5615041CRV0000B96</t>
  </si>
  <si>
    <t>5615041CRV0000B9K</t>
  </si>
  <si>
    <t>5615042CRV0000A09</t>
  </si>
  <si>
    <t>5615042CRV0000B22</t>
  </si>
  <si>
    <t>5615042CRV0000B96</t>
  </si>
  <si>
    <t>5615042CRV0000B9K</t>
  </si>
  <si>
    <t>5620003CRV0000</t>
  </si>
  <si>
    <t>5620009CMV0000M10</t>
  </si>
  <si>
    <t>5635003DRS0000</t>
  </si>
  <si>
    <t>5710001CRV0101</t>
  </si>
  <si>
    <t>5710002CRV0101</t>
  </si>
  <si>
    <t>5710021CRV0100</t>
  </si>
  <si>
    <t>5710022CRV0100</t>
  </si>
  <si>
    <t>5810003CRV0000</t>
  </si>
  <si>
    <t>5820001CRV0000A00</t>
  </si>
  <si>
    <t>5820003BAC0000</t>
  </si>
  <si>
    <t>5830001ADU0000A00</t>
  </si>
  <si>
    <t>5830002ADU0000A00</t>
  </si>
  <si>
    <t>5910003BSV0000A00</t>
  </si>
  <si>
    <t>5910003CRV0000A00</t>
  </si>
  <si>
    <t>5910013AAF0000</t>
  </si>
  <si>
    <t>6510003CRV0000XJ1</t>
  </si>
  <si>
    <t>6520003CRV0000</t>
  </si>
  <si>
    <t>7105111CRV0000</t>
  </si>
  <si>
    <t>7105112CRV0000</t>
  </si>
  <si>
    <t>7105411CRVM200</t>
  </si>
  <si>
    <t>7105412CRVM200</t>
  </si>
  <si>
    <t>7106005CRV0000</t>
  </si>
  <si>
    <t>7106006CRV0000</t>
  </si>
  <si>
    <t>7106011CRV0000</t>
  </si>
  <si>
    <t>7106012CRV0000</t>
  </si>
  <si>
    <t>7106013CRV0100</t>
  </si>
  <si>
    <t>7106034CRV0000</t>
  </si>
  <si>
    <t>7106061CRV0000</t>
  </si>
  <si>
    <t>7106062CRV0000</t>
  </si>
  <si>
    <t>7106071CRV0000</t>
  </si>
  <si>
    <t>7106072CRV0000</t>
  </si>
  <si>
    <t>7106082CRV0000</t>
  </si>
  <si>
    <t>7106191CRVM200</t>
  </si>
  <si>
    <t>7106192CRVM200</t>
  </si>
  <si>
    <t>7110003CRV0000A09</t>
  </si>
  <si>
    <t>7110003CRV0000B22</t>
  </si>
  <si>
    <t>7110003CRV0000B96</t>
  </si>
  <si>
    <t>7110003CRV0000B9K</t>
  </si>
  <si>
    <t>7120003CRV0000L2Z</t>
  </si>
  <si>
    <t>7120028CRV0000L2Z</t>
  </si>
  <si>
    <t>7190003CRV0000</t>
  </si>
  <si>
    <t>7210011CRV0100</t>
  </si>
  <si>
    <t>7210012CRV0100</t>
  </si>
  <si>
    <t>7305001CRV0001</t>
  </si>
  <si>
    <t>7305002CRV0001</t>
  </si>
  <si>
    <t>7310001CRV0001</t>
  </si>
  <si>
    <t>7310002CRV0001</t>
  </si>
  <si>
    <t>7315001CRV0000</t>
  </si>
  <si>
    <t>7315002CRV0000</t>
  </si>
  <si>
    <t>7320001ASV0000</t>
  </si>
  <si>
    <t>7325003CRV0000</t>
  </si>
  <si>
    <t>7520008CRV0000</t>
  </si>
  <si>
    <t>7520009CRV0000</t>
  </si>
  <si>
    <t>7610001CRV1402M10</t>
  </si>
  <si>
    <t>7610002CRV1401M10</t>
  </si>
  <si>
    <t>7610021CRV0000</t>
  </si>
  <si>
    <t>7610022CRV0000</t>
  </si>
  <si>
    <t>8030018ARD0000</t>
  </si>
  <si>
    <t>8040003CRV0000</t>
  </si>
  <si>
    <t>8040004ARX0000</t>
  </si>
  <si>
    <t>8045025CRV0000</t>
  </si>
  <si>
    <t>8060004BSV0000</t>
  </si>
  <si>
    <t>8065004CRV0001</t>
  </si>
  <si>
    <t>8065005CRV0001</t>
  </si>
  <si>
    <t>8110004BSV0100</t>
  </si>
  <si>
    <t>8115003BSV0001</t>
  </si>
  <si>
    <t>8120003CRV0000</t>
  </si>
  <si>
    <t>8125005CRV0000</t>
  </si>
  <si>
    <t>8125006CRV0000</t>
  </si>
  <si>
    <t>8125010CRV0001</t>
  </si>
  <si>
    <t>8130004CRV0100XJ1</t>
  </si>
  <si>
    <t>8205005BSV0001</t>
  </si>
  <si>
    <t>8215003BSV0100</t>
  </si>
  <si>
    <t>8225030DSV0000M10</t>
  </si>
  <si>
    <t>8230004CAD0000</t>
  </si>
  <si>
    <t>8245009DSV0200</t>
  </si>
  <si>
    <t>8245010CRV0000</t>
  </si>
  <si>
    <t>8255003DSV0001</t>
  </si>
  <si>
    <t>8255004DSV0000</t>
  </si>
  <si>
    <t>8270003CRV0201C10</t>
  </si>
  <si>
    <t>8340003CRV0400</t>
  </si>
  <si>
    <t>8535006CRV0000MCB</t>
  </si>
  <si>
    <t>8535006CRV0100MCB</t>
  </si>
  <si>
    <t>8535006CRV0200MCB</t>
  </si>
  <si>
    <t>8535008CSV0000MCB</t>
  </si>
  <si>
    <t>8540005CRV0100</t>
  </si>
  <si>
    <t>8540006CRV0100</t>
  </si>
  <si>
    <t>8540007CRV0100</t>
  </si>
  <si>
    <t>8540008CRV0100</t>
  </si>
  <si>
    <t>8830008CRV0000</t>
  </si>
  <si>
    <t>8830014CRV0000</t>
  </si>
  <si>
    <t>8910001ARX0000</t>
  </si>
  <si>
    <t>8910001BSV0000</t>
  </si>
  <si>
    <t>8910002ARX0000</t>
  </si>
  <si>
    <t>8910002ATN0000</t>
  </si>
  <si>
    <t>8910002BSV0000</t>
  </si>
  <si>
    <t>8910003ADE0000</t>
  </si>
  <si>
    <t>8910003ARX0000</t>
  </si>
  <si>
    <t>8910003BSV0000</t>
  </si>
  <si>
    <t>8910004BSV0000</t>
  </si>
  <si>
    <t>8910005ADU0000</t>
  </si>
  <si>
    <t>8910005ARX0000</t>
  </si>
  <si>
    <t>8910005DSV0000</t>
  </si>
  <si>
    <t>8910008BSV0000</t>
  </si>
  <si>
    <t>8910008DSV0000</t>
  </si>
  <si>
    <t>8910090BAC0000</t>
  </si>
  <si>
    <t>8910140BAC0000</t>
  </si>
  <si>
    <t>8910205BAC0000</t>
  </si>
  <si>
    <t>8910210BAC0000</t>
  </si>
  <si>
    <t>8910215BAC0000</t>
  </si>
  <si>
    <t>8910230BAC0000</t>
  </si>
  <si>
    <t>8910245BAC0000</t>
  </si>
  <si>
    <t>8910250BAC0000</t>
  </si>
  <si>
    <t>8910300BAC0000</t>
  </si>
  <si>
    <t>8910500BAC0000</t>
  </si>
  <si>
    <t>8910505BAC0000</t>
  </si>
  <si>
    <t>8910520BAC0000</t>
  </si>
  <si>
    <t>8910525BAD0000</t>
  </si>
  <si>
    <t>8910535BAC0000</t>
  </si>
  <si>
    <t>8910540BAC0000</t>
  </si>
  <si>
    <t>8910565BAC0000</t>
  </si>
  <si>
    <t>8910590BAC0000</t>
  </si>
  <si>
    <t>9310000571</t>
  </si>
  <si>
    <t>9320000260</t>
  </si>
  <si>
    <t>950900010A</t>
  </si>
  <si>
    <t>GS8</t>
  </si>
  <si>
    <t>7155101DRS0002M10</t>
  </si>
  <si>
    <t>5010011DRS0000B00</t>
  </si>
  <si>
    <t>7610001DRS0200M00</t>
  </si>
  <si>
    <t>5510003DRS0201</t>
  </si>
  <si>
    <t>10060802040000</t>
  </si>
  <si>
    <t>10060832040000</t>
  </si>
  <si>
    <t>10060842040000</t>
  </si>
  <si>
    <t>10060872040000</t>
  </si>
  <si>
    <t>2120003DRS0300</t>
  </si>
  <si>
    <t>3510003DRS0000</t>
  </si>
  <si>
    <t>3610046DRS0000</t>
  </si>
  <si>
    <t>3620041DRS0000</t>
  </si>
  <si>
    <t>3620042DRS0000</t>
  </si>
  <si>
    <t>5810009BAC0000</t>
  </si>
  <si>
    <t>7135001DRS0000</t>
  </si>
  <si>
    <t>7135002DRS0000</t>
  </si>
  <si>
    <t>7135062DRS0001</t>
  </si>
  <si>
    <t>7185001DRS0000M10</t>
  </si>
  <si>
    <t>7185002DRS0000M10</t>
  </si>
  <si>
    <t>7185061DRS0000M10</t>
  </si>
  <si>
    <t>7185062DRS0000M10</t>
  </si>
  <si>
    <t>7185071DRS0000M10</t>
  </si>
  <si>
    <t>7185072DRS0000M10</t>
  </si>
  <si>
    <t>8110004DRS0201</t>
  </si>
  <si>
    <t>8115003DRS0000</t>
  </si>
  <si>
    <t>8830008DRS0000</t>
  </si>
  <si>
    <t>8830014DRS0000</t>
  </si>
  <si>
    <t>7106062DRS0100L2Z</t>
  </si>
  <si>
    <t>10020182050000</t>
  </si>
  <si>
    <t>10040082040000</t>
  </si>
  <si>
    <t>10040082040100</t>
  </si>
  <si>
    <t>10050102040000</t>
  </si>
  <si>
    <t>10050332040000</t>
  </si>
  <si>
    <t>10060182040000</t>
  </si>
  <si>
    <t>10060242040000</t>
  </si>
  <si>
    <t>10060341830000</t>
  </si>
  <si>
    <t>10070062040000</t>
  </si>
  <si>
    <t>10070072050000</t>
  </si>
  <si>
    <t>10080081820000</t>
  </si>
  <si>
    <t>10100052050000</t>
  </si>
  <si>
    <t>10100332050100</t>
  </si>
  <si>
    <t>10100382050000</t>
  </si>
  <si>
    <t>10110442010100</t>
  </si>
  <si>
    <t>10110452040000</t>
  </si>
  <si>
    <t>10110742040000</t>
  </si>
  <si>
    <t>10110752040000</t>
  </si>
  <si>
    <t>10110782040000</t>
  </si>
  <si>
    <t>10110792040000</t>
  </si>
  <si>
    <t>10120052050100</t>
  </si>
  <si>
    <t>10120092040000</t>
  </si>
  <si>
    <t>10120232040000</t>
  </si>
  <si>
    <t>10120282050000</t>
  </si>
  <si>
    <t>10120322050000</t>
  </si>
  <si>
    <t>10120931530000</t>
  </si>
  <si>
    <t>10130152010000</t>
  </si>
  <si>
    <t>10130202050100</t>
  </si>
  <si>
    <t>10130332050000</t>
  </si>
  <si>
    <t>10130352050000</t>
  </si>
  <si>
    <t>10130402050000</t>
  </si>
  <si>
    <t>1120004CAD0100</t>
  </si>
  <si>
    <t>1310003AMVS010</t>
  </si>
  <si>
    <t>1310003AMVS040</t>
  </si>
  <si>
    <t>1310003CADS030</t>
  </si>
  <si>
    <t>2010003DRS0000M10</t>
  </si>
  <si>
    <t>2010005DRS0000</t>
  </si>
  <si>
    <t>2020003DRS0000M10</t>
  </si>
  <si>
    <t>2030003DRS0000M10</t>
  </si>
  <si>
    <t>2030004DRS0000M10</t>
  </si>
  <si>
    <t>2120003DRS0400</t>
  </si>
  <si>
    <t>2140003CAD0001</t>
  </si>
  <si>
    <t>2140008ASV0001</t>
  </si>
  <si>
    <t>2150004DRS0001</t>
  </si>
  <si>
    <t>2150033DRS0000</t>
  </si>
  <si>
    <t>2150036DRS0001</t>
  </si>
  <si>
    <t>2150048CAD0100</t>
  </si>
  <si>
    <t>2150054DRS0000</t>
  </si>
  <si>
    <t>2210019DRS0000</t>
  </si>
  <si>
    <t>2310004DRS0100</t>
  </si>
  <si>
    <t>2310008DRS0200</t>
  </si>
  <si>
    <t>2320003DRS0000</t>
  </si>
  <si>
    <t>2330003DRS0000</t>
  </si>
  <si>
    <t>2350006CAD0200</t>
  </si>
  <si>
    <t>2420003DRS0001</t>
  </si>
  <si>
    <t>2420005DRS0001</t>
  </si>
  <si>
    <t>2420010DRS0000</t>
  </si>
  <si>
    <t>2420054DRS0000</t>
  </si>
  <si>
    <t>3410018DRS0203</t>
  </si>
  <si>
    <t>3410046DRS0000</t>
  </si>
  <si>
    <t>3410047DRS0000</t>
  </si>
  <si>
    <t>3510001DRS0000</t>
  </si>
  <si>
    <t>3510002DRS0000</t>
  </si>
  <si>
    <t>3510010DRS0000</t>
  </si>
  <si>
    <t>3520006DRS0000</t>
  </si>
  <si>
    <t>3520007AMV0000</t>
  </si>
  <si>
    <t>3530042DRS0000</t>
  </si>
  <si>
    <t>3550003DRS0000</t>
  </si>
  <si>
    <t>3550008DRS0000</t>
  </si>
  <si>
    <t>3560003ARX0002</t>
  </si>
  <si>
    <t>3610001DRS0100</t>
  </si>
  <si>
    <t>3610001DRS0200</t>
  </si>
  <si>
    <t>3610006DRS0000</t>
  </si>
  <si>
    <t>3610019DRS0000</t>
  </si>
  <si>
    <t>3610071DRS0000</t>
  </si>
  <si>
    <t>3610071DRS0100</t>
  </si>
  <si>
    <t>3610091DRS0100</t>
  </si>
  <si>
    <t>3610122DRS0000</t>
  </si>
  <si>
    <t>3620003DRS0000</t>
  </si>
  <si>
    <t>3620004DRS0000</t>
  </si>
  <si>
    <t>3620006DRS0001</t>
  </si>
  <si>
    <t>3620050DRS0000</t>
  </si>
  <si>
    <t>3620053DRS0000</t>
  </si>
  <si>
    <t>3620064DRS0000</t>
  </si>
  <si>
    <t>3620068DRS0000</t>
  </si>
  <si>
    <t>3620100DRS0000</t>
  </si>
  <si>
    <t>3620103DRS0001</t>
  </si>
  <si>
    <t>4014084DRS0000A00</t>
  </si>
  <si>
    <t>4030079DRS0001A00</t>
  </si>
  <si>
    <t>4030120DRS0001A00</t>
  </si>
  <si>
    <t>4140011DRS0000A00</t>
  </si>
  <si>
    <t>4150011DRS0000B00</t>
  </si>
  <si>
    <t>5020011DRS0000B00</t>
  </si>
  <si>
    <t>5030011DRS0000B00</t>
  </si>
  <si>
    <t>5040011DRS0000B00</t>
  </si>
  <si>
    <t>5110004DRS0000B00</t>
  </si>
  <si>
    <t>5210004DRS0002B00</t>
  </si>
  <si>
    <t>5410001DRS0000L2Z</t>
  </si>
  <si>
    <t>5410002DRS0000L2Z</t>
  </si>
  <si>
    <t>5410011DRS0000L2Z</t>
  </si>
  <si>
    <t>5410012DRS0000L2Z</t>
  </si>
  <si>
    <t>5410061DRS0001M10</t>
  </si>
  <si>
    <t>5410062DRS0001M10</t>
  </si>
  <si>
    <t>5410071DRS0001M10</t>
  </si>
  <si>
    <t>5410072DRS0001M10</t>
  </si>
  <si>
    <t>5420004DRS0000</t>
  </si>
  <si>
    <t>5510003DRS0101</t>
  </si>
  <si>
    <t>5520003DRS0101</t>
  </si>
  <si>
    <t>5530041DRS0101M10</t>
  </si>
  <si>
    <t>5530042DRS0101M10</t>
  </si>
  <si>
    <t>5550001DRS0100M10</t>
  </si>
  <si>
    <t>5550002DRS0100M10</t>
  </si>
  <si>
    <t>5610001DRS0100</t>
  </si>
  <si>
    <t>5610002DRS0100</t>
  </si>
  <si>
    <t>5610003DRSZ000L2Z</t>
  </si>
  <si>
    <t>5610051DRS0200</t>
  </si>
  <si>
    <t>5610052DRS0200</t>
  </si>
  <si>
    <t>5615041DRSZ000A08</t>
  </si>
  <si>
    <t>5615041DRSZ000B22</t>
  </si>
  <si>
    <t>5615041DRSZ000B62</t>
  </si>
  <si>
    <t>5615041DRSZ000B72</t>
  </si>
  <si>
    <t>5615041DRSZ000B73</t>
  </si>
  <si>
    <t>5620003DRS0000</t>
  </si>
  <si>
    <t>5620006DRS0000RA1</t>
  </si>
  <si>
    <t>5620006DRS0000RA3</t>
  </si>
  <si>
    <t>5635003DRS0101</t>
  </si>
  <si>
    <t>5710001DRS0000</t>
  </si>
  <si>
    <t>5710002DRS0000</t>
  </si>
  <si>
    <t>5710021DRS0000</t>
  </si>
  <si>
    <t>5710022DRS0000</t>
  </si>
  <si>
    <t>5810003DRS0000</t>
  </si>
  <si>
    <t>5820001DRS0000A00</t>
  </si>
  <si>
    <t>5820002DRS0000A00</t>
  </si>
  <si>
    <t>5830001CAD0000A00</t>
  </si>
  <si>
    <t>5830002CAD0000A00</t>
  </si>
  <si>
    <t>5910015DRS0000A00</t>
  </si>
  <si>
    <t>6510003DRS0000RA1</t>
  </si>
  <si>
    <t>6510003DRS0000RA3</t>
  </si>
  <si>
    <t>7105004DRS0400M00</t>
  </si>
  <si>
    <t>7105005DRS0100M00</t>
  </si>
  <si>
    <t>7105008DRS0100C10</t>
  </si>
  <si>
    <t>7105011DRS0000</t>
  </si>
  <si>
    <t>7105012DRS0000</t>
  </si>
  <si>
    <t>7105029DRS0200B79</t>
  </si>
  <si>
    <t>7105030DRS0200</t>
  </si>
  <si>
    <t>7105046DRS0000</t>
  </si>
  <si>
    <t>7105281DRS0000M10</t>
  </si>
  <si>
    <t>7105282DRS0000M10</t>
  </si>
  <si>
    <t>7105291DRS0000</t>
  </si>
  <si>
    <t>7106004DRS0000M00</t>
  </si>
  <si>
    <t>7106004DRS0100M00</t>
  </si>
  <si>
    <t>7106005DRS0000M10</t>
  </si>
  <si>
    <t>7106006BAD0000</t>
  </si>
  <si>
    <t>7106052DRS0000</t>
  </si>
  <si>
    <t>7106012DRS0000</t>
  </si>
  <si>
    <t>7106013DRS0000M10</t>
  </si>
  <si>
    <t>7106031DRS0000</t>
  </si>
  <si>
    <t>7106032DRS0000</t>
  </si>
  <si>
    <t>7106051DRS0000</t>
  </si>
  <si>
    <t>7106061DRS0100L2Z</t>
  </si>
  <si>
    <t>7106091DRS0100L2Z</t>
  </si>
  <si>
    <t>7106092DRS0100L2Z</t>
  </si>
  <si>
    <t>7110003DRS0200L2Z</t>
  </si>
  <si>
    <t>7120003DRS0001L2Z</t>
  </si>
  <si>
    <t>7120028DRS0000L2Z</t>
  </si>
  <si>
    <t>7120028DRS0100L2Z</t>
  </si>
  <si>
    <t>7145001DRS0000M10</t>
  </si>
  <si>
    <t>7160003CAD0203L2Z</t>
  </si>
  <si>
    <t>7160018DRS0001M10</t>
  </si>
  <si>
    <t>7190003DRS0000M10</t>
  </si>
  <si>
    <t>7210001DRS0002M10</t>
  </si>
  <si>
    <t>7210001DRS0102M10</t>
  </si>
  <si>
    <t>7210002DRS0002M10</t>
  </si>
  <si>
    <t>7210002DRS0102M10</t>
  </si>
  <si>
    <t>7305001DRS0000M10</t>
  </si>
  <si>
    <t>7305002DRS0000M10</t>
  </si>
  <si>
    <t>7315001DRS0001</t>
  </si>
  <si>
    <t>7315002DRS0001</t>
  </si>
  <si>
    <t>7320001BSV0000M10</t>
  </si>
  <si>
    <t>7325003DRS0000C10</t>
  </si>
  <si>
    <t>7510007DRS0000</t>
  </si>
  <si>
    <t>7520008DRS0000</t>
  </si>
  <si>
    <t>7520009DRS0000</t>
  </si>
  <si>
    <t>7530017DRS0000</t>
  </si>
  <si>
    <t>7610001DRS0100M00</t>
  </si>
  <si>
    <t>7610001DRS2300M00</t>
  </si>
  <si>
    <t>7610002DRS0100M00</t>
  </si>
  <si>
    <t>7610002DRS0200M00</t>
  </si>
  <si>
    <t>7610002DRS2300M00</t>
  </si>
  <si>
    <t>7610021DRS0000</t>
  </si>
  <si>
    <t>7610021DRS0100</t>
  </si>
  <si>
    <t>7610022DRS0000</t>
  </si>
  <si>
    <t>7610022DRS0100</t>
  </si>
  <si>
    <t>8030018ARD0400</t>
  </si>
  <si>
    <t>8035006DSV0100</t>
  </si>
  <si>
    <t>8040003DRS0000</t>
  </si>
  <si>
    <t>8040004CSV0000</t>
  </si>
  <si>
    <t>8045014DRS0002</t>
  </si>
  <si>
    <t>8045017DRS0000</t>
  </si>
  <si>
    <t>8065004DRS0001</t>
  </si>
  <si>
    <t>8087003DRS0000</t>
  </si>
  <si>
    <t>8087004DRS0000</t>
  </si>
  <si>
    <t>8120010DRS0000</t>
  </si>
  <si>
    <t>8120013DRS0001</t>
  </si>
  <si>
    <t>8120015DRS0001</t>
  </si>
  <si>
    <t>8125005DRS0000</t>
  </si>
  <si>
    <t>8125006DRS0000</t>
  </si>
  <si>
    <t>8125010DRS0300</t>
  </si>
  <si>
    <t>8210003DRS0000</t>
  </si>
  <si>
    <t>8215003CAD0000</t>
  </si>
  <si>
    <t>8225030DRS0200</t>
  </si>
  <si>
    <t>8245009DRS0101LBC</t>
  </si>
  <si>
    <t>8245009DRS0500L2Z</t>
  </si>
  <si>
    <t>8245010DRS0200LBC</t>
  </si>
  <si>
    <t>8255003DRS0100</t>
  </si>
  <si>
    <t>8255004DRS0100</t>
  </si>
  <si>
    <t>8310010DRS0800</t>
  </si>
  <si>
    <t>8310010DRS0900</t>
  </si>
  <si>
    <t>8340003DRS0500</t>
  </si>
  <si>
    <t>8535006DRS0800B79</t>
  </si>
  <si>
    <t>8535008CSV0000A08</t>
  </si>
  <si>
    <t>8540003DRS0000M10</t>
  </si>
  <si>
    <t>8830009DRS0000</t>
  </si>
  <si>
    <t>8880020DRS0000</t>
  </si>
  <si>
    <t>8880027CMV0000</t>
  </si>
  <si>
    <t>8910003CAD0000</t>
  </si>
  <si>
    <t>8910004ARX0000</t>
  </si>
  <si>
    <t>8910010BAC0000</t>
  </si>
  <si>
    <t>8910065BAC0000</t>
  </si>
  <si>
    <t>8910135BAC0000</t>
  </si>
  <si>
    <t>8910225BAD0000</t>
  </si>
  <si>
    <t>8910545BAC0000</t>
  </si>
  <si>
    <t>8910705BAC0000</t>
  </si>
  <si>
    <t>10060862050000</t>
  </si>
  <si>
    <t>1310003DRSS010</t>
  </si>
  <si>
    <t>7155091DRS0002M10</t>
  </si>
  <si>
    <t>3410018DRS0103</t>
  </si>
  <si>
    <t>7135061DRS0001</t>
  </si>
  <si>
    <t>G500 TURBO</t>
  </si>
  <si>
    <t>ARTICULO</t>
  </si>
  <si>
    <t>DESCRIPCION</t>
  </si>
  <si>
    <t>METRICA</t>
  </si>
  <si>
    <t>MARCA / SERIE</t>
  </si>
  <si>
    <t>LITROS</t>
  </si>
  <si>
    <t>UNIDAD</t>
  </si>
  <si>
    <t>K02S</t>
  </si>
  <si>
    <t>K05</t>
  </si>
  <si>
    <t>K07</t>
  </si>
  <si>
    <t>SMILODON SE</t>
  </si>
  <si>
    <t>G500 ASPIRADA</t>
  </si>
  <si>
    <t>G580</t>
  </si>
  <si>
    <t>G600</t>
  </si>
  <si>
    <t>EMZOOM R STYLE</t>
  </si>
  <si>
    <t>EMPOW 2.0</t>
  </si>
  <si>
    <t>IX5</t>
  </si>
  <si>
    <t>X30L CARGA</t>
  </si>
  <si>
    <t>X30L PASAJEROS</t>
  </si>
  <si>
    <t>CATEGORIA</t>
  </si>
  <si>
    <t>N# PARTE archivo</t>
  </si>
  <si>
    <t>N# PARTE 2 descripcion</t>
  </si>
  <si>
    <t>VERSION</t>
  </si>
  <si>
    <t>APLICA A</t>
  </si>
  <si>
    <t>EXIST_VIRTUAL</t>
  </si>
  <si>
    <t>EXIST_FISICA</t>
  </si>
  <si>
    <t>FOTOS</t>
  </si>
  <si>
    <t>CONDENSADOR</t>
  </si>
  <si>
    <t/>
  </si>
  <si>
    <t>TABLERO</t>
  </si>
  <si>
    <t>8105000-CM02</t>
  </si>
  <si>
    <t>RADIO</t>
  </si>
  <si>
    <t>TAPA VOLANTE ARRIBA</t>
  </si>
  <si>
    <t>ALTERNADOR</t>
  </si>
  <si>
    <t>ASIENTOS</t>
  </si>
  <si>
    <t>PARACHOQUE DELANTERO COMPLETO</t>
  </si>
  <si>
    <t>COMPUTADORA</t>
  </si>
  <si>
    <t>MANGUERA CANISTER</t>
  </si>
  <si>
    <t>BUJIAS</t>
  </si>
  <si>
    <t>BOBINAS</t>
  </si>
  <si>
    <t>RIEL DE INYECTORES</t>
  </si>
  <si>
    <t>CUERPO DE ACELERACION</t>
  </si>
  <si>
    <t>CORREA UNICA</t>
  </si>
  <si>
    <t>TAPA LATERAL RETROVISOR</t>
  </si>
  <si>
    <t>SISTEMA DE REPRODUCCION</t>
  </si>
  <si>
    <t>PLATINA TRIANGULO RETROVISOR IZQUIERDA</t>
  </si>
  <si>
    <t>5504011-FS01</t>
  </si>
  <si>
    <t>D51 - (1.5L)</t>
  </si>
  <si>
    <t>ESTRIBO DERECHO</t>
  </si>
  <si>
    <t>REPRODUCTOR</t>
  </si>
  <si>
    <t>LATERALES DE CAVA DERECHO</t>
  </si>
  <si>
    <t>D1 - (2.4L)</t>
  </si>
  <si>
    <t>LATERALES DE CAVA IZQUIERDO</t>
  </si>
  <si>
    <t>PARABRISAS TRASERO</t>
  </si>
  <si>
    <t>PUERTA IZQUIERDA</t>
  </si>
  <si>
    <t>PUERTA DERECHA</t>
  </si>
  <si>
    <t>PARRILLA DELANTERA</t>
  </si>
  <si>
    <t>BOMBA DE FRENO</t>
  </si>
  <si>
    <t>SENSOR DE CIGÜEÑAL</t>
  </si>
  <si>
    <t>EVAPORADOR</t>
  </si>
  <si>
    <t>MANILLA PUERTA DELANTERA DERECHA INTERNA</t>
  </si>
  <si>
    <t>MANILLA PUERTA DELANTERA IZQUIERDA INTERNA</t>
  </si>
  <si>
    <t>TENSOR DE CORREA UNICA</t>
  </si>
  <si>
    <t>G330 - (1.5L)</t>
  </si>
  <si>
    <t>ARNES PRIMARIO DE MOTOR</t>
  </si>
  <si>
    <t>ARNES DE MOTOR</t>
  </si>
  <si>
    <t>ENVASE DE REFRIGERANTE</t>
  </si>
  <si>
    <t>BOBINA DE IGNICION</t>
  </si>
  <si>
    <t>MODULO IPDM</t>
  </si>
  <si>
    <t>CARDAN MEDIO</t>
  </si>
  <si>
    <t>CARDAN TRASERO</t>
  </si>
  <si>
    <t>GUARDAFANGO TRASERO DERECHO GAS</t>
  </si>
  <si>
    <t>ACOPLADOR 4X4</t>
  </si>
  <si>
    <t>GUARDAFANGO DELANTERO IZQUIERDO</t>
  </si>
  <si>
    <t>CATALIZADOR</t>
  </si>
  <si>
    <t>SENSOR DE OXIGENO</t>
  </si>
  <si>
    <t>FARO IZQUIERDO</t>
  </si>
  <si>
    <t>AFORADOR DE COMBUSTIBLE</t>
  </si>
  <si>
    <t>CANA DE DIRECCION</t>
  </si>
  <si>
    <t>COMPUTADORA DE LA CAJA</t>
  </si>
  <si>
    <t>GOMA DELANTERA TUBO DE ESCAPE</t>
  </si>
  <si>
    <t>MODULO BCM</t>
  </si>
  <si>
    <t>SENSOR DE AVANCE</t>
  </si>
  <si>
    <t>TAPA SOL IZQUIERDO</t>
  </si>
  <si>
    <t>LUCES DE PARACHOQUE TRASERO</t>
  </si>
  <si>
    <t>MOTOR COMPLETO</t>
  </si>
  <si>
    <t>CAJETIN DE DIRECCION</t>
  </si>
  <si>
    <t>CLUSTER</t>
  </si>
  <si>
    <t>G600 - (1.5L)</t>
  </si>
  <si>
    <t>RELOJ TABLERO</t>
  </si>
  <si>
    <t>CONSOLA CENTRAL TRASERO</t>
  </si>
  <si>
    <t>SOPORTE DE PARACHOQUE DERECHO</t>
  </si>
  <si>
    <t>SOPORTE DE PARACHOQUE IZQUIERDO</t>
  </si>
  <si>
    <t>MULTIPLE DE ESCAPE</t>
  </si>
  <si>
    <t>MULTIPLE DE ADMISION</t>
  </si>
  <si>
    <t>CAÑA DE DIRECCION</t>
  </si>
  <si>
    <t>PUNTA DE EJE COMPLETA IZQUIERDO</t>
  </si>
  <si>
    <t>3501100-SF01</t>
  </si>
  <si>
    <t>REJILLA CENTRAL A/C DERECHO</t>
  </si>
  <si>
    <t>REJILLA CENTRAL A/C IZQUIERDO</t>
  </si>
  <si>
    <t>RELOJ DE TABLERO PANTALLA</t>
  </si>
  <si>
    <t>SOPORTE FRONTAL DE REP</t>
  </si>
  <si>
    <t>STOP DERECHO</t>
  </si>
  <si>
    <t>STOP IZQUIERDO</t>
  </si>
  <si>
    <t>VOLANTE</t>
  </si>
  <si>
    <t>D51 - (1.5L), G500 TURBO - (1.5L)</t>
  </si>
  <si>
    <t>D71 - (1.5L)</t>
  </si>
  <si>
    <t>ROTULA</t>
  </si>
  <si>
    <t>2801800-FS01</t>
  </si>
  <si>
    <t>VARIADOR DE VVT</t>
  </si>
  <si>
    <t>VIGA FRONTAL DE IMPACTO</t>
  </si>
  <si>
    <t>MODULO DE GASOLINA</t>
  </si>
  <si>
    <t>VIDRIO PUERTA TRASERA DERECHA</t>
  </si>
  <si>
    <t>BUCHE DERECHO</t>
  </si>
  <si>
    <t>GUARDAFANGO DERECHO</t>
  </si>
  <si>
    <t>GUARDABARRO DERECHO</t>
  </si>
  <si>
    <t>FARO DERECHO</t>
  </si>
  <si>
    <t>MANILLA PUERTA TRASERA EXT DERECHA</t>
  </si>
  <si>
    <t>SOPLADOR</t>
  </si>
  <si>
    <t>PUERTA DERECHA DELANTERA</t>
  </si>
  <si>
    <t>CORREA DE DIRECCION</t>
  </si>
  <si>
    <t>CORREA DE ALTERNADOR</t>
  </si>
  <si>
    <t>CARDAN</t>
  </si>
  <si>
    <t>COMPUERTA TRASERA</t>
  </si>
  <si>
    <t>GUANTERA</t>
  </si>
  <si>
    <t>CAJA DE CAMBIOS</t>
  </si>
  <si>
    <t>PEDALERA CLUTCH Y FRENO</t>
  </si>
  <si>
    <t>ALTERNADOR 1 2</t>
  </si>
  <si>
    <t>HIDROVAC</t>
  </si>
  <si>
    <t>BUCHE IZQUIERDO</t>
  </si>
  <si>
    <t>PARACHOQUE DELANTERO</t>
  </si>
  <si>
    <t>CAPO</t>
  </si>
  <si>
    <t>EMINI CARG PORT EV 1 7KW TYPE</t>
  </si>
  <si>
    <t>EMINI CARG PORT EV 1.7KW TYPE-2</t>
  </si>
  <si>
    <t>WMINI CARG PARED EV 7KW TYPE</t>
  </si>
  <si>
    <t>WMINI CARG PARED EV 7KW TYPE-2</t>
  </si>
  <si>
    <t>CARG EV 110V</t>
  </si>
  <si>
    <t>CARG EV 110V-240V + ADAP TYPE-2</t>
  </si>
  <si>
    <t>BIELA</t>
  </si>
  <si>
    <t>10040042080000</t>
  </si>
  <si>
    <t>CONCHA BIELA INFERIOR</t>
  </si>
  <si>
    <t>10040082080000</t>
  </si>
  <si>
    <t>EMPOW 2.0 - (2.0L)</t>
  </si>
  <si>
    <t>PISTON + ANILLOS A, SET A</t>
  </si>
  <si>
    <t>10040092080000</t>
  </si>
  <si>
    <t>PASADOR BIELA (BULON)</t>
  </si>
  <si>
    <t>10040161560000</t>
  </si>
  <si>
    <t>CONCHA BIELA (C/REVEST)</t>
  </si>
  <si>
    <t>10040242080000</t>
  </si>
  <si>
    <t>CIGÜEÑAL EMPOW 2 0</t>
  </si>
  <si>
    <t>10050042080000</t>
  </si>
  <si>
    <t>CONCHA BANCADA SUPERIOR, SET A</t>
  </si>
  <si>
    <t>10050131560000</t>
  </si>
  <si>
    <t>CONCHA BANCADA SUPERIOR, SET B</t>
  </si>
  <si>
    <t>10050131560100</t>
  </si>
  <si>
    <t>CONCHA BANCADA SUPERIOR, SET C</t>
  </si>
  <si>
    <t>10050131560200</t>
  </si>
  <si>
    <t>CONCHA BANCADA SUPERIOR, SET D</t>
  </si>
  <si>
    <t>10050131560300</t>
  </si>
  <si>
    <t>CONCHA BANCADA SUPERIOR, SET A (C/REVEST)</t>
  </si>
  <si>
    <t>10050381560000</t>
  </si>
  <si>
    <t>CONCHA BANCADA SUPERIOR, SET B (C/REVEST)</t>
  </si>
  <si>
    <t>10050381560100</t>
  </si>
  <si>
    <t>CONCHA BANCADA SUPERIOR, SET C (C/REVEST)</t>
  </si>
  <si>
    <t>10050381560200</t>
  </si>
  <si>
    <t>CONCHA BANCADA SUPERIOR, SET D (C/REVEST)</t>
  </si>
  <si>
    <t>10050381560300</t>
  </si>
  <si>
    <t>CONCHA BANCADA INFERIOR, SET A (C/REVEST)</t>
  </si>
  <si>
    <t>10050481560000</t>
  </si>
  <si>
    <t>CONCHA BANCADA, SET B (C/REVEST)</t>
  </si>
  <si>
    <t>10050481560100</t>
  </si>
  <si>
    <t>FILTRO DE ACEITE</t>
  </si>
  <si>
    <t>EMZOOM - (1.5L)</t>
  </si>
  <si>
    <t>BUJIA</t>
  </si>
  <si>
    <t>FILTRO DE AIRE</t>
  </si>
  <si>
    <t>EMZOOM - (1.5L), GS3 - (1.5L)</t>
  </si>
  <si>
    <t>BOMBA REFRIGERANTE</t>
  </si>
  <si>
    <t>AMORTIGUADOR DELANTERO</t>
  </si>
  <si>
    <t>LUZ TRASERO IZQUIERDO (A)</t>
  </si>
  <si>
    <t>STOP TRASERO DERECHO (A)</t>
  </si>
  <si>
    <t>LUZ TRASERO IZQUIERDO (B)</t>
  </si>
  <si>
    <t>730001BSV0000M10</t>
  </si>
  <si>
    <t>LUZ TRASERO DERECHO (B)</t>
  </si>
  <si>
    <t>FARO ANTINIEBLA TRASERO</t>
  </si>
  <si>
    <t>CORREA BOMBA AGUA</t>
  </si>
  <si>
    <t>ENFRIADOR ACEITE</t>
  </si>
  <si>
    <t>VALVULA PURGA CANISTER</t>
  </si>
  <si>
    <t>FILTRO DE ACEITE DE TRANS</t>
  </si>
  <si>
    <t>1324409TBW0000 / 2510005BSV0000</t>
  </si>
  <si>
    <t>TAPA PRESION FILTRO</t>
  </si>
  <si>
    <t>BOMBA COMBUSTIBLE</t>
  </si>
  <si>
    <t>FILTRO ANTI POLEN</t>
  </si>
  <si>
    <t>HERRAMIENTA PERNOS CULATA</t>
  </si>
  <si>
    <t>COMPRESOR ANILLOS PISTON</t>
  </si>
  <si>
    <t>HERRAMIENTA VOLANTE MOTOR</t>
  </si>
  <si>
    <t>HERRAMIENTA INTER PRESION ACEITE</t>
  </si>
  <si>
    <t>CONJUNTO DE PARABRISAS DELANTERO</t>
  </si>
  <si>
    <t>5510003BSV0000M10</t>
  </si>
  <si>
    <t>IX5 - (1.5L)</t>
  </si>
  <si>
    <t>CONJUNTO DE CROCHE</t>
  </si>
  <si>
    <t>1210003TCW0000</t>
  </si>
  <si>
    <t>FILTRO ACEITE DE CAJA TRANSMISION</t>
  </si>
  <si>
    <t>1324500TCW0000</t>
  </si>
  <si>
    <t>CONJUNTO DE TUBERIA AIRE O INTERCOOLER</t>
  </si>
  <si>
    <t>2030003CDE0000</t>
  </si>
  <si>
    <t>COMPRESOR A/A</t>
  </si>
  <si>
    <t>CONJUNTO DE CALIPER TRASERO IZQUIERDO</t>
  </si>
  <si>
    <t>CONJUNTO DE CALIPER TRASERO DERECHO</t>
  </si>
  <si>
    <t>CORREA ACANALADA</t>
  </si>
  <si>
    <t>CONJUNTO DE CATALIZADOR</t>
  </si>
  <si>
    <t>10100201571100</t>
  </si>
  <si>
    <t>BOBINA ENCENDIDO</t>
  </si>
  <si>
    <t>PROTECTOR IMPACTOS DELANTERO</t>
  </si>
  <si>
    <t>GOMA ANTIRUIDO PARACHOQUE SUPERIOR TRASERA</t>
  </si>
  <si>
    <t>AIRBAG CONDUCTOR</t>
  </si>
  <si>
    <t>CUBIERTA GANCHO DELANTERO</t>
  </si>
  <si>
    <t>PARRILLA CENTRAL INFERIOR</t>
  </si>
  <si>
    <t>SOPORTE PARACHOQUE DELANTERO IZQUIERDO</t>
  </si>
  <si>
    <t>SOPORTE PARACHOQUE DELANTERO DERECHO</t>
  </si>
  <si>
    <t>MOLDURA CONJUNTO DE PARACHOQUE DELANTERO INFERIOR</t>
  </si>
  <si>
    <t>MOLDURA INFERIOR PARACHOQUE DERECHO</t>
  </si>
  <si>
    <t>CONJUNTO DE BARRA INFERIOR</t>
  </si>
  <si>
    <t>CUBIERTA FARO ANTINIEBLA IZQUIERDO DELANTERO</t>
  </si>
  <si>
    <t>CUBIERTA FARO ANTINIEBLA DERECHO</t>
  </si>
  <si>
    <t>MOLDURA SUPERIOR PARACHOQUE DELANTERO</t>
  </si>
  <si>
    <t>CONJUNTO DE GUARDABARROS DELANTERO IZQUIERDO</t>
  </si>
  <si>
    <t>CONJUNTO DE GUARDABARROS DELANTERO DERECHO</t>
  </si>
  <si>
    <t>CONJUNTO DE CUBIERTA RUEDA TRASERO IZQUIERDO</t>
  </si>
  <si>
    <t>CONJUNTO DE CUBIERTA RUEDA TRASERO DERECHO</t>
  </si>
  <si>
    <t>CONJUNTO DE CEJA RUEDA DELANTERA IZQUIERDA</t>
  </si>
  <si>
    <t>CONJUNTO DE CEJA RUEDA DELANTERA DERECHA</t>
  </si>
  <si>
    <t>CONJUNTO DE SECC DELANTERO CEJA RUEDA TRASERA IZQUIERDA</t>
  </si>
  <si>
    <t>CONJUNTO DE SECC DELANTERO CEJA RUEDA TRASERA DERECHA</t>
  </si>
  <si>
    <t>CONJUNTO DE SECC TRASERO CEJA RUEDA TRASERA IZQUIERDA</t>
  </si>
  <si>
    <t>CONJUNTO DE SECC TRASERO CEJA RUEDA TRASERA DERECHA</t>
  </si>
  <si>
    <t>CONJUNTO DE SWITCH MULTIFUNCION</t>
  </si>
  <si>
    <t>PANTALLA TACTIL CONTROL</t>
  </si>
  <si>
    <t>RETEN CIGÜEÑAL TRASERO</t>
  </si>
  <si>
    <t>AJUSTADOR HIDRAULICO HOLGURA</t>
  </si>
  <si>
    <t>JUNTA SALIDA TURBOCOMPRESOR (TC)</t>
  </si>
  <si>
    <t>SENSOR TEMPERATURA/PRESION</t>
  </si>
  <si>
    <t>CONJUNTO DE INYECTOR ACEITE</t>
  </si>
  <si>
    <t>COJINETE DE BIELA NO 1</t>
  </si>
  <si>
    <t>COJINETE DE BIELA NO 2</t>
  </si>
  <si>
    <t>COJINETE DE BIELA NO 3</t>
  </si>
  <si>
    <t>1ER JUEGO COJINETE SUPERIOR BIELA</t>
  </si>
  <si>
    <t>2DO JUEGO COJINETE SUPERIOR BIELA</t>
  </si>
  <si>
    <t>3ER JUEGO COJINETE SUPERIOR BIELA</t>
  </si>
  <si>
    <t>COJINETE EMPUJE</t>
  </si>
  <si>
    <t>PERNO ESPECIAL DAMPER</t>
  </si>
  <si>
    <t>VALVULA DE ADMISION</t>
  </si>
  <si>
    <t>RESORTE VALVULA ADMISION</t>
  </si>
  <si>
    <t>CADENA DE DISTRIBUCION</t>
  </si>
  <si>
    <t>TENSOR DE LA CADENA DE DISTRIBUCION</t>
  </si>
  <si>
    <t>CUERPO VALVULA CONT ACEITE</t>
  </si>
  <si>
    <t>TENSOR CORREA</t>
  </si>
  <si>
    <t>COLECTOR ADMISION AIRE</t>
  </si>
  <si>
    <t>TURBOCOMPRESOR</t>
  </si>
  <si>
    <t>JUNTA ENTRADA TURBOCOMPRESOR (TC)</t>
  </si>
  <si>
    <t>CONJUNTO DE BOMBA ACEITE</t>
  </si>
  <si>
    <t>JUNTA ENFRIADOR ACEITE</t>
  </si>
  <si>
    <t>TUBO ENTRADA AGUA</t>
  </si>
  <si>
    <t>MANGUERA CONEXION TUBO ENTRADA AGUA</t>
  </si>
  <si>
    <t>SENSOR FASE</t>
  </si>
  <si>
    <t>SENSOR LAMBDA ANTES PRECATALIZADOR</t>
  </si>
  <si>
    <t>SENSOR LAMBDA DESPUES PRECATALIZADOR</t>
  </si>
  <si>
    <t>RETEN ACEITE DIFERENCIAL</t>
  </si>
  <si>
    <t>ANILLO DE SELLADO (O-RING)</t>
  </si>
  <si>
    <t>GS3 - (1.5L)</t>
  </si>
  <si>
    <t>CONJUNTO DE FILTRO AIRE</t>
  </si>
  <si>
    <t>CONJUNTO DE TUBO ENTRADA AIRE</t>
  </si>
  <si>
    <t>MANGUERA AIRE</t>
  </si>
  <si>
    <t>CONJUNTO BOMBA COMBUSTIBLE</t>
  </si>
  <si>
    <t>FILTRO CANISTER</t>
  </si>
  <si>
    <t>CONJUNTO DE TAPA TANQUE COMBUSTIBLE</t>
  </si>
  <si>
    <t>MANGUERA COMBUSTIBLE MOTOR</t>
  </si>
  <si>
    <t>TUBO VAPOR Y ALIMENTACION COMBUSTIBLE NO 2</t>
  </si>
  <si>
    <t>CONJUNTO DE TUBO VAPOR</t>
  </si>
  <si>
    <t>CONJUNTO DE TUBO VAPOR NO 1</t>
  </si>
  <si>
    <t>TUBO ESCAPE + SILENCIADOR</t>
  </si>
  <si>
    <t>CONJUNTO DE RADIADOR</t>
  </si>
  <si>
    <t>CONJUNTO DE VENTILADOR REFRIGERACION</t>
  </si>
  <si>
    <t>CONJUNTO DE DEPOSITO</t>
  </si>
  <si>
    <t>TAPA DEPOSITO</t>
  </si>
  <si>
    <t>ENFRIADOR AIRE CARGA</t>
  </si>
  <si>
    <t>BOMBA ELECTRICA</t>
  </si>
  <si>
    <t>SOPORTE DE MOTOR IZQUIERDO</t>
  </si>
  <si>
    <t>CONJUNTO DE MONTURA DERECHO</t>
  </si>
  <si>
    <t>CONJUNTO DE RESTRICTOR PAR</t>
  </si>
  <si>
    <t>BUJE RESTRICTOR PAR</t>
  </si>
  <si>
    <t>CONJUNTO DE ROTULA DIRECCION EXT DELANTERO IZQUIERDO</t>
  </si>
  <si>
    <t>CONJUNTO DE ROTULA DIRECCION EXT DELANTERO DERECHO</t>
  </si>
  <si>
    <t>CONJUNTO DE CAJA DIRECCION</t>
  </si>
  <si>
    <t>COJINETE RUEDA DELANTERO</t>
  </si>
  <si>
    <t>DISCO FRENO DELANTERO</t>
  </si>
  <si>
    <t>MOTOR CONJUNTO DE PINZA FRENO TRASERO IZQUIERDO</t>
  </si>
  <si>
    <t>MOTOR CONJUNTO DE PINZA FRENO TRASERO DERECHO</t>
  </si>
  <si>
    <t>DISCO FRENO TRASERO</t>
  </si>
  <si>
    <t>COJINETE RUEDA TRASERO</t>
  </si>
  <si>
    <t>CONJUNTO DE MANGUERA FRENO DELANTERO IZQUIERDO</t>
  </si>
  <si>
    <t>CONJUNTO DE MANGUERA FRENO DELANTERO DERECHO</t>
  </si>
  <si>
    <t>CONJUNTO DE MANGUERA FRENO TRASERO IZQUIERDO</t>
  </si>
  <si>
    <t>CONJUNTO DE MANGUERA FRENO TRASERO DERECHO</t>
  </si>
  <si>
    <t>CONJUNTO DE MANGUERA VACIO</t>
  </si>
  <si>
    <t>CONJUNTO DE SERVOFRENO Y CILINDRO MAESTRO FRENOS</t>
  </si>
  <si>
    <t>CONJUNTO DE AMORTIGUADOR DELANTERO IZQUIERDO</t>
  </si>
  <si>
    <t>K01S - (1.1L)</t>
  </si>
  <si>
    <t>CONJUNTO DE AMORTIGUADOR DELANTERO DERECHO</t>
  </si>
  <si>
    <t>3610002CRV002</t>
  </si>
  <si>
    <t>CONJUNTO DE SOPORTE MONTURA SUPERIOR AMORTIGUADOR</t>
  </si>
  <si>
    <t>CONJUNTO DE ESTABILIZADOR DELANTERO</t>
  </si>
  <si>
    <t>CONJUNTO DE BRAZO INFERIOR DELANTERO IZQUIERDO</t>
  </si>
  <si>
    <t>CONJUNTO DE BRAZO INFERIOR DELANTERO DERECHO</t>
  </si>
  <si>
    <t>MANGUETA DELANTERO IZQUIERDO</t>
  </si>
  <si>
    <t>361010CRV0100</t>
  </si>
  <si>
    <t>MANGUETA DELANTERO DERECHO</t>
  </si>
  <si>
    <t>CONJUNTO DE AMORTIGUADOR TRASERO</t>
  </si>
  <si>
    <t>CUBREPOLVO AMORTIGUADOR</t>
  </si>
  <si>
    <t>TOPES TRASERO</t>
  </si>
  <si>
    <t>CONJUNTO DE SOPORTE MONTURA SUPERIOR AMORTIGUADOR TRASERO</t>
  </si>
  <si>
    <t>AMORTIGUADOR TRASERO DERECHO/IZQUIERDO</t>
  </si>
  <si>
    <t>CONJUNTO DE PANEL EXTREMO TRASERO</t>
  </si>
  <si>
    <t>CONJUNTO DE VIGA PARACHOQUE TRASERO</t>
  </si>
  <si>
    <t>PANEL GUARDABARROS DELANTERO IZQUIERDO</t>
  </si>
  <si>
    <t>GUARDABARROS DELANTERO DERECHO</t>
  </si>
  <si>
    <t>SUBCONJUNTO DE PUERTA DELANTERA IZQUIERDA</t>
  </si>
  <si>
    <t>SUBCONJUNTO DE PUERTA TRASERA IZQUIERDA</t>
  </si>
  <si>
    <t>SUBCONJUNTO DE PUERTA DELANTERA DERECHA</t>
  </si>
  <si>
    <t>SUBCONJUNTO DE PUERTA TRASERA DERECHA</t>
  </si>
  <si>
    <t>CONJUNTO DE CAPO</t>
  </si>
  <si>
    <t>CONJUNTO DE SOLDADO PUERTA TRASERA</t>
  </si>
  <si>
    <t>JUNTA PUERTA DELANTERA EXTERIOR IZQUIERDA</t>
  </si>
  <si>
    <t>JUNTA PUERTA DELANTERA EXTERIOR DERECHA</t>
  </si>
  <si>
    <t>JUNTA PUERTA TRASERA EXTERIOR IZQUIERDA</t>
  </si>
  <si>
    <t>JUNTA PUERTA TRASERA EXTERIOR DERECHA</t>
  </si>
  <si>
    <t>JUNTA PUERTA DELANTERA IZQUIERDA</t>
  </si>
  <si>
    <t>JUNTA PUERTA DELANTERA DERECHA</t>
  </si>
  <si>
    <t>JUNTA PUERTA TRASERA IZQUIERDA</t>
  </si>
  <si>
    <t>JUNTA PUERTA TRASERA DERECHA</t>
  </si>
  <si>
    <t>SELLO CAPO TRASERO</t>
  </si>
  <si>
    <t>CONJUNTO DE PARABRISAS TRASERO</t>
  </si>
  <si>
    <t>CONJUNTO DE VENTANA LATERAL PUERTA TRASERA DERECHA</t>
  </si>
  <si>
    <t>CONJUNTO DE CERRADURA PUERTA DELANTERA IZQUIERDA</t>
  </si>
  <si>
    <t>CONJUNTO DE CERRADURA PUERTA DELANTERA DERECHA</t>
  </si>
  <si>
    <t>CILINDRO LLAVE PUERTA DELANTERA IZQUIERDA</t>
  </si>
  <si>
    <t>CONJUNTO DE CERRADURA PUERTA TRASERA IZQUIERDA</t>
  </si>
  <si>
    <t>CONJUNTO DE CERRADURA PUERTA TRASERA DERECHA</t>
  </si>
  <si>
    <t>CONJUNTO DE MANIJA PUERTA TRASERA EXTERIOR IZQUIERDA</t>
  </si>
  <si>
    <t>5615011CRV100B9K</t>
  </si>
  <si>
    <t>CONJUNTO DE MANIJA PUERTA TRASERA EXTERIOR DERECHA</t>
  </si>
  <si>
    <t>CONJUNTO DE MANIJA PUERTA DELANTERA IZQUIERDA</t>
  </si>
  <si>
    <t>5615012CRV0000A09</t>
  </si>
  <si>
    <t>CONJUNTO DE MANIJA PUERTA DELANTERA DERECHA</t>
  </si>
  <si>
    <t>CONJUNTO DE CERRADURA CAPO</t>
  </si>
  <si>
    <t>MANIJA CABLE CERRADURA TAPA COMBUSTIBLE CAPO</t>
  </si>
  <si>
    <t>CONJUNTO DE PESTILLO PUERTA TRASERA</t>
  </si>
  <si>
    <t>CONJUNTO DE REGULADOR VENTANA PUERTA DELANTERA IZQUIERDA</t>
  </si>
  <si>
    <t>CONJUNTO DE REGULADOR VENTANA PUERTA DELANTERA DERECHA</t>
  </si>
  <si>
    <t>CONJUNTO DE REGULADOR VENTANA PUERTA TRASERA IZQUIERDA</t>
  </si>
  <si>
    <t>CONJUNTO DE REGULADOR VENTANA PUERTA TRASERA DERECHA</t>
  </si>
  <si>
    <t>CONJUNTO DE COMPROBADOR PUERTA DELANTERA</t>
  </si>
  <si>
    <t>BISAGRA CAPO IZQUIERDA</t>
  </si>
  <si>
    <t>TOPE CAPO</t>
  </si>
  <si>
    <t>BISAGRA PUERTA TRASERA IZQUIERDA</t>
  </si>
  <si>
    <t>BISAGRA PUERTA TRASERA DERECHA</t>
  </si>
  <si>
    <t>CONJUNTO DE TAPA COMBUSTIBLE</t>
  </si>
  <si>
    <t>AMORTIGUADOR PUERTA COMBUSTIBLE</t>
  </si>
  <si>
    <t>AIRBAG PASAJERO</t>
  </si>
  <si>
    <t>SOPORTE CENTRAL PARAGOLPES DELANTERO IZQUIERDO</t>
  </si>
  <si>
    <t>SOPORTE CENTRAL PARAGOLPES DELANTERO DERECHO</t>
  </si>
  <si>
    <t>CUBIERTA EXTERIOR IZQUIERDO PARAGOLPES DELANTERO</t>
  </si>
  <si>
    <t>CUBIERTA EXTERIOR DERECHO PARAGOLPES DELANTERO</t>
  </si>
  <si>
    <t>CUBIERTA GANCHO TRASERO</t>
  </si>
  <si>
    <t>ALMOHADILLA SELLO</t>
  </si>
  <si>
    <t>CONJUNTO DE SOPORTE PARAGOLPES TRASERO IZQUIERDO</t>
  </si>
  <si>
    <t>CONJUNTO DE SOPORTE PARAGOLPES TRASERO DERECHO</t>
  </si>
  <si>
    <t>REVESTIMIENTO INFERIOR PARAGOLPES TRASERO</t>
  </si>
  <si>
    <t>REVESTIMIENTO O MOLD PARAGOLPES TRASERO</t>
  </si>
  <si>
    <t>ADORNO PARAGOLPES TRASERO IZQUIERDO</t>
  </si>
  <si>
    <t>ADORNO PARAGOLPES TRASERO DERECHO</t>
  </si>
  <si>
    <t>EMBELLECEDOR TUBO ESCAPE PARACHOQUE TRASERO IZQUIERDO</t>
  </si>
  <si>
    <t>EMBELLECEDOR TUBO ESCAPE PARACHOQUE TRASERO DERECHO</t>
  </si>
  <si>
    <t>ADORNO REVESTIMIENTO INFERIOR PARAGOLPES TRASERO</t>
  </si>
  <si>
    <t>CUBIERTA EXTERIOR IZQUIERDO PARAGOLPES TRASERO</t>
  </si>
  <si>
    <t>CUBIERTA EXTERIOR DERECHO PARAGOLPES TRASERO</t>
  </si>
  <si>
    <t>REJILLA CENTRAL SUPERIOR</t>
  </si>
  <si>
    <t>PARILLA CENTRAL SUPERIOR</t>
  </si>
  <si>
    <t>711003CRV0000B22</t>
  </si>
  <si>
    <t>(EMZOOM CUBIERTA PARACHOQUE CENTRAL SUPERIOR</t>
  </si>
  <si>
    <t>711003CRV0000B96</t>
  </si>
  <si>
    <t>PARILLA CENTRAL SUPERIOR DELANTERO RADIADOR</t>
  </si>
  <si>
    <t>711003CRV0000B9K</t>
  </si>
  <si>
    <t>EMBLEMA TRASERO</t>
  </si>
  <si>
    <t>CONJUNTO DE EMBLEMA DELANTERO</t>
  </si>
  <si>
    <t>CONJUNTO DE PORTADOR FRENTE</t>
  </si>
  <si>
    <t>CONJUNTO DE FARO IZQUIERDO</t>
  </si>
  <si>
    <t>CONJUNTO DE FARO DERECHO</t>
  </si>
  <si>
    <t>LUZ TRASERO A IZQUIERDO</t>
  </si>
  <si>
    <t>LUZ TRASERO A DERECHO</t>
  </si>
  <si>
    <t>LUZ TRASERO B IZQUIERDO</t>
  </si>
  <si>
    <t>LUZ TRASERO B DERECHO</t>
  </si>
  <si>
    <t>REFLECTOR RETROVISOR IZQUIERDO</t>
  </si>
  <si>
    <t>REFLECTOR RETROVISOR DERECHO</t>
  </si>
  <si>
    <t>LUZ MATRICULA IZQUIERDO</t>
  </si>
  <si>
    <t>LUZ STOP CENTRAL MONTADA EN ALTO</t>
  </si>
  <si>
    <t>ESCOBILLA LIMPIAPARABRISAS IZQUIERDO</t>
  </si>
  <si>
    <t>ESCOBILLA LIMPIAPARABRISAS DERECHO</t>
  </si>
  <si>
    <t>ESPEJO RETROVISOR EXTERIOR IZQUIERDO</t>
  </si>
  <si>
    <t>ESPEJO RETROVISOR EXTERIOR DERECHO</t>
  </si>
  <si>
    <t>CONJUNTO DE ESPEJO IZQUIERDO</t>
  </si>
  <si>
    <t>CONJUNTO DE ESPEJO DERECHO</t>
  </si>
  <si>
    <t>SENSOR VELOCIDAD RUEDA DIRECTO</t>
  </si>
  <si>
    <t>UNIDAD CONTROL AIRBAGS</t>
  </si>
  <si>
    <t>SENSOR IMPACTO FRONTAL</t>
  </si>
  <si>
    <t>MODULO CONTROL INTEGRAL CARROCERIA</t>
  </si>
  <si>
    <t>SENSOR PRESION NEUMATICOS</t>
  </si>
  <si>
    <t>MODULO CONTROL PUERTA DELANTERA IZQUIERDA</t>
  </si>
  <si>
    <t>MODULO CONTROL PUERTA DELANTERA DERECHA</t>
  </si>
  <si>
    <t>COMPRESO A/A</t>
  </si>
  <si>
    <t>8110004BSV010</t>
  </si>
  <si>
    <t>CONDENSADOR CONJ</t>
  </si>
  <si>
    <t>815003BSV0001</t>
  </si>
  <si>
    <t>MANGUERA SALIDA AGUA CALIENTE</t>
  </si>
  <si>
    <t>CONJUNTO DE MANGUERA NO 1 A/A</t>
  </si>
  <si>
    <t>CONJUNTO DE TUBO NO 1 A/A</t>
  </si>
  <si>
    <t>CONJUNTO DE CCP (PANEL CONTROL CLIMATICO)</t>
  </si>
  <si>
    <t>SENSOR BATERIA</t>
  </si>
  <si>
    <t>MOTOR ARRANQUE</t>
  </si>
  <si>
    <t>INTERRUPTOR APERTURA MALETERO</t>
  </si>
  <si>
    <t>INTERRUPTOR LUZ FRENO</t>
  </si>
  <si>
    <t>LLAVERO INTELIGENTE</t>
  </si>
  <si>
    <t>LLAVE MECANICA EMERGENCIA LLAVERO</t>
  </si>
  <si>
    <t>BOCINA ALTA</t>
  </si>
  <si>
    <t>BOCINA BAJA</t>
  </si>
  <si>
    <t>CUADRO INSTRUMENTOS (CLUSTER)</t>
  </si>
  <si>
    <t>HARNESS CABLEADO PARAGOLPES TRASERO</t>
  </si>
  <si>
    <t>SOPORTE SENSOR ESTACIONAMIENTO TRASERO</t>
  </si>
  <si>
    <t>SENSOR RPA (SENSOR ESTACIONAMIENTO TRASERO)</t>
  </si>
  <si>
    <t>CAMARA SVM IZQUIERDO</t>
  </si>
  <si>
    <t>CAMARA SVM DERECHO</t>
  </si>
  <si>
    <t>CAMARA SVM DELANTERO</t>
  </si>
  <si>
    <t>CAMARA SVM TRASERO</t>
  </si>
  <si>
    <t>PASTILLA FRENO DELANTERA</t>
  </si>
  <si>
    <t>SET PASTILLAS FRENO TRASERA</t>
  </si>
  <si>
    <t>INSTALADOR CUBIERTA MONTAJE BOMBA COMBUSTIBLE</t>
  </si>
  <si>
    <t>HERRAMIENTA POSICIONAMIENTO ARBOL LEVAS ADMISION</t>
  </si>
  <si>
    <t>HERRAMIENTA AUXILIAR GUIA CUBIERTA ACEITE EMBRAGUE</t>
  </si>
  <si>
    <t>HERRAMIENTA SERVICIO PARA TUERCA AMORTIGUADOR</t>
  </si>
  <si>
    <t>HERRAMIENTA POSICIONAMIENTO ARBOL LEVAS ESCAPE</t>
  </si>
  <si>
    <t>HERRAMIENTA MEDICION CIRCLIP EXT EJE ENTRADA</t>
  </si>
  <si>
    <t>HERRAMIENTA PRENSADO CUBIERTA ACEITE EMBRAGUE</t>
  </si>
  <si>
    <t>HERRAMIENTA LIMITE HUSILLO EN EL EJE PRINCIPAL</t>
  </si>
  <si>
    <t>HERRAMIENTA LIMITE LA GALLETA PRINCIPAL E INFERIOR</t>
  </si>
  <si>
    <t>HERRAMIENTA CONJUNTO DE GALLETA BIELA</t>
  </si>
  <si>
    <t>HERRAMIENTA INSTALACION CUBIERTA SELLO</t>
  </si>
  <si>
    <t>HERRAMIENTA BLOQUEO TRANSMISION</t>
  </si>
  <si>
    <t>HERRAMIENTA INSTALACION PISTON</t>
  </si>
  <si>
    <t>HERRAMIENTA INSTALACION RETEN ACEITE VALVULA ESCAPE</t>
  </si>
  <si>
    <t>HERRAMIENTA RETEN ACEITE TRASERO CIGÜEÑAL</t>
  </si>
  <si>
    <t>ALICATES EXTRACTORES SELLO VALVULA</t>
  </si>
  <si>
    <t>HERRAMIENTA PRUEBA PRESION COMBUSTIBLE</t>
  </si>
  <si>
    <t>BANCO PRUEBAS</t>
  </si>
  <si>
    <t>CONECTORES PRUEBA PRESION COMBUSTIBLE</t>
  </si>
  <si>
    <t>EXTRACTOR/INSTALADOR SENSOR OXIGENO</t>
  </si>
  <si>
    <t>HERRAMIENTA PRUEBA PRESION ACEITE</t>
  </si>
  <si>
    <t>HERRAMIENTA PRUEBA SISTEMA REFRIGERACION</t>
  </si>
  <si>
    <t>HERRAMIENTA REMOCION RETEN ACEITE</t>
  </si>
  <si>
    <t>MANGA DESMONTAJE TUERCA EJE TRANSMISION</t>
  </si>
  <si>
    <t>HERRAMIENTA REMOCION EJE TRANSMISION</t>
  </si>
  <si>
    <t>HERRAMIENTA COMPRESION RESORTE AMORTIGUADOR</t>
  </si>
  <si>
    <t>HERRAMIENTAS REMOCION TUERCA AMORTIGUADOR</t>
  </si>
  <si>
    <t>HERRAMIENTA REMOCION ROTULA</t>
  </si>
  <si>
    <t>HERRAMIENTA REMOCION ROTULA INFERIOR BRAZO</t>
  </si>
  <si>
    <t>HERRAMIENTA REAJUSTE PISTON LA PINZA FRENO DELANTERO</t>
  </si>
  <si>
    <t>INDICADOR CUADRANTE (BLOQUE MESA MAGNETICO)</t>
  </si>
  <si>
    <t>JUNTA TORICA 6.9X1.8-A-S</t>
  </si>
  <si>
    <t>JUNTA 16X22X2</t>
  </si>
  <si>
    <t>TAPON DRENAJE ACEITE</t>
  </si>
  <si>
    <t>JUEGO TAPETES PLAST BANDEJA</t>
  </si>
  <si>
    <t>CONJUNTO DE CANISTER</t>
  </si>
  <si>
    <t>CONJUNTO DE CALIPER DELANTERO IZQUIERDO</t>
  </si>
  <si>
    <t>CONJUNTO DE CALIPER DELANTERO DERECHO</t>
  </si>
  <si>
    <t>DECORATIVO PARABRISA INT IZQUIERDO</t>
  </si>
  <si>
    <t>DECORATIVO PARABRISA INT DERECHO</t>
  </si>
  <si>
    <t>VIDRIO PUERTA DELANTERA IZQUIERDA</t>
  </si>
  <si>
    <t>VIDRIO PUERTA DELANTERA DERECHA</t>
  </si>
  <si>
    <t>VIDRIO PUERTA TRASERA IZQUIERDA</t>
  </si>
  <si>
    <t>VIDRIO PEQUEÑO PUERTA TRASERA IZQUIERDA</t>
  </si>
  <si>
    <t>DECORATIVO EXTERIOR PUERTA TRASERA</t>
  </si>
  <si>
    <t>PUERTA PILOTO</t>
  </si>
  <si>
    <t>RETROVISOR IZQUIERDO C/CAMARA</t>
  </si>
  <si>
    <t>PARABRISAS DELANTERO</t>
  </si>
  <si>
    <t>CADENA</t>
  </si>
  <si>
    <t>TENSOR CADENA</t>
  </si>
  <si>
    <t>GUIA TENSOR</t>
  </si>
  <si>
    <t>GUIA CADENA DE TIEMPO</t>
  </si>
  <si>
    <t>100608720440000</t>
  </si>
  <si>
    <t>EMPOW - (1.5L), EMZOOM - (1.5L)</t>
  </si>
  <si>
    <t>MOZO</t>
  </si>
  <si>
    <t>LAPIZ DE BARRA ESTABILIZADORA</t>
  </si>
  <si>
    <t>CONJUNTO DE BRAZO SUPERIOR TRASERO IZQUIERDO</t>
  </si>
  <si>
    <t>CONJUNTO DE BRAZO SUPERIOR TRASERO DERECHO</t>
  </si>
  <si>
    <t>PUERTA DELANTERA DERECHA</t>
  </si>
  <si>
    <t>CONJUNTO DE ADORNO DELANTERO IZQUIERDO</t>
  </si>
  <si>
    <t>CONJUNTO DE ADORNO DELANTERO DERECHO</t>
  </si>
  <si>
    <t>PIEZA DELANTERO CONJUNTO DE ADORNO TRASERO IZQUIERDO</t>
  </si>
  <si>
    <t>PIEZA DELANTERO CONJUNTO DE ADORNO TRASERO DERECHO</t>
  </si>
  <si>
    <t>PIEZA TRASERO CONJUNTO DE ADORNO TRASERO IZQUIERDO</t>
  </si>
  <si>
    <t>CONJUNTO DE TRASERO O ADORNO TRASERO DERECHO</t>
  </si>
  <si>
    <t>CONJUNTO DE COMPRESOR A/A</t>
  </si>
  <si>
    <t>ELEC</t>
  </si>
  <si>
    <t>SET PASTILLAS DELANTERAS</t>
  </si>
  <si>
    <t>SET PASTILLA TRASERA (4 PCS/SET)</t>
  </si>
  <si>
    <t>ADORNO PARACHOQUE TRASERO DERECHO</t>
  </si>
  <si>
    <t>COJINETE BIELA NO 1</t>
  </si>
  <si>
    <t>COJINETE BIELA NO 2</t>
  </si>
  <si>
    <t>PERNO ESPECIAL AMORTIGUADOR</t>
  </si>
  <si>
    <t>VALVULA ADMISION</t>
  </si>
  <si>
    <t>VALVULA CONTROL ACEITE</t>
  </si>
  <si>
    <t>CORREA POLI-V</t>
  </si>
  <si>
    <t>COJINETE EJE EQUILIBRIO NO 1</t>
  </si>
  <si>
    <t>FILTRO ACEITE</t>
  </si>
  <si>
    <t>JUNTA TORICA</t>
  </si>
  <si>
    <t>CONJUNTO DE BOMBA ACEITE Y DISTRIBUCION</t>
  </si>
  <si>
    <t>ARANDELA</t>
  </si>
  <si>
    <t>MANGUERA I ENFRIADOR ACEITE MOTOR</t>
  </si>
  <si>
    <t>BOMBA AGUA</t>
  </si>
  <si>
    <t>MANGUERA CONEXION II TUBO ENTRADA AGUA</t>
  </si>
  <si>
    <t>VALVULA CONTROL TEMPERATURA AIRE CALIENTE</t>
  </si>
  <si>
    <t>TUBERIA ALTA PRESION</t>
  </si>
  <si>
    <t>RETEN ACEITE TIPO T</t>
  </si>
  <si>
    <t>JUNTA TORICA (O-RING)</t>
  </si>
  <si>
    <t>FILTRO PARA CANISTER CARBON</t>
  </si>
  <si>
    <t>CONJUNTO DE TAPA LLENADO TANQUE COMBUSTIBLE</t>
  </si>
  <si>
    <t>MANGUERA COMBUSTIBLE AL MOTOR</t>
  </si>
  <si>
    <t>TUBO VAPOR Y ALIMENTACION COMBUSTIBLE II</t>
  </si>
  <si>
    <t>TUBO ESCAPE TRASERO CON CONJ SILENCIADOR</t>
  </si>
  <si>
    <t>CONJUNTO DE INTERCOOLER</t>
  </si>
  <si>
    <t>K01S - (1.2L)</t>
  </si>
  <si>
    <t>TUBO TERMOSTATO AL DEPOSITO</t>
  </si>
  <si>
    <t>CONJUNTO DE MONTURA IZQUIERDO</t>
  </si>
  <si>
    <t>CONJUNTO DE CAJA DIRECCION POTENCIA ELECTRICA</t>
  </si>
  <si>
    <t>CONJUNTO DE EXTREMO DIRECCION EXTERIOR IZQUIERDO</t>
  </si>
  <si>
    <t>CONJUNTO DE EXTREMO DIRECCION EXTERIOR DERECHO</t>
  </si>
  <si>
    <t>CONJUNTO DE PINZA FRENO DELANTERO IZQUIERDO</t>
  </si>
  <si>
    <t>CONJUNTO DE PINZA FRENO DELANTERO DERECHO</t>
  </si>
  <si>
    <t>BOMBA VACIO MECANICA</t>
  </si>
  <si>
    <t>CONJUNTO DE MANGUETA DELANTERO IZQUIERDO</t>
  </si>
  <si>
    <t>CONJUNTO DE BRAZO INFERIOR TRASERO</t>
  </si>
  <si>
    <t>CONJUNTO DE BRAZO EMPUJE TRASERO</t>
  </si>
  <si>
    <t>CONJUNTO DE BARRA CONEXION ESTABILIZADOR TRASERA</t>
  </si>
  <si>
    <t>CONJUNTO DE ESTABILIZADOR TRASERO</t>
  </si>
  <si>
    <t>CONJUNTO DE VIGA GUARDIA IMPACTO DELANTERO</t>
  </si>
  <si>
    <t>CONJUNTO DE VIGA GUARDIA IMPACTO TRASERO</t>
  </si>
  <si>
    <t>GUARDABARROS DELANTERO IZQUIERDO</t>
  </si>
  <si>
    <t>GUARDABARROS DELANTERO DERECHO (GS8</t>
  </si>
  <si>
    <t>CONJUNTO DE BISAGRA SOLDADA PUERTA TRASERA</t>
  </si>
  <si>
    <t>552003DRS0101</t>
  </si>
  <si>
    <t>CONJUNTO DE VENTANA LATERAL PUERTA TRASERA IZQUIERDA</t>
  </si>
  <si>
    <t>CONJUNTO DE VENTANA LATERAL PARED LATERAL TRASERO IZQUIERDO</t>
  </si>
  <si>
    <t>CONJUNTO DE VENTANA LATERAL PARED LATERAL TRASERO DERECHO</t>
  </si>
  <si>
    <t>CONJUNTO DE CERRADURA INTELIGENTE Y ACC</t>
  </si>
  <si>
    <t>COMPONENTE MANIJA Y REVESTIMIENTO PUERTA</t>
  </si>
  <si>
    <t>MANIJA CABLE CERRADURA CAPO</t>
  </si>
  <si>
    <t>BISAGRA CAPO DERECHA</t>
  </si>
  <si>
    <t>SUBCONJUNTO DE COMPUERTA COMBUSTIBLE</t>
  </si>
  <si>
    <t>FASCIA PARAGOLPES DELANTERO</t>
  </si>
  <si>
    <t>CUBIERTA OJO GANCHO DELANTERO</t>
  </si>
  <si>
    <t>PARRILA CENTRAL INFERIOR DELANTERO</t>
  </si>
  <si>
    <t>SOPORTE PARAGOLPES DELANTERO IZQUIERDO</t>
  </si>
  <si>
    <t>SOPORTE PARAGOLPES DELANTERO DERECHO</t>
  </si>
  <si>
    <t>ADORNO CONJ REVESTIMIENTO PARAGOLPES</t>
  </si>
  <si>
    <t>CONJUNTO DE BARRA PIERNA BAJA</t>
  </si>
  <si>
    <t>CONJUNTO DE SOPORTE CENTRAL PARAGOLPES DELANTERO SUPERIOR</t>
  </si>
  <si>
    <t>REVESTIMIENTO CONJ PARAGOLPES DELANTERO IZQUIERDO INFERIOR</t>
  </si>
  <si>
    <t>REVESTIMIENTO CONJ PARAGOLPES DELANTERO DERECHO INFERIOR</t>
  </si>
  <si>
    <t>CONJUNTO DE SOPORTE CENTRAL PARAGOLPES DELANTERO SUPERIOR NO 1</t>
  </si>
  <si>
    <t>FASCIA PARAGOLPES TRASERO</t>
  </si>
  <si>
    <t>CUBIERTA OJO GANCHO TRASERO</t>
  </si>
  <si>
    <t>CONJUNTO DE SOPORTE INFERIOR PARAGOLPES TRASERO IZQUIERDO</t>
  </si>
  <si>
    <t>CONJUNTO DE SOPORTE INFERIOR PARAGOLPES TRASERO DERECHO</t>
  </si>
  <si>
    <t>TOPE ANTIRUIDO DE PARAGOLPES TRASERO IZQUIERDO</t>
  </si>
  <si>
    <t>AMORTIGUADOR PARAGOLPES TRASERO DERECHO</t>
  </si>
  <si>
    <t>REVESTIMIENTO TUBO ESCAPE SILENCIADOR IZQUIERDO</t>
  </si>
  <si>
    <t>REVESTIMIENTO TUBO ESCAPE SILENCIADOR DERECHO</t>
  </si>
  <si>
    <t>CONJUNTO DE REJILLA CENTRAL SUPERIOR</t>
  </si>
  <si>
    <t>CONJUNTO DE EMBLEMA TRASERO</t>
  </si>
  <si>
    <t>EMBLEMA DELANTERO</t>
  </si>
  <si>
    <t>DEFLECTOR SUPERIOR IZQUIERDO</t>
  </si>
  <si>
    <t>CONJUNTO DE CUBIERTA MOTOR SUPERIOR</t>
  </si>
  <si>
    <t>CUBIERTA COMPARTIMENTO MOTOR SUPERIOR DELANTERO</t>
  </si>
  <si>
    <t>CONJUNTO DE BASTIDOR DELANTERO</t>
  </si>
  <si>
    <t>REFLECTOR PARACHO TRASERO IZQUIERDO</t>
  </si>
  <si>
    <t>7315001RDS0001</t>
  </si>
  <si>
    <t>REFLECTOR PARACHO TRASERO DERECHO</t>
  </si>
  <si>
    <t>ANTINIEBLA TRASERO DERECHO</t>
  </si>
  <si>
    <t>ESCOBILLA LIMPIAPARABRISAS TRASERO</t>
  </si>
  <si>
    <t>TUBO ADICION LIQUIDO</t>
  </si>
  <si>
    <t>RETROVISOR IZQUIERDO S/ CAMARA</t>
  </si>
  <si>
    <t>RETROVISOR DERECHO S/CAMARA</t>
  </si>
  <si>
    <t>RETROVISOR DERECHO C/CAMARA</t>
  </si>
  <si>
    <t>7610002RDS02M00</t>
  </si>
  <si>
    <t>SENSOR VACIO</t>
  </si>
  <si>
    <t>SENSOR IMPACTO</t>
  </si>
  <si>
    <t>MODULO PUERTA TRASERA POTENCIA</t>
  </si>
  <si>
    <t>ZUMBADOR PUERTA TRASERA POTENCIA</t>
  </si>
  <si>
    <t>RADAR FRONTAL</t>
  </si>
  <si>
    <t>SOPORTE RADAR FRONTAL</t>
  </si>
  <si>
    <t>CONJUNTO DE MANGUERA AGUA CALIENTE NO 1</t>
  </si>
  <si>
    <t>CONJUNTO DE MANGUERA AGUA CALIENTE NO 2</t>
  </si>
  <si>
    <t>CONJUNTO DE MANGUERA AGUA CALIENTE NO 3</t>
  </si>
  <si>
    <t>CONJUNTO DE MANGUERA I AIRE ACONDICIONADO</t>
  </si>
  <si>
    <t>CONJUNTO DE MANGUERA AIRE ACONDICIONADO NO 1</t>
  </si>
  <si>
    <t>CONJUNTO DE TUBO AIRE ACONDICIONADO NO 1</t>
  </si>
  <si>
    <t>LLAVE REMOTA INTELIGENTE</t>
  </si>
  <si>
    <t>HARNESS CABLEADO PARAGOLPES DELANTERO</t>
  </si>
  <si>
    <t>CONJUNTO DE HARNESS CABLEADO PARAGOLPES TRASERO</t>
  </si>
  <si>
    <t>SOPORTE SENSOR RPA</t>
  </si>
  <si>
    <t>SENSOR ESTACIONAMIENTO TRASERO</t>
  </si>
  <si>
    <t>CAMARA VIDEO TRASERO</t>
  </si>
  <si>
    <t>RESORTE PASTILLA DELANTERA PAQUETE POSVENTA</t>
  </si>
  <si>
    <t>CONJUNTO DE EVAPORADOR</t>
  </si>
  <si>
    <t>HERRAMIENTA REMOCION BOMBA COMBUSTIBLE AUXILIAR</t>
  </si>
  <si>
    <t>HERRAMIENTA INSTALACION RETEN ACEITE DIFERENCIAL</t>
  </si>
  <si>
    <t>ABRAZADERA MANGUERA 0-20</t>
  </si>
  <si>
    <t>HERRAMIENTA BLOQUEO RETENCION VOLANTE MOTOR</t>
  </si>
  <si>
    <t>COMPRESOR RESORTE VALVULA</t>
  </si>
  <si>
    <t>LLAVE PARA FILTRO ACEITE</t>
  </si>
  <si>
    <t>HERRAMIENTA REMOCION COJINETE BUJE RUEDA TRASERO</t>
  </si>
  <si>
    <t>HERRAMIENTA REMOCION BRAZO LIMPIAPARABRISAS</t>
  </si>
  <si>
    <t>GUIA FIJA</t>
  </si>
  <si>
    <t>UNIDAD CONTROL ELECTRONICO</t>
  </si>
  <si>
    <t>CONJUNTO DE CUBIERTA INFERIOR PUERTA DELANTERA IZQUIERDA</t>
  </si>
  <si>
    <t>CONJUNTO DE FORRO RUEDA TRASERO IZQUIERDO</t>
  </si>
  <si>
    <t>MOZO DIRECCION DELANTERO IZQUIERDO</t>
  </si>
  <si>
    <t>MOZO DIRECCION DELANTERO DERECHO</t>
  </si>
  <si>
    <t>CONJUNTO DE FRENO IZQUIERDO DELANTERO (C/MANGUERA)</t>
  </si>
  <si>
    <t>C32 - (1.5L)</t>
  </si>
  <si>
    <t>MOZO COMPLETO DERECHO</t>
  </si>
  <si>
    <t>BOBINA ENCENDIDO (CUAD / TORN ESQ)</t>
  </si>
  <si>
    <t>3705100C0301</t>
  </si>
  <si>
    <t>C32 - (1.5L), C35 - (1.5L), C37 - (1.5L)</t>
  </si>
  <si>
    <t>MANGUERA GASOLINA</t>
  </si>
  <si>
    <t>FILTRO LINEA</t>
  </si>
  <si>
    <t>1000707D0000</t>
  </si>
  <si>
    <t>BASE TENSOR POLEA</t>
  </si>
  <si>
    <t>1025401E0502A</t>
  </si>
  <si>
    <t>C32 - (1.5L), C35 - (1.5L), C37 - (1.5L), D51 - (1.5L), G500 ASPIRADA - (1.5L)</t>
  </si>
  <si>
    <t>MULTIPLE ESCAPE</t>
  </si>
  <si>
    <t>1008201E0200</t>
  </si>
  <si>
    <t>RADIADOR</t>
  </si>
  <si>
    <t>1301100-EJ02</t>
  </si>
  <si>
    <t>CAJA SINCRONICA</t>
  </si>
  <si>
    <t>1700100C0300A</t>
  </si>
  <si>
    <t>C32 - (1.5L), C35 - (1.5L), C37 - (1.5L), D51 - (1.5L)</t>
  </si>
  <si>
    <t>PARRILLA INFERIOR DELANTERA</t>
  </si>
  <si>
    <t>2803015-EJ01</t>
  </si>
  <si>
    <t>FARO ANTINIEBLA DERECHO</t>
  </si>
  <si>
    <t>4116020-EJ01</t>
  </si>
  <si>
    <t>TAPICERIA INTERNA PUERTA DERECHA</t>
  </si>
  <si>
    <t>6102010-KA02-M079</t>
  </si>
  <si>
    <t>CAPOT</t>
  </si>
  <si>
    <t>8402000-EJ01</t>
  </si>
  <si>
    <t>TERMINAL DELANTERO DERECHO</t>
  </si>
  <si>
    <t>COMPRESOR DE AIRE ACONDICIONADO</t>
  </si>
  <si>
    <t>3745100D1800-1</t>
  </si>
  <si>
    <t>ENVASE DE AGUA DELANTERO LIMPIA PARABRISA</t>
  </si>
  <si>
    <t>5207100-02</t>
  </si>
  <si>
    <t>1008200-E29-00A</t>
  </si>
  <si>
    <t>PATIN CADENA DIST</t>
  </si>
  <si>
    <t>1021150E2900</t>
  </si>
  <si>
    <t>C31 - (1.5L), C35 - (1.5L), C37 - (1.5L)</t>
  </si>
  <si>
    <t>CAMARA 1 5L CON GUIA (VVTI DOBLE)</t>
  </si>
  <si>
    <t>1003100E2900</t>
  </si>
  <si>
    <t>G500 ASPIRADA - (1.5L), C37 - (1.5L), G330 - (1.5L)</t>
  </si>
  <si>
    <t>MOTOR SFG16C</t>
  </si>
  <si>
    <t>1000000-SE3-101</t>
  </si>
  <si>
    <t>2803010-CM01</t>
  </si>
  <si>
    <t>JUNTA COLECTOR ESCAPE</t>
  </si>
  <si>
    <t>GUANTERA MARRON</t>
  </si>
  <si>
    <t>5306400-CA01-YE04</t>
  </si>
  <si>
    <t>C35 - (1.5L)</t>
  </si>
  <si>
    <t>CILINDRO FRENO DERECHO/IZQUIERDO</t>
  </si>
  <si>
    <t>3502470-VD01 + 3502480-VD01</t>
  </si>
  <si>
    <t>C31 - (1.5L), C32 - (1.5L), C37 - (1.5L)</t>
  </si>
  <si>
    <t>C37 - (1.5L)</t>
  </si>
  <si>
    <t>LIMPIA PARABRISAS DERECHO (LARGO)</t>
  </si>
  <si>
    <t>5205100-CA01</t>
  </si>
  <si>
    <t>LIMPIA PARABRISAS IZQUIERDO (CORTO)</t>
  </si>
  <si>
    <t>5205200-CA01</t>
  </si>
  <si>
    <t>6103201-CA01</t>
  </si>
  <si>
    <t>ASIENTOS COPILOTO</t>
  </si>
  <si>
    <t>6900100-CA01-M080</t>
  </si>
  <si>
    <t>GUARDAFANGO (BUCHE) DELANTERO IZQUIERDO</t>
  </si>
  <si>
    <t>GUARDAFANGO DELANTERO DERECHO</t>
  </si>
  <si>
    <t>SENSOR DE PRESION DE ACEITE</t>
  </si>
  <si>
    <t>3611600-E01-00C</t>
  </si>
  <si>
    <t>PROTECTOR DELANTERO MULTIPLE IZQUIERDO</t>
  </si>
  <si>
    <t>1008240E0200</t>
  </si>
  <si>
    <t>PROTECTOR DELANTERO MULTIPLE DERECHO</t>
  </si>
  <si>
    <t>1008250E0200</t>
  </si>
  <si>
    <t>214102ZGOA+F102</t>
  </si>
  <si>
    <t>NEBLINERO</t>
  </si>
  <si>
    <t>8202120-BB010-A100000</t>
  </si>
  <si>
    <t>VALVULA ESCAPE</t>
  </si>
  <si>
    <t>1306000B0000</t>
  </si>
  <si>
    <t>TUBERIA REFRIGERACION CAMARA</t>
  </si>
  <si>
    <t>1000063A2600</t>
  </si>
  <si>
    <t>BIELA MOTOR</t>
  </si>
  <si>
    <t>GUIA PARACHOQUE DELANTERO DERECHO</t>
  </si>
  <si>
    <t>622225JG0A+L080</t>
  </si>
  <si>
    <t>GUIA PARACHOQUE DELANTERO IZQUIERDO</t>
  </si>
  <si>
    <t>620222ZG0H+P115</t>
  </si>
  <si>
    <t>EMBELLECEDOR DERECHO (INTERNO)</t>
  </si>
  <si>
    <t>.620222ZG0H+P115</t>
  </si>
  <si>
    <t>EMBELLECEDOR IZQUIERDO (INTERNO)</t>
  </si>
  <si>
    <t>PARRILLA DELANTERA (NEGRA MATE)</t>
  </si>
  <si>
    <t>62310Y15Z1+P104</t>
  </si>
  <si>
    <t>CUBIERTA SUPERIOR PARRILLA DELANTERA</t>
  </si>
  <si>
    <t>623222ZG0A+P115</t>
  </si>
  <si>
    <t>GUARDAFANGO INTERNO DELANTERO DERECHO</t>
  </si>
  <si>
    <t>638425JG0B+H408</t>
  </si>
  <si>
    <t>GUARDAFANGO INTERNO DELANTERO IZQUIERDO</t>
  </si>
  <si>
    <t>638435JG0A+H408</t>
  </si>
  <si>
    <t>PARACHOQUE TRASERO NEGRO</t>
  </si>
  <si>
    <t>850102ZG3B+P108</t>
  </si>
  <si>
    <t>GUARDAFANGO TRASERO DERECHO</t>
  </si>
  <si>
    <t>933002ZL6B+Z001</t>
  </si>
  <si>
    <t>GUARDAFANGO TRASERO IZQUIERDO</t>
  </si>
  <si>
    <t>933012ZL6A+Z001</t>
  </si>
  <si>
    <t>EXTENSION PARACHOQUE IZQUIERDO</t>
  </si>
  <si>
    <t>F20712ZG0A+P147</t>
  </si>
  <si>
    <t>EXTENSION PARACHOQUE DERECHO</t>
  </si>
  <si>
    <t>F20722ZG0A+P147</t>
  </si>
  <si>
    <t>EMBELLECEDOR CROMADO IZQUIERDO (EXTERNO)</t>
  </si>
  <si>
    <t>EMBELLECEDOR CROMADO DERECHO (EXTERNO)</t>
  </si>
  <si>
    <t>CEJA GUARDAFANGO DELANTERA DERECHA</t>
  </si>
  <si>
    <t>CEJA GUARDAFANGO DELANTERA IZQUIERDA</t>
  </si>
  <si>
    <t>STOP SUPERIOR HORIZONTAL COMPUERTA</t>
  </si>
  <si>
    <t>1004030-E01-000</t>
  </si>
  <si>
    <t>DEFLECTOR RADIADOR DERECHO</t>
  </si>
  <si>
    <t>214682ZG0A+P102</t>
  </si>
  <si>
    <t>DEFLECTOR RADIADOR IZQUIERDO</t>
  </si>
  <si>
    <t>214692ZG0A+P102</t>
  </si>
  <si>
    <t>NEBLINERO DERECHO/IZQUIERDO</t>
  </si>
  <si>
    <t>261508993C+E317</t>
  </si>
  <si>
    <t>CARDAN DELANTERO</t>
  </si>
  <si>
    <t>372002ZG0A+B302</t>
  </si>
  <si>
    <t>373002ZG6C+B302</t>
  </si>
  <si>
    <t>MODULO ABS</t>
  </si>
  <si>
    <t>476602ZG0B+D507</t>
  </si>
  <si>
    <t>PARRILLA NEGRA</t>
  </si>
  <si>
    <t>SOPORTE SUPERIOR PARRILLA</t>
  </si>
  <si>
    <t>PARACHOQUE TRASERO</t>
  </si>
  <si>
    <t>ESTRIBO DERECHO (COPILOTO)</t>
  </si>
  <si>
    <t>961002ZGOB+H512</t>
  </si>
  <si>
    <t>ESTRIBO IZQUIERDO (PILOTO)</t>
  </si>
  <si>
    <t>961012ZG0B+H512</t>
  </si>
  <si>
    <t>MODULO 4X4</t>
  </si>
  <si>
    <t>FD03T1804010+B103</t>
  </si>
  <si>
    <t>CRUCETA DE D1 27X81</t>
  </si>
  <si>
    <t>3712527081+B302</t>
  </si>
  <si>
    <t>CRUCETA DE D1 29X77</t>
  </si>
  <si>
    <t>3712529077+B302</t>
  </si>
  <si>
    <t>TUBO ESCAPE</t>
  </si>
  <si>
    <t>201002ZG1A+A317</t>
  </si>
  <si>
    <t>CRUCETA DE D1 30X88</t>
  </si>
  <si>
    <t>3712530088+B302</t>
  </si>
  <si>
    <t>BABERO INFERIOR</t>
  </si>
  <si>
    <t>F20622ZG0A</t>
  </si>
  <si>
    <t>622542ZG0A+P115</t>
  </si>
  <si>
    <t>CEJAS NEGRA LATERAL IZQUIERDO</t>
  </si>
  <si>
    <t>EMBELLECEDOR NEBLINERO DERECHO</t>
  </si>
  <si>
    <t>622562ZG0A+P115</t>
  </si>
  <si>
    <t>EMBELLECEDOR NEBLINERO IZQUIERDO</t>
  </si>
  <si>
    <t>622572ZG0A+P115</t>
  </si>
  <si>
    <t>CEJA NEGRA LATERAL DERECHA</t>
  </si>
  <si>
    <t>F38102ZG0A+P147</t>
  </si>
  <si>
    <t>EMBELLECEDOR DELANTERO CROMADA DERECHO</t>
  </si>
  <si>
    <t>F20742ZG0A+P147</t>
  </si>
  <si>
    <t>EMBELLECEDOR DELANTERO CROMADA IZQUIERDO</t>
  </si>
  <si>
    <t>F20732ZG0A+P147</t>
  </si>
  <si>
    <t>CILINDRO DE FRENO TRASERO</t>
  </si>
  <si>
    <t>441102ZG0B+D504</t>
  </si>
  <si>
    <t>476602ZG0B</t>
  </si>
  <si>
    <t>EMPACADURA DE TAPA VALVULA</t>
  </si>
  <si>
    <t>2TZ0104</t>
  </si>
  <si>
    <t>TAQUETES PARA</t>
  </si>
  <si>
    <t>2TZ0034</t>
  </si>
  <si>
    <t>EMPACADURA CAMARA (MOTOR 1 2L)</t>
  </si>
  <si>
    <t>1117140F0000A</t>
  </si>
  <si>
    <t>ARBOL LEVA ESCAPE (MOTOR 1 2L)</t>
  </si>
  <si>
    <t>ARBOL LEVA ADMISION (MOTOR 1 2L)</t>
  </si>
  <si>
    <t>TAPA CADENA DISTRIBUCION</t>
  </si>
  <si>
    <t>BUJIA MOTOR 1 1</t>
  </si>
  <si>
    <t>DK13 (1.4)</t>
  </si>
  <si>
    <t>K02S - (1.1L), K05 - (1.1L), K07 - (1.1L)</t>
  </si>
  <si>
    <t>PIÑON DIST CIGÜEÑAL</t>
  </si>
  <si>
    <t>1021001C0300</t>
  </si>
  <si>
    <t>K07 - (1.1L)</t>
  </si>
  <si>
    <t>CKP</t>
  </si>
  <si>
    <t>3772010B000</t>
  </si>
  <si>
    <t>BLOQUE DE MOTOR</t>
  </si>
  <si>
    <t>1002100E3000</t>
  </si>
  <si>
    <t>TUBERIA CONEXION</t>
  </si>
  <si>
    <t>1002107C0300</t>
  </si>
  <si>
    <t>CAMARA VESTIDA</t>
  </si>
  <si>
    <t>1003100D2400</t>
  </si>
  <si>
    <t>MULTIPLE ADMISION</t>
  </si>
  <si>
    <t>1008400C0303</t>
  </si>
  <si>
    <t>CARTER</t>
  </si>
  <si>
    <t>1009100C0300B</t>
  </si>
  <si>
    <t>C32 - (1.5L), C35 - (1.5L), C37 - (1.5L), G500 ASPIRADA - (1.5L)</t>
  </si>
  <si>
    <t>FLAUTA + INYECTORES K01S MOTOR 1 2</t>
  </si>
  <si>
    <t>K02S - (1.1L), K07 - (1.1L), C31 - (1.5L), C32 - (1.5L), C35 - (1.5L)</t>
  </si>
  <si>
    <t>ALTERNADOR (75A 14V)</t>
  </si>
  <si>
    <t>3701100C0300</t>
  </si>
  <si>
    <t>ARRANQUE DE MOTOR</t>
  </si>
  <si>
    <t>3708100C0300A</t>
  </si>
  <si>
    <t>COLLARIN DE CAJA</t>
  </si>
  <si>
    <t>1706625-MR508A01</t>
  </si>
  <si>
    <t>CAJA DE MOTOR</t>
  </si>
  <si>
    <t>1700100D2400</t>
  </si>
  <si>
    <t>3600100-HC02</t>
  </si>
  <si>
    <t>VIDRIO PEQUEÑO TRASERO IZQUIERDO</t>
  </si>
  <si>
    <t>5403510-KP01</t>
  </si>
  <si>
    <t>VIDRIO PEQUEÑO TRASERO DERECHO</t>
  </si>
  <si>
    <t>5403610-KP01</t>
  </si>
  <si>
    <t>MOTOR COMPLETO 1 1L (AF1105)</t>
  </si>
  <si>
    <t>K05 - (1.1L), K07 - (1.1L)</t>
  </si>
  <si>
    <t>SINC ALTA VELOCIDAD (CAJA MOTOR 1 1L)</t>
  </si>
  <si>
    <t>EJE ENTRADA (CAJA MOTOR 1 1L)</t>
  </si>
  <si>
    <t>PASTILLAS DELANERAS (SET 4PCS)</t>
  </si>
  <si>
    <t>3501500-01</t>
  </si>
  <si>
    <t>BISAGRA DELANTERA IZQUIERDA/DERECHA</t>
  </si>
  <si>
    <t>1012000A0000</t>
  </si>
  <si>
    <t>CAJETIN DIRECCION COMPLETO</t>
  </si>
  <si>
    <t>3401100-01</t>
  </si>
  <si>
    <t>PALANCA CAMBIO</t>
  </si>
  <si>
    <t>1703100-02</t>
  </si>
  <si>
    <t>PIÑON 5TA MARCHA</t>
  </si>
  <si>
    <t>1701250D1800</t>
  </si>
  <si>
    <t>BASE PURGA CANISTER (MOTOR 1 1)</t>
  </si>
  <si>
    <t>3612001B0000</t>
  </si>
  <si>
    <t>SENSOR TEMP SERIE C Y K</t>
  </si>
  <si>
    <t>3611200A1100</t>
  </si>
  <si>
    <t>K02S - (1.1L), K05 - (1.1L), K07 - (1.1L), C31 - (1.5L), C32 - (1.5L), C37 - (1.5L)</t>
  </si>
  <si>
    <t>GUAYA CROCHE</t>
  </si>
  <si>
    <t>1602110-HC01</t>
  </si>
  <si>
    <t>SEGURO PASADOR PISTON</t>
  </si>
  <si>
    <t>1004003H0700</t>
  </si>
  <si>
    <t>CODO AGUA/TOMA AGUA</t>
  </si>
  <si>
    <t>1303100-C03-03</t>
  </si>
  <si>
    <t>NEBLINERO DERECHO (COPILOTO)</t>
  </si>
  <si>
    <t>K02S - (1.1L)</t>
  </si>
  <si>
    <t>NEBLINERO IZQUIERDO (PILOTO)</t>
  </si>
  <si>
    <t>VOLANTE CROCHE</t>
  </si>
  <si>
    <t>1005100C0300</t>
  </si>
  <si>
    <t>GOMA VALVULA (16PCS/SET)</t>
  </si>
  <si>
    <t>1007020A0000</t>
  </si>
  <si>
    <t>PARABRISA DELANTERO</t>
  </si>
  <si>
    <t>5206012-02</t>
  </si>
  <si>
    <t>GOMA PUERTA DELANTERA DERECHA</t>
  </si>
  <si>
    <t>6107101-CM01</t>
  </si>
  <si>
    <t>GOMA PUERTA DELANTERA IZQUIERDA</t>
  </si>
  <si>
    <t>6107201-CM01</t>
  </si>
  <si>
    <t>CARTER PARA</t>
  </si>
  <si>
    <t>EQ465I1-1010010</t>
  </si>
  <si>
    <t>LOGOTIPO FRONTAL PARRILLA CLASICO</t>
  </si>
  <si>
    <t>3921208-CM01</t>
  </si>
  <si>
    <t>K02S - (1.1L), K05 - (1.1L), K07 - (1.1L), K01S - (1.2L)</t>
  </si>
  <si>
    <t>TAPICERIA PARAL IZQUIERDO (PILOTO)</t>
  </si>
  <si>
    <t>5402111-KH01-AH10</t>
  </si>
  <si>
    <t>TAPICERIA PARAL DERECHO (COPILOTO)</t>
  </si>
  <si>
    <t>5402121-KH01-AH10</t>
  </si>
  <si>
    <t>MOZO DELANTERO IZQUIERDO/DERECHO</t>
  </si>
  <si>
    <t>3501610-01</t>
  </si>
  <si>
    <t>PIÑON SINCRONIZADOR DE LA CAJA</t>
  </si>
  <si>
    <t>1700406D1800</t>
  </si>
  <si>
    <t>EJE DE ENTRADA DE CAJA DE CAMBIO</t>
  </si>
  <si>
    <t>1701111C0300A</t>
  </si>
  <si>
    <t>PIÑON 3RA MARCHA DELANTERO EJE DE ENTRADA</t>
  </si>
  <si>
    <t>1701231D1800</t>
  </si>
  <si>
    <t>ANILLO DE ALTA VELOCIDAD</t>
  </si>
  <si>
    <t>1701432-MR510A01</t>
  </si>
  <si>
    <t>JUNTA DELANTERO 5TO SINCRONIZADOR</t>
  </si>
  <si>
    <t>1709205-D1800</t>
  </si>
  <si>
    <t>RODAMIENTO DE CAJA (B)</t>
  </si>
  <si>
    <t>1709401-C03-00A</t>
  </si>
  <si>
    <t>RODAMIENTO DE CAJA (A) CON RETEN</t>
  </si>
  <si>
    <t>1709406-C03-00A</t>
  </si>
  <si>
    <t>RODAMIENTO DE AGUJAS</t>
  </si>
  <si>
    <t>1709453-C03-00A</t>
  </si>
  <si>
    <t>ANILLO DE RETEN DELANTERO EJE DE SALIDA TRASERO</t>
  </si>
  <si>
    <t>1709508-A03-00B</t>
  </si>
  <si>
    <t>ABRAZADERA SINCRONIZADORA</t>
  </si>
  <si>
    <t>1709524-C03-00A</t>
  </si>
  <si>
    <t>1709451-C03-00A</t>
  </si>
  <si>
    <t>GUARDAPOLVO DE PUNTA DE EJE TRASERO</t>
  </si>
  <si>
    <t>2400102-01</t>
  </si>
  <si>
    <t>BASE PARACHOQUE IZQUIERDO</t>
  </si>
  <si>
    <t>BASE PARACHOQUE DERECHO</t>
  </si>
  <si>
    <t>CHAPALETA DELANTERO PARA K01 (DERECHA)</t>
  </si>
  <si>
    <t>8511012-01</t>
  </si>
  <si>
    <t>CAMARA 1 5L CON GUIA (VVTI UNICO)</t>
  </si>
  <si>
    <t>1003100E2904</t>
  </si>
  <si>
    <t>C31 - (1.5L), C32 - (1.5L), C35 - (1.5L), C37 - (1.5L), D51 - (1.5L), G500 ASPIRADA - (1.5L)</t>
  </si>
  <si>
    <t>EMPACADURA CAMARA</t>
  </si>
  <si>
    <t>1015080E2900</t>
  </si>
  <si>
    <t>TAPA TUERCA BRAZO LIMPIAPARABRISAS</t>
  </si>
  <si>
    <t>8220018-01</t>
  </si>
  <si>
    <t>COCUYO LATERAL DERECHO/IZQUIERDO</t>
  </si>
  <si>
    <t>4111010-CA02</t>
  </si>
  <si>
    <t>C31 - (1.5L), C32 - (1.5L), C35 - (1.5L)</t>
  </si>
  <si>
    <t>2804011-CA01-W06D</t>
  </si>
  <si>
    <t>MOZO DELANTERO IZQUIERDO</t>
  </si>
  <si>
    <t>VIDRIO TRASERO LAT DERECHO</t>
  </si>
  <si>
    <t>5403610-CA02</t>
  </si>
  <si>
    <t>SOPORTE DE PARACHOQUE DELANTERO IZQUIERDO</t>
  </si>
  <si>
    <t>2803017-CA01</t>
  </si>
  <si>
    <t>SOPORTE DE PARACHOQUE DELANTERO DERECHO</t>
  </si>
  <si>
    <t>2803018-CA01</t>
  </si>
  <si>
    <t>TUBERIA DISTRIBUCION AGUA</t>
  </si>
  <si>
    <t>1303400C0303</t>
  </si>
  <si>
    <t>AMORTIGUADOR TRASERO</t>
  </si>
  <si>
    <t>GUARDAFANGO IZQUIERDO</t>
  </si>
  <si>
    <t>COMPONENTE COLECTOR ESCAPE</t>
  </si>
  <si>
    <t>TOPE AMORTIGUADOR TRASERO</t>
  </si>
  <si>
    <t>2913090-HV01</t>
  </si>
  <si>
    <t>PUERTA IZQUIERDA + BISAGRA</t>
  </si>
  <si>
    <t>6101100-HC01D + 6106100-HC01</t>
  </si>
  <si>
    <t>PUERTA DERECHA + BISAGRA</t>
  </si>
  <si>
    <t>6106100-HC01 + 6101200-HC01D</t>
  </si>
  <si>
    <t>CIGÜEÑAL</t>
  </si>
  <si>
    <t>1005001D1900</t>
  </si>
  <si>
    <t>G500 ASPIRADA - (1.5L), C31 - (1.5L), C32 - (1.5L), C35 - (1.5L), C37 - (1.5L)</t>
  </si>
  <si>
    <t>K01S - (1.1L), K02S - (1.1L), K07 - (1.1L), C31 - (1.5L), C32 - (1.5L), C35 - (1.5L), C37 - (1.5L)</t>
  </si>
  <si>
    <t>1007033C0300</t>
  </si>
  <si>
    <t>ALARMA PRESION ACEITE</t>
  </si>
  <si>
    <t>3611600C0300</t>
  </si>
  <si>
    <t>TUBO ENTR FILTRO AIRE</t>
  </si>
  <si>
    <t>1109151-HC02</t>
  </si>
  <si>
    <t>3505100-HC01</t>
  </si>
  <si>
    <t>1109120-HC01</t>
  </si>
  <si>
    <t>TERMINAL DE DIRECCION DERECHO</t>
  </si>
  <si>
    <t>3003119-HV01</t>
  </si>
  <si>
    <t>TAPA VALVULA</t>
  </si>
  <si>
    <t>1003200E3105</t>
  </si>
  <si>
    <t>C31 - (1.5L), C32 - (1.5L), C35 - (1.5L), C37 - (1.5L)</t>
  </si>
  <si>
    <t>BARRA SLING IZQUIERDA/DERECHA</t>
  </si>
  <si>
    <t>2906130-HS01</t>
  </si>
  <si>
    <t>BASE MOTOR (CORTA)</t>
  </si>
  <si>
    <t>1001A00E3109</t>
  </si>
  <si>
    <t>PISTON</t>
  </si>
  <si>
    <t>1004001D1900</t>
  </si>
  <si>
    <t>TANQUE COMBUSTIBLE</t>
  </si>
  <si>
    <t>1101000-HC01</t>
  </si>
  <si>
    <t>CONJUNTO FILTRO AIRE</t>
  </si>
  <si>
    <t>1109110-HC01</t>
  </si>
  <si>
    <t>ELECTROVENTILADOR</t>
  </si>
  <si>
    <t>1308100-HC01</t>
  </si>
  <si>
    <t>PLATO PRESION CROCHE</t>
  </si>
  <si>
    <t>1600100C0300A</t>
  </si>
  <si>
    <t>DISCO PASTA CROCHE</t>
  </si>
  <si>
    <t>1600200C0300A</t>
  </si>
  <si>
    <t>VIGA SOPORTE PRINCIPAL DELANTERO</t>
  </si>
  <si>
    <t>2500100-HC01</t>
  </si>
  <si>
    <t>BALLESTA DELANTERA DERECHA/IZQUIERDA (6 HOJAS)</t>
  </si>
  <si>
    <t>2913010-HC01</t>
  </si>
  <si>
    <t>TERMINAL DERECHO EXTERNO SERIE K Y C</t>
  </si>
  <si>
    <t>3003114-HC01</t>
  </si>
  <si>
    <t>C32 - (1.5L), C35 - (1.5L), C37 - (1.5L), K01S - (1.1L), K01S - (1.2L), K02S - (1.1L), K05 - (1.1L), K07 - (1.1L)</t>
  </si>
  <si>
    <t>BARRA LARGA DIRECCION</t>
  </si>
  <si>
    <t>3003116-HC01</t>
  </si>
  <si>
    <t>BARRA + TERMINAL IZQUIERDA SERIE D51 D52</t>
  </si>
  <si>
    <t>3003117-HC01</t>
  </si>
  <si>
    <t>BARRA + TERMINAL IZQUIERDA</t>
  </si>
  <si>
    <t>3003117-HD02</t>
  </si>
  <si>
    <t>K02S - (1.1L), K05 - (1.1L)</t>
  </si>
  <si>
    <t>BRAZO PITMAN</t>
  </si>
  <si>
    <t>3401100-HC01</t>
  </si>
  <si>
    <t>DISCO DE FRENO</t>
  </si>
  <si>
    <t>3501101-HC01</t>
  </si>
  <si>
    <t>TAMBOR DE FRENO</t>
  </si>
  <si>
    <t>3502010-HC01</t>
  </si>
  <si>
    <t>CONJUNTO DE DE BANDA DE FRENO TRASERO DERECHO</t>
  </si>
  <si>
    <t>3502200-HC01</t>
  </si>
  <si>
    <t>GUAYA FRENO MANO 1</t>
  </si>
  <si>
    <t>3508100-HC01</t>
  </si>
  <si>
    <t>GUAYA FRENO MANO 2 (IZQUIERDO)</t>
  </si>
  <si>
    <t>3508110-HC01</t>
  </si>
  <si>
    <t>GUAYA FRENO MANO 2 (DERECHO)</t>
  </si>
  <si>
    <t>3508120-HC01</t>
  </si>
  <si>
    <t>SENSOR VELOCIDAD DELANTERO IZQUIERDO</t>
  </si>
  <si>
    <t>3550130-HC01</t>
  </si>
  <si>
    <t>SENSOR VELOCIDAD TRASERO DERECHO</t>
  </si>
  <si>
    <t>3550160-HC01</t>
  </si>
  <si>
    <t>8403211-HC01BD</t>
  </si>
  <si>
    <t>2201100-HC01</t>
  </si>
  <si>
    <t>SENSOR VELOCIDAD RUEDA DELANTERO DERECHO</t>
  </si>
  <si>
    <t>3550140-HC01</t>
  </si>
  <si>
    <t>AMORTIGUADOR</t>
  </si>
  <si>
    <t>2904100-HC01</t>
  </si>
  <si>
    <t>CONJUNTO DE DE BANDA DE FRENO TRASERO IZQUIERDO</t>
  </si>
  <si>
    <t>3502100-HC01</t>
  </si>
  <si>
    <t>BLOQUE CILINDRO</t>
  </si>
  <si>
    <t>1002100D2400</t>
  </si>
  <si>
    <t>FLAUTA DE INYECTORES</t>
  </si>
  <si>
    <t>3614100E3600</t>
  </si>
  <si>
    <t>ELEVADOR DE VALVULA</t>
  </si>
  <si>
    <t>1007007C0300</t>
  </si>
  <si>
    <t>RESORTE DE VALVULA</t>
  </si>
  <si>
    <t>1007026C0300</t>
  </si>
  <si>
    <t>MULTIPLE</t>
  </si>
  <si>
    <t>1008110C0300</t>
  </si>
  <si>
    <t>PIÑON DE DISTRIBUCION DELANTERO ARBOL DE LEVA</t>
  </si>
  <si>
    <t>1021002C0300</t>
  </si>
  <si>
    <t>1021400C0300</t>
  </si>
  <si>
    <t>BOMBA DE COMBUSTIBLE</t>
  </si>
  <si>
    <t>1106100-HC01</t>
  </si>
  <si>
    <t>C31 - (1.5L), D51 - (1.5L)</t>
  </si>
  <si>
    <t>BOMBA DE AGUA</t>
  </si>
  <si>
    <t>1307100D1900A</t>
  </si>
  <si>
    <t>CONJUNTO DE FRENO IZQUIERDO</t>
  </si>
  <si>
    <t>3501100-HC02</t>
  </si>
  <si>
    <t>CONJUNTO DE FRENO DERECHO</t>
  </si>
  <si>
    <t>3501200-HC02</t>
  </si>
  <si>
    <t>BASE SOPORTE BALLESTA DELANTERA IZQUIERDA</t>
  </si>
  <si>
    <t>BASE SOPORTE BALLESTA DELANTERA DERECHA</t>
  </si>
  <si>
    <t>REJILLA DELANTERO</t>
  </si>
  <si>
    <t>5509010-HS01-BK02</t>
  </si>
  <si>
    <t>D71</t>
  </si>
  <si>
    <t>CARCAZA TERMOSTATO</t>
  </si>
  <si>
    <t>1303C00E2900</t>
  </si>
  <si>
    <t>D72 - (1.5L)</t>
  </si>
  <si>
    <t>FARO ANTINIEBLA IZQUIERDO</t>
  </si>
  <si>
    <t>4116010-SA02</t>
  </si>
  <si>
    <t>4116020-SA02</t>
  </si>
  <si>
    <t>CHAPALETA DELANTERO GUARDAFANGO TRASERO</t>
  </si>
  <si>
    <t>8511016-HV01</t>
  </si>
  <si>
    <t>DECORACION GUARDAFANGO TRASERO DERECHO/IZQUIERDO</t>
  </si>
  <si>
    <t>5504021-HV01</t>
  </si>
  <si>
    <t>TAPA FARO ANTINIEBLA DERECHO</t>
  </si>
  <si>
    <t>2803014-HS02</t>
  </si>
  <si>
    <t>TAPA FARO ANTINIEBLA IZQUIERDO</t>
  </si>
  <si>
    <t>2803013-HS02</t>
  </si>
  <si>
    <t>ESQUINERO INFERIOR PARABRISAS IZQUIERDO</t>
  </si>
  <si>
    <t>5006015-HP01-BK02</t>
  </si>
  <si>
    <t>ESQUINERO INFERIOR PARABRISAS DERECHO</t>
  </si>
  <si>
    <t>5006016-HP01-BK02</t>
  </si>
  <si>
    <t>1008100E3100</t>
  </si>
  <si>
    <t>CUERPO ACELERACION</t>
  </si>
  <si>
    <t>3765100F0700</t>
  </si>
  <si>
    <t>TORNILLO GUIA PATIN</t>
  </si>
  <si>
    <t>1021102C0300</t>
  </si>
  <si>
    <t>CHAPALETA GUARDAFANGO DELANTERO IZQUIERDO</t>
  </si>
  <si>
    <t>CHAPALETA GUARDAFANGO DELANTERO DERECHO</t>
  </si>
  <si>
    <t>LOGO TRASERO (LOGO VIEJO)</t>
  </si>
  <si>
    <t>3921105-HP01</t>
  </si>
  <si>
    <t>BASE PARACHOQUE DELANTERO DERECHO</t>
  </si>
  <si>
    <t>2803018-HP01</t>
  </si>
  <si>
    <t>BASE PARACHOQUE DELANTERO IZQUIERDO</t>
  </si>
  <si>
    <t>2803017-HP01</t>
  </si>
  <si>
    <t>2803011-HS01</t>
  </si>
  <si>
    <t>MOTOR 3/4 (C/ FILTRO)</t>
  </si>
  <si>
    <t>1000000E3103</t>
  </si>
  <si>
    <t>CABEZA PISTON</t>
  </si>
  <si>
    <t>1004001H0800</t>
  </si>
  <si>
    <t>SOPORTE DE MOTOR</t>
  </si>
  <si>
    <t>1001B00E3109</t>
  </si>
  <si>
    <t>1009100E2357</t>
  </si>
  <si>
    <t>MODULO COMBUSTIBLE</t>
  </si>
  <si>
    <t>1106100-SF03</t>
  </si>
  <si>
    <t>1700100E3116A</t>
  </si>
  <si>
    <t>BALLESTA TRASERA (12 HOJAS)</t>
  </si>
  <si>
    <t>2912010-HC01</t>
  </si>
  <si>
    <t>BALLESTA DELANTERA IZQUIERDA (6 HOJAS)</t>
  </si>
  <si>
    <t>2913010-HS01</t>
  </si>
  <si>
    <t>3550130-HV01</t>
  </si>
  <si>
    <t>SENSOR VELOCIDAD DELANTERO DERECHO</t>
  </si>
  <si>
    <t>3550140-HV01</t>
  </si>
  <si>
    <t>SENSOR VELOCIDAD TRASERO IZQUIERDO</t>
  </si>
  <si>
    <t>3550150-HS01</t>
  </si>
  <si>
    <t>3550160-HS01</t>
  </si>
  <si>
    <t>COCUYOS MATRICULA</t>
  </si>
  <si>
    <t>3717010-01</t>
  </si>
  <si>
    <t>4121010-HP01</t>
  </si>
  <si>
    <t>GOMA BORDE CAPOT</t>
  </si>
  <si>
    <t>5302101-HP01</t>
  </si>
  <si>
    <t>GUARDABARRO DELANTERO IZQUIERDO</t>
  </si>
  <si>
    <t>5504011-HV01</t>
  </si>
  <si>
    <t>GURDABARRO DELANTERO DERECHO</t>
  </si>
  <si>
    <t>5504012-HV01</t>
  </si>
  <si>
    <t>RETROVISOR EXT IZQUIERDO</t>
  </si>
  <si>
    <t>8202100-HS01</t>
  </si>
  <si>
    <t>RETROVISOR EXT DERECHO</t>
  </si>
  <si>
    <t>8202200-HS01</t>
  </si>
  <si>
    <t>BARRA ESTABILIZADORA DELANTERA</t>
  </si>
  <si>
    <t>2906100-HS01</t>
  </si>
  <si>
    <t>ABS</t>
  </si>
  <si>
    <t>3550120-HS01</t>
  </si>
  <si>
    <t>FARO DELANTERO IZQUIERDO</t>
  </si>
  <si>
    <t>4121020-HP01</t>
  </si>
  <si>
    <t>STOP TRASERO IZQUIERDO</t>
  </si>
  <si>
    <t>4133010-HP02</t>
  </si>
  <si>
    <t>STOP TRASERO DERECHO</t>
  </si>
  <si>
    <t>4133020-HP02</t>
  </si>
  <si>
    <t>TUERCA MONTAJE EMBELLECEDOR CUBO RUEDA</t>
  </si>
  <si>
    <t>5504018-SE01</t>
  </si>
  <si>
    <t>CONJUNTO DE DELANTERO CONDENSADOR</t>
  </si>
  <si>
    <t>8105100-HV01</t>
  </si>
  <si>
    <t>MOLDURA DECORATIVA DE CAPOT DELANTERO</t>
  </si>
  <si>
    <t>5006010-HP01-BK02</t>
  </si>
  <si>
    <t>ANILLOS</t>
  </si>
  <si>
    <t>1004151E2900</t>
  </si>
  <si>
    <t>1005001-E260-0B</t>
  </si>
  <si>
    <t>VOLANTE DE INERSIA (CREMALLERA)</t>
  </si>
  <si>
    <t>1005100-E02-00B</t>
  </si>
  <si>
    <t>BASE DE CAJA</t>
  </si>
  <si>
    <t>1001C00E3116</t>
  </si>
  <si>
    <t>2904100-HS01</t>
  </si>
  <si>
    <t>PERNO DE MONTAJE DELANTERO DE BALLESTA TRASERA</t>
  </si>
  <si>
    <t>2912060-HV01</t>
  </si>
  <si>
    <t>U DE VALLESTA DELANTERA</t>
  </si>
  <si>
    <t>2913060-HC01</t>
  </si>
  <si>
    <t>COMPUERTA TRASERA (BAUL)</t>
  </si>
  <si>
    <t>6301100-FS01D</t>
  </si>
  <si>
    <t>G500 TURBO - (1.5L)</t>
  </si>
  <si>
    <t>8402100-FS01D</t>
  </si>
  <si>
    <t>GOMA MARCO TRASERA IZQUIERDA/DERECHA</t>
  </si>
  <si>
    <t>6207111-FS01</t>
  </si>
  <si>
    <t>GOMA PUERTA TRASERA IZQUIERDA/DERECHA</t>
  </si>
  <si>
    <t>6107501-FS01</t>
  </si>
  <si>
    <t>6207501-FS01</t>
  </si>
  <si>
    <t>CEPILLO LIMPIAPARABRISA TRASERO</t>
  </si>
  <si>
    <t>6310013-SA01</t>
  </si>
  <si>
    <t>MOLDURA CROM PARACHOQUE DELANTERO IZQUIERDO</t>
  </si>
  <si>
    <t>2803041-FQ02-CR01</t>
  </si>
  <si>
    <t>GOMA MARCO DELANTERA DERECHA/IZQUIERDA</t>
  </si>
  <si>
    <t>6107111-FS01</t>
  </si>
  <si>
    <t>TAPAS RIN (LOGO VIEJO)</t>
  </si>
  <si>
    <t>3101170-01</t>
  </si>
  <si>
    <t>G330 - (1.5L), G500 TURBO - (1.5L), G560 - (1.8L), G580 - (1.8L), G600 - (1.5L)</t>
  </si>
  <si>
    <t>JUEGO ANILLOS PISTON</t>
  </si>
  <si>
    <t>1004030-E21-08</t>
  </si>
  <si>
    <t>INYECTOR</t>
  </si>
  <si>
    <t>28649034</t>
  </si>
  <si>
    <t>FARO DELANTERO DERECH (COPILOTO)</t>
  </si>
  <si>
    <t>4121020-FS01</t>
  </si>
  <si>
    <t>FARO DELANTERO IZQUIERDO (PILOTO)</t>
  </si>
  <si>
    <t>4121010-FS01</t>
  </si>
  <si>
    <t>6107601-FS01</t>
  </si>
  <si>
    <t>GOMA PUERTA TRASERA DERECHA</t>
  </si>
  <si>
    <t>6207601-FS01</t>
  </si>
  <si>
    <t>COMPONENTE ELEVADOR HIDRAULICO</t>
  </si>
  <si>
    <t>1007300R0100</t>
  </si>
  <si>
    <t>GORRO VALVULA (GOMA)</t>
  </si>
  <si>
    <t>1007100H0700</t>
  </si>
  <si>
    <t>BASE MOTOR IZQUIERDO</t>
  </si>
  <si>
    <t>1001310-FS01</t>
  </si>
  <si>
    <t>BASE MOTOR DERECHO</t>
  </si>
  <si>
    <t>1001320-FS01</t>
  </si>
  <si>
    <t>ESCAPE CON SILENCIADOR</t>
  </si>
  <si>
    <t>1201180-FQ05</t>
  </si>
  <si>
    <t>ROCIADOR ACEITE CILINDRO</t>
  </si>
  <si>
    <t>1300100E2900</t>
  </si>
  <si>
    <t>CAJA CVT (MOTOR 1 5L)</t>
  </si>
  <si>
    <t>1700100E2104</t>
  </si>
  <si>
    <t>2803011-FQ03</t>
  </si>
  <si>
    <t>PLATINA ROJA TRASERA IZQUIERDA (PILOTO)</t>
  </si>
  <si>
    <t>2804081-FS01-RD02</t>
  </si>
  <si>
    <t>PLATINA ROJA TRASERA CENTRO</t>
  </si>
  <si>
    <t>2804082-FS01-RD02</t>
  </si>
  <si>
    <t>PLATINA ROJA TRASERA DERECHA (COPILOTO)</t>
  </si>
  <si>
    <t>2804083-FS01-RD02</t>
  </si>
  <si>
    <t>ARRANQUE</t>
  </si>
  <si>
    <t>3708100E0300A</t>
  </si>
  <si>
    <t>GOMA SELLADO CAPOT</t>
  </si>
  <si>
    <t>5302101-FS01</t>
  </si>
  <si>
    <t>PORTAPLACA DELANTERO</t>
  </si>
  <si>
    <t>2807011-FQ02</t>
  </si>
  <si>
    <t>TAPA GOMA TUERCA LIMPIAPARABRISA DELANTERA</t>
  </si>
  <si>
    <t>5205011-FS01</t>
  </si>
  <si>
    <t>EMBELLECEDOR LATERAL INFERIOR IZQUIERDO (PLATINA AZUL)</t>
  </si>
  <si>
    <t>5500610-FS01-B010F</t>
  </si>
  <si>
    <t>EMBELLECEDOR LATERAL INFERIOR DERECHO (PLATINA AZUL)</t>
  </si>
  <si>
    <t>5500620-FS01-B010F</t>
  </si>
  <si>
    <t>MOLDURA CORTA PUERTA TRASERA DERECHA (COPIILOTO)</t>
  </si>
  <si>
    <t>6107502-FS01</t>
  </si>
  <si>
    <t>MOLDURA CORTA PUERTA TRASERA IZQUIERDA (PIILOTO)</t>
  </si>
  <si>
    <t>6107602-FS01</t>
  </si>
  <si>
    <t>MOLDURA LARGA PUERTA DELANTERA DERECHA (COPILOTO)</t>
  </si>
  <si>
    <t>6207502-FS01</t>
  </si>
  <si>
    <t>MOLDURA LARGA PUERTA DELANTERA IZQUIERDA (PILOTO)</t>
  </si>
  <si>
    <t>6207602-FS01</t>
  </si>
  <si>
    <t>CONJUNTO DE FILTRO AIRE (CON TUBERIAS)</t>
  </si>
  <si>
    <t>1109110-SF03</t>
  </si>
  <si>
    <t>REJILLA CENTRAL PARACHOQUE DELANTERO</t>
  </si>
  <si>
    <t>2803015-FQ03</t>
  </si>
  <si>
    <t>TORNILLO DE TAPICERIA</t>
  </si>
  <si>
    <t>09139-03585F6</t>
  </si>
  <si>
    <t>EMBELLECEDOR DE LUZ DE CIRCULACION DELANTERO IZQUIERDO</t>
  </si>
  <si>
    <t>2803023-FQ03</t>
  </si>
  <si>
    <t>EMBELLECEDOR DE LUZ DE CIRCULACION DELANTERO DERECHO</t>
  </si>
  <si>
    <t>2803024-FQ03</t>
  </si>
  <si>
    <t>GOMA DE VIDRIO DE PUERTA DELANTERA IZQUIERDA</t>
  </si>
  <si>
    <t>6107102-FS01</t>
  </si>
  <si>
    <t>TIRA LAMBE VIDRIO CRISTAL PUERTA DELANTERA IZQUIERDA EXT</t>
  </si>
  <si>
    <t>6107103-FS01</t>
  </si>
  <si>
    <t>GOMA DE VIDRIO DE PUERTA DELANTERA DERECHA</t>
  </si>
  <si>
    <t>6107202-FS01</t>
  </si>
  <si>
    <t>TIRA LAMBE VIDRIO CRISTAL PUERTA DELANTERA DERECHA EXTERIOR</t>
  </si>
  <si>
    <t>6107203-FS01</t>
  </si>
  <si>
    <t>TIRA LAMBE VIDRIO CRISTAL PUERTA TRASERA IZQUIERDA EXTERIOR</t>
  </si>
  <si>
    <t>6207103-FS01</t>
  </si>
  <si>
    <t>TIRA LAMBE VIDRIO CRISTAL PUERTA TRASERA IZQUIERDA INTERIOR</t>
  </si>
  <si>
    <t>6207104-FS01</t>
  </si>
  <si>
    <t>GOMA DE VIDRIO DE PUERTA TRASERA DERECHA</t>
  </si>
  <si>
    <t>6207202-FS01</t>
  </si>
  <si>
    <t>TIRA LAMBE VIDRIO CRISTAL PUERTA TRASERA DERECHA EXTERIOR</t>
  </si>
  <si>
    <t>6207203-FS01</t>
  </si>
  <si>
    <t>TIRA LAMBE VIDRIO CRISTAL PUERTA TRASERA DERECHA INTERIOR</t>
  </si>
  <si>
    <t>6207204-FS01</t>
  </si>
  <si>
    <t>TIRA DE SELLADO PARA VIDRIO DE PUERTA TRASERA</t>
  </si>
  <si>
    <t>6307001-FS01</t>
  </si>
  <si>
    <t>CONJUNTO DE INTERRUPTOR DE LUZ DE FRENO</t>
  </si>
  <si>
    <t>3774080-FK01</t>
  </si>
  <si>
    <t>SET DE PASTILLA DELANTERA</t>
  </si>
  <si>
    <t>3501500-SA01</t>
  </si>
  <si>
    <t>3745100D1800-2</t>
  </si>
  <si>
    <t>CONJUNTO DE DE CADENA DE DISTRIBUCION</t>
  </si>
  <si>
    <t>1021060-E16-00</t>
  </si>
  <si>
    <t>1000000SE3502</t>
  </si>
  <si>
    <t>CAJETIN</t>
  </si>
  <si>
    <t>3401000-ST01</t>
  </si>
  <si>
    <t>3610100-C03-01_G500</t>
  </si>
  <si>
    <t>SPOILER</t>
  </si>
  <si>
    <t>PORTA ESTOPERA DE CIGÜEÑAL</t>
  </si>
  <si>
    <t>1005140H0700</t>
  </si>
  <si>
    <t>G560 - (1.8L), G580 - (1.8L), G600 - (1.5L)</t>
  </si>
  <si>
    <t>6301100-SH01D</t>
  </si>
  <si>
    <t>BRAZO OSCILANTE TRASERO DERECHO</t>
  </si>
  <si>
    <t>2914200-SF01</t>
  </si>
  <si>
    <t>HIDROVAC + CILINDRO FRENO</t>
  </si>
  <si>
    <t>3505100-ST01</t>
  </si>
  <si>
    <t>1003200H0800A</t>
  </si>
  <si>
    <t>3505100-SF03</t>
  </si>
  <si>
    <t>3550150-ST01</t>
  </si>
  <si>
    <t>3550160-ST01</t>
  </si>
  <si>
    <t>MESETA COMPLETA DELANTERA IZQUIERDA</t>
  </si>
  <si>
    <t>2904300-SF01</t>
  </si>
  <si>
    <t>MESETA COMPLETA DELANTERA DERECHA</t>
  </si>
  <si>
    <t>2904400-SF01</t>
  </si>
  <si>
    <t>PARACHOQUE DELANTERO S/COLOR</t>
  </si>
  <si>
    <t>2804051-ST01</t>
  </si>
  <si>
    <t>SPOILER INFERIOR PARACHOQUE DELANTERO</t>
  </si>
  <si>
    <t>2803052-ST01-X</t>
  </si>
  <si>
    <t>PARACHOQUE TRASERO SUPERIOR</t>
  </si>
  <si>
    <t>2804051-ST02-X</t>
  </si>
  <si>
    <t>CUERPO FILTRO AIRE</t>
  </si>
  <si>
    <t>1109100-ST02</t>
  </si>
  <si>
    <t>CMP TAPA VALVULA</t>
  </si>
  <si>
    <t>3611800H0300</t>
  </si>
  <si>
    <t>3611900H0000</t>
  </si>
  <si>
    <t>SENSOR ETC</t>
  </si>
  <si>
    <t>3616100H0000</t>
  </si>
  <si>
    <t>SENSOR OXIGENO TRASERO</t>
  </si>
  <si>
    <t>3610700B0902</t>
  </si>
  <si>
    <t>CONCHA BIELA SUPERIOR</t>
  </si>
  <si>
    <t>1004005H0700A</t>
  </si>
  <si>
    <t>1004006H0700A</t>
  </si>
  <si>
    <t>SENSOR OXIGENO DELANTERO 1</t>
  </si>
  <si>
    <t>3611700H0300</t>
  </si>
  <si>
    <t>RESORTE VALVULA</t>
  </si>
  <si>
    <t>1007002H0700</t>
  </si>
  <si>
    <t>CUÑA VALVULA</t>
  </si>
  <si>
    <t>1007007H0700</t>
  </si>
  <si>
    <t>PLATILLOS VALVULA / ASIENTO RESO DE VALVULA</t>
  </si>
  <si>
    <t>1007001H0700</t>
  </si>
  <si>
    <t>C32 - (1.5L), K01S - (1.1L), K02S - (1.1L), G330 - (1.5L)</t>
  </si>
  <si>
    <t>SENSOR VELOCIDAD RUEDA DELANTERO</t>
  </si>
  <si>
    <t>3550135-ST01</t>
  </si>
  <si>
    <t>BRAZO OSCILANTE SUPERIOR TRASERO IZQUIERDO</t>
  </si>
  <si>
    <t>2914100-SF01</t>
  </si>
  <si>
    <t>2915100-ST01</t>
  </si>
  <si>
    <t>1001340-FS01</t>
  </si>
  <si>
    <t>PAST FRENO TRASERO (4 PCS/SET)</t>
  </si>
  <si>
    <t>3502500-FQ02</t>
  </si>
  <si>
    <t>1004100H0700</t>
  </si>
  <si>
    <t>6103011-ST01-LB01</t>
  </si>
  <si>
    <t>6103012-ST01-LB01</t>
  </si>
  <si>
    <t>6203311-ST01-LB01</t>
  </si>
  <si>
    <t>6203312-ST01-LB01</t>
  </si>
  <si>
    <t>PARABRISA TRASERO</t>
  </si>
  <si>
    <t>6303012-ST01-LB01</t>
  </si>
  <si>
    <t>RESISTENCIA A/A</t>
  </si>
  <si>
    <t>8100110-SA01</t>
  </si>
  <si>
    <t>G330 - (1.5L), G500 ASPIRADA - (1.5L), G500 TURBO - (1.5L), G560 - (1.8L), G580 - (1.8L)</t>
  </si>
  <si>
    <t>1201180-ST02</t>
  </si>
  <si>
    <t>1205100-ST02</t>
  </si>
  <si>
    <t>VENTILADOR RADIADOR</t>
  </si>
  <si>
    <t>1308100-ST01</t>
  </si>
  <si>
    <t>PARACHOQUE TRASERO (COMPLETO)</t>
  </si>
  <si>
    <t>2804011-SH02</t>
  </si>
  <si>
    <t>ESPIRAL TRASERO</t>
  </si>
  <si>
    <t>2912101-ST01</t>
  </si>
  <si>
    <t>MESETA TRASERA IZQUIERDA</t>
  </si>
  <si>
    <t>2914500-SF01</t>
  </si>
  <si>
    <t>MESETA TRASERA DERECHA</t>
  </si>
  <si>
    <t>2914600-SF01</t>
  </si>
  <si>
    <t>PARACHOQUE TRASERO INFERIOR</t>
  </si>
  <si>
    <t>2804051-ST02</t>
  </si>
  <si>
    <t>AMORTIGUADOR DELANTERO IZQUIERDO</t>
  </si>
  <si>
    <t>2904100-ST01</t>
  </si>
  <si>
    <t>AMORTIGUADOR DELANTERO DERECHO</t>
  </si>
  <si>
    <t>2904200-ST01</t>
  </si>
  <si>
    <t>2906100-FY01</t>
  </si>
  <si>
    <t>FILTRO ANTIPOLEN</t>
  </si>
  <si>
    <t>8100108-ST01</t>
  </si>
  <si>
    <t>VIDRIO TRASERO IZQUIERDO</t>
  </si>
  <si>
    <t>5403501-ST01</t>
  </si>
  <si>
    <t>VIDRIO TRASERO DERECHO</t>
  </si>
  <si>
    <t>5403601-ST01</t>
  </si>
  <si>
    <t>CONJUNTO DE DE FRENO DELANTERO IZQUIERDO</t>
  </si>
  <si>
    <t>CONJUNTO DE DE FRENO DELANTERO DERECHO</t>
  </si>
  <si>
    <t>3501200-SF01</t>
  </si>
  <si>
    <t>3610200H0002</t>
  </si>
  <si>
    <t>SENSOR DE PRESION AMBIENTAL</t>
  </si>
  <si>
    <t>3611500F0000</t>
  </si>
  <si>
    <t>BOBINA DE ENCENDIDO GDI 1 5</t>
  </si>
  <si>
    <t>3705100H0700</t>
  </si>
  <si>
    <t>G500 TURBO - (1.5L), G580 - (1.5L)</t>
  </si>
  <si>
    <t>BUJIAS TORCH</t>
  </si>
  <si>
    <t>3707200R0100</t>
  </si>
  <si>
    <t>BLOQUE DE CILINDRO</t>
  </si>
  <si>
    <t>1002100H0800B</t>
  </si>
  <si>
    <t>PASADOR DE PISTON</t>
  </si>
  <si>
    <t>1004004R0700</t>
  </si>
  <si>
    <t>SET DE ANILLO</t>
  </si>
  <si>
    <t>1004030H0700</t>
  </si>
  <si>
    <t>ARBOL DE LEVA</t>
  </si>
  <si>
    <t>1006100H0800B</t>
  </si>
  <si>
    <t>ARBOL DE LEVA DE ESCAPE</t>
  </si>
  <si>
    <t>1006200H0800B</t>
  </si>
  <si>
    <t>DISCO DE SEÑAL DE TIEMPO DE SIGUEÑAL</t>
  </si>
  <si>
    <t>1021005H0700</t>
  </si>
  <si>
    <t>3600100-ST08</t>
  </si>
  <si>
    <t>ROTULA TERMINAL</t>
  </si>
  <si>
    <t>3003100-FS01</t>
  </si>
  <si>
    <t>1005001H0805</t>
  </si>
  <si>
    <t>BUJIA SFG15T IRIDIUM</t>
  </si>
  <si>
    <t>G500T</t>
  </si>
  <si>
    <t>IX5 - (1.5L), G560 - (1.8L), G600 - (1.5L)</t>
  </si>
  <si>
    <t>4121010-SF03</t>
  </si>
  <si>
    <t>1003000E3116</t>
  </si>
  <si>
    <t>EMPACADURA ESCAPE</t>
  </si>
  <si>
    <t>1201130-VC01</t>
  </si>
  <si>
    <t>SENSOR MAP G330 Y</t>
  </si>
  <si>
    <t>3611500DA0300</t>
  </si>
  <si>
    <t>G500 ASPIRADA - (1.5L), G560 - (1.8L), G580 - (1.8L)</t>
  </si>
  <si>
    <t>PATIN MOVIL CADENA</t>
  </si>
  <si>
    <t>1021161E2900</t>
  </si>
  <si>
    <t>G500 TURBO - (1.5L), G500 ASPIRADA - (1.5L), C31 - (1.5L), C32 - (1.5L), C35 - (1.5L), C37 - (1.5L), D51 - (1.5L)</t>
  </si>
  <si>
    <t>G500 ASPIRADA - (1.5L), C31 - (1.5L), C32 - (1.5L), C35 - (1.5L), C37 - (1.5L), D51 - (1.5L)</t>
  </si>
  <si>
    <t>CAMARA</t>
  </si>
  <si>
    <t>1003100E0200A</t>
  </si>
  <si>
    <t>SWITCH A/A BOTON DE INTERRUPTOR</t>
  </si>
  <si>
    <t>EMPACADURA DE MULTIPLE</t>
  </si>
  <si>
    <t>1008210E0100</t>
  </si>
  <si>
    <t>CMP</t>
  </si>
  <si>
    <t>3612700A0000</t>
  </si>
  <si>
    <t>6400100-CM01D</t>
  </si>
  <si>
    <t>PUERTA DELANTERA IZQUIERDA</t>
  </si>
  <si>
    <t>6400200-CM01D</t>
  </si>
  <si>
    <t>ELECTROVALVULA</t>
  </si>
  <si>
    <t>3612030B0000</t>
  </si>
  <si>
    <t>G600 - (1.5L), IX5 - (1.5L)</t>
  </si>
  <si>
    <t>3752020D1502</t>
  </si>
  <si>
    <t>3705100F1100</t>
  </si>
  <si>
    <t>1007005H0700</t>
  </si>
  <si>
    <t>1007004H0800</t>
  </si>
  <si>
    <t>G560 - (1.5L), IX5 - (1.5L)</t>
  </si>
  <si>
    <t>CATALIZADOR (C/BASE)</t>
  </si>
  <si>
    <t>1300200E2900</t>
  </si>
  <si>
    <t>1301110-SA07</t>
  </si>
  <si>
    <t>COMPRESOR DE AIRE ACOND</t>
  </si>
  <si>
    <t>3745100F0016</t>
  </si>
  <si>
    <t>CAÑA DIRECCION ELECTRONICA</t>
  </si>
  <si>
    <t>3404100-SA04</t>
  </si>
  <si>
    <t>CARCASA TERMOSTATO</t>
  </si>
  <si>
    <t>1306200C0300A</t>
  </si>
  <si>
    <t>1109120-SF01</t>
  </si>
  <si>
    <t>VARILLA CVT</t>
  </si>
  <si>
    <t>1009050E2357</t>
  </si>
  <si>
    <t>GUARDAPOLVO DELANTERO IZQUIERDO</t>
  </si>
  <si>
    <t>5504011-FK01</t>
  </si>
  <si>
    <t>GUARDAPOLVO DELANTERO DERECHO</t>
  </si>
  <si>
    <t>5504012-FK01</t>
  </si>
  <si>
    <t>CAJA CVT (MOTOR 1 8L)</t>
  </si>
  <si>
    <t>1701100-FK02 1700100-K0006</t>
  </si>
  <si>
    <t>STOP SPOILER</t>
  </si>
  <si>
    <t>5206012-ST02-LB01</t>
  </si>
  <si>
    <t>VIGA DE IMPACTO</t>
  </si>
  <si>
    <t>2801800-FK01</t>
  </si>
  <si>
    <t>LAMPARA ANTINIEBLA TRASERO IZQUIERDO</t>
  </si>
  <si>
    <t>LAMPARA ANTINIEBLA TRASERO DERECHO</t>
  </si>
  <si>
    <t>EMPACADURA BOMBA AGUA</t>
  </si>
  <si>
    <t>1000052-C1000-AA00000</t>
  </si>
  <si>
    <t>EMPACADURA MULTIPLE ESCAPE</t>
  </si>
  <si>
    <t>1000054-C1000-A000000</t>
  </si>
  <si>
    <t>EMP CAMARA</t>
  </si>
  <si>
    <t>1003070-C1000-AA00000</t>
  </si>
  <si>
    <t>89534</t>
  </si>
  <si>
    <t>1004012-C1415-A000000</t>
  </si>
  <si>
    <t>ANILLOS STD</t>
  </si>
  <si>
    <t>1004020-C1000-A000000</t>
  </si>
  <si>
    <t>PIN PASADOR PISTON</t>
  </si>
  <si>
    <t>RETEN PASADOR PISTON</t>
  </si>
  <si>
    <t>1007012-C1400-A100000</t>
  </si>
  <si>
    <t>ASIENTO VALVULA</t>
  </si>
  <si>
    <t>1007013-C1400-A000000</t>
  </si>
  <si>
    <t>RETEN ASIENT VALV</t>
  </si>
  <si>
    <t>1007016-C1400-A000000</t>
  </si>
  <si>
    <t>RETEN VALVULA</t>
  </si>
  <si>
    <t>1007016-D1500-A000000</t>
  </si>
  <si>
    <t>CASQUILLO TAQUETE</t>
  </si>
  <si>
    <t>GOMA VALVULA</t>
  </si>
  <si>
    <t>1007100-C1400-A000000</t>
  </si>
  <si>
    <t>EMPACADURA CARTER</t>
  </si>
  <si>
    <t>COLADOR ACEITE</t>
  </si>
  <si>
    <t>EMPACADURA COLADOR ACEITE</t>
  </si>
  <si>
    <t>CORREA TIEMPO</t>
  </si>
  <si>
    <t>1021005-C1406-A000000</t>
  </si>
  <si>
    <t>TENSOR TIEMPO</t>
  </si>
  <si>
    <t>1021020-C1406-A000000</t>
  </si>
  <si>
    <t>POLEA BOMBA AGUA</t>
  </si>
  <si>
    <t>TANQUE GASOLINA</t>
  </si>
  <si>
    <t>1101110-BA040-A000000</t>
  </si>
  <si>
    <t>CUELLO TANQUE GAS</t>
  </si>
  <si>
    <t>1103100-BB020-A000000</t>
  </si>
  <si>
    <t>MANGUERA ENT GAS</t>
  </si>
  <si>
    <t>1104013-BA010-A0000</t>
  </si>
  <si>
    <t>1104013-BA010-A000000</t>
  </si>
  <si>
    <t>MANGUERA ACEITE 1</t>
  </si>
  <si>
    <t>MANGUERA ACEITE 2</t>
  </si>
  <si>
    <t>CONJUNTO DE BOMBA GAS</t>
  </si>
  <si>
    <t>GUAYA ACELERADOR</t>
  </si>
  <si>
    <t>1108030-BA010-B100000</t>
  </si>
  <si>
    <t>CUERPO ACELERACIO</t>
  </si>
  <si>
    <t>1108200-C1200-AA00000</t>
  </si>
  <si>
    <t>1109120-BB010-A000000 / 1109120-BL01</t>
  </si>
  <si>
    <t>FLITRO GASOLINA</t>
  </si>
  <si>
    <t>1117010-BA010-B100000</t>
  </si>
  <si>
    <t>FLAUTA INYEC COMP</t>
  </si>
  <si>
    <t>1121314-C1402-AA00002</t>
  </si>
  <si>
    <t>SILEN + TUBO ESC</t>
  </si>
  <si>
    <t>1201100-BA070-A100000</t>
  </si>
  <si>
    <t>EMPACADURA SELLO ESCAPE</t>
  </si>
  <si>
    <t>1203210-BA010-A000000</t>
  </si>
  <si>
    <t>1205050-BB010-A000000</t>
  </si>
  <si>
    <t>MANG + TAPA REFR</t>
  </si>
  <si>
    <t>1303000-BA010-A000000</t>
  </si>
  <si>
    <t>MANGUERA SALIDA MOTOR</t>
  </si>
  <si>
    <t>1303011-BB010-A000000</t>
  </si>
  <si>
    <t>TUBO ENT RADIADOR</t>
  </si>
  <si>
    <t>TUBO SAL RADIADOR</t>
  </si>
  <si>
    <t>TUBO ENTR MOTOR</t>
  </si>
  <si>
    <t>TUBO PRINCIPAL RADIADOR</t>
  </si>
  <si>
    <t>1303100-BA010-B100000</t>
  </si>
  <si>
    <t>1307010-C1000-AA00000</t>
  </si>
  <si>
    <t>CORREA ALTERNADOR</t>
  </si>
  <si>
    <t>1307200-C1400-A000000</t>
  </si>
  <si>
    <t>ABRAZADERA GUAYA ACELELERACION</t>
  </si>
  <si>
    <t>1602012-JB010-B100000</t>
  </si>
  <si>
    <t>1602100-BA010-AA00000</t>
  </si>
  <si>
    <t>PARRILLA FRONTAL</t>
  </si>
  <si>
    <t>2803200-BB050-A000000</t>
  </si>
  <si>
    <t>2904100-BA010-A300000</t>
  </si>
  <si>
    <t>2904200-BA010-A300000</t>
  </si>
  <si>
    <t>BUJE GEMELO BALL</t>
  </si>
  <si>
    <t>2911211-BA010-A000000</t>
  </si>
  <si>
    <t>CONJUNTO DE BALLESTA TRASERO</t>
  </si>
  <si>
    <t>2912100-BA010-A000000</t>
  </si>
  <si>
    <t>CONJUNTO DE TERMINAL-ROTULA IZQUIERDO</t>
  </si>
  <si>
    <t>CONJUNTO DE TERMINAL-ROTULA DERECHO</t>
  </si>
  <si>
    <t>GOMAS DE BARRA ESTABILIZADORA</t>
  </si>
  <si>
    <t>PASTILLA DE FRENO</t>
  </si>
  <si>
    <t>CONJUNTO DE FRENO TRASERO IZQUIERDO</t>
  </si>
  <si>
    <t>3502100-BA010-A000000</t>
  </si>
  <si>
    <t>CILINDRO FRENO TRASERO IZQUIERDO</t>
  </si>
  <si>
    <t>3502120-BA010-A000000</t>
  </si>
  <si>
    <t>CONJUNTO DE FRENO TRASERO DERECHO</t>
  </si>
  <si>
    <t>3502200-BA010-A000000</t>
  </si>
  <si>
    <t>SENSOR OXIGENO DELANTERO</t>
  </si>
  <si>
    <t>3611010-D1600-AA00000</t>
  </si>
  <si>
    <t>SENSOR DE OXIGENO TRASERO</t>
  </si>
  <si>
    <t>COMPUTADORA ECU</t>
  </si>
  <si>
    <t>VALVULA PRES ACEITE</t>
  </si>
  <si>
    <t>BOBINA IGNICION</t>
  </si>
  <si>
    <t>SWITCH+LLAVE+CONT</t>
  </si>
  <si>
    <t>3704000-BA030-AA00000</t>
  </si>
  <si>
    <t>CABLE BUJIA SET</t>
  </si>
  <si>
    <t>3707010-C1000-A000000</t>
  </si>
  <si>
    <t>3707030-C1000-A000000</t>
  </si>
  <si>
    <t>CORNETA</t>
  </si>
  <si>
    <t>3721010-BB030-A000000</t>
  </si>
  <si>
    <t>ENCEND CIGARRO</t>
  </si>
  <si>
    <t>3725010-JB010-A000000</t>
  </si>
  <si>
    <t>RELAY LUZ CRUCE</t>
  </si>
  <si>
    <t>3735080-BM010-A000000</t>
  </si>
  <si>
    <t>RELAY GRANDE</t>
  </si>
  <si>
    <t>3735110-JB010-A000000</t>
  </si>
  <si>
    <t>RELAY PEQUEÑO</t>
  </si>
  <si>
    <t>3735120-JB010-A000000</t>
  </si>
  <si>
    <t>CONJUNTO DE MOTOR LIMPIAPARABRISAS DELANTERO</t>
  </si>
  <si>
    <t>3741010-BA01L-A000000</t>
  </si>
  <si>
    <t>CONJUNTO DE MANDOS</t>
  </si>
  <si>
    <t>3774100-BA010-A100000</t>
  </si>
  <si>
    <t>CLOSTER</t>
  </si>
  <si>
    <t>3820100-BA010-B100000</t>
  </si>
  <si>
    <t>RAMAL INSTRUMENT</t>
  </si>
  <si>
    <t>4003100-BN071-AA00000</t>
  </si>
  <si>
    <t>RAMAL CHASIS</t>
  </si>
  <si>
    <t>4010100-BN071-AA00000</t>
  </si>
  <si>
    <t>SWITCH LUZ CARELOS</t>
  </si>
  <si>
    <t>4116020-BA010-A000000</t>
  </si>
  <si>
    <t>4121100-BB010-A100000</t>
  </si>
  <si>
    <t>FARO DELANTERO DERECHO</t>
  </si>
  <si>
    <t>4121200-BB010-A100000</t>
  </si>
  <si>
    <t>SWITCH LUCES DELANTERO</t>
  </si>
  <si>
    <t>4121210-BA010-A000000</t>
  </si>
  <si>
    <t>STOP PUERTA IZQUIERDO</t>
  </si>
  <si>
    <t>4133100-BA010-A200000</t>
  </si>
  <si>
    <t>STOP PUERTA DERECHO</t>
  </si>
  <si>
    <t>4133200-BA010-A200000</t>
  </si>
  <si>
    <t>5206101-BA010-B100000</t>
  </si>
  <si>
    <t>ENVASE LIMPIAPARABRISAS</t>
  </si>
  <si>
    <t>5207110-BA010-B100000</t>
  </si>
  <si>
    <t>5303100-BA010-A000000</t>
  </si>
  <si>
    <t>TAPA HUECO CONSOLA</t>
  </si>
  <si>
    <t>5519110-BA010-A000000</t>
  </si>
  <si>
    <t>RETROVISOR EXTERIOR IZQUIERDO</t>
  </si>
  <si>
    <t>8202110-BB010-A100000</t>
  </si>
  <si>
    <t>RETROVISOR EXTERIOR DELANTERO</t>
  </si>
  <si>
    <t>BANDAS FRENOS</t>
  </si>
  <si>
    <t>K0020</t>
  </si>
  <si>
    <t>BOTON ELECTRICO EMERGENCIA</t>
  </si>
  <si>
    <t>4128010-VA020</t>
  </si>
  <si>
    <t>BOTON ELECTRICO SPORT</t>
  </si>
  <si>
    <t>Y-100329</t>
  </si>
  <si>
    <t>BUJES BALLESTAS</t>
  </si>
  <si>
    <t>2901211-GA101</t>
  </si>
  <si>
    <t>2911211-BA010</t>
  </si>
  <si>
    <t>CALIPER + PASTILLA DERECHA</t>
  </si>
  <si>
    <t>3501240-GA010</t>
  </si>
  <si>
    <t>CALIPER + PASTILLA IZQUIERDA</t>
  </si>
  <si>
    <t>3501130-GA010</t>
  </si>
  <si>
    <t>CILINDROS FRENOS</t>
  </si>
  <si>
    <t>JH200312</t>
  </si>
  <si>
    <t>CONJUNTO DE FRENO DELANTERO DERECHO</t>
  </si>
  <si>
    <t>3501200-BD010</t>
  </si>
  <si>
    <t>CONJUNTO DE FRENO DELANTERO IZQUIERDO</t>
  </si>
  <si>
    <t>3501100-BD010</t>
  </si>
  <si>
    <t>3502200-BL020</t>
  </si>
  <si>
    <t>3502100-BL020</t>
  </si>
  <si>
    <t>DISCOS FRENOS DELANTERO</t>
  </si>
  <si>
    <t>3501110-GA010</t>
  </si>
  <si>
    <t>FARO FRONTAL DERECHO</t>
  </si>
  <si>
    <t>20210224-3</t>
  </si>
  <si>
    <t>FARO FRONTAL IZQUIERDO</t>
  </si>
  <si>
    <t>202102-2</t>
  </si>
  <si>
    <t>GOMAS BARRA ESTAB DELANTERA</t>
  </si>
  <si>
    <t>2916122-GA010</t>
  </si>
  <si>
    <t>GOMAS BARRA ESTAB TRASERA</t>
  </si>
  <si>
    <t>2906122-BB010</t>
  </si>
  <si>
    <t>GOMAS LAPIZ LINK</t>
  </si>
  <si>
    <t>2906114-BA010</t>
  </si>
  <si>
    <t>GUAYA CLUTCH DERECHO</t>
  </si>
  <si>
    <t>3508400-GA010</t>
  </si>
  <si>
    <t>GUAYA CLUTCH IZQUIERDO</t>
  </si>
  <si>
    <t>3508300-GA010</t>
  </si>
  <si>
    <t>GUAYA FRENO MANO DERECHO</t>
  </si>
  <si>
    <t>3508400-BD010</t>
  </si>
  <si>
    <t>GUAYA FRENO MANO IZQUIERDO</t>
  </si>
  <si>
    <t>3508300-BD010</t>
  </si>
  <si>
    <t>KIT PASADORES MOZO</t>
  </si>
  <si>
    <t>350148-GA010</t>
  </si>
  <si>
    <t>MANDO A/C</t>
  </si>
  <si>
    <t>810130-GD010</t>
  </si>
  <si>
    <t>MANDO DELANTERO DERECHO</t>
  </si>
  <si>
    <t>3746200-BB010</t>
  </si>
  <si>
    <t>MANDO DELANTERO IZQUIERDO</t>
  </si>
  <si>
    <t>3746100-BB010</t>
  </si>
  <si>
    <t>MESETA DELANTERA DERECHA</t>
  </si>
  <si>
    <t>2904400-BD010</t>
  </si>
  <si>
    <t>MESETA DELANTERA IZQUIERDA</t>
  </si>
  <si>
    <t>2904300-BD010</t>
  </si>
  <si>
    <t>PASTILLAS FRENOS DELANTERA</t>
  </si>
  <si>
    <t>3501190-GA010</t>
  </si>
  <si>
    <t>REGILLA FRONTAL MOTOR DERECHO</t>
  </si>
  <si>
    <t>5509200-BA020</t>
  </si>
  <si>
    <t>REGILLA FRONTAL MOTOR IZQUIERDO</t>
  </si>
  <si>
    <t>5509100-BA020</t>
  </si>
  <si>
    <t>RELAY FLASH</t>
  </si>
  <si>
    <t>3735080-BM010</t>
  </si>
  <si>
    <t>RELAY LUCES INTERMITENTES</t>
  </si>
  <si>
    <t>3735080-BB010</t>
  </si>
  <si>
    <t>RETROVISOR DERECHO</t>
  </si>
  <si>
    <t>8202110-BB010</t>
  </si>
  <si>
    <t>RETROVISOR IZQUIERDO</t>
  </si>
  <si>
    <t>8202200-GA010</t>
  </si>
  <si>
    <t>8202100-GA010</t>
  </si>
  <si>
    <t>8202120-BB010</t>
  </si>
  <si>
    <t>SENSOR ABS DELANTERO DERECHO/IZQUIERDO</t>
  </si>
  <si>
    <t>3630100-GA010</t>
  </si>
  <si>
    <t>SENSOR ABS TRASERO DERECHO/IZQUIERDO</t>
  </si>
  <si>
    <t>3630400-GA010</t>
  </si>
  <si>
    <t>TAPA INT ALTAVOZ DERECHO</t>
  </si>
  <si>
    <t>5306901-VA101</t>
  </si>
  <si>
    <t>TAPA INT ALTAVOZ IZQUIERDO</t>
  </si>
  <si>
    <t>5306902-VA010</t>
  </si>
  <si>
    <t>SMILODON SE - (2.4L)</t>
  </si>
  <si>
    <t>490012ZG1A+D001</t>
  </si>
  <si>
    <t>651002ZG0A+Z001</t>
  </si>
  <si>
    <t>COMPRESOR A/C</t>
  </si>
  <si>
    <t>926002ZG1A+F102</t>
  </si>
  <si>
    <t>CONTROL LLAVES TIPO NAVAJA</t>
  </si>
  <si>
    <t>CUBO RUEDA DERECHO / IZQUIERDO</t>
  </si>
  <si>
    <t>6075+A006</t>
  </si>
  <si>
    <t>165462ZG0B+A201, 165462ZG0B+A211</t>
  </si>
  <si>
    <t>EMBELLECEDOR DELANTERO DERECHO (COPILOTO)</t>
  </si>
  <si>
    <t>EMBELLECEDOR DELANTERO IZQUIERDO (PILOTO)</t>
  </si>
  <si>
    <t>631002ZG0A+Z001</t>
  </si>
  <si>
    <t>MESETA INFERIOR DERECHA</t>
  </si>
  <si>
    <t>545005JG0A+B900</t>
  </si>
  <si>
    <t>MESETA INFERIOR IZQUIERDA</t>
  </si>
  <si>
    <t>PARACHOQUE DELANTERO INTERNO</t>
  </si>
  <si>
    <t>PARRILLA FRONTAL CROMADA</t>
  </si>
  <si>
    <t>801012ZG0A+Z001</t>
  </si>
  <si>
    <t>PUERTA TRASERA DERECHA</t>
  </si>
  <si>
    <t>PUERTA TRASERA IZQUIERDA</t>
  </si>
  <si>
    <t>RETROVISOR COMPLETO DERECHO</t>
  </si>
  <si>
    <t>RETROVISOR EXT IZQUIERDO (PILOTO)</t>
  </si>
  <si>
    <t>265552ZG0A+E306</t>
  </si>
  <si>
    <t>TRIPOIDE DERECHO</t>
  </si>
  <si>
    <t>EMPACADURA TAPAVALVULA</t>
  </si>
  <si>
    <t>11213-OC010</t>
  </si>
  <si>
    <t>6075.02+A006</t>
  </si>
  <si>
    <t>EMPACADURA</t>
  </si>
  <si>
    <t>MOTOR</t>
  </si>
  <si>
    <t>MANGUERA VALVULA PCV</t>
  </si>
  <si>
    <t>ARANDELA TORNILLO CAMARA</t>
  </si>
  <si>
    <t>CONJUNTO MANGUERA COMBUSTIBLE CON CLIP</t>
  </si>
  <si>
    <t>DUCTO ENTRADA AIRE MOTOR</t>
  </si>
  <si>
    <t>MANGUERA DUCTO FILTRO AIRE</t>
  </si>
  <si>
    <t>CONJUNTO RESONADOR</t>
  </si>
  <si>
    <t>PEDAL ACELERACION</t>
  </si>
  <si>
    <t>DIFUSOR CALOR</t>
  </si>
  <si>
    <t>MANGUERA RADIADOR SUPERIOR</t>
  </si>
  <si>
    <t>MANGUERA RADIADOR INFERIOR</t>
  </si>
  <si>
    <t>ENVASE REFRIGERANTE</t>
  </si>
  <si>
    <t>ECU</t>
  </si>
  <si>
    <t>ARNES MENU O TABLERO</t>
  </si>
  <si>
    <t>ARNES PRIMARIO MOTOR</t>
  </si>
  <si>
    <t>RAMAL IPDM/ ARNES MOTOR</t>
  </si>
  <si>
    <t>ARNES PISO IZQUIERDO SIN ASIENTOS ELECTRICOS</t>
  </si>
  <si>
    <t>ARNES DELANTERO PARACHOQUE TRASERO</t>
  </si>
  <si>
    <t>ARNES PISO DERECHO SIN CONTROL PRESION NEUMATICO</t>
  </si>
  <si>
    <t>ARNES DELANTERO CHASIS 2</t>
  </si>
  <si>
    <t>ARNES DELANTERO CHASIS</t>
  </si>
  <si>
    <t>ARNES TECHO</t>
  </si>
  <si>
    <t>CABLE TIERRA</t>
  </si>
  <si>
    <t>ARNES PUERTA DELANTERA DERECHA</t>
  </si>
  <si>
    <t>ARNES PUERTA DELANTERA IZQUIERDA</t>
  </si>
  <si>
    <t>ARNES PUERTA TRASERA DERECHA</t>
  </si>
  <si>
    <t>ARNES PUERTA TRASERA IZQUIERDA</t>
  </si>
  <si>
    <t>FUSIBLERA PEQUEÑA</t>
  </si>
  <si>
    <t>FUSIBLE</t>
  </si>
  <si>
    <t>SWITCH CONTROL TRACCION</t>
  </si>
  <si>
    <t>RELAY-40A</t>
  </si>
  <si>
    <t>RELAY-70A</t>
  </si>
  <si>
    <t>RELAY-35A</t>
  </si>
  <si>
    <t>RELAY-20A</t>
  </si>
  <si>
    <t>SWTICH APERTURA TAPA GASOLINA</t>
  </si>
  <si>
    <t>VALVULA SWITCH FRENO</t>
  </si>
  <si>
    <t>VALVULA SWITCH CROCHE</t>
  </si>
  <si>
    <t>MANDO PRINCIPAL ELEVA VIDRIO</t>
  </si>
  <si>
    <t>MANDO ELEVAVIDRIO SOLITARIO</t>
  </si>
  <si>
    <t>SWTICH CONTROL RADIO DERECHO Y IZQUIERDO</t>
  </si>
  <si>
    <t>CINTA RELOJ AIRBAG</t>
  </si>
  <si>
    <t>SWITCH COMBINADO</t>
  </si>
  <si>
    <t>CORNETA PITO</t>
  </si>
  <si>
    <t>SENSOR APROXIMACION</t>
  </si>
  <si>
    <t>CONJUNTO LAMPARA PRINCIPAL</t>
  </si>
  <si>
    <t>272742ZG0A+F102, WQT92-112</t>
  </si>
  <si>
    <t>CORNETA SPEAKER</t>
  </si>
  <si>
    <t>RADIO PANTALLA 7 GAMA BAJA</t>
  </si>
  <si>
    <t>UNIDAD BCM</t>
  </si>
  <si>
    <t>CAMARA O CULATA</t>
  </si>
  <si>
    <t>TAPA VALVULA (C/EMPAC)</t>
  </si>
  <si>
    <t>O-RING CAMARA</t>
  </si>
  <si>
    <t>JUEGO ANILLOS-PISTON</t>
  </si>
  <si>
    <t>DAMPER</t>
  </si>
  <si>
    <t>EMPACADURA TENSOR TIEMPO</t>
  </si>
  <si>
    <t>TENSOR CADENA TIEMPO</t>
  </si>
  <si>
    <t>VVT ACTUADOR A</t>
  </si>
  <si>
    <t>ACTUADOR LEVA B</t>
  </si>
  <si>
    <t>CONJUNTO BOQUILLA Y SOPORTE</t>
  </si>
  <si>
    <t>RETENEDOR VALVULA INFERIOR</t>
  </si>
  <si>
    <t>RETENEDOR VALVULA SUPERIOR</t>
  </si>
  <si>
    <t>VALVULA ROTADORA</t>
  </si>
  <si>
    <t>CUBIERTA VARILLA VALVULA</t>
  </si>
  <si>
    <t>SELLO ACEITE VALVULA</t>
  </si>
  <si>
    <t>VALVULA ELEVADORA</t>
  </si>
  <si>
    <t>BALANCIN D1 ORIGINAL</t>
  </si>
  <si>
    <t>CARTER MOTOR</t>
  </si>
  <si>
    <t>TENSOR CORREA UNICA</t>
  </si>
  <si>
    <t>POLEA LISA FIJA</t>
  </si>
  <si>
    <t>VALVULA CONTROL VVT</t>
  </si>
  <si>
    <t>BUJIAS (TORCH K6RTMI)</t>
  </si>
  <si>
    <t>K6RTMI / 2TZ0060+U811</t>
  </si>
  <si>
    <t>G580 - (1.8L), G560 - (1.8L), G330 - (1.5L)</t>
  </si>
  <si>
    <t>PLACA CUBIERTA DELANTERO CANAL ACEITE</t>
  </si>
  <si>
    <t>PLACA CUBIERTA DELANTERO CANAL ACEITE CUÑA</t>
  </si>
  <si>
    <t>TORNILLO SUJETA LEVAS ADMISION Y ESCAPE</t>
  </si>
  <si>
    <t>SENSOR POSICION ARBOL LEVA</t>
  </si>
  <si>
    <t>PISTON DISTRIBUCION CIGUEÑAL</t>
  </si>
  <si>
    <t>ROCIADOR CARTER MOTOR</t>
  </si>
  <si>
    <t>TUBERIA INFERIOR RADIADOR</t>
  </si>
  <si>
    <t>CIGUEÑAL</t>
  </si>
  <si>
    <t>GUIA CADENA TIEMPO A</t>
  </si>
  <si>
    <t>GUIA CADENA TIEMPO B</t>
  </si>
  <si>
    <t>CADENA TIEMPO</t>
  </si>
  <si>
    <t>BOMBA ACEITE</t>
  </si>
  <si>
    <t>TORNILLO POLEA FIJAS</t>
  </si>
  <si>
    <t>BLOQUE MOTOR</t>
  </si>
  <si>
    <t>MANGUERA VACIO</t>
  </si>
  <si>
    <t>SOPORTE MOTOR DERECHO</t>
  </si>
  <si>
    <t>SOPORTE MOTOR IZQUIERDO</t>
  </si>
  <si>
    <t>VALVULA CONTROL INYECCION ESCAPE</t>
  </si>
  <si>
    <t>CUERPO ADMISION</t>
  </si>
  <si>
    <t>RIEL INYECTORES COMPLETO</t>
  </si>
  <si>
    <t>SENSOR TEMPERATURA</t>
  </si>
  <si>
    <t>SENSOR KNOCK</t>
  </si>
  <si>
    <t>TAPON DRENAJE AGUA</t>
  </si>
  <si>
    <t>TORNILLOS VOLANTE MOTOR</t>
  </si>
  <si>
    <t>FLANCHE MOTOR</t>
  </si>
  <si>
    <t>TORNILLO GUIA TIEMPO</t>
  </si>
  <si>
    <t>PASADOR PISTON</t>
  </si>
  <si>
    <t>CUPLILLA PASADOR PISTON</t>
  </si>
  <si>
    <t>VALVULA PRESION ACEITE</t>
  </si>
  <si>
    <t>O RING BASE FILTRO ACEITE</t>
  </si>
  <si>
    <t>BASE FILTRO ACEITE</t>
  </si>
  <si>
    <t>CONCHAS BIELA</t>
  </si>
  <si>
    <t>ESTOPERA TRASERA CIGUEÑAL</t>
  </si>
  <si>
    <t>ESTOPERA DELANTERA CIGUEÑAL</t>
  </si>
  <si>
    <t>COJINETE PRINCIPAL</t>
  </si>
  <si>
    <t>CONCHAS AXIALES</t>
  </si>
  <si>
    <t>BASE BATERIA</t>
  </si>
  <si>
    <t>SELLADOR ACEITE</t>
  </si>
  <si>
    <t>TORNILLO CAMARA</t>
  </si>
  <si>
    <t>TAPA LLENADO ACEITE MOTOR</t>
  </si>
  <si>
    <t>TORNILLO CIGUEÑAL</t>
  </si>
  <si>
    <t>GOMA ENTRADA VALVULA PCV</t>
  </si>
  <si>
    <t>VALVULA PCV</t>
  </si>
  <si>
    <t>TERMOSTATO</t>
  </si>
  <si>
    <t>CONJUNTO SOPORTE DELANTERO MOTOR, DERECHO</t>
  </si>
  <si>
    <t>SENSOR OXIGENO</t>
  </si>
  <si>
    <t>SENSOR PRESION ENTRADA</t>
  </si>
  <si>
    <t>VOLANTE MOTOR INERCIA</t>
  </si>
  <si>
    <t>MYZL 2TZ-1005030-L0250328</t>
  </si>
  <si>
    <t>TORNILLO LEVA ADMISION</t>
  </si>
  <si>
    <t>VALVULA SELENOIDE CANISTER</t>
  </si>
  <si>
    <t>SENSOR CIGUEÑAL</t>
  </si>
  <si>
    <t>BASE NEBLINERO DERECHO</t>
  </si>
  <si>
    <t>269102ZG0A+P115</t>
  </si>
  <si>
    <t>BASE NEBLINERO IZQUIERDO</t>
  </si>
  <si>
    <t>269152ZG0A+P115</t>
  </si>
  <si>
    <t>CAJA CAMBIO</t>
  </si>
  <si>
    <t>PARRILLA DELANTERA (NEGRA BRILLANTE)</t>
  </si>
  <si>
    <t>PARACHOQUE DELANTERO NEGRO</t>
  </si>
  <si>
    <t>JUEGO EMPACADURAS MOTOR</t>
  </si>
  <si>
    <t>CORREA COMPRESOR A/A</t>
  </si>
  <si>
    <t>CONJUNTO DE POLEA TENSOR</t>
  </si>
  <si>
    <t>MOD REGULADOR COMPRESOR A</t>
  </si>
  <si>
    <t>MANGUITO REG COMPRES A/A</t>
  </si>
  <si>
    <t>CONJUNTO DE DISP CONTROL CALENT</t>
  </si>
  <si>
    <t>ETIQUETA NO-REFRIGERANTE</t>
  </si>
  <si>
    <t>PIEZA SELLADO A/A</t>
  </si>
  <si>
    <t>8111818-01</t>
  </si>
  <si>
    <t>AIRE ACONDICIONADO</t>
  </si>
  <si>
    <t>1109100-SF01</t>
  </si>
  <si>
    <t>FILTRO DE GASOLINA</t>
  </si>
  <si>
    <t>1117140-F00-00</t>
  </si>
  <si>
    <t>G500 ASPIRADA - (1.5L), G500 TURBO - (1.5L), G560 - (1.8L), G580 - (1.8L)</t>
  </si>
  <si>
    <t>CONJUNTO DE BOMBA GASOLINA</t>
  </si>
  <si>
    <t>G560 - (1.8L), G560 - (1.5L), G580 - (1.5L)</t>
  </si>
  <si>
    <t>3707200-F00-00A</t>
  </si>
  <si>
    <t>FILTRO AIRE</t>
  </si>
  <si>
    <t>1109100-SF02</t>
  </si>
  <si>
    <t>SET FLAUTA + INYECTORES</t>
  </si>
  <si>
    <t>ESTRIBO IZQUIERDO INFERIOR</t>
  </si>
  <si>
    <t>5500610-SA01</t>
  </si>
  <si>
    <t>FARO CENTRAL TRASERO IX5 (CROMADO)</t>
  </si>
  <si>
    <t>4107020-SF02</t>
  </si>
  <si>
    <t>FARO CENTRAL TRASERO IX5 (CRO)</t>
  </si>
  <si>
    <t>4107010-SF13 / 4107020-SF02</t>
  </si>
  <si>
    <t>(IX5) FARO DELANTERO IZQUIERDO</t>
  </si>
  <si>
    <t>G580 - (1.8L)</t>
  </si>
  <si>
    <t>4121020-SF03</t>
  </si>
  <si>
    <t>(IX5) FARO PUERTA TRASERA IZQUIERDA</t>
  </si>
  <si>
    <t>4133110-SF01</t>
  </si>
  <si>
    <t>(IX5) STOP PARACHOQUE DERECHO</t>
  </si>
  <si>
    <t>4133210-SF01</t>
  </si>
  <si>
    <t>CONJUNTO DE FLAUTA GASOLINA</t>
  </si>
  <si>
    <t>1004200-F00-00</t>
  </si>
  <si>
    <t>JUNTA CAMARA ESCAPE</t>
  </si>
  <si>
    <t>1300027-F00-00</t>
  </si>
  <si>
    <t>COMPONENTE BIELA</t>
  </si>
  <si>
    <t>1004100-F11-00A</t>
  </si>
  <si>
    <t>PIEZAS BIELA</t>
  </si>
  <si>
    <t>1004100-E21-08</t>
  </si>
  <si>
    <t>1004003-F00-00</t>
  </si>
  <si>
    <t>CONJUNTO ENGRANAJE DIRECCION</t>
  </si>
  <si>
    <t>G600 - (1.5L), IX5 - (1.5L), G580 - (1.5L), G560 - (1.5L)</t>
  </si>
  <si>
    <t>BOBINA DE ENCENDIDO</t>
  </si>
  <si>
    <t>G500 ASPIRADA - (1.5L), G330 - (1.5L)</t>
  </si>
  <si>
    <t>REJILLA CENTRAL A/C IZQUIERDA</t>
  </si>
  <si>
    <t>REJILLA CENTRAL A/C DERECHA</t>
  </si>
  <si>
    <t>PLACA BIELA</t>
  </si>
  <si>
    <t>1004002-F00-00</t>
  </si>
  <si>
    <t>PARACHOQUE DELANTERO (+ PARRILLA)</t>
  </si>
  <si>
    <t>SOPORTE PARACHOQUE IZQUIERDO</t>
  </si>
  <si>
    <t>SOPORTE PARACHOQUE DERECHO</t>
  </si>
  <si>
    <t>PAR AMORTIGUADORES DELANTERO (DERECHO + IZQUIERDO)</t>
  </si>
  <si>
    <t>2904100+2904200-FK01</t>
  </si>
  <si>
    <t>COMP TAPA CULATA</t>
  </si>
  <si>
    <t>1002100-E35-01</t>
  </si>
  <si>
    <t>MEZETA IZQUIERDO</t>
  </si>
  <si>
    <t>MEZETA DERECHO</t>
  </si>
  <si>
    <t>BARRA ESTABILIZADORA</t>
  </si>
  <si>
    <t>BOCINAS</t>
  </si>
  <si>
    <t>LATERAL ROD</t>
  </si>
  <si>
    <t>BARRA ESTABILIZADORA TRASERA</t>
  </si>
  <si>
    <t>CAJETIN DIRECCION</t>
  </si>
  <si>
    <t>TCU</t>
  </si>
  <si>
    <t>PARTE TRASERA CONSOLA CENTRAL</t>
  </si>
  <si>
    <t>STOP TRASERO PARACHOQUE IZQUIERDO</t>
  </si>
  <si>
    <t>CAJA CVT PARA MOTOR</t>
  </si>
  <si>
    <t>G580 - (1.8L), IX5 - (1.5L), G500 ASPIRADA - (1.5L)</t>
  </si>
  <si>
    <t>PARACHOQUE DELANTERO (S/PARRILLA)</t>
  </si>
  <si>
    <t>PASTILLA DE FRENO DELANTERA SERIE GLORY</t>
  </si>
  <si>
    <t>G560 - (1.8L), G580 - (1.8L), G500 TURBO - (1.5L), IX5 - (1.5L)</t>
  </si>
  <si>
    <t>STOP SUPERIOR IZQUIERDO</t>
  </si>
  <si>
    <t>G580 - (1.5L), IX5 - (1.5L)</t>
  </si>
  <si>
    <t>CONJUNTO ROTULA+TERMINAL IZQUIERDO</t>
  </si>
  <si>
    <t>AMORTIGUADOR COMPLETO DELAN IZQUIERDO</t>
  </si>
  <si>
    <t>AMORTIGUADOR COMPLETO DELANTERO DERECHO</t>
  </si>
  <si>
    <t>FILTRO GASOLINA</t>
  </si>
  <si>
    <t>STOP INFERIOR IZQUIERDO</t>
  </si>
  <si>
    <t>TAPA COMBUSTIBLE</t>
  </si>
  <si>
    <t>C35 - (1.5L), C37 - (1.5L), G500 ASPIRADA - (1.5L)</t>
  </si>
  <si>
    <t>MOTOR LIMPIAPARABRISA</t>
  </si>
  <si>
    <t>CONJUNTO DE BRAZO LIMPIAPARABRISA DELANTERO</t>
  </si>
  <si>
    <t>DISCO FRENO</t>
  </si>
  <si>
    <t>PASTILLA FRENO</t>
  </si>
  <si>
    <t>3501500-CA01</t>
  </si>
  <si>
    <t>CILINDRO FRENO IZQUIERDO</t>
  </si>
  <si>
    <t>CILINDRO FRENO DERECHO</t>
  </si>
  <si>
    <t>HIDROVAC COMPLETO</t>
  </si>
  <si>
    <t>COMPENSADOR FRENO TRASERO</t>
  </si>
  <si>
    <t>CONJUNTO DE FRENO MANO</t>
  </si>
  <si>
    <t>3507100-EJ01</t>
  </si>
  <si>
    <t>GUAYA FRENO MANO (IZQUIERDO)</t>
  </si>
  <si>
    <t>3508100-CA03</t>
  </si>
  <si>
    <t>C35 - (1.5L), C32 - (1.5L)</t>
  </si>
  <si>
    <t>3508110-EK01</t>
  </si>
  <si>
    <t>3508120-EK01</t>
  </si>
  <si>
    <t>SENSOR VELOCIDAD TIPO PIN</t>
  </si>
  <si>
    <t>3820020-01</t>
  </si>
  <si>
    <t>C31 - (1.5L), C37 - (1.5L), K01S - (1.1L), K01S - (1.2L), K02S - (1.1L), K05 - (1.1L), K07 - (1.1L)</t>
  </si>
  <si>
    <t>ROTULA IZQUIERDO</t>
  </si>
  <si>
    <t>MUÑON PUNTA EJE IZQUIERDO</t>
  </si>
  <si>
    <t>MUÑON PUNTA EJE DERECHO</t>
  </si>
  <si>
    <t>GOMAS RADIADOR</t>
  </si>
  <si>
    <t>C31 - (1.5L), C37 - (1.5L)</t>
  </si>
  <si>
    <t>GRUPO TUBERIAS AGUA</t>
  </si>
  <si>
    <t>TERMOSTATO SERIE K Y C</t>
  </si>
  <si>
    <t>K01S - (1.1L), K01S - (1.2L), K02S - (1.1L), K05 - (1.1L), K07 - (1.1L)</t>
  </si>
  <si>
    <t>1307100E0200</t>
  </si>
  <si>
    <t>SENSOR TEMP AGUA</t>
  </si>
  <si>
    <t>ESTOPERA DELANTERA CIGÜEÑAL (36*50*6T)</t>
  </si>
  <si>
    <t>ESTOPERA TRASERA CIGÜEÑAL</t>
  </si>
  <si>
    <t>1000510E0100</t>
  </si>
  <si>
    <t>RING COLECTOR ACEITE</t>
  </si>
  <si>
    <t>1000531-E01-00</t>
  </si>
  <si>
    <t>TAPA ACEITE MOTOR</t>
  </si>
  <si>
    <t>1003280D1500</t>
  </si>
  <si>
    <t>C31 - (1.5L), C32 - (1.5L), C37 - (1.5L), D1 - (2.4L), D51 - (1.5L), D71 - (1.5L), D72 - (1.5L), G330 - (1.5L), G500 ASPIRADA - (1.5L), G500 TURBO - (1.5L), G560 - (1.8L), G580 - (1.8L), IX5 - (1.5L), K01S - (1.1L), K01S - (1.2L), K02S - (1.1L), K05 - (1.1L), K07 - (1.1L)</t>
  </si>
  <si>
    <t>VARILLA ACEITE</t>
  </si>
  <si>
    <t>1009050-E02-00</t>
  </si>
  <si>
    <t>1009100E0200A</t>
  </si>
  <si>
    <t>BOMBA ACEITE (MOTOR 1 5)</t>
  </si>
  <si>
    <t>1014002-E02-00</t>
  </si>
  <si>
    <t>VALVULA PVC</t>
  </si>
  <si>
    <t>TAPA CADENA TIEMPO</t>
  </si>
  <si>
    <t>G500 ASPIRADA - (1.5L), G330 - (1.5L), C31 - (1.5L), C32 - (1.5L), C37 - (1.5L)</t>
  </si>
  <si>
    <t>VALVULA OCV C C35,</t>
  </si>
  <si>
    <t>G330 - (1.5L), G500 ASPIRADA - (1.5L), C31 - (1.5L), C32 - (1.5L), C35 - (1.5L), C37 - (1.5L)</t>
  </si>
  <si>
    <t>ASIENTO VALVULA DE CONTROL OCV</t>
  </si>
  <si>
    <t>CORREA A/C</t>
  </si>
  <si>
    <t>1025003E0200</t>
  </si>
  <si>
    <t>POLEA LOCA</t>
  </si>
  <si>
    <t>GUAYA ACCELERACION</t>
  </si>
  <si>
    <t>1108110-EJ01</t>
  </si>
  <si>
    <t>CONJUNTO DE FILTRO AIRE COMPLETO</t>
  </si>
  <si>
    <t>C31 - (1.5L), C32 - (1.5L), G330 - (1.5L), G500 ASPIRADA - (1.5L)</t>
  </si>
  <si>
    <t>EMPACADURA TERMOSTATO</t>
  </si>
  <si>
    <t>1300026-E02-00</t>
  </si>
  <si>
    <t>FARO DELANTERO DERECHO (COPILOTO)</t>
  </si>
  <si>
    <t>C35 - (1.5L), G500 ASPIRADA - (1.5L)</t>
  </si>
  <si>
    <t>RETENTEN COLLARIN</t>
  </si>
  <si>
    <t>1706231-MR510A01</t>
  </si>
  <si>
    <t>RESORTE HORQUILA CROCHE</t>
  </si>
  <si>
    <t>CARDAN COMPLETO</t>
  </si>
  <si>
    <t>2201100-CA05</t>
  </si>
  <si>
    <t>GUARDAPOLVO DIFERENCIAL</t>
  </si>
  <si>
    <t>C31 - (1.5L), C37 - (1.5L), D51 - (1.5L)</t>
  </si>
  <si>
    <t>RIEL INYECTORES COMP</t>
  </si>
  <si>
    <t>SENSOR PISTONEO (MOTOR 1 5)</t>
  </si>
  <si>
    <t>G560 - (1.8L), G580 - (1.8L), C31 - (1.5L), C32 - (1.5L), C37 - (1.5L)</t>
  </si>
  <si>
    <t>SENSOR MAP</t>
  </si>
  <si>
    <t>3611100B1006</t>
  </si>
  <si>
    <t>C31 - (1.5L), C32 - (1.5L), C37 - (1.5L), G500 ASPIRADA - (1.5L), D51 - (1.5L)</t>
  </si>
  <si>
    <t>SENSOR DE LEVAS</t>
  </si>
  <si>
    <t>G330 - (1.5L), G500 ASPIRADA - (1.5L), C31 - (1.5L), C32 - (1.5L), C37 - (1.5L), D51 - (1.5L)</t>
  </si>
  <si>
    <t>SENSOR PRESION ACEITE</t>
  </si>
  <si>
    <t>3611600E0100C</t>
  </si>
  <si>
    <t>C37 - (1.5L), G330 - (1.5L), G500 ASPIRADA - (1.5L)</t>
  </si>
  <si>
    <t>G500 ASPIRADA - (1.5L), C37 - (1.5L)</t>
  </si>
  <si>
    <t>BUJIAS MOTOR 1 5L (LDK7RTC)</t>
  </si>
  <si>
    <t>G500 TURBO - (1.5L), C31 - (1.5L), C32 - (1.5L), C35 - (1.5L), C37 - (1.5L), D51 - (1.5L)</t>
  </si>
  <si>
    <t>FILTRO GASOLINA (C/ BASE)</t>
  </si>
  <si>
    <t>1012200B0612</t>
  </si>
  <si>
    <t>C31 - (1.5L), C32 - (1.5L)</t>
  </si>
  <si>
    <t>DEPOSITO LIGA FRENO</t>
  </si>
  <si>
    <t>K02S - (1.1L), K05 - (1.1L), K07 - (1.1L), K01S - (1.2L), C31 - (1.5L), C32 - (1.5L), D51 - (1.5L)</t>
  </si>
  <si>
    <t>EMPACADURA TAPA VALVULA</t>
  </si>
  <si>
    <t>ROTULA Y TERMINAL IZQUIERDO</t>
  </si>
  <si>
    <t>3003100-VA01</t>
  </si>
  <si>
    <t>C31 - (1.5L)</t>
  </si>
  <si>
    <t>ROTULA Y TERMINAL DERECHO</t>
  </si>
  <si>
    <t>3003200-VA01</t>
  </si>
  <si>
    <t>RODAMIENTO DELANTERO</t>
  </si>
  <si>
    <t>2403015-EK01</t>
  </si>
  <si>
    <t>2904100-CA02</t>
  </si>
  <si>
    <t>2904100-EK02-C</t>
  </si>
  <si>
    <t>MESETA IZQUIERDA</t>
  </si>
  <si>
    <t>MESETA DERECHA</t>
  </si>
  <si>
    <t>LAPIZ BARRA ESTABILIZADORA DELANTERA</t>
  </si>
  <si>
    <t>K02S - (1.1L), K07 - (1.1L), C35 - (1.5L), C37 - (1.5L)</t>
  </si>
  <si>
    <t>BARRA MESETA IZQUIERDA</t>
  </si>
  <si>
    <t>SOPORTE MESETA IZQUIERDA</t>
  </si>
  <si>
    <t>BARRA MESETA DERECHA</t>
  </si>
  <si>
    <t>SOPORTE MESETA DERECHA</t>
  </si>
  <si>
    <t>2909200-CA01</t>
  </si>
  <si>
    <t>AMORTIGUADOR TRASERO C31,C32</t>
  </si>
  <si>
    <t>2915100-VD01</t>
  </si>
  <si>
    <t>2915100CA01</t>
  </si>
  <si>
    <t>CONJUNTO DE SUSPENSION DELANTERO</t>
  </si>
  <si>
    <t>3001100-01</t>
  </si>
  <si>
    <t>MOZO DELANTERO</t>
  </si>
  <si>
    <t>3501600-EK01</t>
  </si>
  <si>
    <t>ESTOPERA (52*70*10 5)</t>
  </si>
  <si>
    <t>DISCO CROCHE</t>
  </si>
  <si>
    <t>PLATO PRESION</t>
  </si>
  <si>
    <t>1600200E0100</t>
  </si>
  <si>
    <t>GUAYA DE CAMBIO A</t>
  </si>
  <si>
    <t>GUAYA DE CAMBIO B</t>
  </si>
  <si>
    <t>8202200-CA01</t>
  </si>
  <si>
    <t>MANILLA EXTERIOR DELANTERA IZQUIERDA</t>
  </si>
  <si>
    <t>MANILLA EXTERIOR TRASERA IZQUIERDA</t>
  </si>
  <si>
    <t>COMPRESOR</t>
  </si>
  <si>
    <t>3745100D1800</t>
  </si>
  <si>
    <t>C35 - (1.5L), C37 - (1.5L)</t>
  </si>
  <si>
    <t>TENSOR HIDRAULICO</t>
  </si>
  <si>
    <t>1307100-E37-00</t>
  </si>
  <si>
    <t>S00125-1025004-E05-02</t>
  </si>
  <si>
    <t>G330 - (1.5L), G500 ASPIRADA - (1.5L), C35 - (1.5L), C37 - (1.5L)</t>
  </si>
  <si>
    <t>ASIENTO RESORTE VALVULA</t>
  </si>
  <si>
    <t>VALVULA DE ADMISION G330 C31 (DK15)</t>
  </si>
  <si>
    <t>C31 - (1.5L), G330 - (1.5L)</t>
  </si>
  <si>
    <t>VARIADOR LEVA</t>
  </si>
  <si>
    <t>1021700-E08-09</t>
  </si>
  <si>
    <t>PARRILLA DELANTERA (NEGRA) (S/LOGO)</t>
  </si>
  <si>
    <t>AXIALES CIGÜEÑAL (2 PCS/SET)</t>
  </si>
  <si>
    <t>1012100C300</t>
  </si>
  <si>
    <t>C37 - (1.5L), G500 ASPIRADA - (1.5L), C31 - (1.5L)</t>
  </si>
  <si>
    <t>CONJUNTO SENSOR RUEDA DELANTERO IZQUIERDO (ABS)</t>
  </si>
  <si>
    <t>CONJUNTO SENSOR RUEDA DELANTERO DERECHO ABS</t>
  </si>
  <si>
    <t>CONJUNTO MANDO (LUCES / LIMPIAPAR)</t>
  </si>
  <si>
    <t>NEBLINERO IZQUIERDO (PILOTO) (2 BOMB)</t>
  </si>
  <si>
    <t>NEBLINERO IZQUIERDO (PILOTO) (1 BOMB)</t>
  </si>
  <si>
    <t>NEBLINERO DERECHO (1 BOMB)</t>
  </si>
  <si>
    <t>RIEL PUERTA DERECHA</t>
  </si>
  <si>
    <t>GUANTERA (NEGRA)</t>
  </si>
  <si>
    <t>5305421-03-BK02</t>
  </si>
  <si>
    <t>REJILLA CENTRAL A/C</t>
  </si>
  <si>
    <t>5306310+5306320-CA01</t>
  </si>
  <si>
    <t>MANILLA INTERNA DELANTERA IZQUIERDA (MARRON)</t>
  </si>
  <si>
    <t>6105160-CA01-YE04</t>
  </si>
  <si>
    <t>MANILLA PUERTA DELANTERA DERECHO EXTERNA</t>
  </si>
  <si>
    <t>MANILLA INTERNA DELANTERA DERECHA (MARRON)</t>
  </si>
  <si>
    <t>6105260-CA01-YE04</t>
  </si>
  <si>
    <t>MANILLA PUERTA DESLIZABLE TRASERA DERECHO EXTERNA</t>
  </si>
  <si>
    <t>INTERCAMBIADOR DE CALOR (SERPENTIN)</t>
  </si>
  <si>
    <t>RDC27FA-1500600</t>
  </si>
  <si>
    <t>SENSOR PRES+TEMP ENTRADA AIRE (MAP)</t>
  </si>
  <si>
    <t>KIT DE TIEMPO (MOTOR 1 5)</t>
  </si>
  <si>
    <t>VIDRIO MALETERO IZQUIERDO</t>
  </si>
  <si>
    <t>VIDRIO MALETERO DERECHO</t>
  </si>
  <si>
    <t>VIDRIO PUERTA DELANTERA IZQUIERDA (PILOTO)</t>
  </si>
  <si>
    <t>6103011-FA01</t>
  </si>
  <si>
    <t>VIDRIO PUERTA DELANTERA DERECHA (COPILOTO)</t>
  </si>
  <si>
    <t>VIDRIO COMPUERTA TRASERA</t>
  </si>
  <si>
    <t>RETROVISOR INTERNO</t>
  </si>
  <si>
    <t>PAST FRENO DELANTERO (4 PCS/SET)</t>
  </si>
  <si>
    <t>KIT BANDA IZQUIERDA</t>
  </si>
  <si>
    <t>KIT BANDA DERECHA</t>
  </si>
  <si>
    <t>TERMINALES IZQUIERDO</t>
  </si>
  <si>
    <t>TERMINALES DERECHO</t>
  </si>
  <si>
    <t>3401100-FA02</t>
  </si>
  <si>
    <t>ATN FUSE</t>
  </si>
  <si>
    <t>E FUSE</t>
  </si>
  <si>
    <t>3722020-FA02</t>
  </si>
  <si>
    <t>3722020-FA03</t>
  </si>
  <si>
    <t>RELAY</t>
  </si>
  <si>
    <t>CONCHAS AXIALES CIGÜEÑAL</t>
  </si>
  <si>
    <t>OXIDADAS CONCHAS AXIALES DELANTERO CIGÜEÑAL</t>
  </si>
  <si>
    <t>0</t>
  </si>
  <si>
    <t>TORNILLO DOBLE ROSCA MULTIPLE ESCAPE</t>
  </si>
  <si>
    <t>TAPA DE ACEITE</t>
  </si>
  <si>
    <t>SET ANILLOS PISTON (MOTOR 1 5L)</t>
  </si>
  <si>
    <t>G330 - (1.5L), C31 - (1.5L), C32 - (1.5L), C35 - (1.5L), C37 - (1.5L), D51 - (1.5L)</t>
  </si>
  <si>
    <t>POLEA CADENA DE TIEMPO INFERIOR</t>
  </si>
  <si>
    <t>CADENA DE TIEMPO</t>
  </si>
  <si>
    <t>PATIN CADENA DE TIEMPO</t>
  </si>
  <si>
    <t>RIEL DE CADENA DE TIEMPO INFERIOR</t>
  </si>
  <si>
    <t>1021200E0100330S</t>
  </si>
  <si>
    <t>TENSOR HIDRAULICO CADENA TIEMPO</t>
  </si>
  <si>
    <t>1021300C0300</t>
  </si>
  <si>
    <t>G330 - (1.5L), G500 TURBO - (1.5L), C31 - (1.5L), C32 - (1.5L), C35 - (1.5L), C37 - (1.5L), D51 - (1.5L)</t>
  </si>
  <si>
    <t>ENGRANAGE DE LEVA CVVT</t>
  </si>
  <si>
    <t>VALVULA CONTROL CCVVT</t>
  </si>
  <si>
    <t>CORREA BOMBA DE AGUA ( G500 ASPIRADA )</t>
  </si>
  <si>
    <t>TAPA DE TANQUE DE GASOLINA</t>
  </si>
  <si>
    <t>MODULO GASOLINA</t>
  </si>
  <si>
    <t>SISTEMA COLECTOR DE AIRE</t>
  </si>
  <si>
    <t>MANGUERA INFERIOR</t>
  </si>
  <si>
    <t>MANGUERA SUPERIOR</t>
  </si>
  <si>
    <t>MODULO DE REFRIGERANTE</t>
  </si>
  <si>
    <t>TAPA DE TERMOSTATO</t>
  </si>
  <si>
    <t>1307100-E01-00</t>
  </si>
  <si>
    <t>G330 - (1.5L), C32 - (1.5L), C35 - (1.5L), C37 - (1.5L), D51 - (1.5L)</t>
  </si>
  <si>
    <t>CUERPO DE ACELERACION 3600200E0100B</t>
  </si>
  <si>
    <t>SENSOR DE GOLPETEO</t>
  </si>
  <si>
    <t>SENSOR DE TEMPERATURA DELANTERO AIRE</t>
  </si>
  <si>
    <t>VALVULA DE TEMPERATURA AGUA</t>
  </si>
  <si>
    <t>3611200B1100330S</t>
  </si>
  <si>
    <t>SENSOR DE LEVAS CMP 3611550C0300</t>
  </si>
  <si>
    <t>VALVULA DE PRESION DE ACEITE</t>
  </si>
  <si>
    <t>SENSOR CIGÜEÑAL CKP 3611700E0100</t>
  </si>
  <si>
    <t>SELENOIDE CANISTER</t>
  </si>
  <si>
    <t>3612001B0000330S</t>
  </si>
  <si>
    <t>BOBINAS 3705100E0100</t>
  </si>
  <si>
    <t>3708100E0100</t>
  </si>
  <si>
    <t>MANGUERA CALEFAC 1</t>
  </si>
  <si>
    <t>AMORTIGUADOR DELANTERO IZQUIERDO COMPLETOS</t>
  </si>
  <si>
    <t>2904100-FA01</t>
  </si>
  <si>
    <t>AMORTIGUADOR DELANTERO DERECHO COMPLETOS</t>
  </si>
  <si>
    <t>2904200-FA01</t>
  </si>
  <si>
    <t>2904400-FA01</t>
  </si>
  <si>
    <t>LAPICES DE BARRA ESTABILIZADORA IZQUIERDA</t>
  </si>
  <si>
    <t>LAPICES DE BARRA ESTABILIZADORA DERECHA</t>
  </si>
  <si>
    <t>ESPIRALES TRASERO</t>
  </si>
  <si>
    <t>K01S - (1.2L), K02S - (1.1L), K05 - (1.1L), K07 - (1.1L)</t>
  </si>
  <si>
    <t>1600200E0200</t>
  </si>
  <si>
    <t>COLLARIN O RADAMIENTO</t>
  </si>
  <si>
    <t>ESTOPERA PUNTA DE EJE</t>
  </si>
  <si>
    <t>POLEA</t>
  </si>
  <si>
    <t>BASE POLEA</t>
  </si>
  <si>
    <t>SILENCIADOR CON ACCESORIOS</t>
  </si>
  <si>
    <t>CAJA TRANSMISION CVT</t>
  </si>
  <si>
    <t>CAJA TRANSMISION 5MT</t>
  </si>
  <si>
    <t>CONJUNTO EJE MOTRIZ IZQUIERDO</t>
  </si>
  <si>
    <t>CONJUNTO EJE MOTRIZ DERECHO</t>
  </si>
  <si>
    <t>PANEL CABINA DELANTERO</t>
  </si>
  <si>
    <t>PANEL PROTECCION MOTOR</t>
  </si>
  <si>
    <t>MOLDURA CROM PARACHOQUE DELANTERO DERECHO</t>
  </si>
  <si>
    <t>ALTERNADOR (100A 14V)</t>
  </si>
  <si>
    <t>ALFOMBRILLAS</t>
  </si>
  <si>
    <t>FARO DELANTERO IZQUIERDO ANTI NIEBLA</t>
  </si>
  <si>
    <t>FARO DELANTERO DERECHO ANTI NIEBLA</t>
  </si>
  <si>
    <t>.4133110-FS01</t>
  </si>
  <si>
    <t>.4133120-FS01</t>
  </si>
  <si>
    <t>STOP INFERIOR TRASERO IZQUIERDO</t>
  </si>
  <si>
    <t>STOP INFERIOR DERECHO</t>
  </si>
  <si>
    <t>LUZ FRENO SUPERIOR</t>
  </si>
  <si>
    <t>COMPONENTE MOLDURA CUBIERTA DELANTERO</t>
  </si>
  <si>
    <t>MOLDURA TRIANGULAR EXTERNA RETROVISOR DERECHO (COPILOTO)</t>
  </si>
  <si>
    <t>CONJUNTO MOLDURA CEJA RUEDA DELANTERA IZQUIERDA</t>
  </si>
  <si>
    <t>GUIA VIDRIO PUERTA TRASERA IZQUIERDA</t>
  </si>
  <si>
    <t>PLATINA CENTRAL TAPA MALET</t>
  </si>
  <si>
    <t>GUARDAFANGO INTERNO TRASERO IZQUIERDO</t>
  </si>
  <si>
    <t>GUARDAPOLVO TRASERO IZQUIERDO</t>
  </si>
  <si>
    <t>CONJUNTO CUBIERTA LAMPARA MATRICULA TRASERA</t>
  </si>
  <si>
    <t>DEFLETOR RADIADOR IZQUIERDO</t>
  </si>
  <si>
    <t>DEFLETOR RADIADOR DERECHO</t>
  </si>
  <si>
    <t>TAPON COMPUERTA TRASERA</t>
  </si>
  <si>
    <t>TUERCA PLASTICA</t>
  </si>
  <si>
    <t>BISAGRA PUERTA DELANTERA IZQUIERDA</t>
  </si>
  <si>
    <t>CONJUNTO DE DECO VIDRIO PUERTA TRASERA IZQUIERDA</t>
  </si>
  <si>
    <t>CONJUNTO DE MANDOS A/A</t>
  </si>
  <si>
    <t>CARA E' VACA</t>
  </si>
  <si>
    <t>VISERA TAPASOL IZQUIERDO (C/ ESPEJO)</t>
  </si>
  <si>
    <t>SENSOR TRANSMISION CVT</t>
  </si>
  <si>
    <t>TURBO</t>
  </si>
  <si>
    <t>LOGO DE LETRAS GLORY</t>
  </si>
  <si>
    <t>EMBLEMA PLATEADO DFSK</t>
  </si>
  <si>
    <t>PARRILA DELANTERO</t>
  </si>
  <si>
    <t>G500 ASPIRADA - (1.5L)</t>
  </si>
  <si>
    <t>CONJUNTO TCU</t>
  </si>
  <si>
    <t>RIEL INYECCION</t>
  </si>
  <si>
    <t>CAÑA DIRECCION + MOTOR + ECU</t>
  </si>
  <si>
    <t>/ ROTULA + TERMINAL</t>
  </si>
  <si>
    <t>PARACHOQUE TRASERO S/COLOR</t>
  </si>
  <si>
    <t>SOPORTE MONTAJE PARACHOQUE DELANTERO</t>
  </si>
  <si>
    <t>2804011-FS01</t>
  </si>
  <si>
    <t>SWICHE DE ENCENDIDO CON LLAVES</t>
  </si>
  <si>
    <t>3704000-FQ04</t>
  </si>
  <si>
    <t>MANDO PRINCIPAL DE VIDRIOS ELECTRICOS</t>
  </si>
  <si>
    <t>MANDO INDIVIAL DE VIDRIOS ELECTRICOS</t>
  </si>
  <si>
    <t>CERRADURA TRASERA</t>
  </si>
  <si>
    <t>CONJUNTO DE INTERRUPTOR PEQUEÑO</t>
  </si>
  <si>
    <t>PALANCAS DE MANDO COMBINADAS</t>
  </si>
  <si>
    <t>3820010-FQ06</t>
  </si>
  <si>
    <t>TAPICERIA INFERIOR MALETERO DERECHO</t>
  </si>
  <si>
    <t>CALCOMANIA DE LA PUERTA PRINCIPAL I .</t>
  </si>
  <si>
    <t>ETIQUETA PARA FAROS</t>
  </si>
  <si>
    <t>5500040-FS01</t>
  </si>
  <si>
    <t>GUIA VIDRIO PUERTA DELANTERA IZQUIERDA</t>
  </si>
  <si>
    <t>5500070-FS02-BK06</t>
  </si>
  <si>
    <t>CONJUNTO DE GUARNECIDO VENTANA FRONTAL DERECHO</t>
  </si>
  <si>
    <t>CONJUNTO DE MOLDURAS CEJAS RUEDA DELANTERA IZQUIERDO</t>
  </si>
  <si>
    <t>GUARNECIDO PUERTAS Y VENTANAS TRASERAS</t>
  </si>
  <si>
    <t>GUIA VIDRIO PUERTA TRASERA DERECHA</t>
  </si>
  <si>
    <t>5500260-FS01</t>
  </si>
  <si>
    <t>DECORATIVO TRASERO PUERTA DELANTERA IZQUIERDA</t>
  </si>
  <si>
    <t>5500310-FS01-BK06</t>
  </si>
  <si>
    <t>DECORATIVO DELANTERO PUERTA TRASERA IZQUIERDA</t>
  </si>
  <si>
    <t>5500320-FS01-BK06</t>
  </si>
  <si>
    <t>DECORATIVO TRASERO PUERTA TRASERA IZQUIERDA</t>
  </si>
  <si>
    <t>5500330-FS01-BK06</t>
  </si>
  <si>
    <t>CEJA GUARDAFANGO TRASERA IZQUIERDA</t>
  </si>
  <si>
    <t>5500360-FS01</t>
  </si>
  <si>
    <t>DECORATIVO TRASERO PUERTA DELANTERA DERECHA</t>
  </si>
  <si>
    <t>5500410-FS01-BK06</t>
  </si>
  <si>
    <t>DECORATIVO DELANTERO PUERTA TRASERA DERECHA</t>
  </si>
  <si>
    <t>5500420-FS01-BK06</t>
  </si>
  <si>
    <t>DECORATIVO TRASERO PUERTA TRASERA DERECHA</t>
  </si>
  <si>
    <t>5500430-FS01-BK06</t>
  </si>
  <si>
    <t>CEJA GUARDAFANGO TRASERA DERECHA</t>
  </si>
  <si>
    <t>CUBIERTA FRONTAL GUARNECIDO INFERIOR</t>
  </si>
  <si>
    <t>CONJUNTO DE GUARNECIDO TAPA INFERIOR IZQUIERDO</t>
  </si>
  <si>
    <t>TAPON FRONTAL PARTE INFERIOR DERECHA</t>
  </si>
  <si>
    <t>CIRCUNFEREN LATERAL GUARNECIDO INFERIOR DERECHO</t>
  </si>
  <si>
    <t>GUARDAFANGO INTERNO DELANTERO BUJE DELANTERO</t>
  </si>
  <si>
    <t>GUARDAFANGO INTERNO TRASERO DERECHO</t>
  </si>
  <si>
    <t>CONJUNTO DE DE LA CUBIERTA LUZ PLACA MATRICULA TRASERA</t>
  </si>
  <si>
    <t>5506200-FS02</t>
  </si>
  <si>
    <t>PARRILA RAYAS</t>
  </si>
  <si>
    <t>MONTAJE DELANTERO ALERON</t>
  </si>
  <si>
    <t>CERRADURA LLAVE DELANTERO IZQUIERDO</t>
  </si>
  <si>
    <t>6105110-SF01</t>
  </si>
  <si>
    <t>MANILLA DELANTERA IZQUIERDA EXT</t>
  </si>
  <si>
    <t>MECANISMO DE PUERTA IZQUIERDA</t>
  </si>
  <si>
    <t>GOMA DE MANILLA IZQUIERDA</t>
  </si>
  <si>
    <t>MANILLA DELANTERA IZQUIERDA INT</t>
  </si>
  <si>
    <t>MANILLA DELANTERA DERECHA EXT</t>
  </si>
  <si>
    <t>6105252-FS01</t>
  </si>
  <si>
    <t>MECANISMO DE PUERTA DERECHA</t>
  </si>
  <si>
    <t>6105253-FS01</t>
  </si>
  <si>
    <t>GOMA DE MANILLA DERECHA</t>
  </si>
  <si>
    <t>MANILLA DELANTERA DERECHA INT</t>
  </si>
  <si>
    <t>CONJUNTO BISAGRA IZQPUERTA DELANTERA</t>
  </si>
  <si>
    <t>CONJUNTO BISAGRA DERECHA PUERTA DELANTERA</t>
  </si>
  <si>
    <t>6203312-FS01-LB01</t>
  </si>
  <si>
    <t>BISAGRA DE PUERTA TRASERA IZQUIERDA</t>
  </si>
  <si>
    <t>BISAGRA DE PUERTA TRASERA DERECHA</t>
  </si>
  <si>
    <t>PUERTA TRASERA</t>
  </si>
  <si>
    <t>6301100-FAS01D</t>
  </si>
  <si>
    <t>CONJUNTO DE MOLDURAS VIDRIO PUERTA TRASERA IZQUIERDA</t>
  </si>
  <si>
    <t>CONJUNTO DE MOLDURAS VIDRIO PUERTA TRASERA DERECHA</t>
  </si>
  <si>
    <t>VIDRIO COMPUERTA TRASERA (S/HUECO)</t>
  </si>
  <si>
    <t>BISAGRA DE PUERTA TRASERA</t>
  </si>
  <si>
    <t>6306100-SA01</t>
  </si>
  <si>
    <t>ANTENA DE TIBURON</t>
  </si>
  <si>
    <t>CONJUNTO DE ESPEJO INTERIOR</t>
  </si>
  <si>
    <t>RETROVISOR IZQUIERDO (PILOTO) (BLANCO)</t>
  </si>
  <si>
    <t>SELLO DELANTERO ESPEJO EXTERIOR IZQUIERDO</t>
  </si>
  <si>
    <t>SELLO DELANTERO ESPEJO EXTERIOR DERECHO</t>
  </si>
  <si>
    <t>RETROVISOR DERECHO (COPILOTO) (BLANCO)</t>
  </si>
  <si>
    <t>VISERA TAPASOL</t>
  </si>
  <si>
    <t>VISERA TAPASOL DERECHO (C/ ESPEJO)</t>
  </si>
  <si>
    <t>BISAGRA IZQUIERDA DE CAPOT</t>
  </si>
  <si>
    <t>GUAYA CAPOT</t>
  </si>
  <si>
    <t>CERRADURA CAPOT</t>
  </si>
  <si>
    <t>GUARDAFANGO IZQUIERDO COMPLETO</t>
  </si>
  <si>
    <t>GUARDAFANFO DERECHO COMPLETO</t>
  </si>
  <si>
    <t>TORNILLO DE RANURA CRUZADA AUTOROSCANTE</t>
  </si>
  <si>
    <t>TORNILLOS AUTORROSCANTES DE FREGADERO DE RANURA CRUZADA</t>
  </si>
  <si>
    <t>Q2744213</t>
  </si>
  <si>
    <t>TUERCA DE BRIDA HEXAGONAL</t>
  </si>
  <si>
    <t>DISCO DE FRENO TRASERO</t>
  </si>
  <si>
    <t>3502101-SA01</t>
  </si>
  <si>
    <t>MONTURA PARA CALIPER DE FRENO IZQUIERDO</t>
  </si>
  <si>
    <t>MONTURA DE CALIPER DE FRENO DERECHO</t>
  </si>
  <si>
    <t>TAPA POLVO DE DISCO DE FRENO IZQUIERDO</t>
  </si>
  <si>
    <t>TAPA POLVO DE DISCO DE FRENO DERECHO</t>
  </si>
  <si>
    <t>3503100-SD01</t>
  </si>
  <si>
    <t>CONJUNTO DE FRENO COMPLETO</t>
  </si>
  <si>
    <t>MANGUERAS FRENO TRASERO</t>
  </si>
  <si>
    <t>MANGUERAS DE CALIPER IZQUIERDO</t>
  </si>
  <si>
    <t>MANGUERAS DE CALIPER DERECHO</t>
  </si>
  <si>
    <t>PALANCA DE FRENO ESTACIONAMIENTO</t>
  </si>
  <si>
    <t>3507100-SA01-T003</t>
  </si>
  <si>
    <t>GUAYA DE FRENO ESTACIONAMIENTO IZQUIERDO</t>
  </si>
  <si>
    <t>GUAYA DE FRENO ESTACIONAMIENTO DERECHO</t>
  </si>
  <si>
    <t>3550120-FS01</t>
  </si>
  <si>
    <t>SENSOR DE VELOCIDAD DE LA RUEDA DELANTERA ABS</t>
  </si>
  <si>
    <t>SENSOR DE VELOCIDAD DE LA RUEDA TRASERA ABS</t>
  </si>
  <si>
    <t>CONCHAS AXIALES DELANTERO CIGÜEÑAL</t>
  </si>
  <si>
    <t>EMPACADURA DE TERMOSTATO</t>
  </si>
  <si>
    <t>EMPACADURA DE TAPA TRASERA DELANTERO CIGÜEÑAL</t>
  </si>
  <si>
    <t>EMPACADURA VALVULA CONTROL OCV 1000529E0100</t>
  </si>
  <si>
    <t>ORING COLECTOR DE ACEITE</t>
  </si>
  <si>
    <t>CONJUNTO DE MONTAJE DE ENERGIA</t>
  </si>
  <si>
    <t>ENSAMBLAJE DE MONTAJE DE ENERGIA</t>
  </si>
  <si>
    <t>TAPA TRASERA DELANTERO CIGÜEÑAL</t>
  </si>
  <si>
    <t>TAPA VALVULAS</t>
  </si>
  <si>
    <t>TAPA DE ACEITE DE MOTOR</t>
  </si>
  <si>
    <t>EMPACADURA DE CAMARAS</t>
  </si>
  <si>
    <t>G500 ASPIRADA - (1.5L), G500 TURBO - (1.5L)</t>
  </si>
  <si>
    <t>PISTONES</t>
  </si>
  <si>
    <t>1004001-E36-00</t>
  </si>
  <si>
    <t>CONCHA DE BIELAS</t>
  </si>
  <si>
    <t>1004014E0100500</t>
  </si>
  <si>
    <t>OXIDADAS CONCHA DE BIELAS</t>
  </si>
  <si>
    <t>BIELAS</t>
  </si>
  <si>
    <t>ANILLOS 2 PRESION</t>
  </si>
  <si>
    <t>ANILLOS 1 PRESION</t>
  </si>
  <si>
    <t>ANILLOS FORROS</t>
  </si>
  <si>
    <t>1004151E2108</t>
  </si>
  <si>
    <t>ANILLOS PARA ACEITE</t>
  </si>
  <si>
    <t>1004152E2108</t>
  </si>
  <si>
    <t>CONCHA DE CIGÜEÑAL SUPERIOR</t>
  </si>
  <si>
    <t>CONCHA DE CIGÜEÑAL INFERIOR</t>
  </si>
  <si>
    <t>ARBOL LEVA ADMISION (MOTOR 1 5)</t>
  </si>
  <si>
    <t>G330 - (1.5L), C31 - (1.5L), C32 - (1.5L), C37 - (1.5L), D51 - (1.5L)</t>
  </si>
  <si>
    <t>ARBOL LEVA ESCAPE (MOTOR 1 5)</t>
  </si>
  <si>
    <t>G330 - (1.5L), C31 - (1.5L), C32 - (1.5L), C35 - (1.5L), D51 - (1.5L)</t>
  </si>
  <si>
    <t>GOMAS DE VALVULAS</t>
  </si>
  <si>
    <t>1007020C0300</t>
  </si>
  <si>
    <t>VALVULAS DE ADMISION</t>
  </si>
  <si>
    <t>VALVULAS DE ESCAPE</t>
  </si>
  <si>
    <t>EMPACADURA MULTIPLE DE ESCAPE K01 1 2</t>
  </si>
  <si>
    <t>VARILLA DE MEDICION DE ACEITE</t>
  </si>
  <si>
    <t>COLECTOR DE ACEITE</t>
  </si>
  <si>
    <t>BOMBA DE ACEITE 1011100E0100</t>
  </si>
  <si>
    <t>1014040E2336</t>
  </si>
  <si>
    <t>PIÑON CIGÜEÑAL (MOTOR 1 5L)</t>
  </si>
  <si>
    <t>CADENA TIEMPO (MOTOR 1 5L)</t>
  </si>
  <si>
    <t>TENSOR HIDRAULICO CADENA DE TIEMPO 1021300H0000</t>
  </si>
  <si>
    <t>POLEA DELANTERO DAMPER</t>
  </si>
  <si>
    <t>MODULO COMBUSTIBLE G500 ASPIRADA</t>
  </si>
  <si>
    <t>CONJUNTO DE DE PEDAL DE ACELE ELEC</t>
  </si>
  <si>
    <t>CONJUNTO DE FILTRO AIRE (SIN TUBERIAS)</t>
  </si>
  <si>
    <t>MANGUERA SUPERIOR RADIADOR</t>
  </si>
  <si>
    <t>MANGUERA BOTELLA REFRIGERANTE</t>
  </si>
  <si>
    <t>MANGUERA DE RADIADOR</t>
  </si>
  <si>
    <t>CARCASA DE TERMOSTATO</t>
  </si>
  <si>
    <t>1308100-FS01</t>
  </si>
  <si>
    <t>G500 ASPIRADA - (1.5L), G500 TURBO - (1.5L), G580 - (1.8L)</t>
  </si>
  <si>
    <t>SENSOR DE TEMPERATURA DE AGUA</t>
  </si>
  <si>
    <t>SENSOR DETONACION</t>
  </si>
  <si>
    <t>3611600-H03-00</t>
  </si>
  <si>
    <t>BOBINA ENCENDIDO GLORY 500T</t>
  </si>
  <si>
    <t>3705100E3500</t>
  </si>
  <si>
    <t>G330 - (1.5L), G560 - (1.8L), G580 - (1.8L)</t>
  </si>
  <si>
    <t>ARANQUE</t>
  </si>
  <si>
    <t>ACELERADOR ELECTRONICO</t>
  </si>
  <si>
    <t>TUBERIA HVAC CON CONJUNTO DE ADAPTADOR</t>
  </si>
  <si>
    <t>SENSOR TEMPERATURA AIRE</t>
  </si>
  <si>
    <t>CONJUNTO DE VIGA TORSION TRASERO (EJE MUERTO)</t>
  </si>
  <si>
    <t>CUNA MOTOR</t>
  </si>
  <si>
    <t>AMORTIGUADOR DELANTERO IZQUIERDO G500 MONOTUBO</t>
  </si>
  <si>
    <t>2904100-FQ01</t>
  </si>
  <si>
    <t>AMORTIGUADOR DELANTERO DERECHO G500 MONOTUBO</t>
  </si>
  <si>
    <t>2904300-SA01</t>
  </si>
  <si>
    <t>2906140-SA01</t>
  </si>
  <si>
    <t>GOMA SUPERIOR DE RESORTE HELICOIDAL TRASERO</t>
  </si>
  <si>
    <t>2912102-SA01</t>
  </si>
  <si>
    <t>GOMA INFERIOR DE RESORTE HELICOIDAL TRASERO</t>
  </si>
  <si>
    <t>2912103-SA01</t>
  </si>
  <si>
    <t>AMORTIGUADOR TRASERO G500 MONOTUBO</t>
  </si>
  <si>
    <t>2915100-FQ01</t>
  </si>
  <si>
    <t>MOZOS TRASEROS</t>
  </si>
  <si>
    <t>VOLANTE DELANTERO MOTOR O CREMALLERA</t>
  </si>
  <si>
    <t>GUARDAPOLVO PALANCA</t>
  </si>
  <si>
    <t>CONJUNTO DELANTERO MECANISMO DE CONTROL DE CAMBIOS</t>
  </si>
  <si>
    <t>1703100-FQ10</t>
  </si>
  <si>
    <t>GUAYA DE CAMBIO</t>
  </si>
  <si>
    <t>POMO CON FORRO DE PALANCA</t>
  </si>
  <si>
    <t>TRIPOIDE IZQUIERDO</t>
  </si>
  <si>
    <t>TRIPOIDE DERECHO/IZQUIERDO</t>
  </si>
  <si>
    <t>SENSOR DE REVERSA (SIN CAMARA) DCLDGLORY500W</t>
  </si>
  <si>
    <t>PANTALLA TACTIL MP5</t>
  </si>
  <si>
    <t>SENSOR ABS (ABS ASEMMBLY)</t>
  </si>
  <si>
    <t>REPRODUCTOR MP5</t>
  </si>
  <si>
    <t>PANEL PROT MOTOR</t>
  </si>
  <si>
    <t>8100108-SA01-A</t>
  </si>
  <si>
    <t>G560 - (1.8L), G580 - (1.8L), G500 TURBO - (1.5L)</t>
  </si>
  <si>
    <t>BANDEJA BAUL</t>
  </si>
  <si>
    <t>8218060-FS01</t>
  </si>
  <si>
    <t>CUBIERTA PARACHOQUE SUPERIOR</t>
  </si>
  <si>
    <t>PLASTICO CUBRE MOTOR IZQUIERDO</t>
  </si>
  <si>
    <t>PLASTICO CUBRE MOTOR DERECHO</t>
  </si>
  <si>
    <t>DEFLECTOR DELANTERO RADIADOR (L)</t>
  </si>
  <si>
    <t>DEFLECTOR DELANTERO RADIADOR DERECHO</t>
  </si>
  <si>
    <t>WATER TANK MOUNTING</t>
  </si>
  <si>
    <t>PASTILLAS TRASERAS</t>
  </si>
  <si>
    <t>CONTROL A/A</t>
  </si>
  <si>
    <t>RESERVORIO LIMPIAPARABRISA</t>
  </si>
  <si>
    <t>5207100-FQ01</t>
  </si>
  <si>
    <t>BOMBA GASOLINA ASSY</t>
  </si>
  <si>
    <t>PILA GASOLINA</t>
  </si>
  <si>
    <t>WLB502S</t>
  </si>
  <si>
    <t>SET LLAVES LLANAS</t>
  </si>
  <si>
    <t>CEPILLO LIMPIAPARABRISAS IZQUIERDO</t>
  </si>
  <si>
    <t>CEPILLO LIMPIAPARABRISAS DERECHO</t>
  </si>
  <si>
    <t>FILTRO ACEITE CAJA</t>
  </si>
  <si>
    <t>RING 23 6X2 65G</t>
  </si>
  <si>
    <t>1700100E2105</t>
  </si>
  <si>
    <t>CUERPO FRENO DELANTERO IZQUIERDO (S/PAST)</t>
  </si>
  <si>
    <t>CUERPO FRENO DELANTERO DERECHO (S/PAST)</t>
  </si>
  <si>
    <t>SET PAST FRENO DELANTERO</t>
  </si>
  <si>
    <t>HY2421-E200120</t>
  </si>
  <si>
    <t>ESTRIBO PLAST IZQUIERDO</t>
  </si>
  <si>
    <t>5500610-FS01-B010L</t>
  </si>
  <si>
    <t>VIGA ABSORVE IMPACTO DELANTERA</t>
  </si>
  <si>
    <t>CAUCHO 215/60 R17 + RIN 17'</t>
  </si>
  <si>
    <t>S/N</t>
  </si>
  <si>
    <t>TAPA MALETERO</t>
  </si>
  <si>
    <t>CAUCHO 205/65 R16 + RIN 16'</t>
  </si>
  <si>
    <t>CONCHA DE BIELA</t>
  </si>
  <si>
    <t>PISTONES + ANILLOS</t>
  </si>
  <si>
    <t>MOTOR SFG15A</t>
  </si>
  <si>
    <t>CAJA PARA MOTOR SFG15A</t>
  </si>
  <si>
    <t>CONJUNTO SELLO ACEITE DELANTERO DELANTERO CIGÜEÑAL</t>
  </si>
  <si>
    <t>CONJUNTO RIEL TENSOR CADENA DISTRIBUCION</t>
  </si>
  <si>
    <t>PATIN CADENA TIEMPO</t>
  </si>
  <si>
    <t>VARIADOR VVT</t>
  </si>
  <si>
    <t>CONJUNTO CONVERTIDOR CATALITICO TRES VIAS</t>
  </si>
  <si>
    <t>POMO PALANCA CAMBIO</t>
  </si>
  <si>
    <t>VIGA FRONTAL IMPACTO FRONTAL</t>
  </si>
  <si>
    <t>SWICHT ENCENDIDO A/C</t>
  </si>
  <si>
    <t>EVAPORADOR SERIE K Y C</t>
  </si>
  <si>
    <t>PARACHOQUE DELANTERO (DESCUBIERTO)</t>
  </si>
  <si>
    <t>SISTEMA ENCENDIDO + LLAVES Y CERRADURAS</t>
  </si>
  <si>
    <t>SISTEMA DE ENCENDIDO CON LLAVES/TAPA GASOLINA</t>
  </si>
  <si>
    <t>3704000-CQ01</t>
  </si>
  <si>
    <t>LLAVES</t>
  </si>
  <si>
    <t>RELAY FLASHER</t>
  </si>
  <si>
    <t>PALANCAS MANDO (LUZ / LIMPIAPAR)</t>
  </si>
  <si>
    <t>3774010-EJ02</t>
  </si>
  <si>
    <t>KIT DE HERRAMIENTAS VEHICULO</t>
  </si>
  <si>
    <t>SWICHT LUCES PILOT DELANTERAS</t>
  </si>
  <si>
    <t>4133010-EK01</t>
  </si>
  <si>
    <t>4133020-EK01</t>
  </si>
  <si>
    <t>PARABRISAS</t>
  </si>
  <si>
    <t>VIDRO FIJO 3RA FILA IZQUIERDO</t>
  </si>
  <si>
    <t>VIDRO FIJO 3RA FILA DERECHO</t>
  </si>
  <si>
    <t>5403012-KH01</t>
  </si>
  <si>
    <t>VIDRIO MOVIL 3RA FILA IZQUIERDO</t>
  </si>
  <si>
    <t>VIDRIO MOVIL 3RA FILA DERECHO</t>
  </si>
  <si>
    <t>6103011-01</t>
  </si>
  <si>
    <t>6105150-CM02</t>
  </si>
  <si>
    <t>6105250-CM02</t>
  </si>
  <si>
    <t>6105410-01-BK02</t>
  </si>
  <si>
    <t>PUERTA CORREDERA TRASERA DELANTERA SIN VIDRIO</t>
  </si>
  <si>
    <t>PUERTA CORREDERA TRASERA IZQUIERDA SIN VIDRIO</t>
  </si>
  <si>
    <t>VIDRIO PUERTA CORREDIZA IZQUIERDA</t>
  </si>
  <si>
    <t>VIDRIO PUERTA CORREDIZA DERECHA</t>
  </si>
  <si>
    <t>MANILLA PUERTA CORRED IZQUIERDA EXT</t>
  </si>
  <si>
    <t>6205150-CM02</t>
  </si>
  <si>
    <t>MANILLA PUERTA CORRED DERECHA EXT</t>
  </si>
  <si>
    <t>MANILLA PUERTA CORRED DERECHA INT</t>
  </si>
  <si>
    <t>MANILLA PUERTA POSTERIOR EXT</t>
  </si>
  <si>
    <t>ANTENA</t>
  </si>
  <si>
    <t>RETROVISOR CENTRAL VIDRIO</t>
  </si>
  <si>
    <t>RETROVISOR IZQUIERDO (PILOTO)</t>
  </si>
  <si>
    <t>RETROVISOR DERECHO (COPILOTO)</t>
  </si>
  <si>
    <t>TAPASOL IZQUIERDO</t>
  </si>
  <si>
    <t>TAPASOL DERECHO</t>
  </si>
  <si>
    <t>8408100-CM01D</t>
  </si>
  <si>
    <t>DISCOS</t>
  </si>
  <si>
    <t>TAMBOR TRASERO SERIE K 1 1</t>
  </si>
  <si>
    <t>MODULO DE FRENO TRASERO IZQUIERDO</t>
  </si>
  <si>
    <t>3502100-21</t>
  </si>
  <si>
    <t>MODULO DE FRENO TRASERO DERECHO</t>
  </si>
  <si>
    <t>BANDA FRENO</t>
  </si>
  <si>
    <t>3502500-01</t>
  </si>
  <si>
    <t>CONJUNTO DE PEDALERA CROCHE FRENO CON SENSOR FRENO</t>
  </si>
  <si>
    <t>HIDROVAC COMPLETO CON BOMBA</t>
  </si>
  <si>
    <t>DEPOSITO DE LIGA FRENO</t>
  </si>
  <si>
    <t>MANGUERAS DE CALIPER DERECHO Y IZQUIERDO</t>
  </si>
  <si>
    <t>MANGUERAS DE FRENO TRASERO</t>
  </si>
  <si>
    <t>REGULADOR DE FRENO DIFERENCIAL</t>
  </si>
  <si>
    <t>GUAYA FRENO MANO CENTRAL</t>
  </si>
  <si>
    <t>TERMINALES EXTERNOS IZQUIERDO</t>
  </si>
  <si>
    <t>TERMINALES EXTERNOS DERECHO</t>
  </si>
  <si>
    <t>MOTOR 3/4 1 1L (C/ FILTRO)</t>
  </si>
  <si>
    <t>SEPARADOR DAMPER</t>
  </si>
  <si>
    <t>MANGUERA DE RETORNO</t>
  </si>
  <si>
    <t>1000047A0000K01S</t>
  </si>
  <si>
    <t>1 1 PIÑON DE CORREA DE TIEMPO INFERIOR</t>
  </si>
  <si>
    <t>POLEA DE DAMPER</t>
  </si>
  <si>
    <t>EMPACADURA BOMBA ACEITE (MOTOR 1 1)</t>
  </si>
  <si>
    <t>EMPACADURA BOMBA DE AGUA</t>
  </si>
  <si>
    <t>CORREA DE TIEMPO SERIE K 1 1</t>
  </si>
  <si>
    <t>SELLOS TORNILLOS TAPA VALVULA</t>
  </si>
  <si>
    <t>EMPACADURA ADM (MOTOR 1 1)</t>
  </si>
  <si>
    <t>EMPAQUE CARTER</t>
  </si>
  <si>
    <t>RESORTE DE TIEMPO</t>
  </si>
  <si>
    <t>CORREA BOMBA DE AGUA</t>
  </si>
  <si>
    <t>PIÑON DE ARBOL DE LEVA</t>
  </si>
  <si>
    <t>BASE MOTOR TRASERA</t>
  </si>
  <si>
    <t>CONCHA CIGÜEÑAL (MOTOR DK15)</t>
  </si>
  <si>
    <t>1002021A0000</t>
  </si>
  <si>
    <t>ORING DE COLECTOR DE ACEITE</t>
  </si>
  <si>
    <t>1002031A0000</t>
  </si>
  <si>
    <t>SELLO TRASERO DELANTERO CIGÜEÑAL</t>
  </si>
  <si>
    <t>BLOQUE</t>
  </si>
  <si>
    <t>CAMARA (MOTOR 1 1)</t>
  </si>
  <si>
    <t>1003100A2600</t>
  </si>
  <si>
    <t>CONCHA DE LEVAS</t>
  </si>
  <si>
    <t>1004014A0000</t>
  </si>
  <si>
    <t>1004021A2600</t>
  </si>
  <si>
    <t>SET PISTONE (SET)</t>
  </si>
  <si>
    <t>1004028A2600</t>
  </si>
  <si>
    <t>SET ANILLOS PISTON (MOTOR 1 2L)</t>
  </si>
  <si>
    <t>ARBOL LEVAS</t>
  </si>
  <si>
    <t>1007033A2600</t>
  </si>
  <si>
    <t>1008100A1100</t>
  </si>
  <si>
    <t>ORING DELANTERO TAPON DE CARTER MOTOR</t>
  </si>
  <si>
    <t>1009104C0300</t>
  </si>
  <si>
    <t>BOMBA DE ACEITE</t>
  </si>
  <si>
    <t>ESTOPERA DE LEVA Y DLT CIGÜEÑAL</t>
  </si>
  <si>
    <t>TENSOR DE CORREA DE TIEMPO</t>
  </si>
  <si>
    <t>TAPA CORREA DISTRIBUCION SUPERIOR</t>
  </si>
  <si>
    <t>TAPA CORREA DIST INTERNA</t>
  </si>
  <si>
    <t>1021601A0200</t>
  </si>
  <si>
    <t>TAPA DE TANQUE DE GASOLINA 1101670-01</t>
  </si>
  <si>
    <t>GUAYA DE ACELERACION</t>
  </si>
  <si>
    <t>1109120-02</t>
  </si>
  <si>
    <t>MANGUERA INFERIOR RADIADOR</t>
  </si>
  <si>
    <t>TAPA DE RADIADOR 1304100-02</t>
  </si>
  <si>
    <t>1307010A0000</t>
  </si>
  <si>
    <t>ELECTROVENTILADOR COMPLETO</t>
  </si>
  <si>
    <t>FLAUTA DE INYECTORES 1 1</t>
  </si>
  <si>
    <t>3610500B0200K01</t>
  </si>
  <si>
    <t>3612001B0000K01S</t>
  </si>
  <si>
    <t>BOBINAS DE ENCENDIDO</t>
  </si>
  <si>
    <t>KIT CABLE DE BUJIA SERIE K 1 1</t>
  </si>
  <si>
    <t>SENSOR DE OXIGENO SUPERIOR</t>
  </si>
  <si>
    <t>BARRA ESTABILIZADORA SERI K/SERIC</t>
  </si>
  <si>
    <t>2906100-01</t>
  </si>
  <si>
    <t>GOMAS DE BARRA ESTABILIZADORA SERIE K / C</t>
  </si>
  <si>
    <t>CABLE PARA BUJIAS (MOTOR 1 2)</t>
  </si>
  <si>
    <t>3707100C0300</t>
  </si>
  <si>
    <t>BARRA MESETA DELANTERA IZQUIERDA</t>
  </si>
  <si>
    <t>BARRA MESETA DELANTERA DERECHA</t>
  </si>
  <si>
    <t>JUEGO DE BALLESTAS TRASERO</t>
  </si>
  <si>
    <t>ABRAZADERA DE DIFERENCIAL "U"</t>
  </si>
  <si>
    <t>2912020-12</t>
  </si>
  <si>
    <t>GEMELOS DE BALLESTA TORNILLO</t>
  </si>
  <si>
    <t>BUJES DE GOMAS DE BALLESTA LARGOS</t>
  </si>
  <si>
    <t>BUJES DE BALLESTA CORTOS</t>
  </si>
  <si>
    <t>GEMELOS DE BALLESTA OJO</t>
  </si>
  <si>
    <t>TOPE DE BALLESTA TRASERA</t>
  </si>
  <si>
    <t>MOZOS DELANTEROS</t>
  </si>
  <si>
    <t>TUERCAS DE LA "U" DIFERENCIAL</t>
  </si>
  <si>
    <t>ROLINERA DE PUNTA DE EJE</t>
  </si>
  <si>
    <t>PLATO DE PRESION</t>
  </si>
  <si>
    <t>1600200A0300</t>
  </si>
  <si>
    <t>GUAYA DE CLUTCH</t>
  </si>
  <si>
    <t>1602110-02</t>
  </si>
  <si>
    <t>1700100A2629</t>
  </si>
  <si>
    <t>GUAYA DE CAMBIO A (ETIQ AMARILLA)</t>
  </si>
  <si>
    <t>1700300-KA04</t>
  </si>
  <si>
    <t>DIFERENCIAL TRASERO</t>
  </si>
  <si>
    <t>ANILLO COJINETE PUNTA EJE</t>
  </si>
  <si>
    <t>RETEN DE PUNTA DE EJE</t>
  </si>
  <si>
    <t>PUNTA DE EJE DERECHO y IZQUIERDO</t>
  </si>
  <si>
    <t>GRUPO DE TRANSMISION TRASERA</t>
  </si>
  <si>
    <t>2403200-02-A</t>
  </si>
  <si>
    <t>RODAMIENTO CREMALLERA CROCHE</t>
  </si>
  <si>
    <t>COMPRESOR + CORREA</t>
  </si>
  <si>
    <t>SENSOR DE REVERSA (SIN CAMARA) DCLDK0SW</t>
  </si>
  <si>
    <t>UNIDAD A/A</t>
  </si>
  <si>
    <t>PISO HAMMER NEGRO</t>
  </si>
  <si>
    <t>INYECTORES</t>
  </si>
  <si>
    <t>0280156171</t>
  </si>
  <si>
    <t>MANGUERA AGUA INFERIOR</t>
  </si>
  <si>
    <t>1000352-B09-00A</t>
  </si>
  <si>
    <t>1101600-VC02</t>
  </si>
  <si>
    <t>PILA GASOLINA DFSK SERIE C Y K</t>
  </si>
  <si>
    <t>1106100-KA01RYBX</t>
  </si>
  <si>
    <t>KIT HERRAMIENTAS</t>
  </si>
  <si>
    <t>KIT GOMA VALVULA (16PCS)</t>
  </si>
  <si>
    <t>1007020</t>
  </si>
  <si>
    <t>COMP LAT TRASERO DERECHO (1 7M)</t>
  </si>
  <si>
    <t>8502200-EL01</t>
  </si>
  <si>
    <t>COMP LAT TRASERO IZQUIERDO (1 7M)</t>
  </si>
  <si>
    <t>MANILLA COMP TRASERA</t>
  </si>
  <si>
    <t>8500040-KB01</t>
  </si>
  <si>
    <t>COLLARIN</t>
  </si>
  <si>
    <t>INYECTOR DE GASOLINA 1 3</t>
  </si>
  <si>
    <t>BUJIA MOTOR 1 2</t>
  </si>
  <si>
    <t>BASE MOTOR (GRANDE)</t>
  </si>
  <si>
    <t>BASE MOTOR (PEQUEÑA)</t>
  </si>
  <si>
    <t>1001200C0300</t>
  </si>
  <si>
    <t>BASE CAJA</t>
  </si>
  <si>
    <t>1001300C0300</t>
  </si>
  <si>
    <t>SEGURO VALVULA</t>
  </si>
  <si>
    <t>TAPA CADENA SERIE K 1 2</t>
  </si>
  <si>
    <t>C37 - (1.5L), G330 - (1.5L), G500 ASPIRADA - (1.5L), K01S - (1.1L)</t>
  </si>
  <si>
    <t>PIÑON ARBOL LEVAS</t>
  </si>
  <si>
    <t>1021003C0300</t>
  </si>
  <si>
    <t>K01S - (1.1L), K01S - (1.2L)</t>
  </si>
  <si>
    <t>PATIN TENSOR MOVIL DE TIEMPO</t>
  </si>
  <si>
    <t>1021101C0300</t>
  </si>
  <si>
    <t>C31 - (1.5L), C32 - (1.5L), C37 - (1.5L), C35 - (1.5L)</t>
  </si>
  <si>
    <t>RIEL GUIA CADENA DISTRIBUCION</t>
  </si>
  <si>
    <t>CADENA TIEMPO (MOTOR 1 2L)</t>
  </si>
  <si>
    <t>.2803010-CM02</t>
  </si>
  <si>
    <t>TERMINAL/ROTULA IZQUIERDO</t>
  </si>
  <si>
    <t>TERMINAL DERECHO</t>
  </si>
  <si>
    <t>RIN 14' ACERO</t>
  </si>
  <si>
    <t>NEUMATICO 165/70R14</t>
  </si>
  <si>
    <t>FLAUTA COMBUSTIBLE+INYEC 1 2</t>
  </si>
  <si>
    <t>C35 - (1.5L), C37 - (1.5L), K01S - (1.1L), K02S - (1.1L)</t>
  </si>
  <si>
    <t>KIT CABLE BUJIA SERIE K 1 2</t>
  </si>
  <si>
    <t>3773010-11, 3773010-12, 4133010-EK01, 4133010-EK02</t>
  </si>
  <si>
    <t>K01S - (1.1L), C31 - (1.5L), C32 - (1.5L), K01S - (1.2L)</t>
  </si>
  <si>
    <t>3773020-11, 3773020-12, 4133020-EK01, 4133020-EK02</t>
  </si>
  <si>
    <t>CONJUNTO DE CUBIERTA DELANTERO</t>
  </si>
  <si>
    <t>LATERAL CABINA DERECHO</t>
  </si>
  <si>
    <t>K01S - (1.1L), K02S - (1.1L)</t>
  </si>
  <si>
    <t>LATERAL CABINA IZQUIERDO</t>
  </si>
  <si>
    <t>VALVULA ELECTROMAGNETICA</t>
  </si>
  <si>
    <t>CAJA TRANSMISION DE MOTOR S06011-8</t>
  </si>
  <si>
    <t>MOTOR S06011-8</t>
  </si>
  <si>
    <t>S06011-8</t>
  </si>
  <si>
    <t>MOTOR COMPLETO SIN ACC</t>
  </si>
  <si>
    <t>RIEL + INYEC MOTOR 1 1</t>
  </si>
  <si>
    <t>230326114IY4650A</t>
  </si>
  <si>
    <t>PILA GASOLINA UNIVERSAL DFSK</t>
  </si>
  <si>
    <t>1106100-FQ02RYBX</t>
  </si>
  <si>
    <t>EMPACADURA CAMARA (MOTOR 1 1L)</t>
  </si>
  <si>
    <t>CAVA REFRIGERADA -18ºC</t>
  </si>
  <si>
    <t>LDCX-C31</t>
  </si>
  <si>
    <t>NEUMATICO 255/70 R16</t>
  </si>
  <si>
    <t>403122ZG0A+C407</t>
  </si>
  <si>
    <t>NEUMATICO 215/60 R17</t>
  </si>
  <si>
    <t>RIN 16'' (PLATEADO)</t>
  </si>
  <si>
    <t>RIN 17'' (GRIS PLOMO)</t>
  </si>
  <si>
    <t>PLATINA FARO DELANTERA DERECHA</t>
  </si>
  <si>
    <t>BUJIA LDK7RTC</t>
  </si>
  <si>
    <t>LDK7RTC</t>
  </si>
  <si>
    <t>ALTERNADOR PARA 1 2L</t>
  </si>
  <si>
    <t>CEPILLO PUERTA TRASERA IZQUIERDA</t>
  </si>
  <si>
    <t>C32 - (1.5L), C35 - (1.5L), C37 - (1.5L), G500 ASPIRADA - (1.5L), D51 - (1.5L)</t>
  </si>
  <si>
    <t>SENSOR VARIADOR LEVA</t>
  </si>
  <si>
    <t>FUSIBLE PLANO</t>
  </si>
  <si>
    <t>50 AMP.</t>
  </si>
  <si>
    <t>100 AMP.</t>
  </si>
  <si>
    <t>VALVOLINE (GL) PREMIUM PROT BLEND 20W50</t>
  </si>
  <si>
    <t>20W-50</t>
  </si>
  <si>
    <t>VALVOLINE (LT) VALVODIESEL E700 15W40 CI-4</t>
  </si>
  <si>
    <t>15W-40</t>
  </si>
  <si>
    <t>VALVOLINE (LT) ADVANCED 5W30 API SN</t>
  </si>
  <si>
    <t>5W-30</t>
  </si>
  <si>
    <t>PASTILLA DELANTERA (MARUSSI)</t>
  </si>
  <si>
    <t>VALVOLINE (LT) 4TECH SAE 20W50 EXTRA API SN</t>
  </si>
  <si>
    <t>MARUSSI SET BUJIAS G57C (4 PCS/SET) "MOTO"</t>
  </si>
  <si>
    <t>G57C/653</t>
  </si>
  <si>
    <t>FILTRO ACEITE MARUSSI</t>
  </si>
  <si>
    <t>MF-8 (940/25)</t>
  </si>
  <si>
    <t>VALVOLINE (GL) VALVODIESEL E700 15W40 CI-4</t>
  </si>
  <si>
    <t>VALVOLINE (LT) HP GEAR OIL 80W90 API GL-5</t>
  </si>
  <si>
    <t>VALVOLINE</t>
  </si>
  <si>
    <t>80W-90</t>
  </si>
  <si>
    <t>VALVOLINE (LT) CLASSIC SAE 20W50 ASI SP</t>
  </si>
  <si>
    <t>SET ALFOMBRAS DFSK SERIE K (2 PCS/SET)</t>
  </si>
  <si>
    <t>SET ALFOMBRAS DFSK G500 (5 PCS/SET)</t>
  </si>
  <si>
    <t>SET ALFOMBRAS DFSK D1 (4 PCS/SET)</t>
  </si>
  <si>
    <t>PASTILLA TRASERA GLORY 500 (MARUSSI)</t>
  </si>
  <si>
    <t>D2293</t>
  </si>
  <si>
    <t>G560 - (1.8L), G580 - (1.8L), EMZOOM - (1.5L)</t>
  </si>
  <si>
    <t>ELEVADOR OCTANAJE RACING</t>
  </si>
  <si>
    <t>VALVOLINE (LT) CLASSIC SAE 15W40 ASI SP</t>
  </si>
  <si>
    <t>MF-3593 (610/82)</t>
  </si>
  <si>
    <t>ACEITE MOBIL 5W30</t>
  </si>
  <si>
    <t>MOBIL</t>
  </si>
  <si>
    <t>VALVOLINE (LT) PREM PROT 15W40 ASI SP</t>
  </si>
  <si>
    <t>VALVOLINE (LT) PREM PROT 5W30 ASI SP</t>
  </si>
  <si>
    <t>FILTRO GASOLINA MARUSSI</t>
  </si>
  <si>
    <t>MG-619</t>
  </si>
  <si>
    <t>LIGA DE FRENO DOT3 (1 LITRO)</t>
  </si>
  <si>
    <t>ACEITE MULTI CVTF (LT)</t>
  </si>
  <si>
    <t>CVTF</t>
  </si>
  <si>
    <t>VALVOLINE (LT) PREM PROT SAE 20W50</t>
  </si>
  <si>
    <t>N/A</t>
  </si>
  <si>
    <t>VALVOLINE (LT) VALVODIESEL SAE 15W40</t>
  </si>
  <si>
    <t>BALLESTA DELANTERA</t>
  </si>
  <si>
    <t>165462ZG0B+A201 / 16546-5JG0B</t>
  </si>
  <si>
    <t>ESTOPERA DE BUJIA</t>
  </si>
  <si>
    <t>KIT DE AIRE ACONDICIONADO</t>
  </si>
  <si>
    <t>BASE DERECHO PARACHOQUE</t>
  </si>
  <si>
    <t>SET RIN 17 + CAUCHOS</t>
  </si>
  <si>
    <t>FARO ANTINEBLINA DERECHO</t>
  </si>
  <si>
    <t>FARO ANTINEBLINA IZQUIERDO</t>
  </si>
  <si>
    <t>TAPA PLASTICA PARAL DERECHO</t>
  </si>
  <si>
    <t>TAPA PLAS PARAL IZQUIERDO</t>
  </si>
  <si>
    <t>PLATINA PARACHOQUE DELANTERA CROMADA</t>
  </si>
  <si>
    <t>KIT DE CARRETERA GLORY (SIN EXTINTOR)</t>
  </si>
  <si>
    <t>G500 ASPIRADA - (1.5L), G330 - (1.5L), G500 TURBO - (1.5L), G560 - (1.8L), G580 - (1.8L), G600 - (1.5L), IX5 - (1.5L)</t>
  </si>
  <si>
    <t>G330 - (1.5L), K01S - (1.1L), K02S - (1.1L), K05 - (1.1L)</t>
  </si>
  <si>
    <t>BALANCIN</t>
  </si>
  <si>
    <t>2TZ-1007070</t>
  </si>
  <si>
    <t>TERMINAL DELANTERO IZQUIERDO K01-K02</t>
  </si>
  <si>
    <t>NEUMATICO GITI COMFORT 225/45/R18</t>
  </si>
  <si>
    <t>MANGUERAS ALTA Y BAJA A/A</t>
  </si>
  <si>
    <t>CONJUNTO MOTRIZ COMPLETO DERECHO + RIN + CALI</t>
  </si>
  <si>
    <t>BALLESTA TRASERA DERECHA + BUJES</t>
  </si>
  <si>
    <t>CONJUNTO DE MOTRIZ IZQUIERDO COMPLETO + MESETA IZQUIERDA</t>
  </si>
  <si>
    <t>PUENTE Y BASES DE MOTOR</t>
  </si>
  <si>
    <t>COMPUERTA TRASERA DERECHA</t>
  </si>
  <si>
    <t>CAJA EVAPORADORA A/A</t>
  </si>
  <si>
    <t>DUCTO DE AIRE</t>
  </si>
  <si>
    <t>INYECTOR DE COMBUSTIBLE GDI</t>
  </si>
  <si>
    <t>F01R00MA18</t>
  </si>
  <si>
    <t>ADITIVO LIQUI MOLY 8354 HIDRO PIÑON 300ML</t>
  </si>
  <si>
    <t>LIMPIADOR DE CARTER LIQUI MOLY 2427 500 ML</t>
  </si>
  <si>
    <t>MODULO DE RADIO</t>
  </si>
  <si>
    <t>7901301-FQ07</t>
  </si>
  <si>
    <t>ECU DELPHI MT62 1U ( GAC SMILODON SE )</t>
  </si>
  <si>
    <t>.28602093</t>
  </si>
  <si>
    <t>PISTONES CON ANILLOS</t>
  </si>
  <si>
    <t>TAPA CADENA CON BOMBA DE ACEITE</t>
  </si>
  <si>
    <t>RAMAL COMPLETO MOTOR 2TZD GAC</t>
  </si>
  <si>
    <t>SENSOR VSS ODOMETER DFSK</t>
  </si>
  <si>
    <t>LAPIZ BARRA ESTABILIZADORA</t>
  </si>
  <si>
    <t>3610046ARX0000</t>
  </si>
  <si>
    <t>ENVASE DE RADIADOR, MANGUERA Y TAPA</t>
  </si>
  <si>
    <t>EMPACADURA TURBO</t>
  </si>
  <si>
    <t>BASE PARA FILTRO ENFRIADOR</t>
  </si>
  <si>
    <t>OIL COOLER</t>
  </si>
  <si>
    <t>1712010-FQ02</t>
  </si>
  <si>
    <t>PFM-8414-1</t>
  </si>
  <si>
    <t>PASTILLAS DELANTERAS</t>
  </si>
  <si>
    <t>7228-D333</t>
  </si>
  <si>
    <t>CORREA AIRE ACONDICIONADO</t>
  </si>
  <si>
    <t>8111601-01 AV10X8X828</t>
  </si>
  <si>
    <t>HIDROCOLLARIN</t>
  </si>
  <si>
    <t>SPEAKER</t>
  </si>
  <si>
    <t>8525005BSV0000</t>
  </si>
  <si>
    <t>TOUCH CONTROL SCREEN</t>
  </si>
  <si>
    <t>8560010CRV0300</t>
  </si>
  <si>
    <t>CAC RADIADOR INTERCOOLER</t>
  </si>
  <si>
    <t>2330020DSV0000</t>
  </si>
  <si>
    <t>SVM ECU</t>
  </si>
  <si>
    <t>GS8 - (2.0L)</t>
  </si>
  <si>
    <t>CAÑA DIRECCION + PALANCAS</t>
  </si>
  <si>
    <t>CLUSTER 1 2</t>
  </si>
  <si>
    <t>VIGA IMPACTO FRONTAL PARACHOQUE</t>
  </si>
  <si>
    <t>FRONTAL FIBRA</t>
  </si>
  <si>
    <t>DEFLECTOR AIRE IZQUIERDO</t>
  </si>
  <si>
    <t>7145015CVR00M10</t>
  </si>
  <si>
    <t>SENSOR TPMS</t>
  </si>
  <si>
    <t>ARNES COMPLETO</t>
  </si>
  <si>
    <t>WL54145</t>
  </si>
  <si>
    <t>KIT DE TIEMPO 1 1</t>
  </si>
  <si>
    <t>CONJUNTO DE DIFERENCIAL COMPLETO</t>
  </si>
  <si>
    <t>CONJUNTO DE DIFERENCIAL COMPLETO DFSK</t>
  </si>
  <si>
    <t>CONJUNTO DE FARO IZQUIERDO + NEBLINERO</t>
  </si>
  <si>
    <t>INTERCOOLER (SERPENTIN)</t>
  </si>
  <si>
    <t>ALERON INFERIOR DERECHO EMZOOM Y RSTYLE</t>
  </si>
  <si>
    <t>RSTYLE</t>
  </si>
  <si>
    <t>C32 - (1.5L), EMZOOM - (1.5L), EMZOOM R STYLE - (1.5L)</t>
  </si>
  <si>
    <t>SISTEMA DE ALARMAS</t>
  </si>
  <si>
    <t>BOMBA DE CROCHE SUPERIOR</t>
  </si>
  <si>
    <t>FG1602020-330</t>
  </si>
  <si>
    <t>BUJIA NGK IRIDIUM</t>
  </si>
  <si>
    <t>ILKAR7B1</t>
  </si>
  <si>
    <t>G500 TURBO - (1.5L), G560 - (1.8L), G580 - (1.8L), G600 - (1.5L)</t>
  </si>
  <si>
    <t>BATERIA 48R DUNCAN 1400 EFB</t>
  </si>
  <si>
    <t>BATERIA 45R 750 DUNCAN SERIE K Y</t>
  </si>
  <si>
    <t>MICA INFERIOR PARACHOQUE IZQUIERDA</t>
  </si>
  <si>
    <t>MICA INFERIOR PARACHOQUE IZQUIERDA SMILODON SE GAC</t>
  </si>
  <si>
    <t>TAPA DE RADIADOR DE</t>
  </si>
  <si>
    <t>CAUCHO GITI GAC</t>
  </si>
  <si>
    <t>ALFOMBRAS PLASTICAS TIPO BANDEJA R-STYLE</t>
  </si>
  <si>
    <t>VIDRIO TRASERO DERECHO GAC</t>
  </si>
  <si>
    <t>DISCO EMBRAGUE TRUCK MATE</t>
  </si>
  <si>
    <t>COLLARIN DE EMBRAGUE FOTON</t>
  </si>
  <si>
    <t>BATERIA 43MR 900 NEW EARTH</t>
  </si>
  <si>
    <t>BATERIA 42MR 850 NEW EARTH</t>
  </si>
  <si>
    <t>VALVOLINE PREMIUM 5W30 SINTETICO</t>
  </si>
  <si>
    <t>FILTRO ACEITE GS3 ASKU</t>
  </si>
  <si>
    <t>GS3</t>
  </si>
  <si>
    <t>PLATO DE EMBRAGUE FOTON TRUCK MATE</t>
  </si>
  <si>
    <t>CAMBIO DE RODAMIENTO PUNTA DE EJE</t>
  </si>
  <si>
    <t>FILTRO DE ACEITE WL7570</t>
  </si>
  <si>
    <t>ACEITE MOTOR 15W/40 SEMI SINTEC</t>
  </si>
  <si>
    <t>FILTRO ACEITE LANCER/ACCENT 1 5</t>
  </si>
  <si>
    <t>FILTRO DE AIRE FOTON</t>
  </si>
  <si>
    <t>CRUCETA</t>
  </si>
  <si>
    <t>VALVOLINE (BL) ALL FLEET E700 15W40 BALDE</t>
  </si>
  <si>
    <t>SWITCHERA COMPLETA</t>
  </si>
  <si>
    <t>FILTRO DE ACEITE GS8 WIX</t>
  </si>
  <si>
    <t>W-7317</t>
  </si>
  <si>
    <t>EMZOOM - (1.5L), EMPOW - (1.5L), GS3 - (1.5L)</t>
  </si>
  <si>
    <t>48750-1E411</t>
  </si>
  <si>
    <t>CONMUTADOR DE ENCENDIDO</t>
  </si>
  <si>
    <t>ACEITE 15W40 SEMI S MOTUL</t>
  </si>
  <si>
    <t>MOTUL</t>
  </si>
  <si>
    <t>BRAZO OSCILANTE</t>
  </si>
  <si>
    <t>LIGA DE FRENO DOT 4 MITSUKI</t>
  </si>
  <si>
    <t>REFRIGERANTE ROJO 50/50 GALON 4 LITROS</t>
  </si>
  <si>
    <t>CAUCHOS MICHELIN 235/45/ZR 19 GAC</t>
  </si>
  <si>
    <t>EMPOW - (1.5L)</t>
  </si>
  <si>
    <t>ACEITE 80W90 VOLTEX</t>
  </si>
  <si>
    <t>VOLTEX</t>
  </si>
  <si>
    <t>SISTEMA DE ESCAPE</t>
  </si>
  <si>
    <t>ACEITE 15W40 SEMI SINTETICO 3 80 LITROS</t>
  </si>
  <si>
    <t>186-1012240</t>
  </si>
  <si>
    <t>ACEITE 15W40 SEMI SINTETICO</t>
  </si>
  <si>
    <t>CORREA DE TIEMPO</t>
  </si>
  <si>
    <t>K01S - (1.1L), K02S - (1.1L), K05 - (1.1L), K07 - (1.1L)</t>
  </si>
  <si>
    <t>INYECTORES K01 1 1 (PEQUEÑOS)</t>
  </si>
  <si>
    <t>MINI CATALIZADOR UNIVERSAL</t>
  </si>
  <si>
    <t>MCH-CO-422</t>
  </si>
  <si>
    <t>EMPACADURA DE ADMISION ZNA</t>
  </si>
  <si>
    <t>1106100-SA02</t>
  </si>
  <si>
    <t>MANGUERA DIRECCION</t>
  </si>
  <si>
    <t>INYECTOR FORD</t>
  </si>
  <si>
    <t>JUEGOS DE PASTILLAS DELANTERA Y TRASERA FORD</t>
  </si>
  <si>
    <t>RECTIFICACION DE DISCOS</t>
  </si>
  <si>
    <t>JUEGO DE MESETAS FORD EXPLORER</t>
  </si>
  <si>
    <t>ELITES DE LUCES LED</t>
  </si>
  <si>
    <t>CONTROL Y LLAVE DE VEHICULO</t>
  </si>
  <si>
    <t>TERMINAL IZQUIERDO</t>
  </si>
  <si>
    <t>KIT DE CLUSTH</t>
  </si>
  <si>
    <t>.1012100-C03-00</t>
  </si>
  <si>
    <t>CAMARA TRASERA</t>
  </si>
  <si>
    <t>3776060-FS01</t>
  </si>
  <si>
    <t>8111601-01</t>
  </si>
  <si>
    <t>PY21 SOCKET BOMBILLA FARO</t>
  </si>
  <si>
    <t>PA66-GF30 PY21W</t>
  </si>
  <si>
    <t>DESUSO</t>
  </si>
  <si>
    <t>BROCHES PLASTICOS</t>
  </si>
  <si>
    <t>ACEITE MULTI DCTF</t>
  </si>
  <si>
    <t>DCTF</t>
  </si>
  <si>
    <t>VIDRIO LATERAL IZQUIERDO</t>
  </si>
  <si>
    <t>CONJUNTO DE DIFERENCIAL TRASERO</t>
  </si>
  <si>
    <t>VICERA TAPA SOL CENTRAL</t>
  </si>
  <si>
    <t>AMORTIGUADOR DERECHO</t>
  </si>
  <si>
    <t>CONJUNTO TERMINAL DERECHO</t>
  </si>
  <si>
    <t>CONJUNTO TERMINAL IZQUIERDO</t>
  </si>
  <si>
    <t>CAUCHO RIN 17</t>
  </si>
  <si>
    <t>CONJUNTO DE BOMBA DE COMBUSTIBLE</t>
  </si>
  <si>
    <t>SENSOR A DE VELOCIDAD DE TURBINA</t>
  </si>
  <si>
    <t>MOLDURA PLAST DE ESTRIBO DERECHO + GRAPAS</t>
  </si>
  <si>
    <t>GUIA DE PARACHOQUE DERECHO</t>
  </si>
  <si>
    <t>GUIAS PARACHOQUE IZQUIERDO + DERECHO</t>
  </si>
  <si>
    <t>MOTOR ELEVA VIDRIOS DELANTERO IZQUIERDO</t>
  </si>
  <si>
    <t>TANQUE</t>
  </si>
  <si>
    <t>REJILLA DE VENTILACION IZQUIERDO</t>
  </si>
  <si>
    <t>MECANISMO ELECTRICO ELEVAVIDRIO DERECHO</t>
  </si>
  <si>
    <t>CERRADURA DE PUERTA TRASERA DERECHA</t>
  </si>
  <si>
    <t>PUERTA + BISAGRAS DELANTERA DERECHA</t>
  </si>
  <si>
    <t>MANILLA EXTERNA DE PUERTA TRASERA DERECHA</t>
  </si>
  <si>
    <t>MICA REFLECTORA INFERIOR IZQUIERDA</t>
  </si>
  <si>
    <t>KIT BUJES DE BALLESTAS</t>
  </si>
  <si>
    <t>CEPILLO DE VENTANA TRASERO IZQUIERDO (TPV STEER)</t>
  </si>
  <si>
    <t>CONJUNTO DE DE MOLDURA EXTERIOR DELANTERO PILAR DERECHO</t>
  </si>
  <si>
    <t>COMP DELANTERO MARCO PUERTA TRASERA IZQUIERDA</t>
  </si>
  <si>
    <t>BOBINA</t>
  </si>
  <si>
    <t>ROTULAS</t>
  </si>
  <si>
    <t>EMPACADURA DE CAMARA</t>
  </si>
  <si>
    <t>EVAPORADOR + TERMOSTATO + VALVULA</t>
  </si>
  <si>
    <t>EJE MUERTO TRASERO COMPLETO</t>
  </si>
  <si>
    <t>REFRIGERANTE 33% VALVOLINE (GL) ANTICONGELANT</t>
  </si>
  <si>
    <t>REFRIGERANTE DEX-COOL 50/50 VALVOLINE (GL) ZE</t>
  </si>
  <si>
    <t>REFRIGERANTE ZEREX ASIAN RED 50/50 VALVOLINE</t>
  </si>
  <si>
    <t>ESTRIBO IZQUIERDO</t>
  </si>
  <si>
    <t>KIT DE CROCHET</t>
  </si>
  <si>
    <t>GRAPAS AUTOMOTRIZ</t>
  </si>
  <si>
    <t>PAR ESTRUC AMORTIGUADORES DELANTEROS</t>
  </si>
  <si>
    <t>CERVOMOTOR ASISTIDO DE DIRECCION</t>
  </si>
  <si>
    <t>FILTRO ACEITE UNIVERSAL</t>
  </si>
  <si>
    <t>FILTRO ANTIPALEN</t>
  </si>
  <si>
    <t>FARO NEBLINA DERECHO</t>
  </si>
  <si>
    <t>MOLDURA LATERAL DE LA CUBIERTA DELANTERO DERECHO</t>
  </si>
  <si>
    <t>5006016-FS01</t>
  </si>
  <si>
    <t>MOLDURA LATERAL DE LA CUBIERTA DELANTERO IZQUIERDO</t>
  </si>
  <si>
    <t>5006015-FS01</t>
  </si>
  <si>
    <t>37001100-F00-04</t>
  </si>
  <si>
    <t>D71 - (1.5L), G500 TURBO - (1.5L)</t>
  </si>
  <si>
    <t>SWICHERA</t>
  </si>
  <si>
    <t>ABRAZADERA MANGUERA GLORY</t>
  </si>
  <si>
    <t>LAME VIDRIOS</t>
  </si>
  <si>
    <t>GUIA IZQUIERDO DE PARACHOQUE</t>
  </si>
  <si>
    <t>KIT ANILLO</t>
  </si>
  <si>
    <t>PARACHOQUE</t>
  </si>
  <si>
    <t>CONMUTADOR ENCENDIDO</t>
  </si>
  <si>
    <t>VALVOLINE (LT) VAL CVT</t>
  </si>
  <si>
    <t>ACEITE CAJA CVT</t>
  </si>
  <si>
    <t>BASE LAT DERECHO DE PARACHOQUE DELANTERO</t>
  </si>
  <si>
    <t>FF5327</t>
  </si>
  <si>
    <t>YUCHAI FILTRO ACEITE (GRUA)</t>
  </si>
  <si>
    <t>FILTRO ACEITE (GRUA)</t>
  </si>
  <si>
    <t>FILTRO DIESEL COMBUSTIBLE (GRUA) WEB</t>
  </si>
  <si>
    <t>WP-4102</t>
  </si>
  <si>
    <t>FILTRO DIESEL TRAMPA AGUA (GRUA) WEB</t>
  </si>
  <si>
    <t>WP-8043</t>
  </si>
  <si>
    <t>FILTRO AIRE (GRUA) WEB</t>
  </si>
  <si>
    <t>WCA-1727</t>
  </si>
  <si>
    <t>FRENO (GRUA)</t>
  </si>
  <si>
    <t>BALANCIN (PLAZA)</t>
  </si>
  <si>
    <t>BOMBIN DE FRENO TRASERO</t>
  </si>
  <si>
    <t>BATERIA MARUSSI PLUS 22M 900HCA 60AH</t>
  </si>
  <si>
    <t>BATERIA MARUSSI PLUS 45MR 700HCA 50AH</t>
  </si>
  <si>
    <t>BASE DE CARELLO</t>
  </si>
  <si>
    <t>MANILLA PUERTA TRASERA K01 REFRIGERADA</t>
  </si>
  <si>
    <t>SET BUJIAS</t>
  </si>
  <si>
    <t>KIT ANILLOS</t>
  </si>
  <si>
    <t>KIT PUNTA DE EJE TRASERO</t>
  </si>
  <si>
    <t>VIDRIO TRASERO LATERAL IZQUIERDO</t>
  </si>
  <si>
    <t>RIN 14" HIERRO</t>
  </si>
  <si>
    <t>TAPA DE RETRVISOR EXT DERECHO</t>
  </si>
  <si>
    <t>PARRILLA PARACHOQUE DELANTERA</t>
  </si>
  <si>
    <t>GUAYA DE CLUTCH (MOTOR 1 2)</t>
  </si>
  <si>
    <t>VALVULA CAUCHOS (GUSANILLO) UNIVERSAL</t>
  </si>
  <si>
    <t>BUCHE GUARDAFANGO TRASERO IZQUIERDO</t>
  </si>
  <si>
    <t>TAPA EMBELLECEDORA MARCO FRONT</t>
  </si>
  <si>
    <t>PURIFICADOR DE AIRE MOTOR</t>
  </si>
  <si>
    <t>BUCHE GUARDAFANG DELANTERO IZQUIERDO</t>
  </si>
  <si>
    <t>BUCHE GUARDAFANGO DELANTERO DERECHO</t>
  </si>
  <si>
    <t>SET TAQUETES (16 PCS/SET)</t>
  </si>
  <si>
    <t>INYECTOR (PLAZA DELPHI)</t>
  </si>
  <si>
    <t>28239887</t>
  </si>
  <si>
    <t>SENSOR POS CIGÜEÑAL</t>
  </si>
  <si>
    <t>G330 - (1.5L), C31 - (1.5L)</t>
  </si>
  <si>
    <t>BATERIA</t>
  </si>
  <si>
    <t>C37 - (1.5L), D1 - (2.4L)</t>
  </si>
  <si>
    <t>CAJA DE CAMBIO</t>
  </si>
  <si>
    <t>PASTILLA DE FRENO DELANTERO</t>
  </si>
  <si>
    <t>C32 - (1.5L), D1 - (2.4L)</t>
  </si>
  <si>
    <t>TUBO DE ESCAPE</t>
  </si>
  <si>
    <t>AMORTIGUADOR TRASERO DERECHO</t>
  </si>
  <si>
    <t>AMORTIGUADOR TRASERO IZQUIERDO</t>
  </si>
  <si>
    <t>MOTOR LIMPIAPARABRISAS</t>
  </si>
  <si>
    <t>DEPOSITO DE AGUA</t>
  </si>
  <si>
    <t>BISAGRA DERECHA</t>
  </si>
  <si>
    <t>6406100-01</t>
  </si>
  <si>
    <t>BISAGRA IZQUIERDA</t>
  </si>
  <si>
    <t>GUARDAFANGOS DERECHO</t>
  </si>
  <si>
    <t>RIN 16'</t>
  </si>
  <si>
    <t>CONJUNTO DE PLATINA DECORATIVA TRASERA</t>
  </si>
  <si>
    <t>PIEZA DECORATIVA</t>
  </si>
  <si>
    <t>PLANITA DECORATIVA</t>
  </si>
  <si>
    <t>BUCHE DERECHO DELANTERO</t>
  </si>
  <si>
    <t>MODULO CAÑA DIRECCION</t>
  </si>
  <si>
    <t>ESTRIBO TRASERO IZQUIERDO</t>
  </si>
  <si>
    <t>PEDAL DE ACELERACION</t>
  </si>
  <si>
    <t>CARELLO DERECHO</t>
  </si>
  <si>
    <t>CARELLO IZQUIERDO</t>
  </si>
  <si>
    <t>EXTENSION DERECHO DE PARACHOQUE DELANTERO</t>
  </si>
  <si>
    <t>GUIA DERECHO PARACHOQUE DELANTERO</t>
  </si>
  <si>
    <t>GUIA IZQUIERDO PARACHOQUE DELANTERO</t>
  </si>
  <si>
    <t>PARACHOQUE DELANTERO CENTRAL</t>
  </si>
  <si>
    <t>PARACHOQUE DELANTERO SUPERIOR</t>
  </si>
  <si>
    <t>PARRILLA INFERIOR PARACHOQUE DELANTERA</t>
  </si>
  <si>
    <t>REJILLA CARELLO IZQUIERDO</t>
  </si>
  <si>
    <t>SET BOMBILLOS</t>
  </si>
  <si>
    <t>TAPA CARELLO DELANTERO DERECHO</t>
  </si>
  <si>
    <t>TAPA CARELLO DELANTERO IZQUIERDO</t>
  </si>
  <si>
    <t>PLATINA CENTRAL PARACH TRASERA</t>
  </si>
  <si>
    <t>PLATINA CROMADA DERECHA</t>
  </si>
  <si>
    <t>PLATINA DERECHA PARACHOQUE TRASERA</t>
  </si>
  <si>
    <t>MICA REFLECTORA IZQUIERDA PARACHOQUE TRASERA</t>
  </si>
  <si>
    <t>PLATINA CROMADA PARACHOQUE</t>
  </si>
  <si>
    <t>2803041-FQ02</t>
  </si>
  <si>
    <t>GUIA DERECHO PARACHOQUE DELANTERA</t>
  </si>
  <si>
    <t>GUIA IZQUIERDO PARACHOQUE DELANTERA</t>
  </si>
  <si>
    <t>PARACHOQUE TRASERO COMPLETO + LUZ DE P</t>
  </si>
  <si>
    <t>BASE PARACHOQUE DELANTERO</t>
  </si>
  <si>
    <t>PLAT CENTRAL PARACH DELANTERO</t>
  </si>
  <si>
    <t>FARO IZQUIERDO DELANTERO</t>
  </si>
  <si>
    <t>SENSOR ABS DERECHO DELANTERO</t>
  </si>
  <si>
    <t>TAPAS GUSANILLO</t>
  </si>
  <si>
    <t>TAPAS RIN</t>
  </si>
  <si>
    <t>CUBIERTA DERECHA LIMPIAPARABRISAS</t>
  </si>
  <si>
    <t>CUBIERTA IZQUIERDA LIMPIAPARABRISAS</t>
  </si>
  <si>
    <t>RESISTENCIA ELECTROVENTILADOR</t>
  </si>
  <si>
    <t>D72</t>
  </si>
  <si>
    <t>BASE PARACHOQUE DELANTERA DERECHA</t>
  </si>
  <si>
    <t>PARRILLA INFERIOR DE PARACHOQUE</t>
  </si>
  <si>
    <t>REJILLA TORPEDO</t>
  </si>
  <si>
    <t>BASE DERECHA DE PARACHOQUE DELANTERO</t>
  </si>
  <si>
    <t>BASE IZQUIERDA DE PARACHOQUE DELANTERO</t>
  </si>
  <si>
    <t>CONDENSADOR A/C</t>
  </si>
  <si>
    <t>ELECTROVENTILADOR DE RADIADOR</t>
  </si>
  <si>
    <t>EMBLEMA DE PARRILLA</t>
  </si>
  <si>
    <t>TAPA REMOLQUE DE PARACHOQUE DELANTERO</t>
  </si>
  <si>
    <t>TAPA TUERCA BRAZO LIMPIA PARABRISAS</t>
  </si>
  <si>
    <t>WIPPERS LIMPIA PARABRISAS</t>
  </si>
  <si>
    <t>BORDE DE RUEDA DELANTERA DERECHA</t>
  </si>
  <si>
    <t>BORDE DE RUEDA DELANTERA IZQUIERDA</t>
  </si>
  <si>
    <t>PETO PROTECTOR PLAST CERRADURA CAPOT</t>
  </si>
  <si>
    <t>PLATINA CROMADA DERECHA PARACHOQUE DELANTERA</t>
  </si>
  <si>
    <t>PLATINA CROMADA IZQUIERDA PARACHOQUE DELANTERA</t>
  </si>
  <si>
    <t>PLATINA DE PARACHOQUE TRASERA COMPLETA</t>
  </si>
  <si>
    <t>PLATINA PARACHOQUE DELANTERO DERECHA</t>
  </si>
  <si>
    <t>PORTA PLACA DELANTERO</t>
  </si>
  <si>
    <t>STOP INFERIOR TRASERO DERECHO</t>
  </si>
  <si>
    <t>MARCO INFERIOR DE RADIADOR</t>
  </si>
  <si>
    <t>MOLDURA CENTRAL DE PARACHOQUE DELANTERO</t>
  </si>
  <si>
    <t>APOYA CABEZA TELA TRASERO IZQUIERDO</t>
  </si>
  <si>
    <t>CAUCHO 185/65R14</t>
  </si>
  <si>
    <t>FARO NEBLINA IZQUIERDO</t>
  </si>
  <si>
    <t>GOMA DE PUERTA DELANTERA DERECHA</t>
  </si>
  <si>
    <t>GOMA DE PUERTA DELANTERA IZQUIERDA</t>
  </si>
  <si>
    <t>PUERTA DERECHA COMPLETA</t>
  </si>
  <si>
    <t>PUERTA IZQUIERDA COMPLETA</t>
  </si>
  <si>
    <t>RIN DE REPUESTO</t>
  </si>
  <si>
    <t>TAPICERIA DE TECHO</t>
  </si>
  <si>
    <t>FARO ANTINEBLINA TRASERO IZQUIERDO</t>
  </si>
  <si>
    <t>BARRA CORT CON TERM</t>
  </si>
  <si>
    <t>3003117-HD01</t>
  </si>
  <si>
    <t>3701100-E01-00</t>
  </si>
  <si>
    <t>MUÑON IZQUIERDO</t>
  </si>
  <si>
    <t>MUÑON IZQUIERDO</t>
  </si>
  <si>
    <t>ROTULA DERECHA</t>
  </si>
  <si>
    <t>ROTULA IZQUIERDA</t>
  </si>
  <si>
    <t>PALANCA DE CAMBIO</t>
  </si>
  <si>
    <t>1205100-KA17-W</t>
  </si>
  <si>
    <t>G600 - (1.5L), G330 - (1.5L), G500 ASPIRADA - (1.5L), G500 TURBO - (1.5L), G560 - (1.8L), G580 - (1.8L)</t>
  </si>
  <si>
    <t>RIN 18" GAC</t>
  </si>
  <si>
    <t>TAPA MALETA</t>
  </si>
  <si>
    <t>CORREA DE COMPRESOR A/A</t>
  </si>
  <si>
    <t>VALVOLINE 15W40 GALON</t>
  </si>
  <si>
    <t>VALVOLINE 15W40 LT</t>
  </si>
  <si>
    <t>SET MANGUERAS</t>
  </si>
  <si>
    <t>CONDENSADOR +ACC</t>
  </si>
  <si>
    <t>EVAPORADOR FRONT ASSY</t>
  </si>
  <si>
    <t>SWITCH A/A</t>
  </si>
  <si>
    <t>CONDENSADOR CON ELECTROVENTILADOR</t>
  </si>
  <si>
    <t>TENSOR DE CORREA</t>
  </si>
  <si>
    <t>LUBRICANTE 15W40 S7S GALON</t>
  </si>
  <si>
    <t>LUBRICANTE 15W40 S/S LT</t>
  </si>
  <si>
    <t>FILTRO DE ACEITE 3614</t>
  </si>
  <si>
    <t>LUBRIC 5W30 F/F</t>
  </si>
  <si>
    <t>BUJIA FIAT UNO WAGON R</t>
  </si>
  <si>
    <t>PILA DE GASOLINA UNIVERSAL</t>
  </si>
  <si>
    <t>LIMPIA CARBURADOR</t>
  </si>
  <si>
    <t>BUJIA MARUSSI PLUG PLATINUM</t>
  </si>
  <si>
    <t>REC10PYPB4</t>
  </si>
  <si>
    <t>DISTRIBUIDOR DE LIGA</t>
  </si>
  <si>
    <t>LIGA DE FRENO DOT4 MARUSSI</t>
  </si>
  <si>
    <t>LIGA DE FRENO DOT3 MARUSSI</t>
  </si>
  <si>
    <t>BUCHE TRASERO</t>
  </si>
  <si>
    <t>PASTILLA DELANTERA DE FRENO</t>
  </si>
  <si>
    <t>VALVULA DE FRENO</t>
  </si>
  <si>
    <t>BASE DERECHO PARACHOQUE DELANTERO</t>
  </si>
  <si>
    <t>BISAGRAS DE CAPOT</t>
  </si>
  <si>
    <t>CERRADURA DE CAPOT</t>
  </si>
  <si>
    <t>CONDENSADOR A/A</t>
  </si>
  <si>
    <t>REJILLA DE TORPEDO</t>
  </si>
  <si>
    <t>VIDRIO PUERTA DERECHA</t>
  </si>
  <si>
    <t>COCUYO LATERAL DE GDFO DELANTERO DERECHO</t>
  </si>
  <si>
    <t>TAPA DEC GDFO DELANTERO DERECHO</t>
  </si>
  <si>
    <t>GUIA DE PARACHOQUE DELANTERO</t>
  </si>
  <si>
    <t>PLATINA BORDE RUEDA IZQUIERDA</t>
  </si>
  <si>
    <t>PASTILLAS FRENO TRASERA</t>
  </si>
  <si>
    <t>MANILLA DELANTERA INTERNA IZQUIERDA</t>
  </si>
  <si>
    <t>MANILLA DELANTERA INTERNA DERECHA</t>
  </si>
  <si>
    <t>PLATINA DE MARCO PUERTAS IZQUIERDA</t>
  </si>
  <si>
    <t>MICA REFLECTORA IZQUIERDA</t>
  </si>
  <si>
    <t>PIEZA CON CONJUNTO DE TUBO CALENTADOR</t>
  </si>
  <si>
    <t>ROLINERAS DE CAJA</t>
  </si>
  <si>
    <t>C31 - (1.5L), C32 - (1.5L), C37 - (1.5L), K01S - (1.1L), K02S - (1.1L), K05 - (1.1L), K07 - (1.1L)</t>
  </si>
  <si>
    <t>BOMBA LIMPIAPARABRISA WIPER</t>
  </si>
  <si>
    <t>PALANCA DE CAMBIOS</t>
  </si>
  <si>
    <t>BOMBA DE GASOLINA</t>
  </si>
  <si>
    <t>JUEGO DE TAPETES</t>
  </si>
  <si>
    <t>POLEA LISA CORREA UNICA</t>
  </si>
  <si>
    <t>119102ZG1A+F102</t>
  </si>
  <si>
    <t>TORNILLO DRENAJE CARTER</t>
  </si>
  <si>
    <t>1293+A006</t>
  </si>
  <si>
    <t>EMPACADURA CATALIZADOR (FRONT)</t>
  </si>
  <si>
    <t>20691Y2900+A301</t>
  </si>
  <si>
    <t>EMPACADURA CATALIZADOR (REAR)</t>
  </si>
  <si>
    <t>20692P2700+A301</t>
  </si>
  <si>
    <t>GUIA VALVULA ADMISION</t>
  </si>
  <si>
    <t>2TZ0006+A006</t>
  </si>
  <si>
    <t>GUIA VALVULA ESCAPE</t>
  </si>
  <si>
    <t>2TZ0008+A006</t>
  </si>
  <si>
    <t>AMORTIGUADOR DELANTERO DERECHO/IZQUIERDO</t>
  </si>
  <si>
    <t>BAJANTE ESCAPE</t>
  </si>
  <si>
    <t>BANDAS DE FRENO TRASERO</t>
  </si>
  <si>
    <t>BOMBA DIRECCION</t>
  </si>
  <si>
    <t>2TZ0060+A006</t>
  </si>
  <si>
    <t>CAUCHO 255/70R16</t>
  </si>
  <si>
    <t>CILINDRO FRENO TRASERO</t>
  </si>
  <si>
    <t>CUBIERTA CABINA DERECHO</t>
  </si>
  <si>
    <t>933002ZG0A+Z001</t>
  </si>
  <si>
    <t>CUBIERTA CABINA IZQUIERDA</t>
  </si>
  <si>
    <t>933012ZG0A+Z001</t>
  </si>
  <si>
    <t>DISCO CLUTCH</t>
  </si>
  <si>
    <t>DISCO DE FRENO DELANTERO</t>
  </si>
  <si>
    <t>272742ZG0A+F102</t>
  </si>
  <si>
    <t>LUZ DE PORTA PLACA DERECHO</t>
  </si>
  <si>
    <t>LUZ DE PORTA PLACA IZQUIERDA</t>
  </si>
  <si>
    <t>MESETA SUPERIOR DERECHA</t>
  </si>
  <si>
    <t>MESETA SUPERIOR IZQUIERDA</t>
  </si>
  <si>
    <t>MODULO  AIR BAG</t>
  </si>
  <si>
    <t>PASTILLAS DE FRENO DELANTERO</t>
  </si>
  <si>
    <t>D10602ZG0A+D509</t>
  </si>
  <si>
    <t>PLATO DE PRESION CLUTCH</t>
  </si>
  <si>
    <t>214102ZG1A+F102</t>
  </si>
  <si>
    <t>COLLARIN DE CLUTCH</t>
  </si>
  <si>
    <t>ROLINERA MOZO TRASERO</t>
  </si>
  <si>
    <t>DU45800055</t>
  </si>
  <si>
    <t>SOPORTE CEPILLO LIMPIAPARABRISAS DERECHO</t>
  </si>
  <si>
    <t>SOPORTE CEPILLO LIMPIAPARABRISAS IZQUIERDO</t>
  </si>
  <si>
    <t>CONJUNTO DE DISCO FRENO+MONTANTE+CALIPER+PASTILLAS (IZQUIERDO)</t>
  </si>
  <si>
    <t>CONJUNTO DE FRENO DELANTERO (DERECHO)</t>
  </si>
  <si>
    <t>3501200-CA02</t>
  </si>
  <si>
    <t>CONJUNTO DE DISCO FRENO+PASTILLA+CALIPER+MONTANTE (DERECHO)</t>
  </si>
  <si>
    <t>EMPAQUE CARCAZA BOMBA AGUA</t>
  </si>
  <si>
    <t>1000502E0100</t>
  </si>
  <si>
    <t>BUJE BASE RADIADOR</t>
  </si>
  <si>
    <t>ENVASE REFRIGERANTE COMPLETO</t>
  </si>
  <si>
    <t>1303030-01</t>
  </si>
  <si>
    <t>GRUPO TUBERIAS DE AGUA</t>
  </si>
  <si>
    <t>C37 - (1.5L), C32 - (1.5L)</t>
  </si>
  <si>
    <t>TAPA RADIADOR</t>
  </si>
  <si>
    <t>TAPA CARCAZA TERMOSTATO</t>
  </si>
  <si>
    <t>SET TUBERIA CON MANGUERA AGUA</t>
  </si>
  <si>
    <t>EMPACADURA VALVULA OVC</t>
  </si>
  <si>
    <t>TAPA VALVULA DE ALUMINIO</t>
  </si>
  <si>
    <t>1003200E0200</t>
  </si>
  <si>
    <t>EMPACADURA CULATAS</t>
  </si>
  <si>
    <t>DUCTO LA VARILLA ACEITE</t>
  </si>
  <si>
    <t>1009040E0200</t>
  </si>
  <si>
    <t>COLECTOR ACEITE</t>
  </si>
  <si>
    <t>1010100E0200</t>
  </si>
  <si>
    <t>PIÑON VVT DE ESCAPE</t>
  </si>
  <si>
    <t>PIÑON VVT DE ADMISION LEVAS</t>
  </si>
  <si>
    <t>1106100-CA01</t>
  </si>
  <si>
    <t>K01S - (1.1L), K01S - (1.2L), K02S - (1.1L), K05 - (1.1L), K07 - (1.1L), C31 - (1.5L), C32 - (1.5L), C35 - (1.5L), C37 - (1.5L), 20W-50 - MINERAL</t>
  </si>
  <si>
    <t>PEDAL ACELERADOR</t>
  </si>
  <si>
    <t>FILTRO COMBUSTIBLE</t>
  </si>
  <si>
    <t>1117020-VC01</t>
  </si>
  <si>
    <t>K07 - (1.1L), C31 - (1.5L), C32 - (1.5L), C35 - (1.5L), C37 - (1.5L)</t>
  </si>
  <si>
    <t>MODULO RADIADOR COMPLETO</t>
  </si>
  <si>
    <t>1301100-EJ01</t>
  </si>
  <si>
    <t>KIT DIRECCION, CON EPS</t>
  </si>
  <si>
    <t>3404010-CA13</t>
  </si>
  <si>
    <t>SENSOR CIGÜEÑAL</t>
  </si>
  <si>
    <t>ARRANQUE DEL MOTOR</t>
  </si>
  <si>
    <t>3708100E2300</t>
  </si>
  <si>
    <t>ROTULAS Y TERMINALES</t>
  </si>
  <si>
    <t>ARANDELA BLOQUEO</t>
  </si>
  <si>
    <t>RETENEDOR PUNTA EJE</t>
  </si>
  <si>
    <t>GOMAS BARRA ESTABILIZADORA</t>
  </si>
  <si>
    <t>BUJE BARRA ESTABILIZADORA</t>
  </si>
  <si>
    <t>JUNTAS BARRA ESTABILIZADORA</t>
  </si>
  <si>
    <t>2906130-CA01</t>
  </si>
  <si>
    <t>RODAMIENTO EJE DELANTERO</t>
  </si>
  <si>
    <t>VOLANTE MOTOR</t>
  </si>
  <si>
    <t>1602110-CA05</t>
  </si>
  <si>
    <t>SISTEMA PALANCA CAMBIOS</t>
  </si>
  <si>
    <t>GUAYA CAMBIO A</t>
  </si>
  <si>
    <t>GUAYAS CAMBIO</t>
  </si>
  <si>
    <t>GUAYA CAMBIO B</t>
  </si>
  <si>
    <t>GUAYA SELECCION CAMBIOS</t>
  </si>
  <si>
    <t>ARANDELAS COJINETES</t>
  </si>
  <si>
    <t>CONJUNTO DE CAÑA DIRECCION</t>
  </si>
  <si>
    <t>PILA DE GASOLINA</t>
  </si>
  <si>
    <t>1106100-CA01RYBX / WLB502S</t>
  </si>
  <si>
    <t>C31 - (1.5L), C32 - (1.5L), C35 - (1.5L), C37 - (1.5L), K01S - (1.1L), K01S - (1.2L), K02S - (1.1L), K05 - (1.1L), K07 - (1.1L), 10W-40 - MINERAL</t>
  </si>
  <si>
    <t>BUJE</t>
  </si>
  <si>
    <t>001BUJE</t>
  </si>
  <si>
    <t>5504011-CA01-BK01</t>
  </si>
  <si>
    <t>STICKER GUARDAFANGO DELANTERO DERECHO</t>
  </si>
  <si>
    <t>STICKER PUERTA DELANTERA IZQUIERDA</t>
  </si>
  <si>
    <t>PATIN CADENA</t>
  </si>
  <si>
    <t>COJINETE PRINCIPAL SUPERIOR</t>
  </si>
  <si>
    <t>CONJUNTO ANILLO PISTON</t>
  </si>
  <si>
    <t>ANILLO RETENCION PASADOR PISTON</t>
  </si>
  <si>
    <t>CONJUNTO SELLO ACEITE VALVULA</t>
  </si>
  <si>
    <t>TAQUETE VALVULA</t>
  </si>
  <si>
    <t>TUBO VALVULA CONTROL RECIPIENTE CARBON</t>
  </si>
  <si>
    <t>CONJUNTO JUNTA CULATA</t>
  </si>
  <si>
    <t>CADENA DISTRIBUCION</t>
  </si>
  <si>
    <t>PIEZAS SELLO ACEITE CUBIERTA CADENA DISTRIBUCION</t>
  </si>
  <si>
    <t>PIEZAS ESCAPE VCP</t>
  </si>
  <si>
    <t>VALVULA DE CANISTER</t>
  </si>
  <si>
    <t>PIEZAS PLATO PRESION EMBRAGUE</t>
  </si>
  <si>
    <t>DISCO DE PASTA EMBRAGUE</t>
  </si>
  <si>
    <t>TRANSMISION</t>
  </si>
  <si>
    <t>PARACHOQUES DELANTERO</t>
  </si>
  <si>
    <t>CONJUNTO DE BANDA FRENO TRASERO</t>
  </si>
  <si>
    <t>C32 - (1.5L), C35 - (1.5L), K01S - (1.1L), K01S - (1.2L), K02S - (1.1L), K07 - (1.1L)</t>
  </si>
  <si>
    <t>PIEZAS RIEL COMBUSTIBLE</t>
  </si>
  <si>
    <t>D51 - (1.5L), G330 - (1.5L), C32 - (1.5L), C35 - (1.5L), C37 - (1.5L)</t>
  </si>
  <si>
    <t>COMPRESORES AIRE ACONDICIONADO</t>
  </si>
  <si>
    <t>MICA INFERIOR IZQUIERDA</t>
  </si>
  <si>
    <t>MICA INFERIOR DERECHA</t>
  </si>
  <si>
    <t>1700100-E0200</t>
  </si>
  <si>
    <t>GUARDAFANGOS DELANTERO IZQUIERDO</t>
  </si>
  <si>
    <t>GUARDAFANGOS DELANTERO DERECHO</t>
  </si>
  <si>
    <t>GUAYA FRENO MANO</t>
  </si>
  <si>
    <t>FARO ANTINEBLINA 2 BOMBILLOS DELANTERO</t>
  </si>
  <si>
    <t>CUBIERTA FRONTAL MOLDURA INFERIOR PARED LATERAL IZQUIERDA</t>
  </si>
  <si>
    <t>5500612FS01</t>
  </si>
  <si>
    <t>SISTEMA DE ENCENDIDO CON LLAVES</t>
  </si>
  <si>
    <t>SENSOR DE VELOCIDAD</t>
  </si>
  <si>
    <t>3820020-KD01</t>
  </si>
  <si>
    <t>MOTOR DK13VVT-06 (SIN TRANSMISION)</t>
  </si>
  <si>
    <t>DK13VVT-06</t>
  </si>
  <si>
    <t>GUARDAPOLVO CROCHE</t>
  </si>
  <si>
    <t>CARGADOR 7KW 32A/230V MONOFASICO</t>
  </si>
  <si>
    <t>CARGADOR 22KW 32A/400V TRIFASICO</t>
  </si>
  <si>
    <t>CARGADOR PARED 7KW TIPO 2</t>
  </si>
  <si>
    <t>AION UT</t>
  </si>
  <si>
    <t>CARGADOR PORTATIL 7KW TIPO 2</t>
  </si>
  <si>
    <t>CAVA REFRIGERADA ALUMINIO 2.3M (-5 °C)</t>
  </si>
  <si>
    <t>CAVA REFRIGERADA 2.3M -5 °C</t>
  </si>
  <si>
    <t>LCCX-K01S</t>
  </si>
  <si>
    <t>PANELES PARA PLATAFORMA 2.7M</t>
  </si>
  <si>
    <t>DATA LOGGER</t>
  </si>
  <si>
    <t>CANDTU-200UR</t>
  </si>
  <si>
    <t>OBD WIRING HARNESS</t>
  </si>
  <si>
    <t>HW-EV-OBDXS</t>
  </si>
  <si>
    <t>CAN</t>
  </si>
  <si>
    <t>HW-CAN-001</t>
  </si>
  <si>
    <t>DIAGNOSTIC EQUIPMENT</t>
  </si>
  <si>
    <t>HW-JMY-003</t>
  </si>
  <si>
    <t>Maquinas de Diagnostico</t>
  </si>
  <si>
    <t>DF0000024YWB</t>
  </si>
  <si>
    <t>HERRAMIENTA DIAGNOSTICO (SCANNER)</t>
  </si>
  <si>
    <t>USB SCANNER GAC</t>
  </si>
  <si>
    <t>8910999AAF0000</t>
  </si>
  <si>
    <t>SCANNER GAC</t>
  </si>
  <si>
    <t>SHINERAY CAN BOX</t>
  </si>
  <si>
    <t>KIT DE CARRETERA</t>
  </si>
  <si>
    <t>VALVOLINE SYNPOWER 75W90 API GL-5 1LT</t>
  </si>
  <si>
    <t>TAPA LIMPIA PARABRISAS TRASERO</t>
  </si>
  <si>
    <t>PBT+GF30</t>
  </si>
  <si>
    <t>FLAUTA + INYECTORES</t>
  </si>
  <si>
    <t>JUEGO DE ANILLOS</t>
  </si>
  <si>
    <t>PLATINA DE CAPOT</t>
  </si>
  <si>
    <t>TABLERO TRIANGULAR DELANTERO DERECHO</t>
  </si>
  <si>
    <t>5500080-FS02</t>
  </si>
  <si>
    <t>SCANNER VEHICULOS SHINERAY</t>
  </si>
  <si>
    <t>CONSUMIBLE</t>
  </si>
  <si>
    <t>Serie C</t>
  </si>
  <si>
    <t>C32 - (1.5L), C35 - (1.5L), C37 - (1.5L), 20W-50 - SEMISINTETICO</t>
  </si>
  <si>
    <t xml:space="preserve"> 272742ZG0A+F102, WQT92-112</t>
  </si>
  <si>
    <t>MARCA / MODELO</t>
  </si>
  <si>
    <t>MODELO / VERSION</t>
  </si>
  <si>
    <t>(1.1L)</t>
  </si>
  <si>
    <t>PIEZA</t>
  </si>
  <si>
    <t>(1.2L)</t>
  </si>
  <si>
    <t>JUEGO / KIT</t>
  </si>
  <si>
    <t>PAR</t>
  </si>
  <si>
    <t>CUARTO (QT)</t>
  </si>
  <si>
    <t>(1.5L)</t>
  </si>
  <si>
    <t>GALÓN</t>
  </si>
  <si>
    <t>CUÑETE (5 GAL)</t>
  </si>
  <si>
    <t>Serie D</t>
  </si>
  <si>
    <t>(2.4L)</t>
  </si>
  <si>
    <t>TAMBOR (55 GAL)</t>
  </si>
  <si>
    <t>SPRAY / AEROSOL</t>
  </si>
  <si>
    <t>TUBO / CARTUCHO</t>
  </si>
  <si>
    <t>POTE / ENVASE</t>
  </si>
  <si>
    <t>METRO</t>
  </si>
  <si>
    <t>ROLLO</t>
  </si>
  <si>
    <t>(1.8L)</t>
  </si>
  <si>
    <t>CAJA / PAQUETE</t>
  </si>
  <si>
    <t>Serie IX</t>
  </si>
  <si>
    <t>Serie Smilodon</t>
  </si>
  <si>
    <t>Serie S</t>
  </si>
  <si>
    <t>S7</t>
  </si>
  <si>
    <t>Serie GS</t>
  </si>
  <si>
    <t>(2.0L)</t>
  </si>
  <si>
    <t>Serie Empow</t>
  </si>
  <si>
    <t>Serie Emzoom</t>
  </si>
  <si>
    <t>VEHICULO</t>
  </si>
  <si>
    <t>SMILODON B PRO</t>
  </si>
  <si>
    <t>Serie Aion</t>
  </si>
  <si>
    <t>(EV)</t>
  </si>
  <si>
    <t>(2.8L)</t>
  </si>
  <si>
    <t>Serie T</t>
  </si>
  <si>
    <t>T30</t>
  </si>
  <si>
    <t>(1.6L)</t>
  </si>
  <si>
    <t>T32</t>
  </si>
  <si>
    <t>Serie X30</t>
  </si>
  <si>
    <t>SINTETICO</t>
  </si>
  <si>
    <t>SEMISINTETICO</t>
  </si>
  <si>
    <t>10W-40</t>
  </si>
  <si>
    <t>MINERAL</t>
  </si>
  <si>
    <t>TRASMISION</t>
  </si>
  <si>
    <t>75W-90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</si>
</sst>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3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49" fontId="1" fillId="2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6">
    <dxf>
      <font>
        <b/>
        <color rgb="FFCC0033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FCE5CD"/>
          <bgColor rgb="FFFCE5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38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2.625" defaultRowHeight="15" customHeight="1" x14ac:dyDescent="0.2"/>
  <cols>
    <col min="1" max="1" width="15.625" customWidth="1"/>
    <col min="2" max="2" width="50" customWidth="1"/>
    <col min="3" max="3" width="28" customWidth="1"/>
    <col min="4" max="4" width="23.5" customWidth="1"/>
    <col min="5" max="5" width="26.625" customWidth="1"/>
    <col min="6" max="6" width="14.125" customWidth="1"/>
    <col min="8" max="8" width="15.625" customWidth="1"/>
    <col min="9" max="9" width="17.75" customWidth="1"/>
    <col min="10" max="10" width="16.75" customWidth="1"/>
    <col min="11" max="11" width="38.875" customWidth="1"/>
    <col min="12" max="12" width="13.625" customWidth="1"/>
    <col min="13" max="13" width="19" customWidth="1"/>
    <col min="14" max="14" width="16.25" customWidth="1"/>
  </cols>
  <sheetData>
    <row r="1" spans="1:24" ht="15.75" x14ac:dyDescent="0.25">
      <c r="A1" s="4" t="s">
        <v>1755</v>
      </c>
      <c r="B1" s="1" t="s">
        <v>1756</v>
      </c>
      <c r="C1" s="4" t="s">
        <v>1773</v>
      </c>
      <c r="D1" s="5" t="s">
        <v>1774</v>
      </c>
      <c r="E1" s="5" t="s">
        <v>1775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1776</v>
      </c>
      <c r="K1" s="2" t="s">
        <v>1777</v>
      </c>
      <c r="L1" s="2" t="s">
        <v>1757</v>
      </c>
      <c r="M1" s="4" t="s">
        <v>1778</v>
      </c>
      <c r="N1" s="4" t="s">
        <v>1779</v>
      </c>
      <c r="O1" s="2" t="s">
        <v>1780</v>
      </c>
      <c r="P1" s="2"/>
      <c r="Q1" s="2"/>
      <c r="R1" s="2"/>
      <c r="S1" s="2"/>
      <c r="T1" s="2"/>
      <c r="U1" s="2"/>
      <c r="V1" s="2"/>
      <c r="W1" s="2"/>
      <c r="X1" s="2"/>
    </row>
    <row r="2" spans="1:24" ht="14.25" x14ac:dyDescent="0.2">
      <c r="A2" s="3">
        <v>215</v>
      </c>
      <c r="B2" s="3" t="s">
        <v>1781</v>
      </c>
      <c r="C2" s="3" t="s">
        <v>5</v>
      </c>
      <c r="D2" s="6" t="s">
        <v>1782</v>
      </c>
      <c r="E2" s="6" t="s">
        <v>1782</v>
      </c>
      <c r="F2" s="3" t="str">
        <f>IFERROR( VLOOKUP(A2,#REF!,2,0),"")</f>
        <v/>
      </c>
      <c r="G2" s="3" t="str">
        <f t="array" ref="G2">_xlfn.XLOOKUP(I2,Base_Datos!D:D,Base_Datos!B:B,"")</f>
        <v>DFSK</v>
      </c>
      <c r="H2" s="3" t="str">
        <f t="array" ref="H2">IF(I2="","",IFERROR(_xlfn.XLOOKUP(I2,Base_Datos!$D$2:$D3876,Base_Datos!$C$2:$C3876),""))</f>
        <v>Serie C</v>
      </c>
      <c r="I2" s="3" t="s">
        <v>265</v>
      </c>
      <c r="J2" s="3" t="str">
        <f>IF(I2="","",IFERROR(VLOOKUP(I2,Base_Datos!$D$2:$E$72,2,0),""))</f>
        <v>(1.5L)</v>
      </c>
      <c r="K2" s="3"/>
      <c r="L2" s="3"/>
      <c r="M2" s="7">
        <v>0</v>
      </c>
      <c r="N2" s="7">
        <v>0</v>
      </c>
    </row>
    <row r="3" spans="1:24" ht="14.25" x14ac:dyDescent="0.2">
      <c r="A3" s="3">
        <v>218</v>
      </c>
      <c r="B3" s="3" t="s">
        <v>1783</v>
      </c>
      <c r="C3" s="3" t="s">
        <v>5</v>
      </c>
      <c r="D3" s="6" t="s">
        <v>1784</v>
      </c>
      <c r="E3" s="6" t="s">
        <v>1784</v>
      </c>
      <c r="F3" s="3" t="str">
        <f>IFERROR( VLOOKUP(A3,#REF!,2,0),"")</f>
        <v/>
      </c>
      <c r="G3" s="3" t="str">
        <f t="array" ref="G3">_xlfn.XLOOKUP(I3,Base_Datos!D:D,Base_Datos!B:B,"")</f>
        <v>DFSK</v>
      </c>
      <c r="H3" s="3" t="str">
        <f t="array" ref="H3">IF(I3="","",IFERROR(_xlfn.XLOOKUP(I3,Base_Datos!$D$2:$D3876,Base_Datos!$C$2:$C3876),""))</f>
        <v>Serie C</v>
      </c>
      <c r="I3" s="3" t="s">
        <v>265</v>
      </c>
      <c r="J3" s="3" t="str">
        <f>IF(I3="","",IFERROR(VLOOKUP(I3,Base_Datos!$D$2:$E$72,2,0),""))</f>
        <v>(1.5L)</v>
      </c>
      <c r="K3" s="3"/>
      <c r="L3" s="3"/>
      <c r="M3" s="7">
        <v>0</v>
      </c>
      <c r="N3" s="7">
        <v>0</v>
      </c>
    </row>
    <row r="4" spans="1:24" ht="14.25" x14ac:dyDescent="0.2">
      <c r="A4" s="3">
        <v>219</v>
      </c>
      <c r="B4" s="3" t="s">
        <v>1785</v>
      </c>
      <c r="C4" s="3" t="s">
        <v>5</v>
      </c>
      <c r="D4" s="6" t="s">
        <v>1784</v>
      </c>
      <c r="E4" s="6" t="s">
        <v>1784</v>
      </c>
      <c r="F4" s="3" t="str">
        <f>IFERROR( VLOOKUP(A4,#REF!,2,0),"")</f>
        <v/>
      </c>
      <c r="G4" s="3" t="str">
        <f t="array" ref="G4">_xlfn.XLOOKUP(I4,Base_Datos!D:D,Base_Datos!B:B,"")</f>
        <v>DFSK</v>
      </c>
      <c r="H4" s="3" t="str">
        <f t="array" ref="H4">IF(I4="","",IFERROR(_xlfn.XLOOKUP(I4,Base_Datos!$D$2:$D3876,Base_Datos!$C$2:$C3876),""))</f>
        <v>Serie C</v>
      </c>
      <c r="I4" s="3" t="s">
        <v>265</v>
      </c>
      <c r="J4" s="3" t="str">
        <f>IF(I4="","",IFERROR(VLOOKUP(I4,Base_Datos!$D$2:$E$72,2,0),""))</f>
        <v>(1.5L)</v>
      </c>
      <c r="K4" s="3"/>
      <c r="L4" s="3"/>
      <c r="M4" s="7">
        <v>0</v>
      </c>
      <c r="N4" s="7">
        <v>0</v>
      </c>
    </row>
    <row r="5" spans="1:24" ht="14.25" x14ac:dyDescent="0.2">
      <c r="A5" s="3">
        <v>220</v>
      </c>
      <c r="B5" s="3" t="s">
        <v>1786</v>
      </c>
      <c r="C5" s="3" t="s">
        <v>5</v>
      </c>
      <c r="D5" s="6" t="s">
        <v>275</v>
      </c>
      <c r="E5" s="6" t="s">
        <v>275</v>
      </c>
      <c r="F5" s="3" t="str">
        <f>IFERROR( VLOOKUP(A5,#REF!,2,0),"")</f>
        <v/>
      </c>
      <c r="G5" s="3" t="str">
        <f t="array" ref="G5">_xlfn.XLOOKUP(I5,Base_Datos!D:D,Base_Datos!B:B,"")</f>
        <v>DFSK</v>
      </c>
      <c r="H5" s="3" t="str">
        <f t="array" ref="H5">IF(I5="","",IFERROR(_xlfn.XLOOKUP(I5,Base_Datos!$D$2:$D3876,Base_Datos!$C$2:$C3876),""))</f>
        <v>Serie C</v>
      </c>
      <c r="I5" s="3" t="s">
        <v>265</v>
      </c>
      <c r="J5" s="3" t="str">
        <f>IF(I5="","",IFERROR(VLOOKUP(I5,Base_Datos!$D$2:$E$72,2,0),""))</f>
        <v>(1.5L)</v>
      </c>
      <c r="K5" s="3"/>
      <c r="L5" s="3"/>
      <c r="M5" s="7">
        <v>0</v>
      </c>
      <c r="N5" s="7">
        <v>0</v>
      </c>
    </row>
    <row r="6" spans="1:24" ht="14.25" x14ac:dyDescent="0.2">
      <c r="A6" s="3">
        <v>221</v>
      </c>
      <c r="B6" s="3" t="s">
        <v>1787</v>
      </c>
      <c r="C6" s="3" t="s">
        <v>5</v>
      </c>
      <c r="D6" s="6" t="s">
        <v>1784</v>
      </c>
      <c r="E6" s="6" t="s">
        <v>1784</v>
      </c>
      <c r="F6" s="3" t="str">
        <f>IFERROR( VLOOKUP(A6,#REF!,2,0),"")</f>
        <v/>
      </c>
      <c r="G6" s="3" t="str">
        <f t="array" ref="G6">_xlfn.XLOOKUP(I6,Base_Datos!D:D,Base_Datos!B:B,"")</f>
        <v>DFSK</v>
      </c>
      <c r="H6" s="3" t="str">
        <f t="array" ref="H6">IF(I6="","",IFERROR(_xlfn.XLOOKUP(I6,Base_Datos!$D$2:$D3876,Base_Datos!$C$2:$C3876),""))</f>
        <v>Serie C</v>
      </c>
      <c r="I6" s="3" t="s">
        <v>265</v>
      </c>
      <c r="J6" s="3" t="str">
        <f>IF(I6="","",IFERROR(VLOOKUP(I6,Base_Datos!$D$2:$E$72,2,0),""))</f>
        <v>(1.5L)</v>
      </c>
      <c r="K6" s="3"/>
      <c r="L6" s="3"/>
      <c r="M6" s="7">
        <v>0</v>
      </c>
      <c r="N6" s="7">
        <v>0</v>
      </c>
    </row>
    <row r="7" spans="1:24" ht="14.25" x14ac:dyDescent="0.2">
      <c r="A7" s="3">
        <v>222</v>
      </c>
      <c r="B7" s="3" t="s">
        <v>1788</v>
      </c>
      <c r="C7" s="3" t="s">
        <v>5</v>
      </c>
      <c r="D7" s="6" t="s">
        <v>1784</v>
      </c>
      <c r="E7" s="6" t="s">
        <v>1784</v>
      </c>
      <c r="F7" s="3" t="str">
        <f>IFERROR( VLOOKUP(A7,#REF!,2,0),"")</f>
        <v/>
      </c>
      <c r="G7" s="3" t="str">
        <f t="array" ref="G7">_xlfn.XLOOKUP(I7,Base_Datos!D:D,Base_Datos!B:B,"")</f>
        <v>DFSK</v>
      </c>
      <c r="H7" s="3" t="str">
        <f t="array" ref="H7">IF(I7="","",IFERROR(_xlfn.XLOOKUP(I7,Base_Datos!$D$2:$D3876,Base_Datos!$C$2:$C3876),""))</f>
        <v>Serie C</v>
      </c>
      <c r="I7" s="3" t="s">
        <v>265</v>
      </c>
      <c r="J7" s="3" t="str">
        <f>IF(I7="","",IFERROR(VLOOKUP(I7,Base_Datos!$D$2:$E$72,2,0),""))</f>
        <v>(1.5L)</v>
      </c>
      <c r="K7" s="3"/>
      <c r="L7" s="3"/>
      <c r="M7" s="7">
        <v>0</v>
      </c>
      <c r="N7" s="7">
        <v>0</v>
      </c>
    </row>
    <row r="8" spans="1:24" ht="14.25" x14ac:dyDescent="0.2">
      <c r="A8" s="3">
        <v>223</v>
      </c>
      <c r="B8" s="3" t="s">
        <v>1789</v>
      </c>
      <c r="C8" s="3" t="s">
        <v>5</v>
      </c>
      <c r="D8" s="6" t="s">
        <v>1784</v>
      </c>
      <c r="E8" s="6" t="s">
        <v>1784</v>
      </c>
      <c r="F8" s="3" t="str">
        <f>IFERROR( VLOOKUP(A8,#REF!,2,0),"")</f>
        <v/>
      </c>
      <c r="G8" s="3" t="str">
        <f t="array" ref="G8">_xlfn.XLOOKUP(I8,Base_Datos!D:D,Base_Datos!B:B,"")</f>
        <v>DFSK</v>
      </c>
      <c r="H8" s="3" t="str">
        <f t="array" ref="H8">IF(I8="","",IFERROR(_xlfn.XLOOKUP(I8,Base_Datos!$D$2:$D3876,Base_Datos!$C$2:$C3876),""))</f>
        <v>Serie Glory</v>
      </c>
      <c r="I8" s="3" t="s">
        <v>1767</v>
      </c>
      <c r="J8" s="3" t="str">
        <f>IF(I8="","",IFERROR(VLOOKUP(I8,Base_Datos!$D$2:$E$72,2,0),""))</f>
        <v>(1.5L)</v>
      </c>
      <c r="K8" s="3"/>
      <c r="L8" s="3"/>
      <c r="M8" s="7">
        <v>0</v>
      </c>
      <c r="N8" s="7">
        <v>0</v>
      </c>
    </row>
    <row r="9" spans="1:24" ht="14.25" x14ac:dyDescent="0.2">
      <c r="A9" s="3">
        <v>224</v>
      </c>
      <c r="B9" s="3" t="s">
        <v>1790</v>
      </c>
      <c r="C9" s="3" t="s">
        <v>5</v>
      </c>
      <c r="D9" s="6" t="s">
        <v>1784</v>
      </c>
      <c r="E9" s="6" t="s">
        <v>1784</v>
      </c>
      <c r="F9" s="3" t="str">
        <f>IFERROR( VLOOKUP(A9,#REF!,2,0),"")</f>
        <v/>
      </c>
      <c r="G9" s="3" t="str">
        <f t="array" ref="G9">_xlfn.XLOOKUP(I9,Base_Datos!D:D,Base_Datos!B:B,"")</f>
        <v>DFSK</v>
      </c>
      <c r="H9" s="3" t="str">
        <f t="array" ref="H9">IF(I9="","",IFERROR(_xlfn.XLOOKUP(I9,Base_Datos!$D$2:$D3876,Base_Datos!$C$2:$C3876),""))</f>
        <v>Serie Glory</v>
      </c>
      <c r="I9" s="3" t="s">
        <v>1767</v>
      </c>
      <c r="J9" s="3" t="str">
        <f>IF(I9="","",IFERROR(VLOOKUP(I9,Base_Datos!$D$2:$E$72,2,0),""))</f>
        <v>(1.5L)</v>
      </c>
      <c r="K9" s="3"/>
      <c r="L9" s="3"/>
      <c r="M9" s="7">
        <v>0</v>
      </c>
      <c r="N9" s="7">
        <v>0</v>
      </c>
    </row>
    <row r="10" spans="1:24" ht="14.25" x14ac:dyDescent="0.2">
      <c r="A10" s="3">
        <v>225</v>
      </c>
      <c r="B10" s="3" t="s">
        <v>1791</v>
      </c>
      <c r="C10" s="3" t="s">
        <v>5</v>
      </c>
      <c r="D10" s="6" t="s">
        <v>1784</v>
      </c>
      <c r="E10" s="6" t="s">
        <v>1784</v>
      </c>
      <c r="F10" s="3" t="str">
        <f>IFERROR( VLOOKUP(A10,#REF!,2,0),"")</f>
        <v/>
      </c>
      <c r="G10" s="3" t="str">
        <f t="array" ref="G10">_xlfn.XLOOKUP(I10,Base_Datos!D:D,Base_Datos!B:B,"")</f>
        <v>DFSK</v>
      </c>
      <c r="H10" s="3" t="str">
        <f t="array" ref="H10">IF(I10="","",IFERROR(_xlfn.XLOOKUP(I10,Base_Datos!$D$2:$D3876,Base_Datos!$C$2:$C3876),""))</f>
        <v>Serie Glory</v>
      </c>
      <c r="I10" s="3" t="s">
        <v>1767</v>
      </c>
      <c r="J10" s="3" t="str">
        <f>IF(I10="","",IFERROR(VLOOKUP(I10,Base_Datos!$D$2:$E$72,2,0),""))</f>
        <v>(1.5L)</v>
      </c>
      <c r="K10" s="3"/>
      <c r="L10" s="3"/>
      <c r="M10" s="7">
        <v>0</v>
      </c>
      <c r="N10" s="7">
        <v>0</v>
      </c>
    </row>
    <row r="11" spans="1:24" ht="14.25" x14ac:dyDescent="0.2">
      <c r="A11" s="3">
        <v>226</v>
      </c>
      <c r="B11" s="3" t="s">
        <v>1792</v>
      </c>
      <c r="C11" s="3" t="s">
        <v>5</v>
      </c>
      <c r="D11" s="6" t="s">
        <v>1784</v>
      </c>
      <c r="E11" s="6" t="s">
        <v>1784</v>
      </c>
      <c r="F11" s="3" t="str">
        <f>IFERROR( VLOOKUP(A11,#REF!,2,0),"")</f>
        <v/>
      </c>
      <c r="G11" s="3" t="str">
        <f t="array" ref="G11">_xlfn.XLOOKUP(I11,Base_Datos!D:D,Base_Datos!B:B,"")</f>
        <v>DFSK</v>
      </c>
      <c r="H11" s="3" t="str">
        <f t="array" ref="H11">IF(I11="","",IFERROR(_xlfn.XLOOKUP(I11,Base_Datos!$D$2:$D3876,Base_Datos!$C$2:$C3876),""))</f>
        <v>Serie Glory</v>
      </c>
      <c r="I11" s="3" t="s">
        <v>1767</v>
      </c>
      <c r="J11" s="3" t="str">
        <f>IF(I11="","",IFERROR(VLOOKUP(I11,Base_Datos!$D$2:$E$72,2,0),""))</f>
        <v>(1.5L)</v>
      </c>
      <c r="K11" s="3"/>
      <c r="L11" s="3"/>
      <c r="M11" s="7">
        <v>0</v>
      </c>
      <c r="N11" s="7">
        <v>0</v>
      </c>
    </row>
    <row r="12" spans="1:24" ht="14.25" x14ac:dyDescent="0.2">
      <c r="A12" s="3">
        <v>227</v>
      </c>
      <c r="B12" s="3" t="s">
        <v>1793</v>
      </c>
      <c r="C12" s="3" t="s">
        <v>5</v>
      </c>
      <c r="D12" s="6" t="s">
        <v>1784</v>
      </c>
      <c r="E12" s="6" t="s">
        <v>1784</v>
      </c>
      <c r="F12" s="3" t="str">
        <f>IFERROR( VLOOKUP(A12,#REF!,2,0),"")</f>
        <v/>
      </c>
      <c r="G12" s="3" t="str">
        <f t="array" ref="G12">_xlfn.XLOOKUP(I12,Base_Datos!D:D,Base_Datos!B:B,"")</f>
        <v>DFSK</v>
      </c>
      <c r="H12" s="3" t="str">
        <f t="array" ref="H12">IF(I12="","",IFERROR(_xlfn.XLOOKUP(I12,Base_Datos!$D$2:$D3876,Base_Datos!$C$2:$C3876),""))</f>
        <v>Serie Glory</v>
      </c>
      <c r="I12" s="3" t="s">
        <v>1767</v>
      </c>
      <c r="J12" s="3" t="str">
        <f>IF(I12="","",IFERROR(VLOOKUP(I12,Base_Datos!$D$2:$E$72,2,0),""))</f>
        <v>(1.5L)</v>
      </c>
      <c r="K12" s="3"/>
      <c r="L12" s="3"/>
      <c r="M12" s="7">
        <v>0</v>
      </c>
      <c r="N12" s="7">
        <v>0</v>
      </c>
    </row>
    <row r="13" spans="1:24" ht="14.25" x14ac:dyDescent="0.2">
      <c r="A13" s="3">
        <v>228</v>
      </c>
      <c r="B13" s="3" t="s">
        <v>1794</v>
      </c>
      <c r="C13" s="3" t="s">
        <v>5</v>
      </c>
      <c r="D13" s="6" t="s">
        <v>1784</v>
      </c>
      <c r="E13" s="6" t="s">
        <v>1784</v>
      </c>
      <c r="F13" s="3" t="str">
        <f>IFERROR( VLOOKUP(A13,#REF!,2,0),"")</f>
        <v/>
      </c>
      <c r="G13" s="3" t="str">
        <f t="array" ref="G13">_xlfn.XLOOKUP(I13,Base_Datos!D:D,Base_Datos!B:B,"")</f>
        <v>DFSK</v>
      </c>
      <c r="H13" s="3" t="str">
        <f t="array" ref="H13">IF(I13="","",IFERROR(_xlfn.XLOOKUP(I13,Base_Datos!$D$2:$D3876,Base_Datos!$C$2:$C3876),""))</f>
        <v>Serie Glory</v>
      </c>
      <c r="I13" s="3" t="s">
        <v>1767</v>
      </c>
      <c r="J13" s="3" t="str">
        <f>IF(I13="","",IFERROR(VLOOKUP(I13,Base_Datos!$D$2:$E$72,2,0),""))</f>
        <v>(1.5L)</v>
      </c>
      <c r="K13" s="3"/>
      <c r="L13" s="3"/>
      <c r="M13" s="7">
        <v>0</v>
      </c>
      <c r="N13" s="7">
        <v>0</v>
      </c>
    </row>
    <row r="14" spans="1:24" ht="14.25" x14ac:dyDescent="0.2">
      <c r="A14" s="3">
        <v>229</v>
      </c>
      <c r="B14" s="3" t="s">
        <v>1795</v>
      </c>
      <c r="C14" s="3" t="s">
        <v>5</v>
      </c>
      <c r="D14" s="6" t="s">
        <v>1784</v>
      </c>
      <c r="E14" s="6" t="s">
        <v>1784</v>
      </c>
      <c r="F14" s="3" t="str">
        <f>IFERROR( VLOOKUP(A14,#REF!,2,0),"")</f>
        <v/>
      </c>
      <c r="G14" s="3" t="str">
        <f t="array" ref="G14">_xlfn.XLOOKUP(I14,Base_Datos!D:D,Base_Datos!B:B,"")</f>
        <v>DFSK</v>
      </c>
      <c r="H14" s="3" t="str">
        <f t="array" ref="H14">IF(I14="","",IFERROR(_xlfn.XLOOKUP(I14,Base_Datos!$D$2:$D3876,Base_Datos!$C$2:$C3876),""))</f>
        <v>Serie Glory</v>
      </c>
      <c r="I14" s="3" t="s">
        <v>1767</v>
      </c>
      <c r="J14" s="3" t="str">
        <f>IF(I14="","",IFERROR(VLOOKUP(I14,Base_Datos!$D$2:$E$72,2,0),""))</f>
        <v>(1.5L)</v>
      </c>
      <c r="K14" s="3"/>
      <c r="L14" s="3"/>
      <c r="M14" s="7">
        <v>0</v>
      </c>
      <c r="N14" s="7">
        <v>0</v>
      </c>
    </row>
    <row r="15" spans="1:24" ht="14.25" x14ac:dyDescent="0.2">
      <c r="A15" s="3">
        <v>230</v>
      </c>
      <c r="B15" s="3" t="s">
        <v>1796</v>
      </c>
      <c r="C15" s="3" t="s">
        <v>5</v>
      </c>
      <c r="D15" s="6" t="s">
        <v>1784</v>
      </c>
      <c r="E15" s="6" t="s">
        <v>1784</v>
      </c>
      <c r="F15" s="3" t="str">
        <f>IFERROR( VLOOKUP(A15,#REF!,2,0),"")</f>
        <v/>
      </c>
      <c r="G15" s="3" t="str">
        <f t="array" ref="G15">_xlfn.XLOOKUP(I15,Base_Datos!D:D,Base_Datos!B:B,"")</f>
        <v>DFSK</v>
      </c>
      <c r="H15" s="3" t="str">
        <f t="array" ref="H15">IF(I15="","",IFERROR(_xlfn.XLOOKUP(I15,Base_Datos!$D$2:$D3876,Base_Datos!$C$2:$C3876),""))</f>
        <v>Serie Glory</v>
      </c>
      <c r="I15" s="3" t="s">
        <v>1767</v>
      </c>
      <c r="J15" s="3" t="str">
        <f>IF(I15="","",IFERROR(VLOOKUP(I15,Base_Datos!$D$2:$E$72,2,0),""))</f>
        <v>(1.5L)</v>
      </c>
      <c r="K15" s="3"/>
      <c r="L15" s="3"/>
      <c r="M15" s="7">
        <v>0</v>
      </c>
      <c r="N15" s="7">
        <v>0</v>
      </c>
    </row>
    <row r="16" spans="1:24" ht="14.25" x14ac:dyDescent="0.2">
      <c r="A16" s="3">
        <v>231</v>
      </c>
      <c r="B16" s="3" t="s">
        <v>1797</v>
      </c>
      <c r="C16" s="3" t="s">
        <v>5</v>
      </c>
      <c r="D16" s="6" t="s">
        <v>1784</v>
      </c>
      <c r="E16" s="6" t="s">
        <v>1784</v>
      </c>
      <c r="F16" s="3" t="str">
        <f>IFERROR( VLOOKUP(A16,#REF!,2,0),"")</f>
        <v/>
      </c>
      <c r="G16" s="3" t="str">
        <f t="array" ref="G16">_xlfn.XLOOKUP(I16,Base_Datos!D:D,Base_Datos!B:B,"")</f>
        <v>DFSK</v>
      </c>
      <c r="H16" s="3" t="str">
        <f t="array" ref="H16">IF(I16="","",IFERROR(_xlfn.XLOOKUP(I16,Base_Datos!$D$2:$D3876,Base_Datos!$C$2:$C3876),""))</f>
        <v>Serie Glory</v>
      </c>
      <c r="I16" s="3" t="s">
        <v>1767</v>
      </c>
      <c r="J16" s="3" t="str">
        <f>IF(I16="","",IFERROR(VLOOKUP(I16,Base_Datos!$D$2:$E$72,2,0),""))</f>
        <v>(1.5L)</v>
      </c>
      <c r="K16" s="3"/>
      <c r="L16" s="3"/>
      <c r="M16" s="7">
        <v>0</v>
      </c>
      <c r="N16" s="7">
        <v>0</v>
      </c>
    </row>
    <row r="17" spans="1:14" ht="14.25" x14ac:dyDescent="0.2">
      <c r="A17" s="3">
        <v>232</v>
      </c>
      <c r="B17" s="3" t="s">
        <v>1783</v>
      </c>
      <c r="C17" s="3" t="s">
        <v>5</v>
      </c>
      <c r="D17" s="6" t="s">
        <v>1784</v>
      </c>
      <c r="E17" s="6" t="s">
        <v>1784</v>
      </c>
      <c r="F17" s="3" t="str">
        <f>IFERROR( VLOOKUP(A17,#REF!,2,0),"")</f>
        <v/>
      </c>
      <c r="G17" s="3" t="str">
        <f t="array" ref="G17">_xlfn.XLOOKUP(I17,Base_Datos!D:D,Base_Datos!B:B,"")</f>
        <v>DFSK</v>
      </c>
      <c r="H17" s="3" t="str">
        <f t="array" ref="H17">IF(I17="","",IFERROR(_xlfn.XLOOKUP(I17,Base_Datos!$D$2:$D3876,Base_Datos!$C$2:$C3876),""))</f>
        <v>Serie Glory</v>
      </c>
      <c r="I17" s="3" t="s">
        <v>1767</v>
      </c>
      <c r="J17" s="3" t="str">
        <f>IF(I17="","",IFERROR(VLOOKUP(I17,Base_Datos!$D$2:$E$72,2,0),""))</f>
        <v>(1.5L)</v>
      </c>
      <c r="K17" s="3"/>
      <c r="L17" s="3"/>
      <c r="M17" s="7">
        <v>0</v>
      </c>
      <c r="N17" s="7">
        <v>0</v>
      </c>
    </row>
    <row r="18" spans="1:14" ht="14.25" x14ac:dyDescent="0.2">
      <c r="A18" s="3">
        <v>233</v>
      </c>
      <c r="B18" s="3" t="s">
        <v>1798</v>
      </c>
      <c r="C18" s="3" t="s">
        <v>5</v>
      </c>
      <c r="D18" s="6" t="s">
        <v>1784</v>
      </c>
      <c r="E18" s="6" t="s">
        <v>1784</v>
      </c>
      <c r="F18" s="3" t="str">
        <f>IFERROR( VLOOKUP(A18,#REF!,2,0),"")</f>
        <v/>
      </c>
      <c r="G18" s="3" t="str">
        <f t="array" ref="G18">_xlfn.XLOOKUP(I18,Base_Datos!D:D,Base_Datos!B:B,"")</f>
        <v>DFSK</v>
      </c>
      <c r="H18" s="3" t="str">
        <f t="array" ref="H18">IF(I18="","",IFERROR(_xlfn.XLOOKUP(I18,Base_Datos!$D$2:$D3876,Base_Datos!$C$2:$C3876),""))</f>
        <v>Serie Glory</v>
      </c>
      <c r="I18" s="3" t="s">
        <v>1767</v>
      </c>
      <c r="J18" s="3" t="str">
        <f>IF(I18="","",IFERROR(VLOOKUP(I18,Base_Datos!$D$2:$E$72,2,0),""))</f>
        <v>(1.5L)</v>
      </c>
      <c r="K18" s="3"/>
      <c r="L18" s="3"/>
      <c r="M18" s="7">
        <v>0</v>
      </c>
      <c r="N18" s="7">
        <v>0</v>
      </c>
    </row>
    <row r="19" spans="1:14" ht="14.25" x14ac:dyDescent="0.2">
      <c r="A19" s="3">
        <v>234</v>
      </c>
      <c r="B19" s="3" t="s">
        <v>1799</v>
      </c>
      <c r="C19" s="3" t="s">
        <v>5</v>
      </c>
      <c r="D19" s="6" t="s">
        <v>1800</v>
      </c>
      <c r="E19" s="6" t="s">
        <v>1800</v>
      </c>
      <c r="F19" s="3" t="str">
        <f>IFERROR( VLOOKUP(A19,#REF!,2,0),"")</f>
        <v/>
      </c>
      <c r="G19" s="3" t="str">
        <f t="array" ref="G19">_xlfn.XLOOKUP(I19,Base_Datos!D:D,Base_Datos!B:B,"")</f>
        <v>DFSK</v>
      </c>
      <c r="H19" s="3" t="str">
        <f t="array" ref="H19">IF(I19="","",IFERROR(_xlfn.XLOOKUP(I19,Base_Datos!$D$2:$D3876,Base_Datos!$C$2:$C3876),""))</f>
        <v>Serie Glory</v>
      </c>
      <c r="I19" s="3" t="s">
        <v>1765</v>
      </c>
      <c r="J19" s="3" t="str">
        <f>IF(I19="","",IFERROR(VLOOKUP(I19,Base_Datos!$D$2:$E$72,2,0),""))</f>
        <v>(1.5L)</v>
      </c>
      <c r="K19" s="3" t="s">
        <v>1801</v>
      </c>
      <c r="L19" s="3"/>
      <c r="M19" s="7">
        <v>0</v>
      </c>
      <c r="N19" s="7">
        <v>0</v>
      </c>
    </row>
    <row r="20" spans="1:14" ht="14.25" x14ac:dyDescent="0.2">
      <c r="A20" s="3">
        <v>235</v>
      </c>
      <c r="B20" s="3" t="s">
        <v>1802</v>
      </c>
      <c r="C20" s="3" t="s">
        <v>5</v>
      </c>
      <c r="D20" s="6" t="s">
        <v>1782</v>
      </c>
      <c r="E20" s="6" t="s">
        <v>1782</v>
      </c>
      <c r="F20" s="3" t="str">
        <f>IFERROR( VLOOKUP(A20,#REF!,2,0),"")</f>
        <v/>
      </c>
      <c r="G20" s="3" t="str">
        <f t="array" ref="G20">_xlfn.XLOOKUP(I20,Base_Datos!D:D,Base_Datos!B:B,"")</f>
        <v>DFSK</v>
      </c>
      <c r="H20" s="3" t="str">
        <f t="array" ref="H20">IF(I20="","",IFERROR(_xlfn.XLOOKUP(I20,Base_Datos!$D$2:$D3876,Base_Datos!$C$2:$C3876),""))</f>
        <v>Serie Glory</v>
      </c>
      <c r="I20" s="3" t="s">
        <v>1765</v>
      </c>
      <c r="J20" s="3" t="str">
        <f>IF(I20="","",IFERROR(VLOOKUP(I20,Base_Datos!$D$2:$E$72,2,0),""))</f>
        <v>(1.5L)</v>
      </c>
      <c r="K20" s="3" t="s">
        <v>1801</v>
      </c>
      <c r="L20" s="3"/>
      <c r="M20" s="7">
        <v>0</v>
      </c>
      <c r="N20" s="7">
        <v>0</v>
      </c>
    </row>
    <row r="21" spans="1:14" ht="14.25" x14ac:dyDescent="0.2">
      <c r="A21" s="3">
        <v>236</v>
      </c>
      <c r="B21" s="3" t="s">
        <v>1803</v>
      </c>
      <c r="C21" s="3" t="s">
        <v>5</v>
      </c>
      <c r="D21" s="6" t="s">
        <v>1782</v>
      </c>
      <c r="E21" s="6" t="s">
        <v>1782</v>
      </c>
      <c r="F21" s="3" t="str">
        <f>IFERROR( VLOOKUP(A21,#REF!,2,0),"")</f>
        <v/>
      </c>
      <c r="G21" s="3" t="str">
        <f t="array" ref="G21">_xlfn.XLOOKUP(I21,Base_Datos!D:D,Base_Datos!B:B,"")</f>
        <v>DFSK</v>
      </c>
      <c r="H21" s="3" t="str">
        <f t="array" ref="H21">IF(I21="","",IFERROR(_xlfn.XLOOKUP(I21,Base_Datos!$D$2:$D3876,Base_Datos!$C$2:$C3876),""))</f>
        <v>Serie K</v>
      </c>
      <c r="I21" s="3" t="s">
        <v>475</v>
      </c>
      <c r="J21" s="3" t="str">
        <f>IF(I21="","",IFERROR(VLOOKUP(I21,Base_Datos!$D$2:$E$72,2,0),""))</f>
        <v>(1.1L)</v>
      </c>
      <c r="K21" s="3"/>
      <c r="L21" s="3"/>
      <c r="M21" s="7">
        <v>0</v>
      </c>
      <c r="N21" s="7">
        <v>0</v>
      </c>
    </row>
    <row r="22" spans="1:14" ht="14.25" x14ac:dyDescent="0.2">
      <c r="A22" s="3">
        <v>237</v>
      </c>
      <c r="B22" s="3" t="s">
        <v>1804</v>
      </c>
      <c r="C22" s="3" t="s">
        <v>5</v>
      </c>
      <c r="D22" s="6" t="s">
        <v>1782</v>
      </c>
      <c r="E22" s="6" t="s">
        <v>1782</v>
      </c>
      <c r="F22" s="3" t="str">
        <f>IFERROR( VLOOKUP(A22,#REF!,2,0),"")</f>
        <v/>
      </c>
      <c r="G22" s="3" t="str">
        <f t="array" ref="G22">_xlfn.XLOOKUP(I22,Base_Datos!D:D,Base_Datos!B:B,"")</f>
        <v>DFSK</v>
      </c>
      <c r="H22" s="3" t="str">
        <f t="array" ref="H22">IF(I22="","",IFERROR(_xlfn.XLOOKUP(I22,Base_Datos!$D$2:$D3876,Base_Datos!$C$2:$C3876),""))</f>
        <v>Serie K</v>
      </c>
      <c r="I22" s="3" t="s">
        <v>475</v>
      </c>
      <c r="J22" s="3" t="str">
        <f>IF(I22="","",IFERROR(VLOOKUP(I22,Base_Datos!$D$2:$E$72,2,0),""))</f>
        <v>(1.1L)</v>
      </c>
      <c r="K22" s="3" t="s">
        <v>1805</v>
      </c>
      <c r="L22" s="3"/>
      <c r="M22" s="7">
        <v>0</v>
      </c>
      <c r="N22" s="7">
        <v>0</v>
      </c>
    </row>
    <row r="23" spans="1:14" ht="14.25" x14ac:dyDescent="0.2">
      <c r="A23" s="3">
        <v>238</v>
      </c>
      <c r="B23" s="3" t="s">
        <v>1806</v>
      </c>
      <c r="C23" s="3" t="s">
        <v>5</v>
      </c>
      <c r="D23" s="6" t="s">
        <v>1782</v>
      </c>
      <c r="E23" s="6" t="s">
        <v>1782</v>
      </c>
      <c r="F23" s="3" t="str">
        <f>IFERROR( VLOOKUP(A23,#REF!,2,0),"")</f>
        <v/>
      </c>
      <c r="G23" s="3" t="str">
        <f t="array" ref="G23">_xlfn.XLOOKUP(I23,Base_Datos!D:D,Base_Datos!B:B,"")</f>
        <v>DFSK</v>
      </c>
      <c r="H23" s="3" t="str">
        <f t="array" ref="H23">IF(I23="","",IFERROR(_xlfn.XLOOKUP(I23,Base_Datos!$D$2:$D3876,Base_Datos!$C$2:$C3876),""))</f>
        <v>Serie K</v>
      </c>
      <c r="I23" s="3" t="s">
        <v>475</v>
      </c>
      <c r="J23" s="3" t="str">
        <f>IF(I23="","",IFERROR(VLOOKUP(I23,Base_Datos!$D$2:$E$72,2,0),""))</f>
        <v>(1.1L)</v>
      </c>
      <c r="K23" s="3" t="s">
        <v>1805</v>
      </c>
      <c r="L23" s="3"/>
      <c r="M23" s="7">
        <v>0</v>
      </c>
      <c r="N23" s="7">
        <v>0</v>
      </c>
    </row>
    <row r="24" spans="1:14" ht="14.25" x14ac:dyDescent="0.2">
      <c r="A24" s="3">
        <v>239</v>
      </c>
      <c r="B24" s="3" t="s">
        <v>1807</v>
      </c>
      <c r="C24" s="3" t="s">
        <v>5</v>
      </c>
      <c r="D24" s="6" t="s">
        <v>1782</v>
      </c>
      <c r="E24" s="6" t="s">
        <v>1782</v>
      </c>
      <c r="F24" s="3" t="str">
        <f>IFERROR( VLOOKUP(A24,#REF!,2,0),"")</f>
        <v/>
      </c>
      <c r="G24" s="3" t="str">
        <f t="array" ref="G24">_xlfn.XLOOKUP(I24,Base_Datos!D:D,Base_Datos!B:B,"")</f>
        <v>DFSK</v>
      </c>
      <c r="H24" s="3" t="str">
        <f t="array" ref="H24">IF(I24="","",IFERROR(_xlfn.XLOOKUP(I24,Base_Datos!$D$2:$D3876,Base_Datos!$C$2:$C3876),""))</f>
        <v>Serie K</v>
      </c>
      <c r="I24" s="3" t="s">
        <v>475</v>
      </c>
      <c r="J24" s="3" t="str">
        <f>IF(I24="","",IFERROR(VLOOKUP(I24,Base_Datos!$D$2:$E$72,2,0),""))</f>
        <v>(1.1L)</v>
      </c>
      <c r="K24" s="3" t="s">
        <v>1805</v>
      </c>
      <c r="L24" s="3"/>
      <c r="M24" s="7">
        <v>0</v>
      </c>
      <c r="N24" s="7">
        <v>0</v>
      </c>
    </row>
    <row r="25" spans="1:14" ht="14.25" x14ac:dyDescent="0.2">
      <c r="A25" s="3">
        <v>240</v>
      </c>
      <c r="B25" s="3" t="s">
        <v>1808</v>
      </c>
      <c r="C25" s="3" t="s">
        <v>5</v>
      </c>
      <c r="D25" s="6" t="s">
        <v>564</v>
      </c>
      <c r="E25" s="6" t="s">
        <v>564</v>
      </c>
      <c r="F25" s="3" t="str">
        <f>IFERROR( VLOOKUP(A25,#REF!,2,0),"")</f>
        <v/>
      </c>
      <c r="G25" s="3" t="str">
        <f t="array" ref="G25">_xlfn.XLOOKUP(I25,Base_Datos!D:D,Base_Datos!B:B,"")</f>
        <v>DFSK</v>
      </c>
      <c r="H25" s="3" t="str">
        <f t="array" ref="H25">IF(I25="","",IFERROR(_xlfn.XLOOKUP(I25,Base_Datos!$D$2:$D3876,Base_Datos!$C$2:$C3876),""))</f>
        <v>Serie K</v>
      </c>
      <c r="I25" s="3" t="s">
        <v>475</v>
      </c>
      <c r="J25" s="3" t="str">
        <f>IF(I25="","",IFERROR(VLOOKUP(I25,Base_Datos!$D$2:$E$72,2,0),""))</f>
        <v>(1.1L)</v>
      </c>
      <c r="K25" s="3"/>
      <c r="L25" s="3"/>
      <c r="M25" s="7">
        <v>0</v>
      </c>
      <c r="N25" s="7">
        <v>0</v>
      </c>
    </row>
    <row r="26" spans="1:14" ht="14.25" x14ac:dyDescent="0.2">
      <c r="A26" s="3">
        <v>241</v>
      </c>
      <c r="B26" s="3" t="s">
        <v>1809</v>
      </c>
      <c r="C26" s="3" t="s">
        <v>5</v>
      </c>
      <c r="D26" s="6" t="s">
        <v>564</v>
      </c>
      <c r="E26" s="6" t="s">
        <v>564</v>
      </c>
      <c r="F26" s="3" t="str">
        <f>IFERROR( VLOOKUP(A26,#REF!,2,0),"")</f>
        <v/>
      </c>
      <c r="G26" s="3" t="str">
        <f t="array" ref="G26">_xlfn.XLOOKUP(I26,Base_Datos!D:D,Base_Datos!B:B,"")</f>
        <v>DFSK</v>
      </c>
      <c r="H26" s="3" t="str">
        <f t="array" ref="H26">IF(I26="","",IFERROR(_xlfn.XLOOKUP(I26,Base_Datos!$D$2:$D3876,Base_Datos!$C$2:$C3876),""))</f>
        <v>Serie K</v>
      </c>
      <c r="I26" s="3" t="s">
        <v>475</v>
      </c>
      <c r="J26" s="3" t="str">
        <f>IF(I26="","",IFERROR(VLOOKUP(I26,Base_Datos!$D$2:$E$72,2,0),""))</f>
        <v>(1.1L)</v>
      </c>
      <c r="K26" s="3"/>
      <c r="L26" s="3"/>
      <c r="M26" s="7">
        <v>0</v>
      </c>
      <c r="N26" s="7">
        <v>0</v>
      </c>
    </row>
    <row r="27" spans="1:14" ht="14.25" x14ac:dyDescent="0.2">
      <c r="A27" s="3">
        <v>242</v>
      </c>
      <c r="B27" s="3" t="s">
        <v>1810</v>
      </c>
      <c r="C27" s="3" t="s">
        <v>5</v>
      </c>
      <c r="D27" s="6" t="s">
        <v>564</v>
      </c>
      <c r="E27" s="6" t="s">
        <v>564</v>
      </c>
      <c r="F27" s="3" t="str">
        <f>IFERROR( VLOOKUP(A27,#REF!,2,0),"")</f>
        <v/>
      </c>
      <c r="G27" s="3" t="str">
        <f t="array" ref="G27">_xlfn.XLOOKUP(I27,Base_Datos!D:D,Base_Datos!B:B,"")</f>
        <v>DFSK</v>
      </c>
      <c r="H27" s="3" t="str">
        <f t="array" ref="H27">IF(I27="","",IFERROR(_xlfn.XLOOKUP(I27,Base_Datos!$D$2:$D3876,Base_Datos!$C$2:$C3876),""))</f>
        <v>Serie K</v>
      </c>
      <c r="I27" s="3" t="s">
        <v>475</v>
      </c>
      <c r="J27" s="3" t="str">
        <f>IF(I27="","",IFERROR(VLOOKUP(I27,Base_Datos!$D$2:$E$72,2,0),""))</f>
        <v>(1.1L)</v>
      </c>
      <c r="K27" s="3"/>
      <c r="L27" s="3"/>
      <c r="M27" s="7">
        <v>0</v>
      </c>
      <c r="N27" s="7">
        <v>0</v>
      </c>
    </row>
    <row r="28" spans="1:14" ht="14.25" x14ac:dyDescent="0.2">
      <c r="A28" s="3">
        <v>243</v>
      </c>
      <c r="B28" s="3" t="s">
        <v>1811</v>
      </c>
      <c r="C28" s="3" t="s">
        <v>5</v>
      </c>
      <c r="D28" s="6" t="s">
        <v>564</v>
      </c>
      <c r="E28" s="6" t="s">
        <v>564</v>
      </c>
      <c r="F28" s="3" t="str">
        <f>IFERROR( VLOOKUP(A28,#REF!,2,0),"")</f>
        <v/>
      </c>
      <c r="G28" s="3" t="str">
        <f t="array" ref="G28">_xlfn.XLOOKUP(I28,Base_Datos!D:D,Base_Datos!B:B,"")</f>
        <v>DFSK</v>
      </c>
      <c r="H28" s="3" t="str">
        <f t="array" ref="H28">IF(I28="","",IFERROR(_xlfn.XLOOKUP(I28,Base_Datos!$D$2:$D3876,Base_Datos!$C$2:$C3876),""))</f>
        <v>Serie K</v>
      </c>
      <c r="I28" s="3" t="s">
        <v>475</v>
      </c>
      <c r="J28" s="3" t="str">
        <f>IF(I28="","",IFERROR(VLOOKUP(I28,Base_Datos!$D$2:$E$72,2,0),""))</f>
        <v>(1.1L)</v>
      </c>
      <c r="K28" s="3"/>
      <c r="L28" s="3"/>
      <c r="M28" s="7">
        <v>0</v>
      </c>
      <c r="N28" s="7">
        <v>0</v>
      </c>
    </row>
    <row r="29" spans="1:14" ht="14.25" x14ac:dyDescent="0.2">
      <c r="A29" s="3">
        <v>244</v>
      </c>
      <c r="B29" s="3" t="s">
        <v>1812</v>
      </c>
      <c r="C29" s="3" t="s">
        <v>5</v>
      </c>
      <c r="D29" s="6" t="s">
        <v>564</v>
      </c>
      <c r="E29" s="6" t="s">
        <v>564</v>
      </c>
      <c r="F29" s="3" t="str">
        <f>IFERROR( VLOOKUP(A29,#REF!,2,0),"")</f>
        <v/>
      </c>
      <c r="G29" s="3" t="str">
        <f t="array" ref="G29">_xlfn.XLOOKUP(I29,Base_Datos!D:D,Base_Datos!B:B,"")</f>
        <v>DFSK</v>
      </c>
      <c r="H29" s="3" t="str">
        <f t="array" ref="H29">IF(I29="","",IFERROR(_xlfn.XLOOKUP(I29,Base_Datos!$D$2:$D3876,Base_Datos!$C$2:$C3876),""))</f>
        <v>Serie K</v>
      </c>
      <c r="I29" s="3" t="s">
        <v>475</v>
      </c>
      <c r="J29" s="3" t="str">
        <f>IF(I29="","",IFERROR(VLOOKUP(I29,Base_Datos!$D$2:$E$72,2,0),""))</f>
        <v>(1.1L)</v>
      </c>
      <c r="K29" s="3"/>
      <c r="L29" s="3"/>
      <c r="M29" s="7">
        <v>0</v>
      </c>
      <c r="N29" s="7">
        <v>0</v>
      </c>
    </row>
    <row r="30" spans="1:14" ht="14.25" x14ac:dyDescent="0.2">
      <c r="A30" s="3">
        <v>245</v>
      </c>
      <c r="B30" s="3" t="s">
        <v>1813</v>
      </c>
      <c r="C30" s="3" t="s">
        <v>5</v>
      </c>
      <c r="D30" s="6" t="s">
        <v>1782</v>
      </c>
      <c r="E30" s="6" t="s">
        <v>1782</v>
      </c>
      <c r="F30" s="3" t="str">
        <f>IFERROR( VLOOKUP(A30,#REF!,2,0),"")</f>
        <v/>
      </c>
      <c r="G30" s="3" t="str">
        <f t="array" ref="G30">_xlfn.XLOOKUP(I30,Base_Datos!D:D,Base_Datos!B:B,"")</f>
        <v>DFSK</v>
      </c>
      <c r="H30" s="3" t="str">
        <f t="array" ref="H30">IF(I30="","",IFERROR(_xlfn.XLOOKUP(I30,Base_Datos!$D$2:$D3876,Base_Datos!$C$2:$C3876),""))</f>
        <v>Serie C</v>
      </c>
      <c r="I30" s="3" t="s">
        <v>265</v>
      </c>
      <c r="J30" s="3" t="str">
        <f>IF(I30="","",IFERROR(VLOOKUP(I30,Base_Datos!$D$2:$E$72,2,0),""))</f>
        <v>(1.5L)</v>
      </c>
      <c r="K30" s="3"/>
      <c r="L30" s="3"/>
      <c r="M30" s="7">
        <v>0</v>
      </c>
      <c r="N30" s="7">
        <v>0</v>
      </c>
    </row>
    <row r="31" spans="1:14" ht="14.25" x14ac:dyDescent="0.2">
      <c r="A31" s="3">
        <v>246</v>
      </c>
      <c r="B31" s="3" t="s">
        <v>1814</v>
      </c>
      <c r="C31" s="3" t="s">
        <v>5</v>
      </c>
      <c r="D31" s="6" t="s">
        <v>1782</v>
      </c>
      <c r="E31" s="6" t="s">
        <v>1782</v>
      </c>
      <c r="F31" s="3" t="str">
        <f>IFERROR( VLOOKUP(A31,#REF!,2,0),"")</f>
        <v/>
      </c>
      <c r="G31" s="3" t="str">
        <f t="array" ref="G31">_xlfn.XLOOKUP(I31,Base_Datos!D:D,Base_Datos!B:B,"")</f>
        <v>DFSK</v>
      </c>
      <c r="H31" s="3" t="str">
        <f t="array" ref="H31">IF(I31="","",IFERROR(_xlfn.XLOOKUP(I31,Base_Datos!$D$2:$D3876,Base_Datos!$C$2:$C3876),""))</f>
        <v>Serie C</v>
      </c>
      <c r="I31" s="3" t="s">
        <v>265</v>
      </c>
      <c r="J31" s="3" t="str">
        <f>IF(I31="","",IFERROR(VLOOKUP(I31,Base_Datos!$D$2:$E$72,2,0),""))</f>
        <v>(1.5L)</v>
      </c>
      <c r="K31" s="3"/>
      <c r="L31" s="3"/>
      <c r="M31" s="7">
        <v>0</v>
      </c>
      <c r="N31" s="7">
        <v>0</v>
      </c>
    </row>
    <row r="32" spans="1:14" ht="14.25" x14ac:dyDescent="0.2">
      <c r="A32" s="3">
        <v>247</v>
      </c>
      <c r="B32" s="3" t="s">
        <v>1815</v>
      </c>
      <c r="C32" s="3" t="s">
        <v>5</v>
      </c>
      <c r="D32" s="6" t="s">
        <v>1782</v>
      </c>
      <c r="E32" s="6" t="s">
        <v>1782</v>
      </c>
      <c r="F32" s="3" t="str">
        <f>IFERROR( VLOOKUP(A32,#REF!,2,0),"")</f>
        <v/>
      </c>
      <c r="G32" s="3" t="str">
        <f t="array" ref="G32">_xlfn.XLOOKUP(I32,Base_Datos!D:D,Base_Datos!B:B,"")</f>
        <v>DFSK</v>
      </c>
      <c r="H32" s="3" t="str">
        <f t="array" ref="H32">IF(I32="","",IFERROR(_xlfn.XLOOKUP(I32,Base_Datos!$D$2:$D3876,Base_Datos!$C$2:$C3876),""))</f>
        <v>Serie C</v>
      </c>
      <c r="I32" s="3" t="s">
        <v>265</v>
      </c>
      <c r="J32" s="3" t="str">
        <f>IF(I32="","",IFERROR(VLOOKUP(I32,Base_Datos!$D$2:$E$72,2,0),""))</f>
        <v>(1.5L)</v>
      </c>
      <c r="K32" s="3"/>
      <c r="L32" s="3"/>
      <c r="M32" s="7">
        <v>0</v>
      </c>
      <c r="N32" s="7">
        <v>0</v>
      </c>
    </row>
    <row r="33" spans="1:14" ht="14.25" x14ac:dyDescent="0.2">
      <c r="A33" s="3">
        <v>248</v>
      </c>
      <c r="B33" s="3" t="s">
        <v>1816</v>
      </c>
      <c r="C33" s="3" t="s">
        <v>5</v>
      </c>
      <c r="D33" s="6" t="s">
        <v>834</v>
      </c>
      <c r="E33" s="6" t="s">
        <v>834</v>
      </c>
      <c r="F33" s="3" t="str">
        <f>IFERROR( VLOOKUP(A33,#REF!,2,0),"")</f>
        <v/>
      </c>
      <c r="G33" s="3" t="str">
        <f t="array" ref="G33">_xlfn.XLOOKUP(I33,Base_Datos!D:D,Base_Datos!B:B,"")</f>
        <v>DFSK</v>
      </c>
      <c r="H33" s="3" t="str">
        <f t="array" ref="H33">IF(I33="","",IFERROR(_xlfn.XLOOKUP(I33,Base_Datos!$D$2:$D3876,Base_Datos!$C$2:$C3876),""))</f>
        <v>Serie D</v>
      </c>
      <c r="I33" s="3" t="s">
        <v>145</v>
      </c>
      <c r="J33" s="3" t="str">
        <f>IF(I33="","",IFERROR(VLOOKUP(I33,Base_Datos!$D$2:$E$72,2,0),""))</f>
        <v>(2.4L)</v>
      </c>
      <c r="K33" s="3" t="s">
        <v>1817</v>
      </c>
      <c r="L33" s="3"/>
      <c r="M33" s="7">
        <v>0</v>
      </c>
      <c r="N33" s="7">
        <v>0</v>
      </c>
    </row>
    <row r="34" spans="1:14" ht="14.25" x14ac:dyDescent="0.2">
      <c r="A34" s="3">
        <v>249</v>
      </c>
      <c r="B34" s="3" t="s">
        <v>1818</v>
      </c>
      <c r="C34" s="3" t="s">
        <v>5</v>
      </c>
      <c r="D34" s="6" t="s">
        <v>834</v>
      </c>
      <c r="E34" s="6" t="s">
        <v>834</v>
      </c>
      <c r="F34" s="3" t="str">
        <f>IFERROR( VLOOKUP(A34,#REF!,2,0),"")</f>
        <v/>
      </c>
      <c r="G34" s="3" t="str">
        <f t="array" ref="G34">_xlfn.XLOOKUP(I34,Base_Datos!D:D,Base_Datos!B:B,"")</f>
        <v>DFSK</v>
      </c>
      <c r="H34" s="3" t="str">
        <f t="array" ref="H34">IF(I34="","",IFERROR(_xlfn.XLOOKUP(I34,Base_Datos!$D$2:$D3876,Base_Datos!$C$2:$C3876),""))</f>
        <v>Serie D</v>
      </c>
      <c r="I34" s="3" t="s">
        <v>145</v>
      </c>
      <c r="J34" s="3" t="str">
        <f>IF(I34="","",IFERROR(VLOOKUP(I34,Base_Datos!$D$2:$E$72,2,0),""))</f>
        <v>(2.4L)</v>
      </c>
      <c r="K34" s="3" t="s">
        <v>1817</v>
      </c>
      <c r="L34" s="3"/>
      <c r="M34" s="7">
        <v>0</v>
      </c>
      <c r="N34" s="7">
        <v>0</v>
      </c>
    </row>
    <row r="35" spans="1:14" ht="14.25" x14ac:dyDescent="0.2">
      <c r="A35" s="3">
        <v>250</v>
      </c>
      <c r="B35" s="3" t="s">
        <v>1819</v>
      </c>
      <c r="C35" s="3" t="s">
        <v>5</v>
      </c>
      <c r="D35" s="6" t="s">
        <v>834</v>
      </c>
      <c r="E35" s="6" t="s">
        <v>834</v>
      </c>
      <c r="F35" s="3" t="str">
        <f>IFERROR( VLOOKUP(A35,#REF!,2,0),"")</f>
        <v/>
      </c>
      <c r="G35" s="3" t="str">
        <f t="array" ref="G35">_xlfn.XLOOKUP(I35,Base_Datos!D:D,Base_Datos!B:B,"")</f>
        <v>DFSK</v>
      </c>
      <c r="H35" s="3" t="str">
        <f t="array" ref="H35">IF(I35="","",IFERROR(_xlfn.XLOOKUP(I35,Base_Datos!$D$2:$D3876,Base_Datos!$C$2:$C3876),""))</f>
        <v>Serie D</v>
      </c>
      <c r="I35" s="3" t="s">
        <v>145</v>
      </c>
      <c r="J35" s="3" t="str">
        <f>IF(I35="","",IFERROR(VLOOKUP(I35,Base_Datos!$D$2:$E$72,2,0),""))</f>
        <v>(2.4L)</v>
      </c>
      <c r="K35" s="3" t="s">
        <v>1817</v>
      </c>
      <c r="L35" s="3"/>
      <c r="M35" s="7">
        <v>0</v>
      </c>
      <c r="N35" s="7">
        <v>0</v>
      </c>
    </row>
    <row r="36" spans="1:14" ht="14.25" x14ac:dyDescent="0.2">
      <c r="A36" s="3">
        <v>251</v>
      </c>
      <c r="B36" s="3" t="s">
        <v>1820</v>
      </c>
      <c r="C36" s="3" t="s">
        <v>5</v>
      </c>
      <c r="D36" s="6" t="s">
        <v>834</v>
      </c>
      <c r="E36" s="6" t="s">
        <v>834</v>
      </c>
      <c r="F36" s="3" t="str">
        <f>IFERROR( VLOOKUP(A36,#REF!,2,0),"")</f>
        <v/>
      </c>
      <c r="G36" s="3" t="str">
        <f t="array" ref="G36">_xlfn.XLOOKUP(I36,Base_Datos!D:D,Base_Datos!B:B,"")</f>
        <v>DFSK</v>
      </c>
      <c r="H36" s="3" t="str">
        <f t="array" ref="H36">IF(I36="","",IFERROR(_xlfn.XLOOKUP(I36,Base_Datos!$D$2:$D3876,Base_Datos!$C$2:$C3876),""))</f>
        <v>Serie D</v>
      </c>
      <c r="I36" s="3" t="s">
        <v>145</v>
      </c>
      <c r="J36" s="3" t="str">
        <f>IF(I36="","",IFERROR(VLOOKUP(I36,Base_Datos!$D$2:$E$72,2,0),""))</f>
        <v>(2.4L)</v>
      </c>
      <c r="K36" s="3" t="s">
        <v>1817</v>
      </c>
      <c r="L36" s="3"/>
      <c r="M36" s="7">
        <v>0</v>
      </c>
      <c r="N36" s="7">
        <v>0</v>
      </c>
    </row>
    <row r="37" spans="1:14" ht="14.25" x14ac:dyDescent="0.2">
      <c r="A37" s="3">
        <v>252</v>
      </c>
      <c r="B37" s="3" t="s">
        <v>1821</v>
      </c>
      <c r="C37" s="3" t="s">
        <v>5</v>
      </c>
      <c r="D37" s="6" t="s">
        <v>834</v>
      </c>
      <c r="E37" s="6" t="s">
        <v>834</v>
      </c>
      <c r="F37" s="3" t="str">
        <f>IFERROR( VLOOKUP(A37,#REF!,2,0),"")</f>
        <v/>
      </c>
      <c r="G37" s="3" t="str">
        <f t="array" ref="G37">_xlfn.XLOOKUP(I37,Base_Datos!D:D,Base_Datos!B:B,"")</f>
        <v>DFSK</v>
      </c>
      <c r="H37" s="3" t="str">
        <f t="array" ref="H37">IF(I37="","",IFERROR(_xlfn.XLOOKUP(I37,Base_Datos!$D$2:$D3876,Base_Datos!$C$2:$C3876),""))</f>
        <v>Serie D</v>
      </c>
      <c r="I37" s="3" t="s">
        <v>145</v>
      </c>
      <c r="J37" s="3" t="str">
        <f>IF(I37="","",IFERROR(VLOOKUP(I37,Base_Datos!$D$2:$E$72,2,0),""))</f>
        <v>(2.4L)</v>
      </c>
      <c r="K37" s="3" t="s">
        <v>1817</v>
      </c>
      <c r="L37" s="3"/>
      <c r="M37" s="7">
        <v>0</v>
      </c>
      <c r="N37" s="7">
        <v>0</v>
      </c>
    </row>
    <row r="38" spans="1:14" ht="14.25" x14ac:dyDescent="0.2">
      <c r="A38" s="3">
        <v>253</v>
      </c>
      <c r="B38" s="3" t="s">
        <v>1822</v>
      </c>
      <c r="C38" s="3" t="s">
        <v>5</v>
      </c>
      <c r="D38" s="6" t="s">
        <v>834</v>
      </c>
      <c r="E38" s="6" t="s">
        <v>834</v>
      </c>
      <c r="F38" s="3" t="str">
        <f>IFERROR( VLOOKUP(A38,#REF!,2,0),"")</f>
        <v/>
      </c>
      <c r="G38" s="3" t="str">
        <f t="array" ref="G38">_xlfn.XLOOKUP(I38,Base_Datos!D:D,Base_Datos!B:B,"")</f>
        <v>DFSK</v>
      </c>
      <c r="H38" s="3" t="str">
        <f t="array" ref="H38">IF(I38="","",IFERROR(_xlfn.XLOOKUP(I38,Base_Datos!$D$2:$D3876,Base_Datos!$C$2:$C3876),""))</f>
        <v>Serie D</v>
      </c>
      <c r="I38" s="3" t="s">
        <v>145</v>
      </c>
      <c r="J38" s="3" t="str">
        <f>IF(I38="","",IFERROR(VLOOKUP(I38,Base_Datos!$D$2:$E$72,2,0),""))</f>
        <v>(2.4L)</v>
      </c>
      <c r="K38" s="3" t="s">
        <v>1817</v>
      </c>
      <c r="L38" s="3"/>
      <c r="M38" s="7">
        <v>0</v>
      </c>
      <c r="N38" s="7">
        <v>0</v>
      </c>
    </row>
    <row r="39" spans="1:14" ht="14.25" x14ac:dyDescent="0.2">
      <c r="A39" s="3">
        <v>254</v>
      </c>
      <c r="B39" s="3" t="s">
        <v>1823</v>
      </c>
      <c r="C39" s="3" t="s">
        <v>5</v>
      </c>
      <c r="D39" s="6" t="s">
        <v>834</v>
      </c>
      <c r="E39" s="6" t="s">
        <v>834</v>
      </c>
      <c r="F39" s="3" t="str">
        <f>IFERROR( VLOOKUP(A39,#REF!,2,0),"")</f>
        <v/>
      </c>
      <c r="G39" s="3" t="str">
        <f t="array" ref="G39">_xlfn.XLOOKUP(I39,Base_Datos!D:D,Base_Datos!B:B,"")</f>
        <v>DFSK</v>
      </c>
      <c r="H39" s="3" t="str">
        <f t="array" ref="H39">IF(I39="","",IFERROR(_xlfn.XLOOKUP(I39,Base_Datos!$D$2:$D3876,Base_Datos!$C$2:$C3876),""))</f>
        <v>Serie D</v>
      </c>
      <c r="I39" s="3" t="s">
        <v>145</v>
      </c>
      <c r="J39" s="3" t="str">
        <f>IF(I39="","",IFERROR(VLOOKUP(I39,Base_Datos!$D$2:$E$72,2,0),""))</f>
        <v>(2.4L)</v>
      </c>
      <c r="K39" s="3" t="s">
        <v>1817</v>
      </c>
      <c r="L39" s="3"/>
      <c r="M39" s="7">
        <v>0</v>
      </c>
      <c r="N39" s="7">
        <v>0</v>
      </c>
    </row>
    <row r="40" spans="1:14" ht="14.25" x14ac:dyDescent="0.2">
      <c r="A40" s="3">
        <v>255</v>
      </c>
      <c r="B40" s="3" t="s">
        <v>1824</v>
      </c>
      <c r="C40" s="3" t="s">
        <v>5</v>
      </c>
      <c r="D40" s="6" t="s">
        <v>834</v>
      </c>
      <c r="E40" s="6" t="s">
        <v>834</v>
      </c>
      <c r="F40" s="3" t="str">
        <f>IFERROR( VLOOKUP(A40,#REF!,2,0),"")</f>
        <v/>
      </c>
      <c r="G40" s="3" t="str">
        <f t="array" ref="G40">_xlfn.XLOOKUP(I40,Base_Datos!D:D,Base_Datos!B:B,"")</f>
        <v>DFSK</v>
      </c>
      <c r="H40" s="3" t="str">
        <f t="array" ref="H40">IF(I40="","",IFERROR(_xlfn.XLOOKUP(I40,Base_Datos!$D$2:$D3876,Base_Datos!$C$2:$C3876),""))</f>
        <v>Serie D</v>
      </c>
      <c r="I40" s="3" t="s">
        <v>145</v>
      </c>
      <c r="J40" s="3" t="str">
        <f>IF(I40="","",IFERROR(VLOOKUP(I40,Base_Datos!$D$2:$E$72,2,0),""))</f>
        <v>(2.4L)</v>
      </c>
      <c r="K40" s="3" t="s">
        <v>1817</v>
      </c>
      <c r="L40" s="3"/>
      <c r="M40" s="7">
        <v>0</v>
      </c>
      <c r="N40" s="7">
        <v>0</v>
      </c>
    </row>
    <row r="41" spans="1:14" ht="14.25" x14ac:dyDescent="0.2">
      <c r="A41" s="3">
        <v>256</v>
      </c>
      <c r="B41" s="3" t="s">
        <v>1825</v>
      </c>
      <c r="C41" s="3" t="s">
        <v>5</v>
      </c>
      <c r="D41" s="6" t="s">
        <v>834</v>
      </c>
      <c r="E41" s="6" t="s">
        <v>834</v>
      </c>
      <c r="F41" s="3" t="str">
        <f>IFERROR( VLOOKUP(A41,#REF!,2,0),"")</f>
        <v/>
      </c>
      <c r="G41" s="3" t="str">
        <f t="array" ref="G41">_xlfn.XLOOKUP(I41,Base_Datos!D:D,Base_Datos!B:B,"")</f>
        <v>DFSK</v>
      </c>
      <c r="H41" s="3" t="str">
        <f t="array" ref="H41">IF(I41="","",IFERROR(_xlfn.XLOOKUP(I41,Base_Datos!$D$2:$D3876,Base_Datos!$C$2:$C3876),""))</f>
        <v>Serie D</v>
      </c>
      <c r="I41" s="3" t="s">
        <v>145</v>
      </c>
      <c r="J41" s="3" t="str">
        <f>IF(I41="","",IFERROR(VLOOKUP(I41,Base_Datos!$D$2:$E$72,2,0),""))</f>
        <v>(2.4L)</v>
      </c>
      <c r="K41" s="3" t="s">
        <v>1817</v>
      </c>
      <c r="L41" s="3"/>
      <c r="M41" s="7">
        <v>0</v>
      </c>
      <c r="N41" s="7">
        <v>0</v>
      </c>
    </row>
    <row r="42" spans="1:14" ht="14.25" x14ac:dyDescent="0.2">
      <c r="A42" s="3">
        <v>257</v>
      </c>
      <c r="B42" s="3" t="s">
        <v>1826</v>
      </c>
      <c r="C42" s="3" t="s">
        <v>5</v>
      </c>
      <c r="D42" s="6" t="s">
        <v>834</v>
      </c>
      <c r="E42" s="6" t="s">
        <v>834</v>
      </c>
      <c r="F42" s="3" t="str">
        <f>IFERROR( VLOOKUP(A42,#REF!,2,0),"")</f>
        <v/>
      </c>
      <c r="G42" s="3" t="str">
        <f t="array" ref="G42">_xlfn.XLOOKUP(I42,Base_Datos!D:D,Base_Datos!B:B,"")</f>
        <v>DFSK</v>
      </c>
      <c r="H42" s="3" t="str">
        <f t="array" ref="H42">IF(I42="","",IFERROR(_xlfn.XLOOKUP(I42,Base_Datos!$D$2:$D3876,Base_Datos!$C$2:$C3876),""))</f>
        <v>Serie D</v>
      </c>
      <c r="I42" s="3" t="s">
        <v>145</v>
      </c>
      <c r="J42" s="3" t="str">
        <f>IF(I42="","",IFERROR(VLOOKUP(I42,Base_Datos!$D$2:$E$72,2,0),""))</f>
        <v>(2.4L)</v>
      </c>
      <c r="K42" s="3" t="s">
        <v>1817</v>
      </c>
      <c r="L42" s="3"/>
      <c r="M42" s="7">
        <v>0</v>
      </c>
      <c r="N42" s="7">
        <v>0</v>
      </c>
    </row>
    <row r="43" spans="1:14" ht="14.25" x14ac:dyDescent="0.2">
      <c r="A43" s="3">
        <v>258</v>
      </c>
      <c r="B43" s="3" t="s">
        <v>1827</v>
      </c>
      <c r="C43" s="3" t="s">
        <v>5</v>
      </c>
      <c r="D43" s="6" t="s">
        <v>834</v>
      </c>
      <c r="E43" s="6" t="s">
        <v>834</v>
      </c>
      <c r="F43" s="3" t="str">
        <f>IFERROR( VLOOKUP(A43,#REF!,2,0),"")</f>
        <v/>
      </c>
      <c r="G43" s="3" t="str">
        <f t="array" ref="G43">_xlfn.XLOOKUP(I43,Base_Datos!D:D,Base_Datos!B:B,"")</f>
        <v>DFSK</v>
      </c>
      <c r="H43" s="3" t="str">
        <f t="array" ref="H43">IF(I43="","",IFERROR(_xlfn.XLOOKUP(I43,Base_Datos!$D$2:$D3876,Base_Datos!$C$2:$C3876),""))</f>
        <v>Serie D</v>
      </c>
      <c r="I43" s="3" t="s">
        <v>145</v>
      </c>
      <c r="J43" s="3" t="str">
        <f>IF(I43="","",IFERROR(VLOOKUP(I43,Base_Datos!$D$2:$E$72,2,0),""))</f>
        <v>(2.4L)</v>
      </c>
      <c r="K43" s="3" t="s">
        <v>1817</v>
      </c>
      <c r="L43" s="3"/>
      <c r="M43" s="7">
        <v>0</v>
      </c>
      <c r="N43" s="7">
        <v>0</v>
      </c>
    </row>
    <row r="44" spans="1:14" ht="14.25" x14ac:dyDescent="0.2">
      <c r="A44" s="3">
        <v>259</v>
      </c>
      <c r="B44" s="3" t="s">
        <v>1828</v>
      </c>
      <c r="C44" s="3" t="s">
        <v>5</v>
      </c>
      <c r="D44" s="6" t="s">
        <v>834</v>
      </c>
      <c r="E44" s="6" t="s">
        <v>834</v>
      </c>
      <c r="F44" s="3" t="str">
        <f>IFERROR( VLOOKUP(A44,#REF!,2,0),"")</f>
        <v/>
      </c>
      <c r="G44" s="3" t="str">
        <f t="array" ref="G44">_xlfn.XLOOKUP(I44,Base_Datos!D:D,Base_Datos!B:B,"")</f>
        <v>DFSK</v>
      </c>
      <c r="H44" s="3" t="str">
        <f t="array" ref="H44">IF(I44="","",IFERROR(_xlfn.XLOOKUP(I44,Base_Datos!$D$2:$D3876,Base_Datos!$C$2:$C3876),""))</f>
        <v>Serie Glory</v>
      </c>
      <c r="I44" s="3" t="s">
        <v>1765</v>
      </c>
      <c r="J44" s="3" t="str">
        <f>IF(I44="","",IFERROR(VLOOKUP(I44,Base_Datos!$D$2:$E$72,2,0),""))</f>
        <v>(1.5L)</v>
      </c>
      <c r="K44" s="3" t="s">
        <v>1817</v>
      </c>
      <c r="L44" s="3"/>
      <c r="M44" s="7">
        <v>0</v>
      </c>
      <c r="N44" s="7">
        <v>0</v>
      </c>
    </row>
    <row r="45" spans="1:14" ht="14.25" x14ac:dyDescent="0.2">
      <c r="A45" s="3">
        <v>260</v>
      </c>
      <c r="B45" s="3" t="s">
        <v>1829</v>
      </c>
      <c r="C45" s="3" t="s">
        <v>5</v>
      </c>
      <c r="D45" s="6" t="s">
        <v>1782</v>
      </c>
      <c r="E45" s="6" t="s">
        <v>1782</v>
      </c>
      <c r="F45" s="3" t="str">
        <f>IFERROR( VLOOKUP(A45,#REF!,2,0),"")</f>
        <v/>
      </c>
      <c r="G45" s="3" t="str">
        <f t="array" ref="G45">_xlfn.XLOOKUP(I45,Base_Datos!D:D,Base_Datos!B:B,"")</f>
        <v>DFSK</v>
      </c>
      <c r="H45" s="3" t="str">
        <f t="array" ref="H45">IF(I45="","",IFERROR(_xlfn.XLOOKUP(I45,Base_Datos!$D$2:$D3876,Base_Datos!$C$2:$C3876),""))</f>
        <v>Serie Glory</v>
      </c>
      <c r="I45" s="3" t="s">
        <v>1765</v>
      </c>
      <c r="J45" s="3" t="str">
        <f>IF(I45="","",IFERROR(VLOOKUP(I45,Base_Datos!$D$2:$E$72,2,0),""))</f>
        <v>(1.5L)</v>
      </c>
      <c r="K45" s="3" t="s">
        <v>1801</v>
      </c>
      <c r="L45" s="3"/>
      <c r="M45" s="7">
        <v>0</v>
      </c>
      <c r="N45" s="7">
        <v>0</v>
      </c>
    </row>
    <row r="46" spans="1:14" ht="14.25" x14ac:dyDescent="0.2">
      <c r="A46" s="3">
        <v>261</v>
      </c>
      <c r="B46" s="3" t="s">
        <v>1830</v>
      </c>
      <c r="C46" s="3" t="s">
        <v>5</v>
      </c>
      <c r="D46" s="6" t="s">
        <v>1782</v>
      </c>
      <c r="E46" s="6" t="s">
        <v>1782</v>
      </c>
      <c r="F46" s="3" t="str">
        <f>IFERROR( VLOOKUP(A46,#REF!,2,0),"")</f>
        <v/>
      </c>
      <c r="G46" s="3" t="str">
        <f t="array" ref="G46">_xlfn.XLOOKUP(I46,Base_Datos!D:D,Base_Datos!B:B,"")</f>
        <v>DFSK</v>
      </c>
      <c r="H46" s="3" t="str">
        <f t="array" ref="H46">IF(I46="","",IFERROR(_xlfn.XLOOKUP(I46,Base_Datos!$D$2:$D3876,Base_Datos!$C$2:$C3876),""))</f>
        <v>Serie Glory</v>
      </c>
      <c r="I46" s="3" t="s">
        <v>1765</v>
      </c>
      <c r="J46" s="3" t="str">
        <f>IF(I46="","",IFERROR(VLOOKUP(I46,Base_Datos!$D$2:$E$72,2,0),""))</f>
        <v>(1.5L)</v>
      </c>
      <c r="K46" s="3" t="s">
        <v>1801</v>
      </c>
      <c r="L46" s="3"/>
      <c r="M46" s="7">
        <v>0</v>
      </c>
      <c r="N46" s="7">
        <v>0</v>
      </c>
    </row>
    <row r="47" spans="1:14" ht="14.25" x14ac:dyDescent="0.2">
      <c r="A47" s="3">
        <v>262</v>
      </c>
      <c r="B47" s="3" t="s">
        <v>1831</v>
      </c>
      <c r="C47" s="3" t="s">
        <v>5</v>
      </c>
      <c r="D47" s="6" t="s">
        <v>834</v>
      </c>
      <c r="E47" s="6" t="s">
        <v>834</v>
      </c>
      <c r="F47" s="3" t="str">
        <f>IFERROR( VLOOKUP(A47,#REF!,2,0),"")</f>
        <v/>
      </c>
      <c r="G47" s="3" t="str">
        <f t="array" ref="G47">_xlfn.XLOOKUP(I47,Base_Datos!D:D,Base_Datos!B:B,"")</f>
        <v>DFSK</v>
      </c>
      <c r="H47" s="3" t="str">
        <f t="array" ref="H47">IF(I47="","",IFERROR(_xlfn.XLOOKUP(I47,Base_Datos!$D$2:$D3876,Base_Datos!$C$2:$C3876),""))</f>
        <v>Serie Glory</v>
      </c>
      <c r="I47" s="3" t="s">
        <v>1765</v>
      </c>
      <c r="J47" s="3" t="str">
        <f>IF(I47="","",IFERROR(VLOOKUP(I47,Base_Datos!$D$2:$E$72,2,0),""))</f>
        <v>(1.5L)</v>
      </c>
      <c r="K47" s="3" t="s">
        <v>1817</v>
      </c>
      <c r="L47" s="3"/>
      <c r="M47" s="7">
        <v>0</v>
      </c>
      <c r="N47" s="7">
        <v>0</v>
      </c>
    </row>
    <row r="48" spans="1:14" ht="14.25" x14ac:dyDescent="0.2">
      <c r="A48" s="3">
        <v>263</v>
      </c>
      <c r="B48" s="3" t="s">
        <v>1832</v>
      </c>
      <c r="C48" s="3" t="s">
        <v>5</v>
      </c>
      <c r="D48" s="6" t="s">
        <v>834</v>
      </c>
      <c r="E48" s="6" t="s">
        <v>834</v>
      </c>
      <c r="F48" s="3" t="str">
        <f>IFERROR( VLOOKUP(A48,#REF!,2,0),"")</f>
        <v/>
      </c>
      <c r="G48" s="3" t="str">
        <f t="array" ref="G48">_xlfn.XLOOKUP(I48,Base_Datos!D:D,Base_Datos!B:B,"")</f>
        <v>DFSK</v>
      </c>
      <c r="H48" s="3" t="str">
        <f t="array" ref="H48">IF(I48="","",IFERROR(_xlfn.XLOOKUP(I48,Base_Datos!$D$2:$D3876,Base_Datos!$C$2:$C3876),""))</f>
        <v>Serie Glory</v>
      </c>
      <c r="I48" s="3" t="s">
        <v>1765</v>
      </c>
      <c r="J48" s="3" t="str">
        <f>IF(I48="","",IFERROR(VLOOKUP(I48,Base_Datos!$D$2:$E$72,2,0),""))</f>
        <v>(1.5L)</v>
      </c>
      <c r="K48" s="3" t="s">
        <v>1817</v>
      </c>
      <c r="L48" s="3"/>
      <c r="M48" s="7">
        <v>0</v>
      </c>
      <c r="N48" s="7">
        <v>0</v>
      </c>
    </row>
    <row r="49" spans="1:14" ht="14.25" x14ac:dyDescent="0.2">
      <c r="A49" s="3">
        <v>264</v>
      </c>
      <c r="B49" s="3" t="s">
        <v>1833</v>
      </c>
      <c r="C49" s="3" t="s">
        <v>5</v>
      </c>
      <c r="D49" s="6" t="s">
        <v>834</v>
      </c>
      <c r="E49" s="6" t="s">
        <v>834</v>
      </c>
      <c r="F49" s="3" t="str">
        <f>IFERROR( VLOOKUP(A49,#REF!,2,0),"")</f>
        <v/>
      </c>
      <c r="G49" s="3" t="str">
        <f t="array" ref="G49">_xlfn.XLOOKUP(I49,Base_Datos!D:D,Base_Datos!B:B,"")</f>
        <v>DFSK</v>
      </c>
      <c r="H49" s="3" t="str">
        <f t="array" ref="H49">IF(I49="","",IFERROR(_xlfn.XLOOKUP(I49,Base_Datos!$D$2:$D3876,Base_Datos!$C$2:$C3876),""))</f>
        <v>Serie Glory</v>
      </c>
      <c r="I49" s="3" t="s">
        <v>1765</v>
      </c>
      <c r="J49" s="3" t="str">
        <f>IF(I49="","",IFERROR(VLOOKUP(I49,Base_Datos!$D$2:$E$72,2,0),""))</f>
        <v>(1.5L)</v>
      </c>
      <c r="K49" s="3" t="s">
        <v>1817</v>
      </c>
      <c r="L49" s="3"/>
      <c r="M49" s="7">
        <v>0</v>
      </c>
      <c r="N49" s="7">
        <v>0</v>
      </c>
    </row>
    <row r="50" spans="1:14" ht="14.25" x14ac:dyDescent="0.2">
      <c r="A50" s="3">
        <v>265</v>
      </c>
      <c r="B50" s="3" t="s">
        <v>1834</v>
      </c>
      <c r="C50" s="3" t="s">
        <v>5</v>
      </c>
      <c r="D50" s="6" t="s">
        <v>834</v>
      </c>
      <c r="E50" s="6" t="s">
        <v>834</v>
      </c>
      <c r="F50" s="3" t="str">
        <f>IFERROR( VLOOKUP(A50,#REF!,2,0),"")</f>
        <v/>
      </c>
      <c r="G50" s="3" t="str">
        <f t="array" ref="G50">_xlfn.XLOOKUP(I50,Base_Datos!D:D,Base_Datos!B:B,"")</f>
        <v>DFSK</v>
      </c>
      <c r="H50" s="3" t="str">
        <f t="array" ref="H50">IF(I50="","",IFERROR(_xlfn.XLOOKUP(I50,Base_Datos!$D$2:$D3876,Base_Datos!$C$2:$C3876),""))</f>
        <v>Serie K</v>
      </c>
      <c r="I50" s="3" t="s">
        <v>475</v>
      </c>
      <c r="J50" s="3" t="str">
        <f>IF(I50="","",IFERROR(VLOOKUP(I50,Base_Datos!$D$2:$E$72,2,0),""))</f>
        <v>(1.1L)</v>
      </c>
      <c r="K50" s="3" t="s">
        <v>1817</v>
      </c>
      <c r="L50" s="3"/>
      <c r="M50" s="7">
        <v>0</v>
      </c>
      <c r="N50" s="7">
        <v>0</v>
      </c>
    </row>
    <row r="51" spans="1:14" ht="14.25" x14ac:dyDescent="0.2">
      <c r="A51" s="3">
        <v>266</v>
      </c>
      <c r="B51" s="3" t="s">
        <v>1835</v>
      </c>
      <c r="C51" s="3" t="s">
        <v>5</v>
      </c>
      <c r="D51" s="6" t="s">
        <v>834</v>
      </c>
      <c r="E51" s="6" t="s">
        <v>834</v>
      </c>
      <c r="F51" s="3" t="str">
        <f>IFERROR( VLOOKUP(A51,#REF!,2,0),"")</f>
        <v/>
      </c>
      <c r="G51" s="3" t="str">
        <f t="array" ref="G51">_xlfn.XLOOKUP(I51,Base_Datos!D:D,Base_Datos!B:B,"")</f>
        <v>DFSK</v>
      </c>
      <c r="H51" s="3" t="str">
        <f t="array" ref="H51">IF(I51="","",IFERROR(_xlfn.XLOOKUP(I51,Base_Datos!$D$2:$D3876,Base_Datos!$C$2:$C3876),""))</f>
        <v>Serie K</v>
      </c>
      <c r="I51" s="3" t="s">
        <v>475</v>
      </c>
      <c r="J51" s="3" t="str">
        <f>IF(I51="","",IFERROR(VLOOKUP(I51,Base_Datos!$D$2:$E$72,2,0),""))</f>
        <v>(1.1L)</v>
      </c>
      <c r="K51" s="3" t="s">
        <v>1817</v>
      </c>
      <c r="L51" s="3"/>
      <c r="M51" s="7">
        <v>0</v>
      </c>
      <c r="N51" s="7">
        <v>0</v>
      </c>
    </row>
    <row r="52" spans="1:14" ht="14.25" x14ac:dyDescent="0.2">
      <c r="A52" s="3">
        <v>267</v>
      </c>
      <c r="B52" s="3" t="s">
        <v>1836</v>
      </c>
      <c r="C52" s="3" t="s">
        <v>5</v>
      </c>
      <c r="D52" s="6" t="s">
        <v>1782</v>
      </c>
      <c r="E52" s="6" t="s">
        <v>1782</v>
      </c>
      <c r="F52" s="3" t="str">
        <f>IFERROR( VLOOKUP(A52,#REF!,2,0),"")</f>
        <v/>
      </c>
      <c r="G52" s="3" t="str">
        <f t="array" ref="G52">_xlfn.XLOOKUP(I52,Base_Datos!D:D,Base_Datos!B:B,"")</f>
        <v>DFSK</v>
      </c>
      <c r="H52" s="3" t="str">
        <f t="array" ref="H52">IF(I52="","",IFERROR(_xlfn.XLOOKUP(I52,Base_Datos!$D$2:$D3876,Base_Datos!$C$2:$C3876),""))</f>
        <v>Serie Glory</v>
      </c>
      <c r="I52" s="3" t="s">
        <v>1765</v>
      </c>
      <c r="J52" s="3" t="str">
        <f>IF(I52="","",IFERROR(VLOOKUP(I52,Base_Datos!$D$2:$E$72,2,0),""))</f>
        <v>(1.5L)</v>
      </c>
      <c r="K52" s="3" t="s">
        <v>1801</v>
      </c>
      <c r="L52" s="3"/>
      <c r="M52" s="7">
        <v>0</v>
      </c>
      <c r="N52" s="7">
        <v>0</v>
      </c>
    </row>
    <row r="53" spans="1:14" ht="14.25" x14ac:dyDescent="0.2">
      <c r="A53" s="3">
        <v>268</v>
      </c>
      <c r="B53" s="3" t="s">
        <v>1837</v>
      </c>
      <c r="C53" s="3" t="s">
        <v>5</v>
      </c>
      <c r="D53" s="6" t="s">
        <v>834</v>
      </c>
      <c r="E53" s="6" t="s">
        <v>834</v>
      </c>
      <c r="F53" s="3" t="str">
        <f>IFERROR( VLOOKUP(A53,#REF!,2,0),"")</f>
        <v/>
      </c>
      <c r="G53" s="3" t="str">
        <f t="array" ref="G53">_xlfn.XLOOKUP(I53,Base_Datos!D:D,Base_Datos!B:B,"")</f>
        <v>DFSK</v>
      </c>
      <c r="H53" s="3" t="str">
        <f t="array" ref="H53">IF(I53="","",IFERROR(_xlfn.XLOOKUP(I53,Base_Datos!$D$2:$D3876,Base_Datos!$C$2:$C3876),""))</f>
        <v>Serie Glory</v>
      </c>
      <c r="I53" s="3" t="s">
        <v>1765</v>
      </c>
      <c r="J53" s="3" t="str">
        <f>IF(I53="","",IFERROR(VLOOKUP(I53,Base_Datos!$D$2:$E$72,2,0),""))</f>
        <v>(1.5L)</v>
      </c>
      <c r="K53" s="3" t="s">
        <v>1817</v>
      </c>
      <c r="L53" s="3"/>
      <c r="M53" s="7">
        <v>0</v>
      </c>
      <c r="N53" s="7">
        <v>0</v>
      </c>
    </row>
    <row r="54" spans="1:14" ht="14.25" x14ac:dyDescent="0.2">
      <c r="A54" s="3">
        <v>269</v>
      </c>
      <c r="B54" s="3" t="s">
        <v>1838</v>
      </c>
      <c r="C54" s="3" t="s">
        <v>5</v>
      </c>
      <c r="D54" s="6" t="s">
        <v>834</v>
      </c>
      <c r="E54" s="6" t="s">
        <v>834</v>
      </c>
      <c r="F54" s="3" t="str">
        <f>IFERROR( VLOOKUP(A54,#REF!,2,0),"")</f>
        <v/>
      </c>
      <c r="G54" s="3" t="str">
        <f t="array" ref="G54">_xlfn.XLOOKUP(I54,Base_Datos!D:D,Base_Datos!B:B,"")</f>
        <v>DFSK</v>
      </c>
      <c r="H54" s="3" t="str">
        <f t="array" ref="H54">IF(I54="","",IFERROR(_xlfn.XLOOKUP(I54,Base_Datos!$D$2:$D3876,Base_Datos!$C$2:$C3876),""))</f>
        <v>Serie Glory</v>
      </c>
      <c r="I54" s="3" t="s">
        <v>1765</v>
      </c>
      <c r="J54" s="3" t="str">
        <f>IF(I54="","",IFERROR(VLOOKUP(I54,Base_Datos!$D$2:$E$72,2,0),""))</f>
        <v>(1.5L)</v>
      </c>
      <c r="K54" s="3" t="s">
        <v>1817</v>
      </c>
      <c r="L54" s="3"/>
      <c r="M54" s="7">
        <v>0</v>
      </c>
      <c r="N54" s="7">
        <v>0</v>
      </c>
    </row>
    <row r="55" spans="1:14" ht="14.25" x14ac:dyDescent="0.2">
      <c r="A55" s="3">
        <v>270</v>
      </c>
      <c r="B55" s="3" t="s">
        <v>1839</v>
      </c>
      <c r="C55" s="3" t="s">
        <v>5</v>
      </c>
      <c r="D55" s="6" t="s">
        <v>834</v>
      </c>
      <c r="E55" s="6" t="s">
        <v>834</v>
      </c>
      <c r="F55" s="3" t="str">
        <f>IFERROR( VLOOKUP(A55,#REF!,2,0),"")</f>
        <v/>
      </c>
      <c r="G55" s="3" t="str">
        <f t="array" ref="G55">_xlfn.XLOOKUP(I55,Base_Datos!D:D,Base_Datos!B:B,"")</f>
        <v>DFSK</v>
      </c>
      <c r="H55" s="3" t="str">
        <f t="array" ref="H55">IF(I55="","",IFERROR(_xlfn.XLOOKUP(I55,Base_Datos!$D$2:$D3876,Base_Datos!$C$2:$C3876),""))</f>
        <v>Serie Glory</v>
      </c>
      <c r="I55" s="3" t="s">
        <v>1754</v>
      </c>
      <c r="J55" s="3" t="str">
        <f>IF(I55="","",IFERROR(VLOOKUP(I55,Base_Datos!$D$2:$E$72,2,0),""))</f>
        <v>(1.5L)</v>
      </c>
      <c r="K55" s="3" t="s">
        <v>1817</v>
      </c>
      <c r="L55" s="3"/>
      <c r="M55" s="7">
        <v>0</v>
      </c>
      <c r="N55" s="7">
        <v>0</v>
      </c>
    </row>
    <row r="56" spans="1:14" ht="14.25" x14ac:dyDescent="0.2">
      <c r="A56" s="3">
        <v>271</v>
      </c>
      <c r="B56" s="3" t="s">
        <v>1840</v>
      </c>
      <c r="C56" s="3" t="s">
        <v>5</v>
      </c>
      <c r="D56" s="6" t="s">
        <v>1006</v>
      </c>
      <c r="E56" s="6" t="s">
        <v>834</v>
      </c>
      <c r="F56" s="3" t="str">
        <f>IFERROR( VLOOKUP(A56,#REF!,2,0),"")</f>
        <v/>
      </c>
      <c r="G56" s="3" t="str">
        <f t="array" ref="G56">_xlfn.XLOOKUP(I56,Base_Datos!D:D,Base_Datos!B:B,"")</f>
        <v>DFSK</v>
      </c>
      <c r="H56" s="3" t="str">
        <f t="array" ref="H56">IF(I56="","",IFERROR(_xlfn.XLOOKUP(I56,Base_Datos!$D$2:$D3876,Base_Datos!$C$2:$C3876),""))</f>
        <v>Serie Glory</v>
      </c>
      <c r="I56" s="3" t="s">
        <v>112</v>
      </c>
      <c r="J56" s="3" t="str">
        <f>IF(I56="","",IFERROR(VLOOKUP(I56,Base_Datos!$D$2:$E$72,2,0),""))</f>
        <v>(1.8L)</v>
      </c>
      <c r="K56" s="3" t="s">
        <v>1817</v>
      </c>
      <c r="L56" s="3"/>
      <c r="M56" s="7">
        <v>0</v>
      </c>
      <c r="N56" s="7">
        <v>0</v>
      </c>
    </row>
    <row r="57" spans="1:14" ht="14.25" x14ac:dyDescent="0.2">
      <c r="A57" s="3">
        <v>272</v>
      </c>
      <c r="B57" s="3" t="s">
        <v>1841</v>
      </c>
      <c r="C57" s="3" t="s">
        <v>5</v>
      </c>
      <c r="D57" s="6" t="s">
        <v>1005</v>
      </c>
      <c r="E57" s="6" t="s">
        <v>1005</v>
      </c>
      <c r="F57" s="3" t="str">
        <f>IFERROR( VLOOKUP(A57,#REF!,2,0),"")</f>
        <v/>
      </c>
      <c r="G57" s="3" t="str">
        <f t="array" ref="G57">_xlfn.XLOOKUP(I57,Base_Datos!D:D,Base_Datos!B:B,"")</f>
        <v>DFSK</v>
      </c>
      <c r="H57" s="3" t="str">
        <f t="array" ref="H57">IF(I57="","",IFERROR(_xlfn.XLOOKUP(I57,Base_Datos!$D$2:$D3876,Base_Datos!$C$2:$C3876),""))</f>
        <v>Serie Glory</v>
      </c>
      <c r="I57" s="3" t="s">
        <v>112</v>
      </c>
      <c r="J57" s="3" t="str">
        <f>IF(I57="","",IFERROR(VLOOKUP(I57,Base_Datos!$D$2:$E$72,2,0),""))</f>
        <v>(1.8L)</v>
      </c>
      <c r="K57" s="3" t="s">
        <v>1842</v>
      </c>
      <c r="L57" s="3"/>
      <c r="M57" s="7">
        <v>0</v>
      </c>
      <c r="N57" s="7">
        <v>0</v>
      </c>
    </row>
    <row r="58" spans="1:14" ht="14.25" x14ac:dyDescent="0.2">
      <c r="A58" s="3">
        <v>273</v>
      </c>
      <c r="B58" s="3" t="s">
        <v>1843</v>
      </c>
      <c r="C58" s="3" t="s">
        <v>5</v>
      </c>
      <c r="D58" s="6" t="s">
        <v>834</v>
      </c>
      <c r="E58" s="6" t="s">
        <v>834</v>
      </c>
      <c r="F58" s="3" t="str">
        <f>IFERROR( VLOOKUP(A58,#REF!,2,0),"")</f>
        <v/>
      </c>
      <c r="G58" s="3" t="str">
        <f t="array" ref="G58">_xlfn.XLOOKUP(I58,Base_Datos!D:D,Base_Datos!B:B,"")</f>
        <v>DFSK</v>
      </c>
      <c r="H58" s="3" t="str">
        <f t="array" ref="H58">IF(I58="","",IFERROR(_xlfn.XLOOKUP(I58,Base_Datos!$D$2:$D3876,Base_Datos!$C$2:$C3876),""))</f>
        <v>Serie Glory</v>
      </c>
      <c r="I58" s="3" t="s">
        <v>112</v>
      </c>
      <c r="J58" s="3" t="str">
        <f>IF(I58="","",IFERROR(VLOOKUP(I58,Base_Datos!$D$2:$E$72,2,0),""))</f>
        <v>(1.8L)</v>
      </c>
      <c r="K58" s="3" t="s">
        <v>1817</v>
      </c>
      <c r="L58" s="3"/>
      <c r="M58" s="7">
        <v>0</v>
      </c>
      <c r="N58" s="7">
        <v>0</v>
      </c>
    </row>
    <row r="59" spans="1:14" ht="14.25" x14ac:dyDescent="0.2">
      <c r="A59" s="3">
        <v>274</v>
      </c>
      <c r="B59" s="3" t="s">
        <v>1844</v>
      </c>
      <c r="C59" s="3" t="s">
        <v>5</v>
      </c>
      <c r="D59" s="6" t="s">
        <v>1027</v>
      </c>
      <c r="E59" s="6" t="s">
        <v>834</v>
      </c>
      <c r="F59" s="3" t="str">
        <f>IFERROR( VLOOKUP(A59,#REF!,2,0),"")</f>
        <v/>
      </c>
      <c r="G59" s="3" t="str">
        <f t="array" ref="G59">_xlfn.XLOOKUP(I59,Base_Datos!D:D,Base_Datos!B:B,"")</f>
        <v>DFSK</v>
      </c>
      <c r="H59" s="3" t="str">
        <f t="array" ref="H59">IF(I59="","",IFERROR(_xlfn.XLOOKUP(I59,Base_Datos!$D$2:$D3876,Base_Datos!$C$2:$C3876),""))</f>
        <v>Serie Glory</v>
      </c>
      <c r="I59" s="3" t="s">
        <v>112</v>
      </c>
      <c r="J59" s="3" t="str">
        <f>IF(I59="","",IFERROR(VLOOKUP(I59,Base_Datos!$D$2:$E$72,2,0),""))</f>
        <v>(1.8L)</v>
      </c>
      <c r="K59" s="3" t="s">
        <v>1817</v>
      </c>
      <c r="L59" s="3"/>
      <c r="M59" s="7">
        <v>0</v>
      </c>
      <c r="N59" s="7">
        <v>0</v>
      </c>
    </row>
    <row r="60" spans="1:14" ht="14.25" x14ac:dyDescent="0.2">
      <c r="A60" s="3">
        <v>275</v>
      </c>
      <c r="B60" s="3" t="s">
        <v>1790</v>
      </c>
      <c r="C60" s="3" t="s">
        <v>5</v>
      </c>
      <c r="D60" s="6" t="s">
        <v>1014</v>
      </c>
      <c r="E60" s="6" t="s">
        <v>834</v>
      </c>
      <c r="F60" s="3" t="str">
        <f>IFERROR( VLOOKUP(A60,#REF!,2,0),"")</f>
        <v/>
      </c>
      <c r="G60" s="3" t="str">
        <f t="array" ref="G60">_xlfn.XLOOKUP(I60,Base_Datos!D:D,Base_Datos!B:B,"")</f>
        <v>DFSK</v>
      </c>
      <c r="H60" s="3" t="str">
        <f t="array" ref="H60">IF(I60="","",IFERROR(_xlfn.XLOOKUP(I60,Base_Datos!$D$2:$D3876,Base_Datos!$C$2:$C3876),""))</f>
        <v>Serie Glory</v>
      </c>
      <c r="I60" s="3" t="s">
        <v>112</v>
      </c>
      <c r="J60" s="3" t="str">
        <f>IF(I60="","",IFERROR(VLOOKUP(I60,Base_Datos!$D$2:$E$72,2,0),""))</f>
        <v>(1.8L)</v>
      </c>
      <c r="K60" s="3" t="s">
        <v>1817</v>
      </c>
      <c r="L60" s="3"/>
      <c r="M60" s="7">
        <v>0</v>
      </c>
      <c r="N60" s="7">
        <v>0</v>
      </c>
    </row>
    <row r="61" spans="1:14" ht="14.25" x14ac:dyDescent="0.2">
      <c r="A61" s="3">
        <v>276</v>
      </c>
      <c r="B61" s="3" t="s">
        <v>1845</v>
      </c>
      <c r="C61" s="3" t="s">
        <v>5</v>
      </c>
      <c r="D61" s="6" t="s">
        <v>1017</v>
      </c>
      <c r="E61" s="6" t="s">
        <v>834</v>
      </c>
      <c r="F61" s="3" t="str">
        <f>IFERROR( VLOOKUP(A61,#REF!,2,0),"")</f>
        <v/>
      </c>
      <c r="G61" s="3" t="str">
        <f t="array" ref="G61">_xlfn.XLOOKUP(I61,Base_Datos!D:D,Base_Datos!B:B,"")</f>
        <v>DFSK</v>
      </c>
      <c r="H61" s="3" t="str">
        <f t="array" ref="H61">IF(I61="","",IFERROR(_xlfn.XLOOKUP(I61,Base_Datos!$D$2:$D3876,Base_Datos!$C$2:$C3876),""))</f>
        <v>Serie Glory</v>
      </c>
      <c r="I61" s="3" t="s">
        <v>112</v>
      </c>
      <c r="J61" s="3" t="str">
        <f>IF(I61="","",IFERROR(VLOOKUP(I61,Base_Datos!$D$2:$E$72,2,0),""))</f>
        <v>(1.8L)</v>
      </c>
      <c r="K61" s="3" t="s">
        <v>1817</v>
      </c>
      <c r="L61" s="3"/>
      <c r="M61" s="7">
        <v>0</v>
      </c>
      <c r="N61" s="7">
        <v>0</v>
      </c>
    </row>
    <row r="62" spans="1:14" ht="14.25" x14ac:dyDescent="0.2">
      <c r="A62" s="3">
        <v>277</v>
      </c>
      <c r="B62" s="3" t="s">
        <v>1846</v>
      </c>
      <c r="C62" s="3" t="s">
        <v>5</v>
      </c>
      <c r="D62" s="6" t="s">
        <v>1016</v>
      </c>
      <c r="E62" s="6" t="s">
        <v>834</v>
      </c>
      <c r="F62" s="3" t="str">
        <f>IFERROR( VLOOKUP(A62,#REF!,2,0),"")</f>
        <v/>
      </c>
      <c r="G62" s="3" t="str">
        <f t="array" ref="G62">_xlfn.XLOOKUP(I62,Base_Datos!D:D,Base_Datos!B:B,"")</f>
        <v>DFSK</v>
      </c>
      <c r="H62" s="3" t="str">
        <f t="array" ref="H62">IF(I62="","",IFERROR(_xlfn.XLOOKUP(I62,Base_Datos!$D$2:$D3876,Base_Datos!$C$2:$C3876),""))</f>
        <v>Serie Glory</v>
      </c>
      <c r="I62" s="3" t="s">
        <v>112</v>
      </c>
      <c r="J62" s="3" t="str">
        <f>IF(I62="","",IFERROR(VLOOKUP(I62,Base_Datos!$D$2:$E$72,2,0),""))</f>
        <v>(1.8L)</v>
      </c>
      <c r="K62" s="3" t="s">
        <v>1817</v>
      </c>
      <c r="L62" s="3"/>
      <c r="M62" s="7">
        <v>0</v>
      </c>
      <c r="N62" s="7">
        <v>0</v>
      </c>
    </row>
    <row r="63" spans="1:14" ht="14.25" x14ac:dyDescent="0.2">
      <c r="A63" s="3">
        <v>278</v>
      </c>
      <c r="B63" s="3" t="s">
        <v>1847</v>
      </c>
      <c r="C63" s="3" t="s">
        <v>5</v>
      </c>
      <c r="D63" s="6" t="s">
        <v>1012</v>
      </c>
      <c r="E63" s="6" t="s">
        <v>834</v>
      </c>
      <c r="F63" s="3" t="str">
        <f>IFERROR( VLOOKUP(A63,#REF!,2,0),"")</f>
        <v/>
      </c>
      <c r="G63" s="3" t="str">
        <f t="array" ref="G63">_xlfn.XLOOKUP(I63,Base_Datos!D:D,Base_Datos!B:B,"")</f>
        <v>DFSK</v>
      </c>
      <c r="H63" s="3" t="str">
        <f t="array" ref="H63">IF(I63="","",IFERROR(_xlfn.XLOOKUP(I63,Base_Datos!$D$2:$D3876,Base_Datos!$C$2:$C3876),""))</f>
        <v>Serie Glory</v>
      </c>
      <c r="I63" s="3" t="s">
        <v>112</v>
      </c>
      <c r="J63" s="3" t="str">
        <f>IF(I63="","",IFERROR(VLOOKUP(I63,Base_Datos!$D$2:$E$72,2,0),""))</f>
        <v>(1.8L)</v>
      </c>
      <c r="K63" s="3" t="s">
        <v>1817</v>
      </c>
      <c r="L63" s="3"/>
      <c r="M63" s="7">
        <v>0</v>
      </c>
      <c r="N63" s="7">
        <v>0</v>
      </c>
    </row>
    <row r="64" spans="1:14" ht="14.25" x14ac:dyDescent="0.2">
      <c r="A64" s="3">
        <v>279</v>
      </c>
      <c r="B64" s="3" t="s">
        <v>1848</v>
      </c>
      <c r="C64" s="3" t="s">
        <v>5</v>
      </c>
      <c r="D64" s="6" t="s">
        <v>1011</v>
      </c>
      <c r="E64" s="6" t="s">
        <v>834</v>
      </c>
      <c r="F64" s="3" t="str">
        <f>IFERROR( VLOOKUP(A64,#REF!,2,0),"")</f>
        <v/>
      </c>
      <c r="G64" s="3" t="str">
        <f t="array" ref="G64">_xlfn.XLOOKUP(I64,Base_Datos!D:D,Base_Datos!B:B,"")</f>
        <v>DFSK</v>
      </c>
      <c r="H64" s="3" t="str">
        <f t="array" ref="H64">IF(I64="","",IFERROR(_xlfn.XLOOKUP(I64,Base_Datos!$D$2:$D3876,Base_Datos!$C$2:$C3876),""))</f>
        <v>Serie Glory</v>
      </c>
      <c r="I64" s="3" t="s">
        <v>112</v>
      </c>
      <c r="J64" s="3" t="str">
        <f>IF(I64="","",IFERROR(VLOOKUP(I64,Base_Datos!$D$2:$E$72,2,0),""))</f>
        <v>(1.8L)</v>
      </c>
      <c r="K64" s="3" t="s">
        <v>1817</v>
      </c>
      <c r="L64" s="3"/>
      <c r="M64" s="7">
        <v>0</v>
      </c>
      <c r="N64" s="7">
        <v>0</v>
      </c>
    </row>
    <row r="65" spans="1:14" ht="14.25" x14ac:dyDescent="0.2">
      <c r="A65" s="3">
        <v>280</v>
      </c>
      <c r="B65" s="3" t="s">
        <v>1840</v>
      </c>
      <c r="C65" s="3" t="s">
        <v>5</v>
      </c>
      <c r="D65" s="6" t="s">
        <v>490</v>
      </c>
      <c r="E65" s="6" t="s">
        <v>490</v>
      </c>
      <c r="F65" s="3" t="str">
        <f>IFERROR( VLOOKUP(A65,#REF!,2,0),"")</f>
        <v/>
      </c>
      <c r="G65" s="3" t="str">
        <f t="array" ref="G65">_xlfn.XLOOKUP(I65,Base_Datos!D:D,Base_Datos!B:B,"")</f>
        <v>DFSK</v>
      </c>
      <c r="H65" s="3" t="str">
        <f t="array" ref="H65">IF(I65="","",IFERROR(_xlfn.XLOOKUP(I65,Base_Datos!$D$2:$D3876,Base_Datos!$C$2:$C3876),""))</f>
        <v>Serie Glory</v>
      </c>
      <c r="I65" s="3" t="s">
        <v>1765</v>
      </c>
      <c r="J65" s="3" t="str">
        <f>IF(I65="","",IFERROR(VLOOKUP(I65,Base_Datos!$D$2:$E$72,2,0),""))</f>
        <v>(1.5L)</v>
      </c>
      <c r="K65" s="3" t="s">
        <v>1801</v>
      </c>
      <c r="L65" s="3"/>
      <c r="M65" s="7">
        <v>0</v>
      </c>
      <c r="N65" s="7">
        <v>0</v>
      </c>
    </row>
    <row r="66" spans="1:14" ht="14.25" x14ac:dyDescent="0.2">
      <c r="A66" s="3">
        <v>281</v>
      </c>
      <c r="B66" s="3" t="s">
        <v>1849</v>
      </c>
      <c r="C66" s="3" t="s">
        <v>5</v>
      </c>
      <c r="D66" s="6" t="s">
        <v>1001</v>
      </c>
      <c r="E66" s="6" t="s">
        <v>834</v>
      </c>
      <c r="F66" s="3" t="str">
        <f>IFERROR( VLOOKUP(A66,#REF!,2,0),"")</f>
        <v/>
      </c>
      <c r="G66" s="3" t="str">
        <f t="array" ref="G66">_xlfn.XLOOKUP(I66,Base_Datos!D:D,Base_Datos!B:B,"")</f>
        <v>DFSK</v>
      </c>
      <c r="H66" s="3" t="str">
        <f t="array" ref="H66">IF(I66="","",IFERROR(_xlfn.XLOOKUP(I66,Base_Datos!$D$2:$D3876,Base_Datos!$C$2:$C3876),""))</f>
        <v>Serie Glory</v>
      </c>
      <c r="I66" s="3" t="s">
        <v>1765</v>
      </c>
      <c r="J66" s="3" t="str">
        <f>IF(I66="","",IFERROR(VLOOKUP(I66,Base_Datos!$D$2:$E$72,2,0),""))</f>
        <v>(1.5L)</v>
      </c>
      <c r="K66" s="3" t="s">
        <v>1817</v>
      </c>
      <c r="L66" s="3"/>
      <c r="M66" s="7">
        <v>0</v>
      </c>
      <c r="N66" s="7">
        <v>0</v>
      </c>
    </row>
    <row r="67" spans="1:14" ht="14.25" x14ac:dyDescent="0.2">
      <c r="A67" s="3">
        <v>282</v>
      </c>
      <c r="B67" s="3" t="s">
        <v>1850</v>
      </c>
      <c r="C67" s="3" t="s">
        <v>5</v>
      </c>
      <c r="D67" s="6" t="s">
        <v>1851</v>
      </c>
      <c r="E67" s="6" t="s">
        <v>1782</v>
      </c>
      <c r="F67" s="3" t="str">
        <f>IFERROR( VLOOKUP(A67,#REF!,2,0),"")</f>
        <v/>
      </c>
      <c r="G67" s="3" t="str">
        <f t="array" ref="G67">_xlfn.XLOOKUP(I67,Base_Datos!D:D,Base_Datos!B:B,"")</f>
        <v>DFSK</v>
      </c>
      <c r="H67" s="3" t="str">
        <f t="array" ref="H67">IF(I67="","",IFERROR(_xlfn.XLOOKUP(I67,Base_Datos!$D$2:$D3876,Base_Datos!$C$2:$C3876),""))</f>
        <v>Serie Glory</v>
      </c>
      <c r="I67" s="3" t="s">
        <v>1765</v>
      </c>
      <c r="J67" s="3" t="str">
        <f>IF(I67="","",IFERROR(VLOOKUP(I67,Base_Datos!$D$2:$E$72,2,0),""))</f>
        <v>(1.5L)</v>
      </c>
      <c r="K67" s="3" t="s">
        <v>1801</v>
      </c>
      <c r="L67" s="3"/>
      <c r="M67" s="7">
        <v>0</v>
      </c>
      <c r="N67" s="7">
        <v>0</v>
      </c>
    </row>
    <row r="68" spans="1:14" ht="14.25" x14ac:dyDescent="0.2">
      <c r="A68" s="3">
        <v>283</v>
      </c>
      <c r="B68" s="3" t="s">
        <v>1852</v>
      </c>
      <c r="C68" s="3" t="s">
        <v>5</v>
      </c>
      <c r="D68" s="6" t="s">
        <v>976</v>
      </c>
      <c r="E68" s="6" t="s">
        <v>1782</v>
      </c>
      <c r="F68" s="3" t="str">
        <f>IFERROR( VLOOKUP(A68,#REF!,2,0),"")</f>
        <v/>
      </c>
      <c r="G68" s="3" t="str">
        <f t="array" ref="G68">_xlfn.XLOOKUP(I68,Base_Datos!D:D,Base_Datos!B:B,"")</f>
        <v>DFSK</v>
      </c>
      <c r="H68" s="3" t="str">
        <f t="array" ref="H68">IF(I68="","",IFERROR(_xlfn.XLOOKUP(I68,Base_Datos!$D$2:$D3876,Base_Datos!$C$2:$C3876),""))</f>
        <v>Serie Glory</v>
      </c>
      <c r="I68" s="3" t="s">
        <v>1765</v>
      </c>
      <c r="J68" s="3" t="str">
        <f>IF(I68="","",IFERROR(VLOOKUP(I68,Base_Datos!$D$2:$E$72,2,0),""))</f>
        <v>(1.5L)</v>
      </c>
      <c r="K68" s="3" t="s">
        <v>1801</v>
      </c>
      <c r="L68" s="3"/>
      <c r="M68" s="7">
        <v>0</v>
      </c>
      <c r="N68" s="7">
        <v>0</v>
      </c>
    </row>
    <row r="69" spans="1:14" ht="14.25" x14ac:dyDescent="0.2">
      <c r="A69" s="3">
        <v>284</v>
      </c>
      <c r="B69" s="3" t="s">
        <v>1853</v>
      </c>
      <c r="C69" s="3" t="s">
        <v>5</v>
      </c>
      <c r="D69" s="6" t="s">
        <v>979</v>
      </c>
      <c r="E69" s="6" t="s">
        <v>1782</v>
      </c>
      <c r="F69" s="3" t="str">
        <f>IFERROR( VLOOKUP(A69,#REF!,2,0),"")</f>
        <v/>
      </c>
      <c r="G69" s="3" t="str">
        <f t="array" ref="G69">_xlfn.XLOOKUP(I69,Base_Datos!D:D,Base_Datos!B:B,"")</f>
        <v>DFSK</v>
      </c>
      <c r="H69" s="3" t="str">
        <f t="array" ref="H69">IF(I69="","",IFERROR(_xlfn.XLOOKUP(I69,Base_Datos!$D$2:$D3876,Base_Datos!$C$2:$C3876),""))</f>
        <v>Serie Glory</v>
      </c>
      <c r="I69" s="3" t="s">
        <v>1765</v>
      </c>
      <c r="J69" s="3" t="str">
        <f>IF(I69="","",IFERROR(VLOOKUP(I69,Base_Datos!$D$2:$E$72,2,0),""))</f>
        <v>(1.5L)</v>
      </c>
      <c r="K69" s="3" t="s">
        <v>1801</v>
      </c>
      <c r="L69" s="3"/>
      <c r="M69" s="7">
        <v>0</v>
      </c>
      <c r="N69" s="7">
        <v>0</v>
      </c>
    </row>
    <row r="70" spans="1:14" ht="14.25" x14ac:dyDescent="0.2">
      <c r="A70" s="3">
        <v>285</v>
      </c>
      <c r="B70" s="3" t="s">
        <v>1854</v>
      </c>
      <c r="C70" s="3" t="s">
        <v>5</v>
      </c>
      <c r="D70" s="6" t="s">
        <v>1782</v>
      </c>
      <c r="E70" s="6" t="s">
        <v>1782</v>
      </c>
      <c r="F70" s="3" t="str">
        <f>IFERROR( VLOOKUP(A70,#REF!,2,0),"")</f>
        <v/>
      </c>
      <c r="G70" s="3" t="str">
        <f t="array" ref="G70">_xlfn.XLOOKUP(I70,Base_Datos!D:D,Base_Datos!B:B,"")</f>
        <v>DFSK</v>
      </c>
      <c r="H70" s="3" t="str">
        <f t="array" ref="H70">IF(I70="","",IFERROR(_xlfn.XLOOKUP(I70,Base_Datos!$D$2:$D3876,Base_Datos!$C$2:$C3876),""))</f>
        <v>Serie Glory</v>
      </c>
      <c r="I70" s="3" t="s">
        <v>1765</v>
      </c>
      <c r="J70" s="3" t="str">
        <f>IF(I70="","",IFERROR(VLOOKUP(I70,Base_Datos!$D$2:$E$72,2,0),""))</f>
        <v>(1.5L)</v>
      </c>
      <c r="K70" s="3" t="s">
        <v>1801</v>
      </c>
      <c r="L70" s="3"/>
      <c r="M70" s="7">
        <v>0</v>
      </c>
      <c r="N70" s="7">
        <v>0</v>
      </c>
    </row>
    <row r="71" spans="1:14" ht="14.25" x14ac:dyDescent="0.2">
      <c r="A71" s="3">
        <v>286</v>
      </c>
      <c r="B71" s="3" t="s">
        <v>1855</v>
      </c>
      <c r="C71" s="3" t="s">
        <v>5</v>
      </c>
      <c r="D71" s="6" t="s">
        <v>518</v>
      </c>
      <c r="E71" s="6" t="s">
        <v>834</v>
      </c>
      <c r="F71" s="3" t="str">
        <f>IFERROR( VLOOKUP(A71,#REF!,2,0),"")</f>
        <v/>
      </c>
      <c r="G71" s="3" t="str">
        <f t="array" ref="G71">_xlfn.XLOOKUP(I71,Base_Datos!D:D,Base_Datos!B:B,"")</f>
        <v>DFSK</v>
      </c>
      <c r="H71" s="3" t="str">
        <f t="array" ref="H71">IF(I71="","",IFERROR(_xlfn.XLOOKUP(I71,Base_Datos!$D$2:$D3876,Base_Datos!$C$2:$C3876),""))</f>
        <v>Serie Glory</v>
      </c>
      <c r="I71" s="3" t="s">
        <v>1765</v>
      </c>
      <c r="J71" s="3" t="str">
        <f>IF(I71="","",IFERROR(VLOOKUP(I71,Base_Datos!$D$2:$E$72,2,0),""))</f>
        <v>(1.5L)</v>
      </c>
      <c r="K71" s="3" t="s">
        <v>1817</v>
      </c>
      <c r="L71" s="3"/>
      <c r="M71" s="7">
        <v>0</v>
      </c>
      <c r="N71" s="7">
        <v>0</v>
      </c>
    </row>
    <row r="72" spans="1:14" ht="14.25" x14ac:dyDescent="0.2">
      <c r="A72" s="3">
        <v>287</v>
      </c>
      <c r="B72" s="3" t="s">
        <v>1856</v>
      </c>
      <c r="C72" s="3" t="s">
        <v>5</v>
      </c>
      <c r="D72" s="6" t="s">
        <v>496</v>
      </c>
      <c r="E72" s="6" t="s">
        <v>834</v>
      </c>
      <c r="F72" s="3" t="str">
        <f>IFERROR( VLOOKUP(A72,#REF!,2,0),"")</f>
        <v/>
      </c>
      <c r="G72" s="3" t="str">
        <f t="array" ref="G72">_xlfn.XLOOKUP(I72,Base_Datos!D:D,Base_Datos!B:B,"")</f>
        <v>DFSK</v>
      </c>
      <c r="H72" s="3" t="str">
        <f t="array" ref="H72">IF(I72="","",IFERROR(_xlfn.XLOOKUP(I72,Base_Datos!$D$2:$D3876,Base_Datos!$C$2:$C3876),""))</f>
        <v>Serie Glory</v>
      </c>
      <c r="I72" s="3" t="s">
        <v>1765</v>
      </c>
      <c r="J72" s="3" t="str">
        <f>IF(I72="","",IFERROR(VLOOKUP(I72,Base_Datos!$D$2:$E$72,2,0),""))</f>
        <v>(1.5L)</v>
      </c>
      <c r="K72" s="3" t="s">
        <v>1817</v>
      </c>
      <c r="L72" s="3"/>
      <c r="M72" s="7">
        <v>0</v>
      </c>
      <c r="N72" s="7">
        <v>0</v>
      </c>
    </row>
    <row r="73" spans="1:14" ht="14.25" x14ac:dyDescent="0.2">
      <c r="A73" s="3">
        <v>288</v>
      </c>
      <c r="B73" s="3" t="s">
        <v>1857</v>
      </c>
      <c r="C73" s="3" t="s">
        <v>5</v>
      </c>
      <c r="D73" s="6" t="s">
        <v>495</v>
      </c>
      <c r="E73" s="6" t="s">
        <v>834</v>
      </c>
      <c r="F73" s="3" t="str">
        <f>IFERROR( VLOOKUP(A73,#REF!,2,0),"")</f>
        <v/>
      </c>
      <c r="G73" s="3" t="str">
        <f t="array" ref="G73">_xlfn.XLOOKUP(I73,Base_Datos!D:D,Base_Datos!B:B,"")</f>
        <v>DFSK</v>
      </c>
      <c r="H73" s="3" t="str">
        <f t="array" ref="H73">IF(I73="","",IFERROR(_xlfn.XLOOKUP(I73,Base_Datos!$D$2:$D3876,Base_Datos!$C$2:$C3876),""))</f>
        <v>Serie Glory</v>
      </c>
      <c r="I73" s="3" t="s">
        <v>1765</v>
      </c>
      <c r="J73" s="3" t="str">
        <f>IF(I73="","",IFERROR(VLOOKUP(I73,Base_Datos!$D$2:$E$72,2,0),""))</f>
        <v>(1.5L)</v>
      </c>
      <c r="K73" s="3" t="s">
        <v>1817</v>
      </c>
      <c r="L73" s="3"/>
      <c r="M73" s="7">
        <v>0</v>
      </c>
      <c r="N73" s="7">
        <v>0</v>
      </c>
    </row>
    <row r="74" spans="1:14" ht="14.25" x14ac:dyDescent="0.2">
      <c r="A74" s="3">
        <v>289</v>
      </c>
      <c r="B74" s="3" t="s">
        <v>1858</v>
      </c>
      <c r="C74" s="3" t="s">
        <v>5</v>
      </c>
      <c r="D74" s="6" t="s">
        <v>987</v>
      </c>
      <c r="E74" s="6" t="s">
        <v>834</v>
      </c>
      <c r="F74" s="3" t="str">
        <f>IFERROR( VLOOKUP(A74,#REF!,2,0),"")</f>
        <v/>
      </c>
      <c r="G74" s="3" t="str">
        <f t="array" ref="G74">_xlfn.XLOOKUP(I74,Base_Datos!D:D,Base_Datos!B:B,"")</f>
        <v>DFSK</v>
      </c>
      <c r="H74" s="3" t="str">
        <f t="array" ref="H74">IF(I74="","",IFERROR(_xlfn.XLOOKUP(I74,Base_Datos!$D$2:$D3876,Base_Datos!$C$2:$C3876),""))</f>
        <v>Serie Glory</v>
      </c>
      <c r="I74" s="3" t="s">
        <v>1765</v>
      </c>
      <c r="J74" s="3" t="str">
        <f>IF(I74="","",IFERROR(VLOOKUP(I74,Base_Datos!$D$2:$E$72,2,0),""))</f>
        <v>(1.5L)</v>
      </c>
      <c r="K74" s="3" t="s">
        <v>1817</v>
      </c>
      <c r="L74" s="3"/>
      <c r="M74" s="7">
        <v>0</v>
      </c>
      <c r="N74" s="7">
        <v>0</v>
      </c>
    </row>
    <row r="75" spans="1:14" ht="14.25" x14ac:dyDescent="0.2">
      <c r="A75" s="3">
        <v>290</v>
      </c>
      <c r="B75" s="3" t="s">
        <v>1841</v>
      </c>
      <c r="C75" s="3" t="s">
        <v>5</v>
      </c>
      <c r="D75" s="6" t="s">
        <v>1005</v>
      </c>
      <c r="E75" s="6" t="s">
        <v>1782</v>
      </c>
      <c r="F75" s="3" t="str">
        <f>IFERROR( VLOOKUP(A75,#REF!,2,0),"")</f>
        <v/>
      </c>
      <c r="G75" s="3" t="str">
        <f t="array" ref="G75">_xlfn.XLOOKUP(I75,Base_Datos!D:D,Base_Datos!B:B,"")</f>
        <v>DFSK</v>
      </c>
      <c r="H75" s="3" t="str">
        <f t="array" ref="H75">IF(I75="","",IFERROR(_xlfn.XLOOKUP(I75,Base_Datos!$D$2:$D3876,Base_Datos!$C$2:$C3876),""))</f>
        <v>Serie Glory</v>
      </c>
      <c r="I75" s="3" t="s">
        <v>1765</v>
      </c>
      <c r="J75" s="3" t="str">
        <f>IF(I75="","",IFERROR(VLOOKUP(I75,Base_Datos!$D$2:$E$72,2,0),""))</f>
        <v>(1.5L)</v>
      </c>
      <c r="K75" s="3" t="s">
        <v>1859</v>
      </c>
      <c r="L75" s="3"/>
      <c r="M75" s="7">
        <v>0</v>
      </c>
      <c r="N75" s="7">
        <v>0</v>
      </c>
    </row>
    <row r="76" spans="1:14" ht="14.25" x14ac:dyDescent="0.2">
      <c r="A76" s="3">
        <v>291</v>
      </c>
      <c r="B76" s="3" t="s">
        <v>1794</v>
      </c>
      <c r="C76" s="3" t="s">
        <v>5</v>
      </c>
      <c r="D76" s="6" t="s">
        <v>986</v>
      </c>
      <c r="E76" s="6" t="s">
        <v>1782</v>
      </c>
      <c r="F76" s="3" t="str">
        <f>IFERROR( VLOOKUP(A76,#REF!,2,0),"")</f>
        <v/>
      </c>
      <c r="G76" s="3" t="str">
        <f t="array" ref="G76">_xlfn.XLOOKUP(I76,Base_Datos!D:D,Base_Datos!B:B,"")</f>
        <v>DFSK</v>
      </c>
      <c r="H76" s="3" t="str">
        <f t="array" ref="H76">IF(I76="","",IFERROR(_xlfn.XLOOKUP(I76,Base_Datos!$D$2:$D3876,Base_Datos!$C$2:$C3876),""))</f>
        <v>Serie Glory</v>
      </c>
      <c r="I76" s="3" t="s">
        <v>1754</v>
      </c>
      <c r="J76" s="3" t="str">
        <f>IF(I76="","",IFERROR(VLOOKUP(I76,Base_Datos!$D$2:$E$72,2,0),""))</f>
        <v>(1.5L)</v>
      </c>
      <c r="K76" s="3" t="s">
        <v>1860</v>
      </c>
      <c r="L76" s="3"/>
      <c r="M76" s="7">
        <v>0</v>
      </c>
      <c r="N76" s="7">
        <v>0</v>
      </c>
    </row>
    <row r="77" spans="1:14" ht="14.25" x14ac:dyDescent="0.2">
      <c r="A77" s="3">
        <v>292</v>
      </c>
      <c r="B77" s="3" t="s">
        <v>1861</v>
      </c>
      <c r="C77" s="3" t="s">
        <v>5</v>
      </c>
      <c r="D77" s="6" t="s">
        <v>1862</v>
      </c>
      <c r="E77" s="6" t="s">
        <v>1862</v>
      </c>
      <c r="F77" s="3" t="str">
        <f>IFERROR( VLOOKUP(A77,#REF!,2,0),"")</f>
        <v/>
      </c>
      <c r="G77" s="3" t="str">
        <f t="array" ref="G77">_xlfn.XLOOKUP(I77,Base_Datos!D:D,Base_Datos!B:B,"")</f>
        <v>DFSK</v>
      </c>
      <c r="H77" s="3" t="str">
        <f t="array" ref="H77">IF(I77="","",IFERROR(_xlfn.XLOOKUP(I77,Base_Datos!$D$2:$D3876,Base_Datos!$C$2:$C3876),""))</f>
        <v>Serie Glory</v>
      </c>
      <c r="I77" s="3" t="s">
        <v>1765</v>
      </c>
      <c r="J77" s="3" t="str">
        <f>IF(I77="","",IFERROR(VLOOKUP(I77,Base_Datos!$D$2:$E$72,2,0),""))</f>
        <v>(1.5L)</v>
      </c>
      <c r="K77" s="3" t="s">
        <v>1801</v>
      </c>
      <c r="L77" s="3"/>
      <c r="M77" s="7">
        <v>0</v>
      </c>
      <c r="N77" s="7">
        <v>0</v>
      </c>
    </row>
    <row r="78" spans="1:14" ht="14.25" x14ac:dyDescent="0.2">
      <c r="A78" s="3">
        <v>293</v>
      </c>
      <c r="B78" s="3" t="s">
        <v>1863</v>
      </c>
      <c r="C78" s="3" t="s">
        <v>5</v>
      </c>
      <c r="D78" s="6" t="s">
        <v>989</v>
      </c>
      <c r="E78" s="6" t="s">
        <v>989</v>
      </c>
      <c r="F78" s="3" t="str">
        <f>IFERROR( VLOOKUP(A78,#REF!,2,0),"")</f>
        <v/>
      </c>
      <c r="G78" s="3" t="str">
        <f t="array" ref="G78">_xlfn.XLOOKUP(I78,Base_Datos!D:D,Base_Datos!B:B,"")</f>
        <v>DFSK</v>
      </c>
      <c r="H78" s="3" t="str">
        <f t="array" ref="H78">IF(I78="","",IFERROR(_xlfn.XLOOKUP(I78,Base_Datos!$D$2:$D3876,Base_Datos!$C$2:$C3876),""))</f>
        <v>Serie Glory</v>
      </c>
      <c r="I78" s="3" t="s">
        <v>1754</v>
      </c>
      <c r="J78" s="3" t="str">
        <f>IF(I78="","",IFERROR(VLOOKUP(I78,Base_Datos!$D$2:$E$72,2,0),""))</f>
        <v>(1.5L)</v>
      </c>
      <c r="K78" s="3" t="s">
        <v>1859</v>
      </c>
      <c r="L78" s="3"/>
      <c r="M78" s="7">
        <v>0</v>
      </c>
      <c r="N78" s="7">
        <v>0</v>
      </c>
    </row>
    <row r="79" spans="1:14" ht="14.25" x14ac:dyDescent="0.2">
      <c r="A79" s="3">
        <v>294</v>
      </c>
      <c r="B79" s="3" t="s">
        <v>1864</v>
      </c>
      <c r="C79" s="3" t="s">
        <v>5</v>
      </c>
      <c r="D79" s="6" t="s">
        <v>999</v>
      </c>
      <c r="E79" s="6" t="s">
        <v>999</v>
      </c>
      <c r="F79" s="3" t="str">
        <f>IFERROR( VLOOKUP(A79,#REF!,2,0),"")</f>
        <v/>
      </c>
      <c r="G79" s="3" t="str">
        <f t="array" ref="G79">_xlfn.XLOOKUP(I79,Base_Datos!D:D,Base_Datos!B:B,"")</f>
        <v>DFSK</v>
      </c>
      <c r="H79" s="3" t="str">
        <f t="array" ref="H79">IF(I79="","",IFERROR(_xlfn.XLOOKUP(I79,Base_Datos!$D$2:$D3876,Base_Datos!$C$2:$C3876),""))</f>
        <v>Serie Glory</v>
      </c>
      <c r="I79" s="3" t="s">
        <v>1754</v>
      </c>
      <c r="J79" s="3" t="str">
        <f>IF(I79="","",IFERROR(VLOOKUP(I79,Base_Datos!$D$2:$E$72,2,0),""))</f>
        <v>(1.5L)</v>
      </c>
      <c r="K79" s="3" t="s">
        <v>1801</v>
      </c>
      <c r="L79" s="3"/>
      <c r="M79" s="7">
        <v>0</v>
      </c>
      <c r="N79" s="7">
        <v>0</v>
      </c>
    </row>
    <row r="80" spans="1:14" ht="14.25" x14ac:dyDescent="0.2">
      <c r="A80" s="3">
        <v>295</v>
      </c>
      <c r="B80" s="3" t="s">
        <v>1793</v>
      </c>
      <c r="C80" s="3" t="s">
        <v>5</v>
      </c>
      <c r="D80" s="6" t="s">
        <v>1782</v>
      </c>
      <c r="E80" s="6" t="s">
        <v>1782</v>
      </c>
      <c r="F80" s="3" t="str">
        <f>IFERROR( VLOOKUP(A80,#REF!,2,0),"")</f>
        <v/>
      </c>
      <c r="G80" s="3" t="str">
        <f t="array" ref="G80">_xlfn.XLOOKUP(I80,Base_Datos!D:D,Base_Datos!B:B,"")</f>
        <v>DFSK</v>
      </c>
      <c r="H80" s="3" t="str">
        <f t="array" ref="H80">IF(I80="","",IFERROR(_xlfn.XLOOKUP(I80,Base_Datos!$D$2:$D3876,Base_Datos!$C$2:$C3876),""))</f>
        <v>Serie Glory</v>
      </c>
      <c r="I80" s="3" t="s">
        <v>1754</v>
      </c>
      <c r="J80" s="3" t="str">
        <f>IF(I80="","",IFERROR(VLOOKUP(I80,Base_Datos!$D$2:$E$72,2,0),""))</f>
        <v>(1.5L)</v>
      </c>
      <c r="K80" s="3" t="s">
        <v>1801</v>
      </c>
      <c r="L80" s="3"/>
      <c r="M80" s="7">
        <v>0</v>
      </c>
      <c r="N80" s="7">
        <v>0</v>
      </c>
    </row>
    <row r="81" spans="1:14" ht="14.25" x14ac:dyDescent="0.2">
      <c r="A81" s="3">
        <v>296</v>
      </c>
      <c r="B81" s="3" t="s">
        <v>1865</v>
      </c>
      <c r="C81" s="3" t="s">
        <v>5</v>
      </c>
      <c r="D81" s="6" t="s">
        <v>1782</v>
      </c>
      <c r="E81" s="6" t="s">
        <v>1782</v>
      </c>
      <c r="F81" s="3" t="str">
        <f>IFERROR( VLOOKUP(A81,#REF!,2,0),"")</f>
        <v/>
      </c>
      <c r="G81" s="3" t="str">
        <f t="array" ref="G81">_xlfn.XLOOKUP(I81,Base_Datos!D:D,Base_Datos!B:B,"")</f>
        <v>DFSK</v>
      </c>
      <c r="H81" s="3" t="str">
        <f t="array" ref="H81">IF(I81="","",IFERROR(_xlfn.XLOOKUP(I81,Base_Datos!$D$2:$D3876,Base_Datos!$C$2:$C3876),""))</f>
        <v>Serie Glory</v>
      </c>
      <c r="I81" s="3" t="s">
        <v>1754</v>
      </c>
      <c r="J81" s="3" t="str">
        <f>IF(I81="","",IFERROR(VLOOKUP(I81,Base_Datos!$D$2:$E$72,2,0),""))</f>
        <v>(1.5L)</v>
      </c>
      <c r="K81" s="3" t="s">
        <v>1801</v>
      </c>
      <c r="L81" s="3"/>
      <c r="M81" s="7">
        <v>0</v>
      </c>
      <c r="N81" s="7">
        <v>0</v>
      </c>
    </row>
    <row r="82" spans="1:14" ht="14.25" x14ac:dyDescent="0.2">
      <c r="A82" s="3">
        <v>297</v>
      </c>
      <c r="B82" s="3" t="s">
        <v>1866</v>
      </c>
      <c r="C82" s="3" t="s">
        <v>5</v>
      </c>
      <c r="D82" s="6" t="s">
        <v>566</v>
      </c>
      <c r="E82" s="6" t="s">
        <v>566</v>
      </c>
      <c r="F82" s="3" t="str">
        <f>IFERROR( VLOOKUP(A82,#REF!,2,0),"")</f>
        <v/>
      </c>
      <c r="G82" s="3" t="str">
        <f t="array" ref="G82">_xlfn.XLOOKUP(I82,Base_Datos!D:D,Base_Datos!B:B,"")</f>
        <v>DFSK</v>
      </c>
      <c r="H82" s="3" t="str">
        <f t="array" ref="H82">IF(I82="","",IFERROR(_xlfn.XLOOKUP(I82,Base_Datos!$D$2:$D3876,Base_Datos!$C$2:$C3876),""))</f>
        <v>Serie Glory</v>
      </c>
      <c r="I82" s="3" t="s">
        <v>1754</v>
      </c>
      <c r="J82" s="3" t="str">
        <f>IF(I82="","",IFERROR(VLOOKUP(I82,Base_Datos!$D$2:$E$72,2,0),""))</f>
        <v>(1.5L)</v>
      </c>
      <c r="K82" s="3" t="s">
        <v>1801</v>
      </c>
      <c r="L82" s="3"/>
      <c r="M82" s="7">
        <v>0</v>
      </c>
      <c r="N82" s="7">
        <v>0</v>
      </c>
    </row>
    <row r="83" spans="1:14" ht="14.25" x14ac:dyDescent="0.2">
      <c r="A83" s="3">
        <v>298</v>
      </c>
      <c r="B83" s="3" t="s">
        <v>1867</v>
      </c>
      <c r="C83" s="3" t="s">
        <v>5</v>
      </c>
      <c r="D83" s="6" t="s">
        <v>566</v>
      </c>
      <c r="E83" s="6" t="s">
        <v>566</v>
      </c>
      <c r="F83" s="3" t="str">
        <f>IFERROR( VLOOKUP(A83,#REF!,2,0),"")</f>
        <v/>
      </c>
      <c r="G83" s="3" t="str">
        <f t="array" ref="G83">_xlfn.XLOOKUP(I83,Base_Datos!D:D,Base_Datos!B:B,"")</f>
        <v>DFSK</v>
      </c>
      <c r="H83" s="3" t="str">
        <f t="array" ref="H83">IF(I83="","",IFERROR(_xlfn.XLOOKUP(I83,Base_Datos!$D$2:$D3876,Base_Datos!$C$2:$C3876),""))</f>
        <v>Serie Glory</v>
      </c>
      <c r="I83" s="3" t="s">
        <v>1765</v>
      </c>
      <c r="J83" s="3" t="str">
        <f>IF(I83="","",IFERROR(VLOOKUP(I83,Base_Datos!$D$2:$E$72,2,0),""))</f>
        <v>(1.5L)</v>
      </c>
      <c r="K83" s="3" t="s">
        <v>1801</v>
      </c>
      <c r="L83" s="3"/>
      <c r="M83" s="7">
        <v>0</v>
      </c>
      <c r="N83" s="7">
        <v>0</v>
      </c>
    </row>
    <row r="84" spans="1:14" ht="14.25" x14ac:dyDescent="0.2">
      <c r="A84" s="3">
        <v>299</v>
      </c>
      <c r="B84" s="3" t="s">
        <v>1868</v>
      </c>
      <c r="C84" s="3" t="s">
        <v>5</v>
      </c>
      <c r="D84" s="6" t="s">
        <v>1800</v>
      </c>
      <c r="E84" s="6" t="s">
        <v>1800</v>
      </c>
      <c r="F84" s="3" t="str">
        <f>IFERROR( VLOOKUP(A84,#REF!,2,0),"")</f>
        <v/>
      </c>
      <c r="G84" s="3" t="str">
        <f t="array" ref="G84">_xlfn.XLOOKUP(I84,Base_Datos!D:D,Base_Datos!B:B,"")</f>
        <v>DFSK</v>
      </c>
      <c r="H84" s="3" t="str">
        <f t="array" ref="H84">IF(I84="","",IFERROR(_xlfn.XLOOKUP(I84,Base_Datos!$D$2:$D3876,Base_Datos!$C$2:$C3876),""))</f>
        <v>Serie Glory</v>
      </c>
      <c r="I84" s="3" t="s">
        <v>1765</v>
      </c>
      <c r="J84" s="3" t="str">
        <f>IF(I84="","",IFERROR(VLOOKUP(I84,Base_Datos!$D$2:$E$72,2,0),""))</f>
        <v>(1.5L)</v>
      </c>
      <c r="K84" s="3" t="s">
        <v>1801</v>
      </c>
      <c r="L84" s="3"/>
      <c r="M84" s="7">
        <v>0</v>
      </c>
      <c r="N84" s="7">
        <v>0</v>
      </c>
    </row>
    <row r="85" spans="1:14" ht="14.25" x14ac:dyDescent="0.2">
      <c r="A85" s="3">
        <v>300</v>
      </c>
      <c r="B85" s="3" t="s">
        <v>1869</v>
      </c>
      <c r="C85" s="3" t="s">
        <v>5</v>
      </c>
      <c r="D85" s="6" t="s">
        <v>1800</v>
      </c>
      <c r="E85" s="6" t="s">
        <v>1800</v>
      </c>
      <c r="F85" s="3" t="str">
        <f>IFERROR( VLOOKUP(A85,#REF!,2,0),"")</f>
        <v/>
      </c>
      <c r="G85" s="3" t="str">
        <f t="array" ref="G85">_xlfn.XLOOKUP(I85,Base_Datos!D:D,Base_Datos!B:B,"")</f>
        <v>DFSK</v>
      </c>
      <c r="H85" s="3" t="str">
        <f t="array" ref="H85">IF(I85="","",IFERROR(_xlfn.XLOOKUP(I85,Base_Datos!$D$2:$D3876,Base_Datos!$C$2:$C3876),""))</f>
        <v>Serie Glory</v>
      </c>
      <c r="I85" s="3" t="s">
        <v>1765</v>
      </c>
      <c r="J85" s="3" t="str">
        <f>IF(I85="","",IFERROR(VLOOKUP(I85,Base_Datos!$D$2:$E$72,2,0),""))</f>
        <v>(1.5L)</v>
      </c>
      <c r="K85" s="3" t="s">
        <v>1801</v>
      </c>
      <c r="L85" s="3"/>
      <c r="M85" s="7">
        <v>0</v>
      </c>
      <c r="N85" s="7">
        <v>0</v>
      </c>
    </row>
    <row r="86" spans="1:14" ht="14.25" x14ac:dyDescent="0.2">
      <c r="A86" s="3">
        <v>301</v>
      </c>
      <c r="B86" s="3" t="s">
        <v>1870</v>
      </c>
      <c r="C86" s="3" t="s">
        <v>5</v>
      </c>
      <c r="D86" s="6" t="s">
        <v>1800</v>
      </c>
      <c r="E86" s="6" t="s">
        <v>1800</v>
      </c>
      <c r="F86" s="3" t="str">
        <f>IFERROR( VLOOKUP(A86,#REF!,2,0),"")</f>
        <v/>
      </c>
      <c r="G86" s="3" t="str">
        <f t="array" ref="G86">_xlfn.XLOOKUP(I86,Base_Datos!D:D,Base_Datos!B:B,"")</f>
        <v>DFSK</v>
      </c>
      <c r="H86" s="3" t="str">
        <f t="array" ref="H86">IF(I86="","",IFERROR(_xlfn.XLOOKUP(I86,Base_Datos!$D$2:$D3876,Base_Datos!$C$2:$C3876),""))</f>
        <v>Serie Glory</v>
      </c>
      <c r="I86" s="3" t="s">
        <v>1765</v>
      </c>
      <c r="J86" s="3" t="str">
        <f>IF(I86="","",IFERROR(VLOOKUP(I86,Base_Datos!$D$2:$E$72,2,0),""))</f>
        <v>(1.5L)</v>
      </c>
      <c r="K86" s="3" t="s">
        <v>1801</v>
      </c>
      <c r="L86" s="3"/>
      <c r="M86" s="7">
        <v>0</v>
      </c>
      <c r="N86" s="7">
        <v>0</v>
      </c>
    </row>
    <row r="87" spans="1:14" ht="14.25" x14ac:dyDescent="0.2">
      <c r="A87" s="3">
        <v>302</v>
      </c>
      <c r="B87" s="3" t="s">
        <v>1871</v>
      </c>
      <c r="C87" s="3" t="s">
        <v>5</v>
      </c>
      <c r="D87" s="6" t="s">
        <v>1782</v>
      </c>
      <c r="E87" s="6" t="s">
        <v>1782</v>
      </c>
      <c r="F87" s="3" t="str">
        <f>IFERROR( VLOOKUP(A87,#REF!,2,0),"")</f>
        <v/>
      </c>
      <c r="G87" s="3" t="str">
        <f t="array" ref="G87">_xlfn.XLOOKUP(I87,Base_Datos!D:D,Base_Datos!B:B,"")</f>
        <v>DFSK</v>
      </c>
      <c r="H87" s="3" t="str">
        <f t="array" ref="H87">IF(I87="","",IFERROR(_xlfn.XLOOKUP(I87,Base_Datos!$D$2:$D3876,Base_Datos!$C$2:$C3876),""))</f>
        <v>Serie C</v>
      </c>
      <c r="I87" s="3" t="s">
        <v>265</v>
      </c>
      <c r="J87" s="3" t="str">
        <f>IF(I87="","",IFERROR(VLOOKUP(I87,Base_Datos!$D$2:$E$72,2,0),""))</f>
        <v>(1.5L)</v>
      </c>
      <c r="K87" s="3"/>
      <c r="L87" s="3"/>
      <c r="M87" s="7">
        <v>0</v>
      </c>
      <c r="N87" s="7">
        <v>0</v>
      </c>
    </row>
    <row r="88" spans="1:14" ht="14.25" x14ac:dyDescent="0.2">
      <c r="A88" s="3">
        <v>303</v>
      </c>
      <c r="B88" s="3" t="s">
        <v>1803</v>
      </c>
      <c r="C88" s="3" t="s">
        <v>5</v>
      </c>
      <c r="D88" s="6" t="s">
        <v>1782</v>
      </c>
      <c r="E88" s="6" t="s">
        <v>1782</v>
      </c>
      <c r="F88" s="3" t="str">
        <f>IFERROR( VLOOKUP(A88,#REF!,2,0),"")</f>
        <v/>
      </c>
      <c r="G88" s="3" t="str">
        <f t="array" ref="G88">_xlfn.XLOOKUP(I88,Base_Datos!D:D,Base_Datos!B:B,"")</f>
        <v>DFSK</v>
      </c>
      <c r="H88" s="3" t="str">
        <f t="array" ref="H88">IF(I88="","",IFERROR(_xlfn.XLOOKUP(I88,Base_Datos!$D$2:$D3876,Base_Datos!$C$2:$C3876),""))</f>
        <v>Serie C</v>
      </c>
      <c r="I88" s="3" t="s">
        <v>265</v>
      </c>
      <c r="J88" s="3" t="str">
        <f>IF(I88="","",IFERROR(VLOOKUP(I88,Base_Datos!$D$2:$E$72,2,0),""))</f>
        <v>(1.5L)</v>
      </c>
      <c r="K88" s="3"/>
      <c r="L88" s="3"/>
      <c r="M88" s="7">
        <v>0</v>
      </c>
      <c r="N88" s="7">
        <v>0</v>
      </c>
    </row>
    <row r="89" spans="1:14" ht="14.25" x14ac:dyDescent="0.2">
      <c r="A89" s="3">
        <v>304</v>
      </c>
      <c r="B89" s="3" t="s">
        <v>1853</v>
      </c>
      <c r="C89" s="3" t="s">
        <v>5</v>
      </c>
      <c r="D89" s="6" t="s">
        <v>1782</v>
      </c>
      <c r="E89" s="6" t="s">
        <v>1782</v>
      </c>
      <c r="F89" s="3" t="str">
        <f>IFERROR( VLOOKUP(A89,#REF!,2,0),"")</f>
        <v/>
      </c>
      <c r="G89" s="3" t="str">
        <f t="array" ref="G89">_xlfn.XLOOKUP(I89,Base_Datos!D:D,Base_Datos!B:B,"")</f>
        <v>DFSK</v>
      </c>
      <c r="H89" s="3" t="str">
        <f t="array" ref="H89">IF(I89="","",IFERROR(_xlfn.XLOOKUP(I89,Base_Datos!$D$2:$D3876,Base_Datos!$C$2:$C3876),""))</f>
        <v>Serie C</v>
      </c>
      <c r="I89" s="3" t="s">
        <v>265</v>
      </c>
      <c r="J89" s="3" t="str">
        <f>IF(I89="","",IFERROR(VLOOKUP(I89,Base_Datos!$D$2:$E$72,2,0),""))</f>
        <v>(1.5L)</v>
      </c>
      <c r="K89" s="3"/>
      <c r="L89" s="3"/>
      <c r="M89" s="7">
        <v>0</v>
      </c>
      <c r="N89" s="7">
        <v>0</v>
      </c>
    </row>
    <row r="90" spans="1:14" ht="14.25" x14ac:dyDescent="0.2">
      <c r="A90" s="3">
        <v>305</v>
      </c>
      <c r="B90" s="3" t="s">
        <v>1852</v>
      </c>
      <c r="C90" s="3" t="s">
        <v>5</v>
      </c>
      <c r="D90" s="6" t="s">
        <v>1782</v>
      </c>
      <c r="E90" s="6" t="s">
        <v>1782</v>
      </c>
      <c r="F90" s="3" t="str">
        <f>IFERROR( VLOOKUP(A90,#REF!,2,0),"")</f>
        <v/>
      </c>
      <c r="G90" s="3" t="str">
        <f t="array" ref="G90">_xlfn.XLOOKUP(I90,Base_Datos!D:D,Base_Datos!B:B,"")</f>
        <v>DFSK</v>
      </c>
      <c r="H90" s="3" t="str">
        <f t="array" ref="H90">IF(I90="","",IFERROR(_xlfn.XLOOKUP(I90,Base_Datos!$D$2:$D3876,Base_Datos!$C$2:$C3876),""))</f>
        <v>Serie C</v>
      </c>
      <c r="I90" s="3" t="s">
        <v>265</v>
      </c>
      <c r="J90" s="3" t="str">
        <f>IF(I90="","",IFERROR(VLOOKUP(I90,Base_Datos!$D$2:$E$72,2,0),""))</f>
        <v>(1.5L)</v>
      </c>
      <c r="K90" s="3"/>
      <c r="L90" s="3"/>
      <c r="M90" s="7">
        <v>0</v>
      </c>
      <c r="N90" s="7">
        <v>0</v>
      </c>
    </row>
    <row r="91" spans="1:14" ht="14.25" x14ac:dyDescent="0.2">
      <c r="A91" s="3">
        <v>306</v>
      </c>
      <c r="B91" s="3" t="s">
        <v>1841</v>
      </c>
      <c r="C91" s="3" t="s">
        <v>5</v>
      </c>
      <c r="D91" s="6" t="s">
        <v>1782</v>
      </c>
      <c r="E91" s="6" t="s">
        <v>1782</v>
      </c>
      <c r="F91" s="3" t="str">
        <f>IFERROR( VLOOKUP(A91,#REF!,2,0),"")</f>
        <v/>
      </c>
      <c r="G91" s="3" t="str">
        <f t="array" ref="G91">_xlfn.XLOOKUP(I91,Base_Datos!D:D,Base_Datos!B:B,"")</f>
        <v>DFSK</v>
      </c>
      <c r="H91" s="3" t="str">
        <f t="array" ref="H91">IF(I91="","",IFERROR(_xlfn.XLOOKUP(I91,Base_Datos!$D$2:$D3876,Base_Datos!$C$2:$C3876),""))</f>
        <v>Serie C</v>
      </c>
      <c r="I91" s="3" t="s">
        <v>265</v>
      </c>
      <c r="J91" s="3" t="str">
        <f>IF(I91="","",IFERROR(VLOOKUP(I91,Base_Datos!$D$2:$E$72,2,0),""))</f>
        <v>(1.5L)</v>
      </c>
      <c r="K91" s="3"/>
      <c r="L91" s="3"/>
      <c r="M91" s="7">
        <v>0</v>
      </c>
      <c r="N91" s="7">
        <v>0</v>
      </c>
    </row>
    <row r="92" spans="1:14" ht="14.25" x14ac:dyDescent="0.2">
      <c r="A92" s="3">
        <v>307</v>
      </c>
      <c r="B92" s="3" t="s">
        <v>1872</v>
      </c>
      <c r="C92" s="3" t="s">
        <v>5</v>
      </c>
      <c r="D92" s="6" t="s">
        <v>1782</v>
      </c>
      <c r="E92" s="6" t="s">
        <v>1782</v>
      </c>
      <c r="F92" s="3" t="str">
        <f>IFERROR( VLOOKUP(A92,#REF!,2,0),"")</f>
        <v/>
      </c>
      <c r="G92" s="3" t="str">
        <f t="array" ref="G92">_xlfn.XLOOKUP(I92,Base_Datos!D:D,Base_Datos!B:B,"")</f>
        <v>DFSK</v>
      </c>
      <c r="H92" s="3" t="str">
        <f t="array" ref="H92">IF(I92="","",IFERROR(_xlfn.XLOOKUP(I92,Base_Datos!$D$2:$D3876,Base_Datos!$C$2:$C3876),""))</f>
        <v>Serie C</v>
      </c>
      <c r="I92" s="3" t="s">
        <v>265</v>
      </c>
      <c r="J92" s="3" t="str">
        <f>IF(I92="","",IFERROR(VLOOKUP(I92,Base_Datos!$D$2:$E$72,2,0),""))</f>
        <v>(1.5L)</v>
      </c>
      <c r="K92" s="3"/>
      <c r="L92" s="3"/>
      <c r="M92" s="7">
        <v>0</v>
      </c>
      <c r="N92" s="7">
        <v>0</v>
      </c>
    </row>
    <row r="93" spans="1:14" ht="14.25" x14ac:dyDescent="0.2">
      <c r="A93" s="3">
        <v>308</v>
      </c>
      <c r="B93" s="3" t="s">
        <v>1781</v>
      </c>
      <c r="C93" s="3" t="s">
        <v>5</v>
      </c>
      <c r="D93" s="6" t="s">
        <v>1782</v>
      </c>
      <c r="E93" s="6" t="s">
        <v>1782</v>
      </c>
      <c r="F93" s="3" t="str">
        <f>IFERROR( VLOOKUP(A93,#REF!,2,0),"")</f>
        <v/>
      </c>
      <c r="G93" s="3" t="str">
        <f t="array" ref="G93">_xlfn.XLOOKUP(I93,Base_Datos!D:D,Base_Datos!B:B,"")</f>
        <v>DFSK</v>
      </c>
      <c r="H93" s="3" t="str">
        <f t="array" ref="H93">IF(I93="","",IFERROR(_xlfn.XLOOKUP(I93,Base_Datos!$D$2:$D3876,Base_Datos!$C$2:$C3876),""))</f>
        <v>Serie C</v>
      </c>
      <c r="I93" s="3" t="s">
        <v>343</v>
      </c>
      <c r="J93" s="3" t="str">
        <f>IF(I93="","",IFERROR(VLOOKUP(I93,Base_Datos!$D$2:$E$72,2,0),""))</f>
        <v>(1.5L)</v>
      </c>
      <c r="K93" s="3" t="s">
        <v>1817</v>
      </c>
      <c r="L93" s="3"/>
      <c r="M93" s="7">
        <v>0</v>
      </c>
      <c r="N93" s="7">
        <v>0</v>
      </c>
    </row>
    <row r="94" spans="1:14" ht="14.25" x14ac:dyDescent="0.2">
      <c r="A94" s="3">
        <v>309</v>
      </c>
      <c r="B94" s="3" t="s">
        <v>1873</v>
      </c>
      <c r="C94" s="3" t="s">
        <v>5</v>
      </c>
      <c r="D94" s="6" t="s">
        <v>1782</v>
      </c>
      <c r="E94" s="6" t="s">
        <v>1782</v>
      </c>
      <c r="F94" s="3" t="str">
        <f>IFERROR( VLOOKUP(A94,#REF!,2,0),"")</f>
        <v/>
      </c>
      <c r="G94" s="3" t="str">
        <f t="array" ref="G94">_xlfn.XLOOKUP(I94,Base_Datos!D:D,Base_Datos!B:B,"")</f>
        <v>DFSK</v>
      </c>
      <c r="H94" s="3" t="str">
        <f t="array" ref="H94">IF(I94="","",IFERROR(_xlfn.XLOOKUP(I94,Base_Datos!$D$2:$D3876,Base_Datos!$C$2:$C3876),""))</f>
        <v>Serie C</v>
      </c>
      <c r="I94" s="3" t="s">
        <v>343</v>
      </c>
      <c r="J94" s="3" t="str">
        <f>IF(I94="","",IFERROR(VLOOKUP(I94,Base_Datos!$D$2:$E$72,2,0),""))</f>
        <v>(1.5L)</v>
      </c>
      <c r="K94" s="3" t="s">
        <v>1817</v>
      </c>
      <c r="L94" s="3"/>
      <c r="M94" s="7">
        <v>0</v>
      </c>
      <c r="N94" s="7">
        <v>0</v>
      </c>
    </row>
    <row r="95" spans="1:14" ht="14.25" x14ac:dyDescent="0.2">
      <c r="A95" s="3">
        <v>310</v>
      </c>
      <c r="B95" s="3" t="s">
        <v>1792</v>
      </c>
      <c r="C95" s="3" t="s">
        <v>5</v>
      </c>
      <c r="D95" s="6" t="s">
        <v>1782</v>
      </c>
      <c r="E95" s="6" t="s">
        <v>1782</v>
      </c>
      <c r="F95" s="3" t="str">
        <f>IFERROR( VLOOKUP(A95,#REF!,2,0),"")</f>
        <v/>
      </c>
      <c r="G95" s="3" t="str">
        <f t="array" ref="G95">_xlfn.XLOOKUP(I95,Base_Datos!D:D,Base_Datos!B:B,"")</f>
        <v>DFSK</v>
      </c>
      <c r="H95" s="3" t="str">
        <f t="array" ref="H95">IF(I95="","",IFERROR(_xlfn.XLOOKUP(I95,Base_Datos!$D$2:$D3876,Base_Datos!$C$2:$C3876),""))</f>
        <v>Serie C</v>
      </c>
      <c r="I95" s="3" t="s">
        <v>343</v>
      </c>
      <c r="J95" s="3" t="str">
        <f>IF(I95="","",IFERROR(VLOOKUP(I95,Base_Datos!$D$2:$E$72,2,0),""))</f>
        <v>(1.5L)</v>
      </c>
      <c r="K95" s="3" t="s">
        <v>1817</v>
      </c>
      <c r="L95" s="3"/>
      <c r="M95" s="7">
        <v>0</v>
      </c>
      <c r="N95" s="7">
        <v>0</v>
      </c>
    </row>
    <row r="96" spans="1:14" ht="14.25" x14ac:dyDescent="0.2">
      <c r="A96" s="3">
        <v>311</v>
      </c>
      <c r="B96" s="3" t="s">
        <v>1874</v>
      </c>
      <c r="C96" s="3" t="s">
        <v>5</v>
      </c>
      <c r="D96" s="6" t="s">
        <v>1782</v>
      </c>
      <c r="E96" s="6" t="s">
        <v>1782</v>
      </c>
      <c r="F96" s="3" t="str">
        <f>IFERROR( VLOOKUP(A96,#REF!,2,0),"")</f>
        <v/>
      </c>
      <c r="G96" s="3" t="str">
        <f t="array" ref="G96">_xlfn.XLOOKUP(I96,Base_Datos!D:D,Base_Datos!B:B,"")</f>
        <v>DFSK</v>
      </c>
      <c r="H96" s="3" t="str">
        <f t="array" ref="H96">IF(I96="","",IFERROR(_xlfn.XLOOKUP(I96,Base_Datos!$D$2:$D3876,Base_Datos!$C$2:$C3876),""))</f>
        <v>Serie C</v>
      </c>
      <c r="I96" s="3" t="s">
        <v>343</v>
      </c>
      <c r="J96" s="3" t="str">
        <f>IF(I96="","",IFERROR(VLOOKUP(I96,Base_Datos!$D$2:$E$72,2,0),""))</f>
        <v>(1.5L)</v>
      </c>
      <c r="K96" s="3"/>
      <c r="L96" s="3"/>
      <c r="M96" s="7">
        <v>0</v>
      </c>
      <c r="N96" s="7">
        <v>0</v>
      </c>
    </row>
    <row r="97" spans="1:14" ht="14.25" x14ac:dyDescent="0.2">
      <c r="A97" s="3">
        <v>312</v>
      </c>
      <c r="B97" s="3" t="s">
        <v>1875</v>
      </c>
      <c r="C97" s="3" t="s">
        <v>5</v>
      </c>
      <c r="D97" s="6" t="s">
        <v>1782</v>
      </c>
      <c r="E97" s="6" t="s">
        <v>1782</v>
      </c>
      <c r="F97" s="3" t="str">
        <f>IFERROR( VLOOKUP(A97,#REF!,2,0),"")</f>
        <v/>
      </c>
      <c r="G97" s="3" t="str">
        <f t="array" ref="G97">_xlfn.XLOOKUP(I97,Base_Datos!D:D,Base_Datos!B:B,"")</f>
        <v>DFSK</v>
      </c>
      <c r="H97" s="3" t="str">
        <f t="array" ref="H97">IF(I97="","",IFERROR(_xlfn.XLOOKUP(I97,Base_Datos!$D$2:$D3876,Base_Datos!$C$2:$C3876),""))</f>
        <v>Serie C</v>
      </c>
      <c r="I97" s="3" t="s">
        <v>343</v>
      </c>
      <c r="J97" s="3" t="str">
        <f>IF(I97="","",IFERROR(VLOOKUP(I97,Base_Datos!$D$2:$E$72,2,0),""))</f>
        <v>(1.5L)</v>
      </c>
      <c r="K97" s="3"/>
      <c r="L97" s="3"/>
      <c r="M97" s="7">
        <v>0</v>
      </c>
      <c r="N97" s="7">
        <v>0</v>
      </c>
    </row>
    <row r="98" spans="1:14" ht="14.25" x14ac:dyDescent="0.2">
      <c r="A98" s="3">
        <v>313</v>
      </c>
      <c r="B98" s="3" t="s">
        <v>1876</v>
      </c>
      <c r="C98" s="3" t="s">
        <v>5</v>
      </c>
      <c r="D98" s="6" t="s">
        <v>1782</v>
      </c>
      <c r="E98" s="6" t="s">
        <v>1782</v>
      </c>
      <c r="F98" s="3" t="str">
        <f>IFERROR( VLOOKUP(A98,#REF!,2,0),"")</f>
        <v/>
      </c>
      <c r="G98" s="3" t="str">
        <f t="array" ref="G98">_xlfn.XLOOKUP(I98,Base_Datos!D:D,Base_Datos!B:B,"")</f>
        <v>DFSK</v>
      </c>
      <c r="H98" s="3" t="str">
        <f t="array" ref="H98">IF(I98="","",IFERROR(_xlfn.XLOOKUP(I98,Base_Datos!$D$2:$D3876,Base_Datos!$C$2:$C3876),""))</f>
        <v>Serie C</v>
      </c>
      <c r="I98" s="3" t="s">
        <v>343</v>
      </c>
      <c r="J98" s="3" t="str">
        <f>IF(I98="","",IFERROR(VLOOKUP(I98,Base_Datos!$D$2:$E$72,2,0),""))</f>
        <v>(1.5L)</v>
      </c>
      <c r="K98" s="3"/>
      <c r="L98" s="3"/>
      <c r="M98" s="7">
        <v>0</v>
      </c>
      <c r="N98" s="7">
        <v>0</v>
      </c>
    </row>
    <row r="99" spans="1:14" ht="14.25" x14ac:dyDescent="0.2">
      <c r="A99" s="3">
        <v>314</v>
      </c>
      <c r="B99" s="3" t="s">
        <v>1877</v>
      </c>
      <c r="C99" s="3" t="s">
        <v>5</v>
      </c>
      <c r="D99" s="6" t="s">
        <v>1782</v>
      </c>
      <c r="E99" s="6" t="s">
        <v>1782</v>
      </c>
      <c r="F99" s="3" t="str">
        <f>IFERROR( VLOOKUP(A99,#REF!,2,0),"")</f>
        <v/>
      </c>
      <c r="G99" s="3" t="str">
        <f t="array" ref="G99">_xlfn.XLOOKUP(I99,Base_Datos!D:D,Base_Datos!B:B,"")</f>
        <v>DFSK</v>
      </c>
      <c r="H99" s="3" t="str">
        <f t="array" ref="H99">IF(I99="","",IFERROR(_xlfn.XLOOKUP(I99,Base_Datos!$D$2:$D3876,Base_Datos!$C$2:$C3876),""))</f>
        <v>Serie C</v>
      </c>
      <c r="I99" s="3" t="s">
        <v>343</v>
      </c>
      <c r="J99" s="3" t="str">
        <f>IF(I99="","",IFERROR(VLOOKUP(I99,Base_Datos!$D$2:$E$72,2,0),""))</f>
        <v>(1.5L)</v>
      </c>
      <c r="K99" s="3"/>
      <c r="L99" s="3"/>
      <c r="M99" s="7">
        <v>0</v>
      </c>
      <c r="N99" s="7">
        <v>0</v>
      </c>
    </row>
    <row r="100" spans="1:14" ht="14.25" x14ac:dyDescent="0.2">
      <c r="A100" s="3">
        <v>315</v>
      </c>
      <c r="B100" s="3" t="s">
        <v>1878</v>
      </c>
      <c r="C100" s="3" t="s">
        <v>5</v>
      </c>
      <c r="D100" s="6" t="s">
        <v>1782</v>
      </c>
      <c r="E100" s="6" t="s">
        <v>1782</v>
      </c>
      <c r="F100" s="3" t="str">
        <f>IFERROR( VLOOKUP(A100,#REF!,2,0),"")</f>
        <v/>
      </c>
      <c r="G100" s="3" t="str">
        <f t="array" ref="G100">_xlfn.XLOOKUP(I100,Base_Datos!D:D,Base_Datos!B:B,"")</f>
        <v>DFSK</v>
      </c>
      <c r="H100" s="3" t="str">
        <f t="array" ref="H100">IF(I100="","",IFERROR(_xlfn.XLOOKUP(I100,Base_Datos!$D$2:$D3876,Base_Datos!$C$2:$C3876),""))</f>
        <v>Serie C</v>
      </c>
      <c r="I100" s="3" t="s">
        <v>343</v>
      </c>
      <c r="J100" s="3" t="str">
        <f>IF(I100="","",IFERROR(VLOOKUP(I100,Base_Datos!$D$2:$E$72,2,0),""))</f>
        <v>(1.5L)</v>
      </c>
      <c r="K100" s="3"/>
      <c r="L100" s="3"/>
      <c r="M100" s="7">
        <v>0</v>
      </c>
      <c r="N100" s="7">
        <v>0</v>
      </c>
    </row>
    <row r="101" spans="1:14" ht="14.25" x14ac:dyDescent="0.2">
      <c r="A101" s="3">
        <v>316</v>
      </c>
      <c r="B101" s="3" t="s">
        <v>1879</v>
      </c>
      <c r="C101" s="3" t="s">
        <v>5</v>
      </c>
      <c r="D101" s="6" t="s">
        <v>1782</v>
      </c>
      <c r="E101" s="6" t="s">
        <v>1782</v>
      </c>
      <c r="F101" s="3" t="str">
        <f>IFERROR( VLOOKUP(A101,#REF!,2,0),"")</f>
        <v/>
      </c>
      <c r="G101" s="3" t="str">
        <f t="array" ref="G101">_xlfn.XLOOKUP(I101,Base_Datos!D:D,Base_Datos!B:B,"")</f>
        <v>DFSK</v>
      </c>
      <c r="H101" s="3" t="str">
        <f t="array" ref="H101">IF(I101="","",IFERROR(_xlfn.XLOOKUP(I101,Base_Datos!$D$2:$D3876,Base_Datos!$C$2:$C3876),""))</f>
        <v>Serie D</v>
      </c>
      <c r="I101" s="3" t="s">
        <v>145</v>
      </c>
      <c r="J101" s="3" t="str">
        <f>IF(I101="","",IFERROR(VLOOKUP(I101,Base_Datos!$D$2:$E$72,2,0),""))</f>
        <v>(2.4L)</v>
      </c>
      <c r="K101" s="3"/>
      <c r="L101" s="3"/>
      <c r="M101" s="7">
        <v>0</v>
      </c>
      <c r="N101" s="7">
        <v>0</v>
      </c>
    </row>
    <row r="102" spans="1:14" ht="14.25" x14ac:dyDescent="0.2">
      <c r="A102" s="3">
        <v>317</v>
      </c>
      <c r="B102" s="3" t="s">
        <v>1880</v>
      </c>
      <c r="C102" s="3" t="s">
        <v>5</v>
      </c>
      <c r="D102" s="6" t="s">
        <v>1782</v>
      </c>
      <c r="E102" s="6" t="s">
        <v>1782</v>
      </c>
      <c r="F102" s="3" t="str">
        <f>IFERROR( VLOOKUP(A102,#REF!,2,0),"")</f>
        <v/>
      </c>
      <c r="G102" s="3" t="str">
        <f t="array" ref="G102">_xlfn.XLOOKUP(I102,Base_Datos!D:D,Base_Datos!B:B,"")</f>
        <v>DFSK</v>
      </c>
      <c r="H102" s="3" t="str">
        <f t="array" ref="H102">IF(I102="","",IFERROR(_xlfn.XLOOKUP(I102,Base_Datos!$D$2:$D3876,Base_Datos!$C$2:$C3876),""))</f>
        <v>Serie K</v>
      </c>
      <c r="I102" s="3" t="s">
        <v>475</v>
      </c>
      <c r="J102" s="3" t="str">
        <f>IF(I102="","",IFERROR(VLOOKUP(I102,Base_Datos!$D$2:$E$72,2,0),""))</f>
        <v>(1.1L)</v>
      </c>
      <c r="K102" s="3"/>
      <c r="L102" s="3"/>
      <c r="M102" s="7">
        <v>0</v>
      </c>
      <c r="N102" s="7">
        <v>0</v>
      </c>
    </row>
    <row r="103" spans="1:14" ht="14.25" x14ac:dyDescent="0.2">
      <c r="A103" s="3">
        <v>318</v>
      </c>
      <c r="B103" s="3" t="s">
        <v>1881</v>
      </c>
      <c r="C103" s="3" t="s">
        <v>5</v>
      </c>
      <c r="D103" s="6" t="s">
        <v>1782</v>
      </c>
      <c r="E103" s="6" t="s">
        <v>1782</v>
      </c>
      <c r="F103" s="3" t="str">
        <f>IFERROR( VLOOKUP(A103,#REF!,2,0),"")</f>
        <v/>
      </c>
      <c r="G103" s="3" t="str">
        <f t="array" ref="G103">_xlfn.XLOOKUP(I103,Base_Datos!D:D,Base_Datos!B:B,"")</f>
        <v>DFSK</v>
      </c>
      <c r="H103" s="3" t="str">
        <f t="array" ref="H103">IF(I103="","",IFERROR(_xlfn.XLOOKUP(I103,Base_Datos!$D$2:$D3876,Base_Datos!$C$2:$C3876),""))</f>
        <v>Serie K</v>
      </c>
      <c r="I103" s="3" t="s">
        <v>475</v>
      </c>
      <c r="J103" s="3" t="str">
        <f>IF(I103="","",IFERROR(VLOOKUP(I103,Base_Datos!$D$2:$E$72,2,0),""))</f>
        <v>(1.1L)</v>
      </c>
      <c r="K103" s="3"/>
      <c r="L103" s="3"/>
      <c r="M103" s="7">
        <v>0</v>
      </c>
      <c r="N103" s="7">
        <v>0</v>
      </c>
    </row>
    <row r="104" spans="1:14" ht="14.25" x14ac:dyDescent="0.2">
      <c r="A104" s="3">
        <v>319</v>
      </c>
      <c r="B104" s="3" t="s">
        <v>1878</v>
      </c>
      <c r="C104" s="3" t="s">
        <v>5</v>
      </c>
      <c r="D104" s="6" t="s">
        <v>1782</v>
      </c>
      <c r="E104" s="6" t="s">
        <v>1782</v>
      </c>
      <c r="F104" s="3" t="str">
        <f>IFERROR( VLOOKUP(A104,#REF!,2,0),"")</f>
        <v/>
      </c>
      <c r="G104" s="3" t="str">
        <f t="array" ref="G104">_xlfn.XLOOKUP(I104,Base_Datos!D:D,Base_Datos!B:B,"")</f>
        <v>DFSK</v>
      </c>
      <c r="H104" s="3" t="str">
        <f t="array" ref="H104">IF(I104="","",IFERROR(_xlfn.XLOOKUP(I104,Base_Datos!$D$2:$D3876,Base_Datos!$C$2:$C3876),""))</f>
        <v>Serie K</v>
      </c>
      <c r="I104" s="3" t="s">
        <v>475</v>
      </c>
      <c r="J104" s="3" t="str">
        <f>IF(I104="","",IFERROR(VLOOKUP(I104,Base_Datos!$D$2:$E$72,2,0),""))</f>
        <v>(1.1L)</v>
      </c>
      <c r="K104" s="3"/>
      <c r="L104" s="3"/>
      <c r="M104" s="7">
        <v>0</v>
      </c>
      <c r="N104" s="7">
        <v>0</v>
      </c>
    </row>
    <row r="105" spans="1:14" ht="14.25" x14ac:dyDescent="0.2">
      <c r="A105" s="3">
        <v>320</v>
      </c>
      <c r="B105" s="3" t="s">
        <v>1882</v>
      </c>
      <c r="C105" s="3" t="s">
        <v>5</v>
      </c>
      <c r="D105" s="6" t="s">
        <v>1782</v>
      </c>
      <c r="E105" s="6" t="s">
        <v>1782</v>
      </c>
      <c r="F105" s="3" t="str">
        <f>IFERROR( VLOOKUP(A105,#REF!,2,0),"")</f>
        <v/>
      </c>
      <c r="G105" s="3" t="str">
        <f t="array" ref="G105">_xlfn.XLOOKUP(I105,Base_Datos!D:D,Base_Datos!B:B,"")</f>
        <v>DFSK</v>
      </c>
      <c r="H105" s="3" t="str">
        <f t="array" ref="H105">IF(I105="","",IFERROR(_xlfn.XLOOKUP(I105,Base_Datos!$D$2:$D3876,Base_Datos!$C$2:$C3876),""))</f>
        <v>Serie K</v>
      </c>
      <c r="I105" s="3" t="s">
        <v>475</v>
      </c>
      <c r="J105" s="3" t="str">
        <f>IF(I105="","",IFERROR(VLOOKUP(I105,Base_Datos!$D$2:$E$72,2,0),""))</f>
        <v>(1.1L)</v>
      </c>
      <c r="K105" s="3"/>
      <c r="L105" s="3"/>
      <c r="M105" s="7">
        <v>0</v>
      </c>
      <c r="N105" s="7">
        <v>0</v>
      </c>
    </row>
    <row r="106" spans="1:14" ht="14.25" x14ac:dyDescent="0.2">
      <c r="A106" s="3">
        <v>321</v>
      </c>
      <c r="B106" s="3" t="s">
        <v>1883</v>
      </c>
      <c r="C106" s="3" t="s">
        <v>5</v>
      </c>
      <c r="D106" s="6" t="s">
        <v>1782</v>
      </c>
      <c r="E106" s="6" t="s">
        <v>1782</v>
      </c>
      <c r="F106" s="3" t="str">
        <f>IFERROR( VLOOKUP(A106,#REF!,2,0),"")</f>
        <v/>
      </c>
      <c r="G106" s="3" t="str">
        <f t="array" ref="G106">_xlfn.XLOOKUP(I106,Base_Datos!D:D,Base_Datos!B:B,"")</f>
        <v>DFSK</v>
      </c>
      <c r="H106" s="3" t="str">
        <f t="array" ref="H106">IF(I106="","",IFERROR(_xlfn.XLOOKUP(I106,Base_Datos!$D$2:$D3876,Base_Datos!$C$2:$C3876),""))</f>
        <v>Serie D</v>
      </c>
      <c r="I106" s="3" t="s">
        <v>145</v>
      </c>
      <c r="J106" s="3" t="str">
        <f>IF(I106="","",IFERROR(VLOOKUP(I106,Base_Datos!$D$2:$E$72,2,0),""))</f>
        <v>(2.4L)</v>
      </c>
      <c r="K106" s="3"/>
      <c r="L106" s="3"/>
      <c r="M106" s="7">
        <v>0</v>
      </c>
      <c r="N106" s="7">
        <v>0</v>
      </c>
    </row>
    <row r="107" spans="1:14" ht="14.25" x14ac:dyDescent="0.2">
      <c r="A107" s="3">
        <v>322</v>
      </c>
      <c r="B107" s="3" t="s">
        <v>1884</v>
      </c>
      <c r="C107" s="3" t="s">
        <v>6</v>
      </c>
      <c r="D107" s="6" t="s">
        <v>1782</v>
      </c>
      <c r="E107" s="6" t="s">
        <v>1782</v>
      </c>
      <c r="F107" s="3" t="str">
        <f>IFERROR( VLOOKUP(A107,#REF!,2,0),"")</f>
        <v/>
      </c>
      <c r="G107" s="3" t="str">
        <f t="array" ref="G107">_xlfn.XLOOKUP(I107,Base_Datos!D:D,Base_Datos!B:B,"")</f>
        <v>GAC</v>
      </c>
      <c r="H107" s="3" t="str">
        <f t="array" ref="H107">IF(I107="","",IFERROR(_xlfn.XLOOKUP(I107,Base_Datos!$D$2:$D3876,Base_Datos!$C$2:$C3876),""))</f>
        <v>Serie GS</v>
      </c>
      <c r="I107" s="3" t="s">
        <v>1487</v>
      </c>
      <c r="J107" s="3" t="str">
        <f>IF(I107="","",IFERROR(VLOOKUP(I107,Base_Datos!$D$2:$E$72,2,0),""))</f>
        <v>(2.0L)</v>
      </c>
      <c r="K107" s="3"/>
      <c r="L107" s="3"/>
      <c r="M107" s="7">
        <v>0</v>
      </c>
      <c r="N107" s="7">
        <v>0</v>
      </c>
    </row>
    <row r="108" spans="1:14" ht="14.25" x14ac:dyDescent="0.2">
      <c r="A108" s="3">
        <v>323</v>
      </c>
      <c r="B108" s="3" t="s">
        <v>1878</v>
      </c>
      <c r="C108" s="3" t="s">
        <v>6</v>
      </c>
      <c r="D108" s="6" t="s">
        <v>1782</v>
      </c>
      <c r="E108" s="6" t="s">
        <v>1782</v>
      </c>
      <c r="F108" s="3" t="str">
        <f>IFERROR( VLOOKUP(A108,#REF!,2,0),"")</f>
        <v/>
      </c>
      <c r="G108" s="3" t="str">
        <f t="array" ref="G108">_xlfn.XLOOKUP(I108,Base_Datos!D:D,Base_Datos!B:B,"")</f>
        <v>GAC</v>
      </c>
      <c r="H108" s="3" t="str">
        <f t="array" ref="H108">IF(I108="","",IFERROR(_xlfn.XLOOKUP(I108,Base_Datos!$D$2:$D3876,Base_Datos!$C$2:$C3876),""))</f>
        <v>Serie GS</v>
      </c>
      <c r="I108" s="3" t="s">
        <v>1487</v>
      </c>
      <c r="J108" s="3" t="str">
        <f>IF(I108="","",IFERROR(VLOOKUP(I108,Base_Datos!$D$2:$E$72,2,0),""))</f>
        <v>(2.0L)</v>
      </c>
      <c r="K108" s="3"/>
      <c r="L108" s="3"/>
      <c r="M108" s="7">
        <v>0</v>
      </c>
      <c r="N108" s="7">
        <v>0</v>
      </c>
    </row>
    <row r="109" spans="1:14" ht="14.25" x14ac:dyDescent="0.2">
      <c r="A109" s="3">
        <v>324</v>
      </c>
      <c r="B109" s="3" t="s">
        <v>1885</v>
      </c>
      <c r="C109" s="3" t="s">
        <v>5</v>
      </c>
      <c r="D109" s="6" t="s">
        <v>1782</v>
      </c>
      <c r="E109" s="6" t="s">
        <v>1782</v>
      </c>
      <c r="F109" s="3" t="str">
        <f>IFERROR( VLOOKUP(A109,#REF!,2,0),"")</f>
        <v/>
      </c>
      <c r="G109" s="3" t="str">
        <f t="array" ref="G109">_xlfn.XLOOKUP(I109,Base_Datos!D:D,Base_Datos!B:B,"")</f>
        <v>DFSK</v>
      </c>
      <c r="H109" s="3" t="str">
        <f t="array" ref="H109">IF(I109="","",IFERROR(_xlfn.XLOOKUP(I109,Base_Datos!$D$2:$D3876,Base_Datos!$C$2:$C3876),""))</f>
        <v>Serie Glory</v>
      </c>
      <c r="I109" s="3" t="s">
        <v>1765</v>
      </c>
      <c r="J109" s="3" t="str">
        <f>IF(I109="","",IFERROR(VLOOKUP(I109,Base_Datos!$D$2:$E$72,2,0),""))</f>
        <v>(1.5L)</v>
      </c>
      <c r="K109" s="3"/>
      <c r="L109" s="3"/>
      <c r="M109" s="7">
        <v>0</v>
      </c>
      <c r="N109" s="7">
        <v>0</v>
      </c>
    </row>
    <row r="110" spans="1:14" ht="14.25" x14ac:dyDescent="0.2">
      <c r="A110" s="3">
        <v>240</v>
      </c>
      <c r="B110" s="3" t="s">
        <v>1808</v>
      </c>
      <c r="C110" s="3" t="s">
        <v>5</v>
      </c>
      <c r="D110" s="6" t="s">
        <v>1782</v>
      </c>
      <c r="E110" s="6" t="s">
        <v>1782</v>
      </c>
      <c r="F110" s="3" t="str">
        <f>IFERROR( VLOOKUP(A110,#REF!,2,0),"")</f>
        <v/>
      </c>
      <c r="G110" s="3" t="str">
        <f t="array" ref="G110">_xlfn.XLOOKUP(I110,Base_Datos!D:D,Base_Datos!B:B,"")</f>
        <v>DFSK</v>
      </c>
      <c r="H110" s="3" t="str">
        <f t="array" ref="H110">IF(I110="","",IFERROR(_xlfn.XLOOKUP(I110,Base_Datos!$D$2:$D3876,Base_Datos!$C$2:$C3876),""))</f>
        <v>Serie K</v>
      </c>
      <c r="I110" s="3" t="s">
        <v>475</v>
      </c>
      <c r="J110" s="3" t="str">
        <f>IF(I110="","",IFERROR(VLOOKUP(I110,Base_Datos!$D$2:$E$72,2,0),""))</f>
        <v>(1.1L)</v>
      </c>
      <c r="K110" s="3" t="s">
        <v>1817</v>
      </c>
      <c r="L110" s="3"/>
      <c r="M110" s="7">
        <v>0</v>
      </c>
      <c r="N110" s="7">
        <v>0</v>
      </c>
    </row>
    <row r="111" spans="1:14" ht="14.25" x14ac:dyDescent="0.2">
      <c r="A111" s="3">
        <v>60600</v>
      </c>
      <c r="B111" s="3" t="s">
        <v>1886</v>
      </c>
      <c r="C111" s="3" t="s">
        <v>15</v>
      </c>
      <c r="D111" s="6" t="s">
        <v>1887</v>
      </c>
      <c r="E111" s="6" t="s">
        <v>1887</v>
      </c>
      <c r="F111" s="3" t="str">
        <f>IFERROR( VLOOKUP(A111,#REF!,2,0),"")</f>
        <v/>
      </c>
      <c r="G111" s="3">
        <f t="array" ref="G111">_xlfn.XLOOKUP(I111,Base_Datos!D:D,Base_Datos!B:B,"")</f>
        <v>0</v>
      </c>
      <c r="H111" s="3" t="str">
        <f t="array" ref="H111">IF(I111="","",IFERROR(_xlfn.XLOOKUP(I111,Base_Datos!$D$2:$D3876,Base_Datos!$C$2:$C3876),""))</f>
        <v/>
      </c>
      <c r="I111" s="3"/>
      <c r="J111" s="3" t="str">
        <f>IF(I111="","",IFERROR(VLOOKUP(I111,Base_Datos!$D$2:$E$72,2,0),""))</f>
        <v/>
      </c>
      <c r="K111" s="3"/>
      <c r="L111" s="3"/>
      <c r="M111" s="7">
        <v>4</v>
      </c>
      <c r="N111" s="7">
        <v>0</v>
      </c>
    </row>
    <row r="112" spans="1:14" ht="14.25" x14ac:dyDescent="0.2">
      <c r="A112" s="3">
        <v>60601</v>
      </c>
      <c r="B112" s="3" t="s">
        <v>1888</v>
      </c>
      <c r="C112" s="3" t="s">
        <v>15</v>
      </c>
      <c r="D112" s="6" t="s">
        <v>1889</v>
      </c>
      <c r="E112" s="6" t="s">
        <v>1889</v>
      </c>
      <c r="F112" s="3" t="str">
        <f>IFERROR( VLOOKUP(A112,#REF!,2,0),"")</f>
        <v/>
      </c>
      <c r="G112" s="3">
        <f t="array" ref="G112">_xlfn.XLOOKUP(I112,Base_Datos!D:D,Base_Datos!B:B,"")</f>
        <v>0</v>
      </c>
      <c r="H112" s="3" t="str">
        <f t="array" ref="H112">IF(I112="","",IFERROR(_xlfn.XLOOKUP(I112,Base_Datos!$D$2:$D3876,Base_Datos!$C$2:$C3876),""))</f>
        <v/>
      </c>
      <c r="I112" s="3"/>
      <c r="J112" s="3" t="str">
        <f>IF(I112="","",IFERROR(VLOOKUP(I112,Base_Datos!$D$2:$E$72,2,0),""))</f>
        <v/>
      </c>
      <c r="K112" s="3"/>
      <c r="L112" s="3"/>
      <c r="M112" s="7">
        <v>4</v>
      </c>
      <c r="N112" s="7">
        <v>0</v>
      </c>
    </row>
    <row r="113" spans="1:14" ht="14.25" x14ac:dyDescent="0.2">
      <c r="A113" s="3">
        <v>60602</v>
      </c>
      <c r="B113" s="3" t="s">
        <v>1890</v>
      </c>
      <c r="C113" s="3" t="s">
        <v>15</v>
      </c>
      <c r="D113" s="6" t="s">
        <v>1891</v>
      </c>
      <c r="E113" s="6" t="s">
        <v>1891</v>
      </c>
      <c r="F113" s="3" t="str">
        <f>IFERROR( VLOOKUP(A113,#REF!,2,0),"")</f>
        <v/>
      </c>
      <c r="G113" s="3">
        <f t="array" ref="G113">_xlfn.XLOOKUP(I113,Base_Datos!D:D,Base_Datos!B:B,"")</f>
        <v>0</v>
      </c>
      <c r="H113" s="3" t="str">
        <f t="array" ref="H113">IF(I113="","",IFERROR(_xlfn.XLOOKUP(I113,Base_Datos!$D$2:$D3876,Base_Datos!$C$2:$C3876),""))</f>
        <v/>
      </c>
      <c r="I113" s="3"/>
      <c r="J113" s="3" t="str">
        <f>IF(I113="","",IFERROR(VLOOKUP(I113,Base_Datos!$D$2:$E$72,2,0),""))</f>
        <v/>
      </c>
      <c r="K113" s="3"/>
      <c r="L113" s="3"/>
      <c r="M113" s="7">
        <v>1</v>
      </c>
      <c r="N113" s="7">
        <v>0</v>
      </c>
    </row>
    <row r="114" spans="1:14" ht="14.25" x14ac:dyDescent="0.2">
      <c r="A114" s="3">
        <v>64000</v>
      </c>
      <c r="B114" s="3" t="s">
        <v>1892</v>
      </c>
      <c r="C114" s="3" t="s">
        <v>16</v>
      </c>
      <c r="D114" s="6" t="s">
        <v>1893</v>
      </c>
      <c r="E114" s="6" t="s">
        <v>1893</v>
      </c>
      <c r="F114" s="3" t="str">
        <f>IFERROR( VLOOKUP(A114,#REF!,2,0),"")</f>
        <v/>
      </c>
      <c r="G114" s="3" t="str">
        <f t="array" ref="G114">_xlfn.XLOOKUP(I114,Base_Datos!D:D,Base_Datos!B:B,"")</f>
        <v>GAC</v>
      </c>
      <c r="H114" s="3" t="str">
        <f t="array" ref="H114">IF(I114="","",IFERROR(_xlfn.XLOOKUP(I114,Base_Datos!$D$2:$D3876,Base_Datos!$C$2:$C3876),""))</f>
        <v>Serie Empow</v>
      </c>
      <c r="I114" s="3" t="s">
        <v>1180</v>
      </c>
      <c r="J114" s="3" t="str">
        <f>IF(I114="","",IFERROR(VLOOKUP(I114,Base_Datos!$D$2:$E$72,2,0),""))</f>
        <v>(1.5L)</v>
      </c>
      <c r="K114" s="3"/>
      <c r="L114" s="3"/>
      <c r="M114" s="7">
        <v>4</v>
      </c>
      <c r="N114" s="7">
        <v>0</v>
      </c>
    </row>
    <row r="115" spans="1:14" ht="14.25" x14ac:dyDescent="0.2">
      <c r="A115" s="3">
        <v>64001</v>
      </c>
      <c r="B115" s="3" t="s">
        <v>1894</v>
      </c>
      <c r="C115" s="3" t="s">
        <v>16</v>
      </c>
      <c r="D115" s="6" t="s">
        <v>1895</v>
      </c>
      <c r="E115" s="6" t="s">
        <v>1895</v>
      </c>
      <c r="F115" s="3" t="str">
        <f>IFERROR( VLOOKUP(A115,#REF!,2,0),"")</f>
        <v/>
      </c>
      <c r="G115" s="3" t="str">
        <f t="array" ref="G115">_xlfn.XLOOKUP(I115,Base_Datos!D:D,Base_Datos!B:B,"")</f>
        <v>GAC</v>
      </c>
      <c r="H115" s="3" t="str">
        <f t="array" ref="H115">IF(I115="","",IFERROR(_xlfn.XLOOKUP(I115,Base_Datos!$D$2:$D3876,Base_Datos!$C$2:$C3876),""))</f>
        <v>Serie Empow</v>
      </c>
      <c r="I115" s="3" t="s">
        <v>1180</v>
      </c>
      <c r="J115" s="3" t="str">
        <f>IF(I115="","",IFERROR(VLOOKUP(I115,Base_Datos!$D$2:$E$72,2,0),""))</f>
        <v>(1.5L)</v>
      </c>
      <c r="K115" s="3" t="s">
        <v>1896</v>
      </c>
      <c r="L115" s="3"/>
      <c r="M115" s="7">
        <v>4</v>
      </c>
      <c r="N115" s="7">
        <v>0</v>
      </c>
    </row>
    <row r="116" spans="1:14" ht="14.25" x14ac:dyDescent="0.2">
      <c r="A116" s="3">
        <v>64002</v>
      </c>
      <c r="B116" s="3" t="s">
        <v>1897</v>
      </c>
      <c r="C116" s="3" t="s">
        <v>16</v>
      </c>
      <c r="D116" s="6" t="s">
        <v>1898</v>
      </c>
      <c r="E116" s="6" t="s">
        <v>1898</v>
      </c>
      <c r="F116" s="3" t="str">
        <f>IFERROR( VLOOKUP(A116,#REF!,2,0),"")</f>
        <v/>
      </c>
      <c r="G116" s="3" t="str">
        <f t="array" ref="G116">_xlfn.XLOOKUP(I116,Base_Datos!D:D,Base_Datos!B:B,"")</f>
        <v>GAC</v>
      </c>
      <c r="H116" s="3" t="str">
        <f t="array" ref="H116">IF(I116="","",IFERROR(_xlfn.XLOOKUP(I116,Base_Datos!$D$2:$D3876,Base_Datos!$C$2:$C3876),""))</f>
        <v>Serie Empow</v>
      </c>
      <c r="I116" s="3" t="s">
        <v>1180</v>
      </c>
      <c r="J116" s="3" t="str">
        <f>IF(I116="","",IFERROR(VLOOKUP(I116,Base_Datos!$D$2:$E$72,2,0),""))</f>
        <v>(1.5L)</v>
      </c>
      <c r="K116" s="3"/>
      <c r="L116" s="3"/>
      <c r="M116" s="7">
        <v>4</v>
      </c>
      <c r="N116" s="7">
        <v>0</v>
      </c>
    </row>
    <row r="117" spans="1:14" ht="14.25" x14ac:dyDescent="0.2">
      <c r="A117" s="3">
        <v>64003</v>
      </c>
      <c r="B117" s="3" t="s">
        <v>1899</v>
      </c>
      <c r="C117" s="3" t="s">
        <v>16</v>
      </c>
      <c r="D117" s="6" t="s">
        <v>1900</v>
      </c>
      <c r="E117" s="6" t="s">
        <v>1900</v>
      </c>
      <c r="F117" s="3" t="str">
        <f>IFERROR( VLOOKUP(A117,#REF!,2,0),"")</f>
        <v/>
      </c>
      <c r="G117" s="3" t="str">
        <f t="array" ref="G117">_xlfn.XLOOKUP(I117,Base_Datos!D:D,Base_Datos!B:B,"")</f>
        <v>GAC</v>
      </c>
      <c r="H117" s="3" t="str">
        <f t="array" ref="H117">IF(I117="","",IFERROR(_xlfn.XLOOKUP(I117,Base_Datos!$D$2:$D3876,Base_Datos!$C$2:$C3876),""))</f>
        <v>Serie Empow</v>
      </c>
      <c r="I117" s="3" t="s">
        <v>1180</v>
      </c>
      <c r="J117" s="3" t="str">
        <f>IF(I117="","",IFERROR(VLOOKUP(I117,Base_Datos!$D$2:$E$72,2,0),""))</f>
        <v>(1.5L)</v>
      </c>
      <c r="K117" s="3" t="s">
        <v>1896</v>
      </c>
      <c r="L117" s="3"/>
      <c r="M117" s="7">
        <v>8</v>
      </c>
      <c r="N117" s="7">
        <v>0</v>
      </c>
    </row>
    <row r="118" spans="1:14" ht="14.25" x14ac:dyDescent="0.2">
      <c r="A118" s="3">
        <v>64004</v>
      </c>
      <c r="B118" s="3" t="s">
        <v>1901</v>
      </c>
      <c r="C118" s="3" t="s">
        <v>16</v>
      </c>
      <c r="D118" s="6" t="s">
        <v>1902</v>
      </c>
      <c r="E118" s="6" t="s">
        <v>1902</v>
      </c>
      <c r="F118" s="3" t="str">
        <f>IFERROR( VLOOKUP(A118,#REF!,2,0),"")</f>
        <v/>
      </c>
      <c r="G118" s="3" t="str">
        <f t="array" ref="G118">_xlfn.XLOOKUP(I118,Base_Datos!D:D,Base_Datos!B:B,"")</f>
        <v>GAC</v>
      </c>
      <c r="H118" s="3" t="str">
        <f t="array" ref="H118">IF(I118="","",IFERROR(_xlfn.XLOOKUP(I118,Base_Datos!$D$2:$D3876,Base_Datos!$C$2:$C3876),""))</f>
        <v>Serie Empow</v>
      </c>
      <c r="I118" s="3" t="s">
        <v>1180</v>
      </c>
      <c r="J118" s="3" t="str">
        <f>IF(I118="","",IFERROR(VLOOKUP(I118,Base_Datos!$D$2:$E$72,2,0),""))</f>
        <v>(1.5L)</v>
      </c>
      <c r="K118" s="3" t="s">
        <v>1896</v>
      </c>
      <c r="L118" s="3"/>
      <c r="M118" s="7">
        <v>4</v>
      </c>
      <c r="N118" s="7">
        <v>0</v>
      </c>
    </row>
    <row r="119" spans="1:14" ht="14.25" x14ac:dyDescent="0.2">
      <c r="A119" s="3">
        <v>64005</v>
      </c>
      <c r="B119" s="3" t="s">
        <v>1903</v>
      </c>
      <c r="C119" s="3" t="s">
        <v>16</v>
      </c>
      <c r="D119" s="6" t="s">
        <v>1904</v>
      </c>
      <c r="E119" s="6" t="s">
        <v>1904</v>
      </c>
      <c r="F119" s="3" t="str">
        <f>IFERROR( VLOOKUP(A119,#REF!,2,0),"")</f>
        <v/>
      </c>
      <c r="G119" s="3" t="str">
        <f t="array" ref="G119">_xlfn.XLOOKUP(I119,Base_Datos!D:D,Base_Datos!B:B,"")</f>
        <v>GAC</v>
      </c>
      <c r="H119" s="3" t="str">
        <f t="array" ref="H119">IF(I119="","",IFERROR(_xlfn.XLOOKUP(I119,Base_Datos!$D$2:$D3876,Base_Datos!$C$2:$C3876),""))</f>
        <v>Serie Empow</v>
      </c>
      <c r="I119" s="3" t="s">
        <v>1180</v>
      </c>
      <c r="J119" s="3" t="str">
        <f>IF(I119="","",IFERROR(VLOOKUP(I119,Base_Datos!$D$2:$E$72,2,0),""))</f>
        <v>(1.5L)</v>
      </c>
      <c r="K119" s="3" t="s">
        <v>1896</v>
      </c>
      <c r="L119" s="3"/>
      <c r="M119" s="7">
        <v>1</v>
      </c>
      <c r="N119" s="7">
        <v>0</v>
      </c>
    </row>
    <row r="120" spans="1:14" ht="14.25" x14ac:dyDescent="0.2">
      <c r="A120" s="3">
        <v>64006</v>
      </c>
      <c r="B120" s="3" t="s">
        <v>1905</v>
      </c>
      <c r="C120" s="3" t="s">
        <v>16</v>
      </c>
      <c r="D120" s="6" t="s">
        <v>1906</v>
      </c>
      <c r="E120" s="6" t="s">
        <v>1906</v>
      </c>
      <c r="F120" s="3" t="str">
        <f>IFERROR( VLOOKUP(A120,#REF!,2,0),"")</f>
        <v/>
      </c>
      <c r="G120" s="3" t="str">
        <f t="array" ref="G120">_xlfn.XLOOKUP(I120,Base_Datos!D:D,Base_Datos!B:B,"")</f>
        <v>GAC</v>
      </c>
      <c r="H120" s="3" t="str">
        <f t="array" ref="H120">IF(I120="","",IFERROR(_xlfn.XLOOKUP(I120,Base_Datos!$D$2:$D3876,Base_Datos!$C$2:$C3876),""))</f>
        <v>Serie Empow</v>
      </c>
      <c r="I120" s="3" t="s">
        <v>1180</v>
      </c>
      <c r="J120" s="3" t="str">
        <f>IF(I120="","",IFERROR(VLOOKUP(I120,Base_Datos!$D$2:$E$72,2,0),""))</f>
        <v>(1.5L)</v>
      </c>
      <c r="K120" s="3" t="s">
        <v>1896</v>
      </c>
      <c r="L120" s="3"/>
      <c r="M120" s="7">
        <v>4</v>
      </c>
      <c r="N120" s="7">
        <v>0</v>
      </c>
    </row>
    <row r="121" spans="1:14" ht="14.25" x14ac:dyDescent="0.2">
      <c r="A121" s="3">
        <v>64007</v>
      </c>
      <c r="B121" s="3" t="s">
        <v>1907</v>
      </c>
      <c r="C121" s="3" t="s">
        <v>16</v>
      </c>
      <c r="D121" s="6" t="s">
        <v>1908</v>
      </c>
      <c r="E121" s="6" t="s">
        <v>1908</v>
      </c>
      <c r="F121" s="3" t="str">
        <f>IFERROR( VLOOKUP(A121,#REF!,2,0),"")</f>
        <v/>
      </c>
      <c r="G121" s="3" t="str">
        <f t="array" ref="G121">_xlfn.XLOOKUP(I121,Base_Datos!D:D,Base_Datos!B:B,"")</f>
        <v>GAC</v>
      </c>
      <c r="H121" s="3" t="str">
        <f t="array" ref="H121">IF(I121="","",IFERROR(_xlfn.XLOOKUP(I121,Base_Datos!$D$2:$D3876,Base_Datos!$C$2:$C3876),""))</f>
        <v>Serie Empow</v>
      </c>
      <c r="I121" s="3" t="s">
        <v>1180</v>
      </c>
      <c r="J121" s="3" t="str">
        <f>IF(I121="","",IFERROR(VLOOKUP(I121,Base_Datos!$D$2:$E$72,2,0),""))</f>
        <v>(1.5L)</v>
      </c>
      <c r="K121" s="3" t="s">
        <v>1896</v>
      </c>
      <c r="L121" s="3"/>
      <c r="M121" s="7">
        <v>4</v>
      </c>
      <c r="N121" s="7">
        <v>0</v>
      </c>
    </row>
    <row r="122" spans="1:14" ht="14.25" x14ac:dyDescent="0.2">
      <c r="A122" s="3">
        <v>64008</v>
      </c>
      <c r="B122" s="3" t="s">
        <v>1909</v>
      </c>
      <c r="C122" s="3" t="s">
        <v>16</v>
      </c>
      <c r="D122" s="6" t="s">
        <v>1910</v>
      </c>
      <c r="E122" s="6" t="s">
        <v>1910</v>
      </c>
      <c r="F122" s="3" t="str">
        <f>IFERROR( VLOOKUP(A122,#REF!,2,0),"")</f>
        <v/>
      </c>
      <c r="G122" s="3" t="str">
        <f t="array" ref="G122">_xlfn.XLOOKUP(I122,Base_Datos!D:D,Base_Datos!B:B,"")</f>
        <v>GAC</v>
      </c>
      <c r="H122" s="3" t="str">
        <f t="array" ref="H122">IF(I122="","",IFERROR(_xlfn.XLOOKUP(I122,Base_Datos!$D$2:$D3876,Base_Datos!$C$2:$C3876),""))</f>
        <v>Serie Empow</v>
      </c>
      <c r="I122" s="3" t="s">
        <v>1180</v>
      </c>
      <c r="J122" s="3" t="str">
        <f>IF(I122="","",IFERROR(VLOOKUP(I122,Base_Datos!$D$2:$E$72,2,0),""))</f>
        <v>(1.5L)</v>
      </c>
      <c r="K122" s="3" t="s">
        <v>1896</v>
      </c>
      <c r="L122" s="3"/>
      <c r="M122" s="7">
        <v>4</v>
      </c>
      <c r="N122" s="7">
        <v>0</v>
      </c>
    </row>
    <row r="123" spans="1:14" ht="14.25" x14ac:dyDescent="0.2">
      <c r="A123" s="3">
        <v>64009</v>
      </c>
      <c r="B123" s="3" t="s">
        <v>1911</v>
      </c>
      <c r="C123" s="3" t="s">
        <v>16</v>
      </c>
      <c r="D123" s="6" t="s">
        <v>1912</v>
      </c>
      <c r="E123" s="6" t="s">
        <v>1912</v>
      </c>
      <c r="F123" s="3" t="str">
        <f>IFERROR( VLOOKUP(A123,#REF!,2,0),"")</f>
        <v/>
      </c>
      <c r="G123" s="3" t="str">
        <f t="array" ref="G123">_xlfn.XLOOKUP(I123,Base_Datos!D:D,Base_Datos!B:B,"")</f>
        <v>GAC</v>
      </c>
      <c r="H123" s="3" t="str">
        <f t="array" ref="H123">IF(I123="","",IFERROR(_xlfn.XLOOKUP(I123,Base_Datos!$D$2:$D3876,Base_Datos!$C$2:$C3876),""))</f>
        <v>Serie Empow</v>
      </c>
      <c r="I123" s="3" t="s">
        <v>1180</v>
      </c>
      <c r="J123" s="3" t="str">
        <f>IF(I123="","",IFERROR(VLOOKUP(I123,Base_Datos!$D$2:$E$72,2,0),""))</f>
        <v>(1.5L)</v>
      </c>
      <c r="K123" s="3" t="s">
        <v>1896</v>
      </c>
      <c r="L123" s="3"/>
      <c r="M123" s="7">
        <v>4</v>
      </c>
      <c r="N123" s="7">
        <v>0</v>
      </c>
    </row>
    <row r="124" spans="1:14" ht="14.25" x14ac:dyDescent="0.2">
      <c r="A124" s="3">
        <v>64010</v>
      </c>
      <c r="B124" s="3" t="s">
        <v>1913</v>
      </c>
      <c r="C124" s="3" t="s">
        <v>16</v>
      </c>
      <c r="D124" s="6" t="s">
        <v>1914</v>
      </c>
      <c r="E124" s="6" t="s">
        <v>1914</v>
      </c>
      <c r="F124" s="3" t="str">
        <f>IFERROR( VLOOKUP(A124,#REF!,2,0),"")</f>
        <v/>
      </c>
      <c r="G124" s="3" t="str">
        <f t="array" ref="G124">_xlfn.XLOOKUP(I124,Base_Datos!D:D,Base_Datos!B:B,"")</f>
        <v>GAC</v>
      </c>
      <c r="H124" s="3" t="str">
        <f t="array" ref="H124">IF(I124="","",IFERROR(_xlfn.XLOOKUP(I124,Base_Datos!$D$2:$D3876,Base_Datos!$C$2:$C3876),""))</f>
        <v>Serie Empow</v>
      </c>
      <c r="I124" s="3" t="s">
        <v>1180</v>
      </c>
      <c r="J124" s="3" t="str">
        <f>IF(I124="","",IFERROR(VLOOKUP(I124,Base_Datos!$D$2:$E$72,2,0),""))</f>
        <v>(1.5L)</v>
      </c>
      <c r="K124" s="3" t="s">
        <v>1896</v>
      </c>
      <c r="L124" s="3"/>
      <c r="M124" s="7">
        <v>4</v>
      </c>
      <c r="N124" s="7">
        <v>0</v>
      </c>
    </row>
    <row r="125" spans="1:14" ht="14.25" x14ac:dyDescent="0.2">
      <c r="A125" s="3">
        <v>64011</v>
      </c>
      <c r="B125" s="3" t="s">
        <v>1915</v>
      </c>
      <c r="C125" s="3" t="s">
        <v>16</v>
      </c>
      <c r="D125" s="6" t="s">
        <v>1916</v>
      </c>
      <c r="E125" s="6" t="s">
        <v>1916</v>
      </c>
      <c r="F125" s="3" t="str">
        <f>IFERROR( VLOOKUP(A125,#REF!,2,0),"")</f>
        <v/>
      </c>
      <c r="G125" s="3" t="str">
        <f t="array" ref="G125">_xlfn.XLOOKUP(I125,Base_Datos!D:D,Base_Datos!B:B,"")</f>
        <v>GAC</v>
      </c>
      <c r="H125" s="3" t="str">
        <f t="array" ref="H125">IF(I125="","",IFERROR(_xlfn.XLOOKUP(I125,Base_Datos!$D$2:$D3876,Base_Datos!$C$2:$C3876),""))</f>
        <v>Serie Empow</v>
      </c>
      <c r="I125" s="3" t="s">
        <v>1180</v>
      </c>
      <c r="J125" s="3" t="str">
        <f>IF(I125="","",IFERROR(VLOOKUP(I125,Base_Datos!$D$2:$E$72,2,0),""))</f>
        <v>(1.5L)</v>
      </c>
      <c r="K125" s="3" t="s">
        <v>1896</v>
      </c>
      <c r="L125" s="3"/>
      <c r="M125" s="7">
        <v>4</v>
      </c>
      <c r="N125" s="7">
        <v>0</v>
      </c>
    </row>
    <row r="126" spans="1:14" ht="14.25" x14ac:dyDescent="0.2">
      <c r="A126" s="3">
        <v>64012</v>
      </c>
      <c r="B126" s="3" t="s">
        <v>1917</v>
      </c>
      <c r="C126" s="3" t="s">
        <v>16</v>
      </c>
      <c r="D126" s="6" t="s">
        <v>1918</v>
      </c>
      <c r="E126" s="6" t="s">
        <v>1918</v>
      </c>
      <c r="F126" s="3" t="str">
        <f>IFERROR( VLOOKUP(A126,#REF!,2,0),"")</f>
        <v/>
      </c>
      <c r="G126" s="3" t="str">
        <f t="array" ref="G126">_xlfn.XLOOKUP(I126,Base_Datos!D:D,Base_Datos!B:B,"")</f>
        <v>GAC</v>
      </c>
      <c r="H126" s="3" t="str">
        <f t="array" ref="H126">IF(I126="","",IFERROR(_xlfn.XLOOKUP(I126,Base_Datos!$D$2:$D3876,Base_Datos!$C$2:$C3876),""))</f>
        <v>Serie Empow</v>
      </c>
      <c r="I126" s="3" t="s">
        <v>1180</v>
      </c>
      <c r="J126" s="3" t="str">
        <f>IF(I126="","",IFERROR(VLOOKUP(I126,Base_Datos!$D$2:$E$72,2,0),""))</f>
        <v>(1.5L)</v>
      </c>
      <c r="K126" s="3" t="s">
        <v>1896</v>
      </c>
      <c r="L126" s="3"/>
      <c r="M126" s="7">
        <v>4</v>
      </c>
      <c r="N126" s="7">
        <v>0</v>
      </c>
    </row>
    <row r="127" spans="1:14" ht="14.25" x14ac:dyDescent="0.2">
      <c r="A127" s="3">
        <v>64013</v>
      </c>
      <c r="B127" s="3" t="s">
        <v>1919</v>
      </c>
      <c r="C127" s="3" t="s">
        <v>16</v>
      </c>
      <c r="D127" s="6" t="s">
        <v>1920</v>
      </c>
      <c r="E127" s="6" t="s">
        <v>1920</v>
      </c>
      <c r="F127" s="3" t="str">
        <f>IFERROR( VLOOKUP(A127,#REF!,2,0),"")</f>
        <v/>
      </c>
      <c r="G127" s="3" t="str">
        <f t="array" ref="G127">_xlfn.XLOOKUP(I127,Base_Datos!D:D,Base_Datos!B:B,"")</f>
        <v>GAC</v>
      </c>
      <c r="H127" s="3" t="str">
        <f t="array" ref="H127">IF(I127="","",IFERROR(_xlfn.XLOOKUP(I127,Base_Datos!$D$2:$D3876,Base_Datos!$C$2:$C3876),""))</f>
        <v>Serie Empow</v>
      </c>
      <c r="I127" s="3" t="s">
        <v>1180</v>
      </c>
      <c r="J127" s="3" t="str">
        <f>IF(I127="","",IFERROR(VLOOKUP(I127,Base_Datos!$D$2:$E$72,2,0),""))</f>
        <v>(1.5L)</v>
      </c>
      <c r="K127" s="3" t="s">
        <v>1896</v>
      </c>
      <c r="L127" s="3"/>
      <c r="M127" s="7">
        <v>4</v>
      </c>
      <c r="N127" s="7">
        <v>0</v>
      </c>
    </row>
    <row r="128" spans="1:14" ht="14.25" x14ac:dyDescent="0.2">
      <c r="A128" s="3">
        <v>64014</v>
      </c>
      <c r="B128" s="3" t="s">
        <v>1921</v>
      </c>
      <c r="C128" s="3" t="s">
        <v>16</v>
      </c>
      <c r="D128" s="6" t="s">
        <v>1922</v>
      </c>
      <c r="E128" s="6" t="s">
        <v>1922</v>
      </c>
      <c r="F128" s="3" t="str">
        <f>IFERROR( VLOOKUP(A128,#REF!,2,0),"")</f>
        <v/>
      </c>
      <c r="G128" s="3" t="str">
        <f t="array" ref="G128">_xlfn.XLOOKUP(I128,Base_Datos!D:D,Base_Datos!B:B,"")</f>
        <v>GAC</v>
      </c>
      <c r="H128" s="3" t="str">
        <f t="array" ref="H128">IF(I128="","",IFERROR(_xlfn.XLOOKUP(I128,Base_Datos!$D$2:$D3876,Base_Datos!$C$2:$C3876),""))</f>
        <v>Serie Empow</v>
      </c>
      <c r="I128" s="3" t="s">
        <v>1180</v>
      </c>
      <c r="J128" s="3" t="str">
        <f>IF(I128="","",IFERROR(VLOOKUP(I128,Base_Datos!$D$2:$E$72,2,0),""))</f>
        <v>(1.5L)</v>
      </c>
      <c r="K128" s="3" t="s">
        <v>1896</v>
      </c>
      <c r="L128" s="3"/>
      <c r="M128" s="7">
        <v>4</v>
      </c>
      <c r="N128" s="7">
        <v>0</v>
      </c>
    </row>
    <row r="129" spans="1:14" ht="14.25" x14ac:dyDescent="0.2">
      <c r="A129" s="3">
        <v>64015</v>
      </c>
      <c r="B129" s="3" t="s">
        <v>1923</v>
      </c>
      <c r="C129" s="3" t="s">
        <v>16</v>
      </c>
      <c r="D129" s="6" t="s">
        <v>1924</v>
      </c>
      <c r="E129" s="6" t="s">
        <v>1924</v>
      </c>
      <c r="F129" s="3" t="str">
        <f>IFERROR( VLOOKUP(A129,#REF!,2,0),"")</f>
        <v/>
      </c>
      <c r="G129" s="3" t="str">
        <f t="array" ref="G129">_xlfn.XLOOKUP(I129,Base_Datos!D:D,Base_Datos!B:B,"")</f>
        <v>GAC</v>
      </c>
      <c r="H129" s="3" t="str">
        <f t="array" ref="H129">IF(I129="","",IFERROR(_xlfn.XLOOKUP(I129,Base_Datos!$D$2:$D3876,Base_Datos!$C$2:$C3876),""))</f>
        <v>Serie Empow</v>
      </c>
      <c r="I129" s="3" t="s">
        <v>1180</v>
      </c>
      <c r="J129" s="3" t="str">
        <f>IF(I129="","",IFERROR(VLOOKUP(I129,Base_Datos!$D$2:$E$72,2,0),""))</f>
        <v>(1.5L)</v>
      </c>
      <c r="K129" s="3" t="s">
        <v>1896</v>
      </c>
      <c r="L129" s="3"/>
      <c r="M129" s="7">
        <v>4</v>
      </c>
      <c r="N129" s="7">
        <v>0</v>
      </c>
    </row>
    <row r="130" spans="1:14" ht="14.25" x14ac:dyDescent="0.2">
      <c r="A130" s="3">
        <v>65001</v>
      </c>
      <c r="B130" s="8" t="s">
        <v>1925</v>
      </c>
      <c r="C130" s="3" t="s">
        <v>16</v>
      </c>
      <c r="D130" s="6" t="s">
        <v>1179</v>
      </c>
      <c r="E130" s="6" t="s">
        <v>1179</v>
      </c>
      <c r="F130" s="3" t="str">
        <f>IFERROR( VLOOKUP(A130,#REF!,2,0),"")</f>
        <v/>
      </c>
      <c r="G130" s="3" t="str">
        <f t="array" ref="G130">_xlfn.XLOOKUP(I130,Base_Datos!D:D,Base_Datos!B:B,"")</f>
        <v>GAC</v>
      </c>
      <c r="H130" s="3" t="str">
        <f t="array" ref="H130">IF(I130="","",IFERROR(_xlfn.XLOOKUP(I130,Base_Datos!$D$2:$D3876,Base_Datos!$C$2:$C3876),""))</f>
        <v>Serie Empow</v>
      </c>
      <c r="I130" s="3" t="s">
        <v>1180</v>
      </c>
      <c r="J130" s="3" t="str">
        <f>IF(I130="","",IFERROR(VLOOKUP(I130,Base_Datos!$D$2:$E$72,2,0),""))</f>
        <v>(1.5L)</v>
      </c>
      <c r="K130" s="3" t="s">
        <v>1926</v>
      </c>
      <c r="L130" s="3"/>
      <c r="M130" s="7">
        <v>2</v>
      </c>
      <c r="N130" s="7">
        <v>0</v>
      </c>
    </row>
    <row r="131" spans="1:14" ht="14.25" x14ac:dyDescent="0.2">
      <c r="A131" s="3">
        <v>65002</v>
      </c>
      <c r="B131" s="3" t="s">
        <v>1927</v>
      </c>
      <c r="C131" s="3" t="s">
        <v>16</v>
      </c>
      <c r="D131" s="6" t="s">
        <v>1181</v>
      </c>
      <c r="E131" s="6" t="s">
        <v>1782</v>
      </c>
      <c r="F131" s="3" t="str">
        <f>IFERROR( VLOOKUP(A131,#REF!,2,0),"")</f>
        <v/>
      </c>
      <c r="G131" s="3" t="str">
        <f t="array" ref="G131">_xlfn.XLOOKUP(I131,Base_Datos!D:D,Base_Datos!B:B,"")</f>
        <v>GAC</v>
      </c>
      <c r="H131" s="3" t="str">
        <f t="array" ref="H131">IF(I131="","",IFERROR(_xlfn.XLOOKUP(I131,Base_Datos!$D$2:$D3876,Base_Datos!$C$2:$C3876),""))</f>
        <v>Serie Empow</v>
      </c>
      <c r="I131" s="3" t="s">
        <v>1180</v>
      </c>
      <c r="J131" s="3" t="str">
        <f>IF(I131="","",IFERROR(VLOOKUP(I131,Base_Datos!$D$2:$E$72,2,0),""))</f>
        <v>(1.5L)</v>
      </c>
      <c r="K131" s="3"/>
      <c r="L131" s="3"/>
      <c r="M131" s="7">
        <v>126</v>
      </c>
      <c r="N131" s="7">
        <v>0</v>
      </c>
    </row>
    <row r="132" spans="1:14" ht="14.25" x14ac:dyDescent="0.2">
      <c r="A132" s="3">
        <v>65003</v>
      </c>
      <c r="B132" s="3" t="s">
        <v>1928</v>
      </c>
      <c r="C132" s="3" t="s">
        <v>16</v>
      </c>
      <c r="D132" s="6" t="s">
        <v>1182</v>
      </c>
      <c r="E132" s="6" t="s">
        <v>1182</v>
      </c>
      <c r="F132" s="3" t="str">
        <f>IFERROR( VLOOKUP(A132,#REF!,2,0),"")</f>
        <v/>
      </c>
      <c r="G132" s="3" t="str">
        <f t="array" ref="G132">_xlfn.XLOOKUP(I132,Base_Datos!D:D,Base_Datos!B:B,"")</f>
        <v>GAC</v>
      </c>
      <c r="H132" s="3" t="str">
        <f t="array" ref="H132">IF(I132="","",IFERROR(_xlfn.XLOOKUP(I132,Base_Datos!$D$2:$D3876,Base_Datos!$C$2:$C3876),""))</f>
        <v>Serie Empow</v>
      </c>
      <c r="I132" s="3" t="s">
        <v>1180</v>
      </c>
      <c r="J132" s="3" t="str">
        <f>IF(I132="","",IFERROR(VLOOKUP(I132,Base_Datos!$D$2:$E$72,2,0),""))</f>
        <v>(1.5L)</v>
      </c>
      <c r="K132" s="3" t="s">
        <v>1929</v>
      </c>
      <c r="L132" s="3"/>
      <c r="M132" s="7">
        <v>95</v>
      </c>
      <c r="N132" s="7">
        <v>0</v>
      </c>
    </row>
    <row r="133" spans="1:14" ht="14.25" x14ac:dyDescent="0.2">
      <c r="A133" s="3">
        <v>65004</v>
      </c>
      <c r="B133" s="3" t="s">
        <v>1930</v>
      </c>
      <c r="C133" s="3" t="s">
        <v>16</v>
      </c>
      <c r="D133" s="6" t="s">
        <v>1183</v>
      </c>
      <c r="E133" s="6" t="s">
        <v>1183</v>
      </c>
      <c r="F133" s="3" t="str">
        <f>IFERROR( VLOOKUP(A133,#REF!,2,0),"")</f>
        <v/>
      </c>
      <c r="G133" s="3" t="str">
        <f t="array" ref="G133">_xlfn.XLOOKUP(I133,Base_Datos!D:D,Base_Datos!B:B,"")</f>
        <v>GAC</v>
      </c>
      <c r="H133" s="3" t="str">
        <f t="array" ref="H133">IF(I133="","",IFERROR(_xlfn.XLOOKUP(I133,Base_Datos!$D$2:$D3876,Base_Datos!$C$2:$C3876),""))</f>
        <v>Serie Empow</v>
      </c>
      <c r="I133" s="3" t="s">
        <v>1180</v>
      </c>
      <c r="J133" s="3" t="str">
        <f>IF(I133="","",IFERROR(VLOOKUP(I133,Base_Datos!$D$2:$E$72,2,0),""))</f>
        <v>(1.5L)</v>
      </c>
      <c r="K133" s="3"/>
      <c r="L133" s="3"/>
      <c r="M133" s="7">
        <v>10</v>
      </c>
      <c r="N133" s="7">
        <v>0</v>
      </c>
    </row>
    <row r="134" spans="1:14" ht="14.25" x14ac:dyDescent="0.2">
      <c r="A134" s="3">
        <v>65005</v>
      </c>
      <c r="B134" s="3" t="s">
        <v>1931</v>
      </c>
      <c r="C134" s="3" t="s">
        <v>16</v>
      </c>
      <c r="D134" s="6" t="s">
        <v>1184</v>
      </c>
      <c r="E134" s="6" t="s">
        <v>1782</v>
      </c>
      <c r="F134" s="3" t="str">
        <f>IFERROR( VLOOKUP(A134,#REF!,2,0),"")</f>
        <v/>
      </c>
      <c r="G134" s="3" t="str">
        <f t="array" ref="G134">_xlfn.XLOOKUP(I134,Base_Datos!D:D,Base_Datos!B:B,"")</f>
        <v>GAC</v>
      </c>
      <c r="H134" s="3" t="str">
        <f t="array" ref="H134">IF(I134="","",IFERROR(_xlfn.XLOOKUP(I134,Base_Datos!$D$2:$D3876,Base_Datos!$C$2:$C3876),""))</f>
        <v>Serie Empow</v>
      </c>
      <c r="I134" s="3" t="s">
        <v>1180</v>
      </c>
      <c r="J134" s="3" t="str">
        <f>IF(I134="","",IFERROR(VLOOKUP(I134,Base_Datos!$D$2:$E$72,2,0),""))</f>
        <v>(1.5L)</v>
      </c>
      <c r="K134" s="3"/>
      <c r="L134" s="3"/>
      <c r="M134" s="7">
        <v>10</v>
      </c>
      <c r="N134" s="7">
        <v>0</v>
      </c>
    </row>
    <row r="135" spans="1:14" ht="14.25" x14ac:dyDescent="0.2">
      <c r="A135" s="3">
        <v>65006</v>
      </c>
      <c r="B135" s="3" t="s">
        <v>1830</v>
      </c>
      <c r="C135" s="3" t="s">
        <v>16</v>
      </c>
      <c r="D135" s="6" t="s">
        <v>1185</v>
      </c>
      <c r="E135" s="6" t="s">
        <v>1185</v>
      </c>
      <c r="F135" s="3" t="str">
        <f>IFERROR( VLOOKUP(A135,#REF!,2,0),"")</f>
        <v/>
      </c>
      <c r="G135" s="3" t="str">
        <f t="array" ref="G135">_xlfn.XLOOKUP(I135,Base_Datos!D:D,Base_Datos!B:B,"")</f>
        <v>GAC</v>
      </c>
      <c r="H135" s="3" t="str">
        <f t="array" ref="H135">IF(I135="","",IFERROR(_xlfn.XLOOKUP(I135,Base_Datos!$D$2:$D3876,Base_Datos!$C$2:$C3876),""))</f>
        <v>Serie Empow</v>
      </c>
      <c r="I135" s="3" t="s">
        <v>1180</v>
      </c>
      <c r="J135" s="3" t="str">
        <f>IF(I135="","",IFERROR(VLOOKUP(I135,Base_Datos!$D$2:$E$72,2,0),""))</f>
        <v>(1.5L)</v>
      </c>
      <c r="K135" s="3"/>
      <c r="L135" s="3"/>
      <c r="M135" s="7">
        <v>10</v>
      </c>
      <c r="N135" s="7">
        <v>0</v>
      </c>
    </row>
    <row r="136" spans="1:14" ht="14.25" x14ac:dyDescent="0.2">
      <c r="A136" s="3">
        <v>65007</v>
      </c>
      <c r="B136" s="3" t="s">
        <v>1870</v>
      </c>
      <c r="C136" s="3" t="s">
        <v>16</v>
      </c>
      <c r="D136" s="6" t="s">
        <v>1186</v>
      </c>
      <c r="E136" s="6" t="s">
        <v>1186</v>
      </c>
      <c r="F136" s="3" t="str">
        <f>IFERROR( VLOOKUP(A136,#REF!,2,0),"")</f>
        <v/>
      </c>
      <c r="G136" s="3" t="str">
        <f t="array" ref="G136">_xlfn.XLOOKUP(I136,Base_Datos!D:D,Base_Datos!B:B,"")</f>
        <v>GAC</v>
      </c>
      <c r="H136" s="3" t="str">
        <f t="array" ref="H136">IF(I136="","",IFERROR(_xlfn.XLOOKUP(I136,Base_Datos!$D$2:$D3876,Base_Datos!$C$2:$C3876),""))</f>
        <v>Serie Empow</v>
      </c>
      <c r="I136" s="3" t="s">
        <v>1180</v>
      </c>
      <c r="J136" s="3" t="str">
        <f>IF(I136="","",IFERROR(VLOOKUP(I136,Base_Datos!$D$2:$E$72,2,0),""))</f>
        <v>(1.5L)</v>
      </c>
      <c r="K136" s="3"/>
      <c r="L136" s="3"/>
      <c r="M136" s="7">
        <v>9</v>
      </c>
      <c r="N136" s="7">
        <v>0</v>
      </c>
    </row>
    <row r="137" spans="1:14" ht="14.25" x14ac:dyDescent="0.2">
      <c r="A137" s="3">
        <v>65008</v>
      </c>
      <c r="B137" s="3" t="s">
        <v>1932</v>
      </c>
      <c r="C137" s="3" t="s">
        <v>16</v>
      </c>
      <c r="D137" s="6" t="s">
        <v>1187</v>
      </c>
      <c r="E137" s="6" t="s">
        <v>1782</v>
      </c>
      <c r="F137" s="3" t="str">
        <f>IFERROR( VLOOKUP(A137,#REF!,2,0),"")</f>
        <v/>
      </c>
      <c r="G137" s="3" t="str">
        <f t="array" ref="G137">_xlfn.XLOOKUP(I137,Base_Datos!D:D,Base_Datos!B:B,"")</f>
        <v>GAC</v>
      </c>
      <c r="H137" s="3" t="str">
        <f t="array" ref="H137">IF(I137="","",IFERROR(_xlfn.XLOOKUP(I137,Base_Datos!$D$2:$D3876,Base_Datos!$C$2:$C3876),""))</f>
        <v>Serie Empow</v>
      </c>
      <c r="I137" s="3" t="s">
        <v>1180</v>
      </c>
      <c r="J137" s="3" t="str">
        <f>IF(I137="","",IFERROR(VLOOKUP(I137,Base_Datos!$D$2:$E$72,2,0),""))</f>
        <v>(1.5L)</v>
      </c>
      <c r="K137" s="3"/>
      <c r="L137" s="3"/>
      <c r="M137" s="7">
        <v>10</v>
      </c>
      <c r="N137" s="7">
        <v>0</v>
      </c>
    </row>
    <row r="138" spans="1:14" ht="14.25" x14ac:dyDescent="0.2">
      <c r="A138" s="3">
        <v>65009</v>
      </c>
      <c r="B138" s="3" t="s">
        <v>1933</v>
      </c>
      <c r="C138" s="3" t="s">
        <v>16</v>
      </c>
      <c r="D138" s="6" t="s">
        <v>1188</v>
      </c>
      <c r="E138" s="6" t="s">
        <v>1188</v>
      </c>
      <c r="F138" s="3" t="str">
        <f>IFERROR( VLOOKUP(A138,#REF!,2,0),"")</f>
        <v/>
      </c>
      <c r="G138" s="3" t="str">
        <f t="array" ref="G138">_xlfn.XLOOKUP(I138,Base_Datos!D:D,Base_Datos!B:B,"")</f>
        <v>GAC</v>
      </c>
      <c r="H138" s="3" t="str">
        <f t="array" ref="H138">IF(I138="","",IFERROR(_xlfn.XLOOKUP(I138,Base_Datos!$D$2:$D3876,Base_Datos!$C$2:$C3876),""))</f>
        <v>Serie Empow</v>
      </c>
      <c r="I138" s="3" t="s">
        <v>1180</v>
      </c>
      <c r="J138" s="3" t="str">
        <f>IF(I138="","",IFERROR(VLOOKUP(I138,Base_Datos!$D$2:$E$72,2,0),""))</f>
        <v>(1.5L)</v>
      </c>
      <c r="K138" s="3"/>
      <c r="L138" s="3"/>
      <c r="M138" s="7">
        <v>10</v>
      </c>
      <c r="N138" s="7">
        <v>0</v>
      </c>
    </row>
    <row r="139" spans="1:14" ht="14.25" x14ac:dyDescent="0.2">
      <c r="A139" s="3">
        <v>65010</v>
      </c>
      <c r="B139" s="3" t="s">
        <v>1934</v>
      </c>
      <c r="C139" s="3" t="s">
        <v>16</v>
      </c>
      <c r="D139" s="6" t="s">
        <v>1935</v>
      </c>
      <c r="E139" s="6" t="s">
        <v>1935</v>
      </c>
      <c r="F139" s="3" t="str">
        <f>IFERROR( VLOOKUP(A139,#REF!,2,0),"")</f>
        <v/>
      </c>
      <c r="G139" s="3" t="str">
        <f t="array" ref="G139">_xlfn.XLOOKUP(I139,Base_Datos!D:D,Base_Datos!B:B,"")</f>
        <v>GAC</v>
      </c>
      <c r="H139" s="3" t="str">
        <f t="array" ref="H139">IF(I139="","",IFERROR(_xlfn.XLOOKUP(I139,Base_Datos!$D$2:$D3876,Base_Datos!$C$2:$C3876),""))</f>
        <v>Serie Empow</v>
      </c>
      <c r="I139" s="3" t="s">
        <v>1180</v>
      </c>
      <c r="J139" s="3" t="str">
        <f>IF(I139="","",IFERROR(VLOOKUP(I139,Base_Datos!$D$2:$E$72,2,0),""))</f>
        <v>(1.5L)</v>
      </c>
      <c r="K139" s="3"/>
      <c r="L139" s="3"/>
      <c r="M139" s="7">
        <v>10</v>
      </c>
      <c r="N139" s="7">
        <v>0</v>
      </c>
    </row>
    <row r="140" spans="1:14" ht="14.25" x14ac:dyDescent="0.2">
      <c r="A140" s="3">
        <v>65011</v>
      </c>
      <c r="B140" s="3" t="s">
        <v>1936</v>
      </c>
      <c r="C140" s="3" t="s">
        <v>16</v>
      </c>
      <c r="D140" s="6" t="s">
        <v>1189</v>
      </c>
      <c r="E140" s="6" t="s">
        <v>1189</v>
      </c>
      <c r="F140" s="3" t="str">
        <f>IFERROR( VLOOKUP(A140,#REF!,2,0),"")</f>
        <v/>
      </c>
      <c r="G140" s="3" t="str">
        <f t="array" ref="G140">_xlfn.XLOOKUP(I140,Base_Datos!D:D,Base_Datos!B:B,"")</f>
        <v>GAC</v>
      </c>
      <c r="H140" s="3" t="str">
        <f t="array" ref="H140">IF(I140="","",IFERROR(_xlfn.XLOOKUP(I140,Base_Datos!$D$2:$D3876,Base_Datos!$C$2:$C3876),""))</f>
        <v>Serie Empow</v>
      </c>
      <c r="I140" s="3" t="s">
        <v>1180</v>
      </c>
      <c r="J140" s="3" t="str">
        <f>IF(I140="","",IFERROR(VLOOKUP(I140,Base_Datos!$D$2:$E$72,2,0),""))</f>
        <v>(1.5L)</v>
      </c>
      <c r="K140" s="3"/>
      <c r="L140" s="3"/>
      <c r="M140" s="7">
        <v>10</v>
      </c>
      <c r="N140" s="7">
        <v>0</v>
      </c>
    </row>
    <row r="141" spans="1:14" ht="14.25" x14ac:dyDescent="0.2">
      <c r="A141" s="3">
        <v>65012</v>
      </c>
      <c r="B141" s="3" t="s">
        <v>1937</v>
      </c>
      <c r="C141" s="3" t="s">
        <v>16</v>
      </c>
      <c r="D141" s="6" t="s">
        <v>1190</v>
      </c>
      <c r="E141" s="6" t="s">
        <v>1782</v>
      </c>
      <c r="F141" s="3" t="str">
        <f>IFERROR( VLOOKUP(A141,#REF!,2,0),"")</f>
        <v/>
      </c>
      <c r="G141" s="3" t="str">
        <f t="array" ref="G141">_xlfn.XLOOKUP(I141,Base_Datos!D:D,Base_Datos!B:B,"")</f>
        <v>GAC</v>
      </c>
      <c r="H141" s="3" t="str">
        <f t="array" ref="H141">IF(I141="","",IFERROR(_xlfn.XLOOKUP(I141,Base_Datos!$D$2:$D3876,Base_Datos!$C$2:$C3876),""))</f>
        <v>Serie Empow</v>
      </c>
      <c r="I141" s="3" t="s">
        <v>1180</v>
      </c>
      <c r="J141" s="3" t="str">
        <f>IF(I141="","",IFERROR(VLOOKUP(I141,Base_Datos!$D$2:$E$72,2,0),""))</f>
        <v>(1.5L)</v>
      </c>
      <c r="K141" s="3"/>
      <c r="L141" s="3"/>
      <c r="M141" s="7">
        <v>10</v>
      </c>
      <c r="N141" s="7">
        <v>0</v>
      </c>
    </row>
    <row r="142" spans="1:14" ht="14.25" x14ac:dyDescent="0.2">
      <c r="A142" s="3">
        <v>65013</v>
      </c>
      <c r="B142" s="3" t="s">
        <v>1938</v>
      </c>
      <c r="C142" s="3" t="s">
        <v>16</v>
      </c>
      <c r="D142" s="6" t="s">
        <v>1191</v>
      </c>
      <c r="E142" s="6" t="s">
        <v>1782</v>
      </c>
      <c r="F142" s="3" t="str">
        <f>IFERROR( VLOOKUP(A142,#REF!,2,0),"")</f>
        <v/>
      </c>
      <c r="G142" s="3" t="str">
        <f t="array" ref="G142">_xlfn.XLOOKUP(I142,Base_Datos!D:D,Base_Datos!B:B,"")</f>
        <v>GAC</v>
      </c>
      <c r="H142" s="3" t="str">
        <f t="array" ref="H142">IF(I142="","",IFERROR(_xlfn.XLOOKUP(I142,Base_Datos!$D$2:$D3876,Base_Datos!$C$2:$C3876),""))</f>
        <v>Serie Empow</v>
      </c>
      <c r="I142" s="3" t="s">
        <v>1180</v>
      </c>
      <c r="J142" s="3" t="str">
        <f>IF(I142="","",IFERROR(VLOOKUP(I142,Base_Datos!$D$2:$E$72,2,0),""))</f>
        <v>(1.5L)</v>
      </c>
      <c r="K142" s="3"/>
      <c r="L142" s="3"/>
      <c r="M142" s="7">
        <v>3</v>
      </c>
      <c r="N142" s="7">
        <v>0</v>
      </c>
    </row>
    <row r="143" spans="1:14" ht="14.25" x14ac:dyDescent="0.2">
      <c r="A143" s="3">
        <v>65014</v>
      </c>
      <c r="B143" s="3" t="s">
        <v>1939</v>
      </c>
      <c r="C143" s="3" t="s">
        <v>16</v>
      </c>
      <c r="D143" s="6" t="s">
        <v>1192</v>
      </c>
      <c r="E143" s="6" t="s">
        <v>1782</v>
      </c>
      <c r="F143" s="3" t="str">
        <f>IFERROR( VLOOKUP(A143,#REF!,2,0),"")</f>
        <v/>
      </c>
      <c r="G143" s="3" t="str">
        <f t="array" ref="G143">_xlfn.XLOOKUP(I143,Base_Datos!D:D,Base_Datos!B:B,"")</f>
        <v>GAC</v>
      </c>
      <c r="H143" s="3" t="str">
        <f t="array" ref="H143">IF(I143="","",IFERROR(_xlfn.XLOOKUP(I143,Base_Datos!$D$2:$D3876,Base_Datos!$C$2:$C3876),""))</f>
        <v>Serie Empow</v>
      </c>
      <c r="I143" s="3" t="s">
        <v>1180</v>
      </c>
      <c r="J143" s="3" t="str">
        <f>IF(I143="","",IFERROR(VLOOKUP(I143,Base_Datos!$D$2:$E$72,2,0),""))</f>
        <v>(1.5L)</v>
      </c>
      <c r="K143" s="3" t="s">
        <v>1926</v>
      </c>
      <c r="L143" s="3"/>
      <c r="M143" s="7">
        <v>11</v>
      </c>
      <c r="N143" s="7">
        <v>0</v>
      </c>
    </row>
    <row r="144" spans="1:14" ht="14.25" x14ac:dyDescent="0.2">
      <c r="A144" s="3">
        <v>65015</v>
      </c>
      <c r="B144" s="3" t="s">
        <v>1940</v>
      </c>
      <c r="C144" s="3" t="s">
        <v>16</v>
      </c>
      <c r="D144" s="6" t="s">
        <v>1193</v>
      </c>
      <c r="E144" s="6" t="s">
        <v>1782</v>
      </c>
      <c r="F144" s="3" t="str">
        <f>IFERROR( VLOOKUP(A144,#REF!,2,0),"")</f>
        <v/>
      </c>
      <c r="G144" s="3" t="str">
        <f t="array" ref="G144">_xlfn.XLOOKUP(I144,Base_Datos!D:D,Base_Datos!B:B,"")</f>
        <v>GAC</v>
      </c>
      <c r="H144" s="3" t="str">
        <f t="array" ref="H144">IF(I144="","",IFERROR(_xlfn.XLOOKUP(I144,Base_Datos!$D$2:$D3876,Base_Datos!$C$2:$C3876),""))</f>
        <v>Serie Empow</v>
      </c>
      <c r="I144" s="3" t="s">
        <v>1180</v>
      </c>
      <c r="J144" s="3" t="str">
        <f>IF(I144="","",IFERROR(VLOOKUP(I144,Base_Datos!$D$2:$E$72,2,0),""))</f>
        <v>(1.5L)</v>
      </c>
      <c r="K144" s="3"/>
      <c r="L144" s="3"/>
      <c r="M144" s="7">
        <v>16</v>
      </c>
      <c r="N144" s="7">
        <v>0</v>
      </c>
    </row>
    <row r="145" spans="1:14" ht="14.25" x14ac:dyDescent="0.2">
      <c r="A145" s="3">
        <v>65016</v>
      </c>
      <c r="B145" s="3" t="s">
        <v>1939</v>
      </c>
      <c r="C145" s="3" t="s">
        <v>16</v>
      </c>
      <c r="D145" s="6" t="s">
        <v>1194</v>
      </c>
      <c r="E145" s="6" t="s">
        <v>1782</v>
      </c>
      <c r="F145" s="3" t="str">
        <f>IFERROR( VLOOKUP(A145,#REF!,2,0),"")</f>
        <v/>
      </c>
      <c r="G145" s="3" t="str">
        <f t="array" ref="G145">_xlfn.XLOOKUP(I145,Base_Datos!D:D,Base_Datos!B:B,"")</f>
        <v>GAC</v>
      </c>
      <c r="H145" s="3" t="str">
        <f t="array" ref="H145">IF(I145="","",IFERROR(_xlfn.XLOOKUP(I145,Base_Datos!$D$2:$D3876,Base_Datos!$C$2:$C3876),""))</f>
        <v>Serie Empow</v>
      </c>
      <c r="I145" s="3" t="s">
        <v>1180</v>
      </c>
      <c r="J145" s="3" t="str">
        <f>IF(I145="","",IFERROR(VLOOKUP(I145,Base_Datos!$D$2:$E$72,2,0),""))</f>
        <v>(1.5L)</v>
      </c>
      <c r="K145" s="3"/>
      <c r="L145" s="3"/>
      <c r="M145" s="7">
        <v>5</v>
      </c>
      <c r="N145" s="7">
        <v>0</v>
      </c>
    </row>
    <row r="146" spans="1:14" ht="14.25" x14ac:dyDescent="0.2">
      <c r="A146" s="3">
        <v>65017</v>
      </c>
      <c r="B146" s="3" t="s">
        <v>1941</v>
      </c>
      <c r="C146" s="3" t="s">
        <v>16</v>
      </c>
      <c r="D146" s="6" t="s">
        <v>1195</v>
      </c>
      <c r="E146" s="6" t="s">
        <v>1942</v>
      </c>
      <c r="F146" s="3" t="str">
        <f>IFERROR( VLOOKUP(A146,#REF!,2,0),"")</f>
        <v/>
      </c>
      <c r="G146" s="3" t="str">
        <f t="array" ref="G146">_xlfn.XLOOKUP(I146,Base_Datos!D:D,Base_Datos!B:B,"")</f>
        <v>GAC</v>
      </c>
      <c r="H146" s="3" t="str">
        <f t="array" ref="H146">IF(I146="","",IFERROR(_xlfn.XLOOKUP(I146,Base_Datos!$D$2:$D3876,Base_Datos!$C$2:$C3876),""))</f>
        <v>Serie Empow</v>
      </c>
      <c r="I146" s="3" t="s">
        <v>1180</v>
      </c>
      <c r="J146" s="3" t="str">
        <f>IF(I146="","",IFERROR(VLOOKUP(I146,Base_Datos!$D$2:$E$72,2,0),""))</f>
        <v>(1.5L)</v>
      </c>
      <c r="K146" s="3" t="s">
        <v>1926</v>
      </c>
      <c r="L146" s="3"/>
      <c r="M146" s="7">
        <v>1</v>
      </c>
      <c r="N146" s="7">
        <v>0</v>
      </c>
    </row>
    <row r="147" spans="1:14" ht="14.25" x14ac:dyDescent="0.2">
      <c r="A147" s="3">
        <v>65018</v>
      </c>
      <c r="B147" s="3" t="s">
        <v>1943</v>
      </c>
      <c r="C147" s="3" t="s">
        <v>16</v>
      </c>
      <c r="D147" s="6" t="s">
        <v>1196</v>
      </c>
      <c r="E147" s="6" t="s">
        <v>1782</v>
      </c>
      <c r="F147" s="3" t="str">
        <f>IFERROR( VLOOKUP(A147,#REF!,2,0),"")</f>
        <v/>
      </c>
      <c r="G147" s="3" t="str">
        <f t="array" ref="G147">_xlfn.XLOOKUP(I147,Base_Datos!D:D,Base_Datos!B:B,"")</f>
        <v>GAC</v>
      </c>
      <c r="H147" s="3" t="str">
        <f t="array" ref="H147">IF(I147="","",IFERROR(_xlfn.XLOOKUP(I147,Base_Datos!$D$2:$D3876,Base_Datos!$C$2:$C3876),""))</f>
        <v>Serie Empow</v>
      </c>
      <c r="I147" s="3" t="s">
        <v>1180</v>
      </c>
      <c r="J147" s="3" t="str">
        <f>IF(I147="","",IFERROR(VLOOKUP(I147,Base_Datos!$D$2:$E$72,2,0),""))</f>
        <v>(1.5L)</v>
      </c>
      <c r="K147" s="3"/>
      <c r="L147" s="3"/>
      <c r="M147" s="7">
        <v>29</v>
      </c>
      <c r="N147" s="7">
        <v>0</v>
      </c>
    </row>
    <row r="148" spans="1:14" ht="14.25" x14ac:dyDescent="0.2">
      <c r="A148" s="3">
        <v>65019</v>
      </c>
      <c r="B148" s="3" t="s">
        <v>1944</v>
      </c>
      <c r="C148" s="3" t="s">
        <v>16</v>
      </c>
      <c r="D148" s="6" t="s">
        <v>1197</v>
      </c>
      <c r="E148" s="6" t="s">
        <v>1782</v>
      </c>
      <c r="F148" s="3" t="str">
        <f>IFERROR( VLOOKUP(A148,#REF!,2,0),"")</f>
        <v/>
      </c>
      <c r="G148" s="3" t="str">
        <f t="array" ref="G148">_xlfn.XLOOKUP(I148,Base_Datos!D:D,Base_Datos!B:B,"")</f>
        <v>GAC</v>
      </c>
      <c r="H148" s="3" t="str">
        <f t="array" ref="H148">IF(I148="","",IFERROR(_xlfn.XLOOKUP(I148,Base_Datos!$D$2:$D3876,Base_Datos!$C$2:$C3876),""))</f>
        <v>Serie Empow</v>
      </c>
      <c r="I148" s="3" t="s">
        <v>1180</v>
      </c>
      <c r="J148" s="3" t="str">
        <f>IF(I148="","",IFERROR(VLOOKUP(I148,Base_Datos!$D$2:$E$72,2,0),""))</f>
        <v>(1.5L)</v>
      </c>
      <c r="K148" s="3"/>
      <c r="L148" s="3"/>
      <c r="M148" s="7">
        <v>3</v>
      </c>
      <c r="N148" s="7">
        <v>0</v>
      </c>
    </row>
    <row r="149" spans="1:14" ht="14.25" x14ac:dyDescent="0.2">
      <c r="A149" s="3">
        <v>65020</v>
      </c>
      <c r="B149" s="3" t="s">
        <v>1945</v>
      </c>
      <c r="C149" s="3" t="s">
        <v>16</v>
      </c>
      <c r="D149" s="6" t="s">
        <v>1198</v>
      </c>
      <c r="E149" s="6" t="s">
        <v>1198</v>
      </c>
      <c r="F149" s="3" t="str">
        <f>IFERROR( VLOOKUP(A149,#REF!,2,0),"")</f>
        <v/>
      </c>
      <c r="G149" s="3" t="str">
        <f t="array" ref="G149">_xlfn.XLOOKUP(I149,Base_Datos!D:D,Base_Datos!B:B,"")</f>
        <v>GAC</v>
      </c>
      <c r="H149" s="3" t="str">
        <f t="array" ref="H149">IF(I149="","",IFERROR(_xlfn.XLOOKUP(I149,Base_Datos!$D$2:$D3876,Base_Datos!$C$2:$C3876),""))</f>
        <v>Serie Empow</v>
      </c>
      <c r="I149" s="3" t="s">
        <v>1180</v>
      </c>
      <c r="J149" s="3" t="str">
        <f>IF(I149="","",IFERROR(VLOOKUP(I149,Base_Datos!$D$2:$E$72,2,0),""))</f>
        <v>(1.5L)</v>
      </c>
      <c r="K149" s="3" t="s">
        <v>1926</v>
      </c>
      <c r="L149" s="3"/>
      <c r="M149" s="7">
        <v>3</v>
      </c>
      <c r="N149" s="7">
        <v>0</v>
      </c>
    </row>
    <row r="150" spans="1:14" ht="14.25" x14ac:dyDescent="0.2">
      <c r="A150" s="3">
        <v>65021</v>
      </c>
      <c r="B150" s="3" t="s">
        <v>1946</v>
      </c>
      <c r="C150" s="3" t="s">
        <v>16</v>
      </c>
      <c r="D150" s="6" t="s">
        <v>1199</v>
      </c>
      <c r="E150" s="6" t="s">
        <v>1782</v>
      </c>
      <c r="F150" s="3" t="str">
        <f>IFERROR( VLOOKUP(A150,#REF!,2,0),"")</f>
        <v/>
      </c>
      <c r="G150" s="3" t="str">
        <f t="array" ref="G150">_xlfn.XLOOKUP(I150,Base_Datos!D:D,Base_Datos!B:B,"")</f>
        <v>GAC</v>
      </c>
      <c r="H150" s="3" t="str">
        <f t="array" ref="H150">IF(I150="","",IFERROR(_xlfn.XLOOKUP(I150,Base_Datos!$D$2:$D3876,Base_Datos!$C$2:$C3876),""))</f>
        <v>Serie Empow</v>
      </c>
      <c r="I150" s="3" t="s">
        <v>1180</v>
      </c>
      <c r="J150" s="3" t="str">
        <f>IF(I150="","",IFERROR(VLOOKUP(I150,Base_Datos!$D$2:$E$72,2,0),""))</f>
        <v>(1.5L)</v>
      </c>
      <c r="K150" s="3"/>
      <c r="L150" s="3"/>
      <c r="M150" s="7">
        <v>3</v>
      </c>
      <c r="N150" s="7">
        <v>0</v>
      </c>
    </row>
    <row r="151" spans="1:14" ht="14.25" x14ac:dyDescent="0.2">
      <c r="A151" s="3">
        <v>65022</v>
      </c>
      <c r="B151" s="3" t="s">
        <v>1947</v>
      </c>
      <c r="C151" s="3" t="s">
        <v>16</v>
      </c>
      <c r="D151" s="6" t="s">
        <v>1200</v>
      </c>
      <c r="E151" s="6" t="s">
        <v>1782</v>
      </c>
      <c r="F151" s="3" t="str">
        <f>IFERROR( VLOOKUP(A151,#REF!,2,0),"")</f>
        <v/>
      </c>
      <c r="G151" s="3" t="str">
        <f t="array" ref="G151">_xlfn.XLOOKUP(I151,Base_Datos!D:D,Base_Datos!B:B,"")</f>
        <v>GAC</v>
      </c>
      <c r="H151" s="3" t="str">
        <f t="array" ref="H151">IF(I151="","",IFERROR(_xlfn.XLOOKUP(I151,Base_Datos!$D$2:$D3876,Base_Datos!$C$2:$C3876),""))</f>
        <v>Serie Empow</v>
      </c>
      <c r="I151" s="3" t="s">
        <v>1180</v>
      </c>
      <c r="J151" s="3" t="str">
        <f>IF(I151="","",IFERROR(VLOOKUP(I151,Base_Datos!$D$2:$E$72,2,0),""))</f>
        <v>(1.5L)</v>
      </c>
      <c r="K151" s="3"/>
      <c r="L151" s="3"/>
      <c r="M151" s="7">
        <v>3</v>
      </c>
      <c r="N151" s="7">
        <v>0</v>
      </c>
    </row>
    <row r="152" spans="1:14" ht="14.25" x14ac:dyDescent="0.2">
      <c r="A152" s="3">
        <v>65023</v>
      </c>
      <c r="B152" s="3" t="s">
        <v>1948</v>
      </c>
      <c r="C152" s="3" t="s">
        <v>16</v>
      </c>
      <c r="D152" s="6" t="s">
        <v>1201</v>
      </c>
      <c r="E152" s="6" t="s">
        <v>1782</v>
      </c>
      <c r="F152" s="3" t="str">
        <f>IFERROR( VLOOKUP(A152,#REF!,2,0),"")</f>
        <v/>
      </c>
      <c r="G152" s="3" t="str">
        <f t="array" ref="G152">_xlfn.XLOOKUP(I152,Base_Datos!D:D,Base_Datos!B:B,"")</f>
        <v>GAC</v>
      </c>
      <c r="H152" s="3" t="str">
        <f t="array" ref="H152">IF(I152="","",IFERROR(_xlfn.XLOOKUP(I152,Base_Datos!$D$2:$D3876,Base_Datos!$C$2:$C3876),""))</f>
        <v>Serie Empow</v>
      </c>
      <c r="I152" s="3" t="s">
        <v>1180</v>
      </c>
      <c r="J152" s="3" t="str">
        <f>IF(I152="","",IFERROR(VLOOKUP(I152,Base_Datos!$D$2:$E$72,2,0),""))</f>
        <v>(1.5L)</v>
      </c>
      <c r="K152" s="3"/>
      <c r="L152" s="3"/>
      <c r="M152" s="7">
        <v>3</v>
      </c>
      <c r="N152" s="7">
        <v>0</v>
      </c>
    </row>
    <row r="153" spans="1:14" ht="14.25" x14ac:dyDescent="0.2">
      <c r="A153" s="3">
        <v>65024</v>
      </c>
      <c r="B153" s="3" t="s">
        <v>1949</v>
      </c>
      <c r="C153" s="3" t="s">
        <v>16</v>
      </c>
      <c r="D153" s="6" t="s">
        <v>1202</v>
      </c>
      <c r="E153" s="6" t="s">
        <v>1782</v>
      </c>
      <c r="F153" s="3" t="str">
        <f>IFERROR( VLOOKUP(A153,#REF!,2,0),"")</f>
        <v/>
      </c>
      <c r="G153" s="3" t="str">
        <f t="array" ref="G153">_xlfn.XLOOKUP(I153,Base_Datos!D:D,Base_Datos!B:B,"")</f>
        <v>GAC</v>
      </c>
      <c r="H153" s="3" t="str">
        <f t="array" ref="H153">IF(I153="","",IFERROR(_xlfn.XLOOKUP(I153,Base_Datos!$D$2:$D3876,Base_Datos!$C$2:$C3876),""))</f>
        <v>Serie Empow</v>
      </c>
      <c r="I153" s="3" t="s">
        <v>1180</v>
      </c>
      <c r="J153" s="3" t="str">
        <f>IF(I153="","",IFERROR(VLOOKUP(I153,Base_Datos!$D$2:$E$72,2,0),""))</f>
        <v>(1.5L)</v>
      </c>
      <c r="K153" s="3"/>
      <c r="L153" s="3"/>
      <c r="M153" s="7">
        <v>3</v>
      </c>
      <c r="N153" s="7">
        <v>0</v>
      </c>
    </row>
    <row r="154" spans="1:14" ht="14.25" x14ac:dyDescent="0.2">
      <c r="A154" s="3">
        <v>65025</v>
      </c>
      <c r="B154" s="3" t="s">
        <v>1950</v>
      </c>
      <c r="C154" s="3" t="s">
        <v>16</v>
      </c>
      <c r="D154" s="6" t="s">
        <v>1951</v>
      </c>
      <c r="E154" s="6" t="s">
        <v>1951</v>
      </c>
      <c r="F154" s="3" t="str">
        <f>IFERROR( VLOOKUP(A154,#REF!,2,0),"")</f>
        <v/>
      </c>
      <c r="G154" s="3" t="str">
        <f t="array" ref="G154">_xlfn.XLOOKUP(I154,Base_Datos!D:D,Base_Datos!B:B,"")</f>
        <v>GAC</v>
      </c>
      <c r="H154" s="3" t="str">
        <f t="array" ref="H154">IF(I154="","",IFERROR(_xlfn.XLOOKUP(I154,Base_Datos!$D$2:$D3876,Base_Datos!$C$2:$C3876),""))</f>
        <v>Serie Empow</v>
      </c>
      <c r="I154" s="3" t="s">
        <v>1180</v>
      </c>
      <c r="J154" s="3" t="str">
        <f>IF(I154="","",IFERROR(VLOOKUP(I154,Base_Datos!$D$2:$E$72,2,0),""))</f>
        <v>(1.5L)</v>
      </c>
      <c r="K154" s="3" t="s">
        <v>1952</v>
      </c>
      <c r="L154" s="3"/>
      <c r="M154" s="7">
        <v>2</v>
      </c>
      <c r="N154" s="7">
        <v>0</v>
      </c>
    </row>
    <row r="155" spans="1:14" ht="14.25" x14ac:dyDescent="0.2">
      <c r="A155" s="3">
        <v>65026</v>
      </c>
      <c r="B155" s="3" t="s">
        <v>1953</v>
      </c>
      <c r="C155" s="3" t="s">
        <v>16</v>
      </c>
      <c r="D155" s="6" t="s">
        <v>1954</v>
      </c>
      <c r="E155" s="6" t="s">
        <v>1954</v>
      </c>
      <c r="F155" s="3" t="str">
        <f>IFERROR( VLOOKUP(A155,#REF!,2,0),"")</f>
        <v/>
      </c>
      <c r="G155" s="3" t="str">
        <f t="array" ref="G155">_xlfn.XLOOKUP(I155,Base_Datos!D:D,Base_Datos!B:B,"")</f>
        <v>GAC</v>
      </c>
      <c r="H155" s="3" t="str">
        <f t="array" ref="H155">IF(I155="","",IFERROR(_xlfn.XLOOKUP(I155,Base_Datos!$D$2:$D3876,Base_Datos!$C$2:$C3876),""))</f>
        <v>Serie Empow</v>
      </c>
      <c r="I155" s="3" t="s">
        <v>1180</v>
      </c>
      <c r="J155" s="3" t="str">
        <f>IF(I155="","",IFERROR(VLOOKUP(I155,Base_Datos!$D$2:$E$72,2,0),""))</f>
        <v>(1.5L)</v>
      </c>
      <c r="K155" s="3"/>
      <c r="L155" s="3"/>
      <c r="M155" s="7">
        <v>2</v>
      </c>
      <c r="N155" s="7">
        <v>0</v>
      </c>
    </row>
    <row r="156" spans="1:14" ht="14.25" x14ac:dyDescent="0.2">
      <c r="A156" s="3">
        <v>65027</v>
      </c>
      <c r="B156" s="9" t="s">
        <v>1955</v>
      </c>
      <c r="C156" s="3" t="s">
        <v>16</v>
      </c>
      <c r="D156" s="6" t="s">
        <v>1956</v>
      </c>
      <c r="E156" s="6" t="s">
        <v>1956</v>
      </c>
      <c r="F156" s="3" t="str">
        <f>IFERROR( VLOOKUP(A156,#REF!,2,0),"")</f>
        <v/>
      </c>
      <c r="G156" s="3" t="str">
        <f t="array" ref="G156">_xlfn.XLOOKUP(I156,Base_Datos!D:D,Base_Datos!B:B,"")</f>
        <v>GAC</v>
      </c>
      <c r="H156" s="3" t="str">
        <f t="array" ref="H156">IF(I156="","",IFERROR(_xlfn.XLOOKUP(I156,Base_Datos!$D$2:$D3876,Base_Datos!$C$2:$C3876),""))</f>
        <v>Serie Empow</v>
      </c>
      <c r="I156" s="3" t="s">
        <v>1180</v>
      </c>
      <c r="J156" s="3" t="str">
        <f>IF(I156="","",IFERROR(VLOOKUP(I156,Base_Datos!$D$2:$E$72,2,0),""))</f>
        <v>(1.5L)</v>
      </c>
      <c r="K156" s="3" t="s">
        <v>1926</v>
      </c>
      <c r="L156" s="3"/>
      <c r="M156" s="7">
        <v>20</v>
      </c>
      <c r="N156" s="7">
        <v>0</v>
      </c>
    </row>
    <row r="157" spans="1:14" ht="14.25" x14ac:dyDescent="0.2">
      <c r="A157" s="3">
        <v>65028</v>
      </c>
      <c r="B157" s="3" t="s">
        <v>1957</v>
      </c>
      <c r="C157" s="3" t="s">
        <v>16</v>
      </c>
      <c r="D157" s="6" t="s">
        <v>1958</v>
      </c>
      <c r="E157" s="6" t="s">
        <v>1958</v>
      </c>
      <c r="F157" s="3" t="str">
        <f>IFERROR( VLOOKUP(A157,#REF!,2,0),"")</f>
        <v/>
      </c>
      <c r="G157" s="3" t="str">
        <f t="array" ref="G157">_xlfn.XLOOKUP(I157,Base_Datos!D:D,Base_Datos!B:B,"")</f>
        <v>GAC</v>
      </c>
      <c r="H157" s="3" t="str">
        <f t="array" ref="H157">IF(I157="","",IFERROR(_xlfn.XLOOKUP(I157,Base_Datos!$D$2:$D3876,Base_Datos!$C$2:$C3876),""))</f>
        <v>Serie Emzoom</v>
      </c>
      <c r="I157" s="3" t="s">
        <v>1203</v>
      </c>
      <c r="J157" s="3" t="str">
        <f>IF(I157="","",IFERROR(VLOOKUP(I157,Base_Datos!$D$2:$E$72,2,0),""))</f>
        <v>(1.5L)</v>
      </c>
      <c r="K157" s="3"/>
      <c r="L157" s="3"/>
      <c r="M157" s="7">
        <v>2</v>
      </c>
      <c r="N157" s="7">
        <v>0</v>
      </c>
    </row>
    <row r="158" spans="1:14" ht="14.25" x14ac:dyDescent="0.2">
      <c r="A158" s="3">
        <v>65029</v>
      </c>
      <c r="B158" s="3" t="s">
        <v>1959</v>
      </c>
      <c r="C158" s="3" t="s">
        <v>16</v>
      </c>
      <c r="D158" s="6" t="s">
        <v>1782</v>
      </c>
      <c r="E158" s="6" t="s">
        <v>1782</v>
      </c>
      <c r="F158" s="3" t="str">
        <f>IFERROR( VLOOKUP(A158,#REF!,2,0),"")</f>
        <v/>
      </c>
      <c r="G158" s="3">
        <f t="array" ref="G158">_xlfn.XLOOKUP(I158,Base_Datos!D:D,Base_Datos!B:B,"")</f>
        <v>0</v>
      </c>
      <c r="H158" s="3" t="str">
        <f t="array" ref="H158">IF(I158="","",IFERROR(_xlfn.XLOOKUP(I158,Base_Datos!$D$2:$D3876,Base_Datos!$C$2:$C3876),""))</f>
        <v/>
      </c>
      <c r="I158" s="3"/>
      <c r="J158" s="3" t="str">
        <f>IF(I158="","",IFERROR(VLOOKUP(I158,Base_Datos!$D$2:$E$72,2,0),""))</f>
        <v/>
      </c>
      <c r="K158" s="3"/>
      <c r="L158" s="3"/>
      <c r="M158" s="7">
        <v>1</v>
      </c>
      <c r="N158" s="7">
        <v>0</v>
      </c>
    </row>
    <row r="159" spans="1:14" ht="14.25" x14ac:dyDescent="0.2">
      <c r="A159" s="3">
        <v>65030</v>
      </c>
      <c r="B159" s="3" t="s">
        <v>1960</v>
      </c>
      <c r="C159" s="3" t="s">
        <v>16</v>
      </c>
      <c r="D159" s="6" t="s">
        <v>1782</v>
      </c>
      <c r="E159" s="6" t="s">
        <v>1782</v>
      </c>
      <c r="F159" s="3" t="str">
        <f>IFERROR( VLOOKUP(A159,#REF!,2,0),"")</f>
        <v/>
      </c>
      <c r="G159" s="3">
        <f t="array" ref="G159">_xlfn.XLOOKUP(I159,Base_Datos!D:D,Base_Datos!B:B,"")</f>
        <v>0</v>
      </c>
      <c r="H159" s="3" t="str">
        <f t="array" ref="H159">IF(I159="","",IFERROR(_xlfn.XLOOKUP(I159,Base_Datos!$D$2:$D3876,Base_Datos!$C$2:$C3876),""))</f>
        <v/>
      </c>
      <c r="I159" s="3"/>
      <c r="J159" s="3" t="str">
        <f>IF(I159="","",IFERROR(VLOOKUP(I159,Base_Datos!$D$2:$E$72,2,0),""))</f>
        <v/>
      </c>
      <c r="K159" s="3"/>
      <c r="L159" s="3"/>
      <c r="M159" s="7">
        <v>2</v>
      </c>
      <c r="N159" s="7">
        <v>0</v>
      </c>
    </row>
    <row r="160" spans="1:14" ht="14.25" x14ac:dyDescent="0.2">
      <c r="A160" s="3">
        <v>65031</v>
      </c>
      <c r="B160" s="3" t="s">
        <v>1961</v>
      </c>
      <c r="C160" s="3" t="s">
        <v>16</v>
      </c>
      <c r="D160" s="6" t="s">
        <v>1782</v>
      </c>
      <c r="E160" s="6" t="s">
        <v>1782</v>
      </c>
      <c r="F160" s="3" t="str">
        <f>IFERROR( VLOOKUP(A160,#REF!,2,0),"")</f>
        <v/>
      </c>
      <c r="G160" s="3">
        <f t="array" ref="G160">_xlfn.XLOOKUP(I160,Base_Datos!D:D,Base_Datos!B:B,"")</f>
        <v>0</v>
      </c>
      <c r="H160" s="3" t="str">
        <f t="array" ref="H160">IF(I160="","",IFERROR(_xlfn.XLOOKUP(I160,Base_Datos!$D$2:$D3876,Base_Datos!$C$2:$C3876),""))</f>
        <v/>
      </c>
      <c r="I160" s="3"/>
      <c r="J160" s="3" t="str">
        <f>IF(I160="","",IFERROR(VLOOKUP(I160,Base_Datos!$D$2:$E$72,2,0),""))</f>
        <v/>
      </c>
      <c r="K160" s="3"/>
      <c r="L160" s="3"/>
      <c r="M160" s="7">
        <v>1</v>
      </c>
      <c r="N160" s="7">
        <v>0</v>
      </c>
    </row>
    <row r="161" spans="1:14" ht="14.25" x14ac:dyDescent="0.2">
      <c r="A161" s="3">
        <v>66001</v>
      </c>
      <c r="B161" s="3" t="s">
        <v>1962</v>
      </c>
      <c r="C161" s="3" t="s">
        <v>16</v>
      </c>
      <c r="D161" s="6" t="s">
        <v>1204</v>
      </c>
      <c r="E161" s="6" t="s">
        <v>1782</v>
      </c>
      <c r="F161" s="3" t="str">
        <f>IFERROR( VLOOKUP(A161,#REF!,2,0),"")</f>
        <v/>
      </c>
      <c r="G161" s="3" t="str">
        <f t="array" ref="G161">_xlfn.XLOOKUP(I161,Base_Datos!D:D,Base_Datos!B:B,"")</f>
        <v>GAC</v>
      </c>
      <c r="H161" s="3" t="str">
        <f t="array" ref="H161">IF(I161="","",IFERROR(_xlfn.XLOOKUP(I161,Base_Datos!$D$2:$D3876,Base_Datos!$C$2:$C3876),""))</f>
        <v>Serie Emzoom</v>
      </c>
      <c r="I161" s="3" t="s">
        <v>1203</v>
      </c>
      <c r="J161" s="3" t="str">
        <f>IF(I161="","",IFERROR(VLOOKUP(I161,Base_Datos!$D$2:$E$72,2,0),""))</f>
        <v>(1.5L)</v>
      </c>
      <c r="K161" s="3"/>
      <c r="L161" s="3"/>
      <c r="M161" s="7">
        <v>21</v>
      </c>
      <c r="N161" s="7">
        <v>0</v>
      </c>
    </row>
    <row r="162" spans="1:14" ht="14.25" x14ac:dyDescent="0.2">
      <c r="A162" s="3">
        <v>66002</v>
      </c>
      <c r="B162" s="3" t="s">
        <v>1938</v>
      </c>
      <c r="C162" s="3" t="s">
        <v>16</v>
      </c>
      <c r="D162" s="6" t="s">
        <v>1782</v>
      </c>
      <c r="E162" s="6" t="s">
        <v>1782</v>
      </c>
      <c r="F162" s="3" t="str">
        <f>IFERROR( VLOOKUP(A162,#REF!,2,0),"")</f>
        <v/>
      </c>
      <c r="G162" s="3" t="str">
        <f t="array" ref="G162">_xlfn.XLOOKUP(I162,Base_Datos!D:D,Base_Datos!B:B,"")</f>
        <v>GAC</v>
      </c>
      <c r="H162" s="3" t="str">
        <f t="array" ref="H162">IF(I162="","",IFERROR(_xlfn.XLOOKUP(I162,Base_Datos!$D$2:$D3876,Base_Datos!$C$2:$C3876),""))</f>
        <v>Serie Emzoom</v>
      </c>
      <c r="I162" s="3" t="s">
        <v>1203</v>
      </c>
      <c r="J162" s="3" t="str">
        <f>IF(I162="","",IFERROR(VLOOKUP(I162,Base_Datos!$D$2:$E$72,2,0),""))</f>
        <v>(1.5L)</v>
      </c>
      <c r="K162" s="3"/>
      <c r="L162" s="3"/>
      <c r="M162" s="7">
        <v>2</v>
      </c>
      <c r="N162" s="7">
        <v>0</v>
      </c>
    </row>
    <row r="163" spans="1:14" ht="14.25" x14ac:dyDescent="0.2">
      <c r="A163" s="3">
        <v>66003</v>
      </c>
      <c r="B163" s="3" t="s">
        <v>1963</v>
      </c>
      <c r="C163" s="3" t="s">
        <v>16</v>
      </c>
      <c r="D163" s="6" t="s">
        <v>1964</v>
      </c>
      <c r="E163" s="6" t="s">
        <v>1964</v>
      </c>
      <c r="F163" s="3" t="str">
        <f>IFERROR( VLOOKUP(A163,#REF!,2,0),"")</f>
        <v/>
      </c>
      <c r="G163" s="3" t="str">
        <f t="array" ref="G163">_xlfn.XLOOKUP(I163,Base_Datos!D:D,Base_Datos!B:B,"")</f>
        <v>GAC</v>
      </c>
      <c r="H163" s="3" t="str">
        <f t="array" ref="H163">IF(I163="","",IFERROR(_xlfn.XLOOKUP(I163,Base_Datos!$D$2:$D3876,Base_Datos!$C$2:$C3876),""))</f>
        <v>Serie Emzoom</v>
      </c>
      <c r="I163" s="3" t="s">
        <v>1203</v>
      </c>
      <c r="J163" s="3" t="str">
        <f>IF(I163="","",IFERROR(VLOOKUP(I163,Base_Datos!$D$2:$E$72,2,0),""))</f>
        <v>(1.5L)</v>
      </c>
      <c r="K163" s="3"/>
      <c r="L163" s="3"/>
      <c r="M163" s="7">
        <v>2</v>
      </c>
      <c r="N163" s="7">
        <v>0</v>
      </c>
    </row>
    <row r="164" spans="1:14" ht="14.25" x14ac:dyDescent="0.2">
      <c r="A164" s="3">
        <v>66004</v>
      </c>
      <c r="B164" s="3" t="s">
        <v>1963</v>
      </c>
      <c r="C164" s="3" t="s">
        <v>16</v>
      </c>
      <c r="D164" s="6" t="s">
        <v>1205</v>
      </c>
      <c r="E164" s="6" t="s">
        <v>1782</v>
      </c>
      <c r="F164" s="3" t="str">
        <f>IFERROR( VLOOKUP(A164,#REF!,2,0),"")</f>
        <v/>
      </c>
      <c r="G164" s="3" t="str">
        <f t="array" ref="G164">_xlfn.XLOOKUP(I164,Base_Datos!D:D,Base_Datos!B:B,"")</f>
        <v>GAC</v>
      </c>
      <c r="H164" s="3" t="str">
        <f t="array" ref="H164">IF(I164="","",IFERROR(_xlfn.XLOOKUP(I164,Base_Datos!$D$2:$D3876,Base_Datos!$C$2:$C3876),""))</f>
        <v>Serie Emzoom</v>
      </c>
      <c r="I164" s="3" t="s">
        <v>1203</v>
      </c>
      <c r="J164" s="3" t="str">
        <f>IF(I164="","",IFERROR(VLOOKUP(I164,Base_Datos!$D$2:$E$72,2,0),""))</f>
        <v>(1.5L)</v>
      </c>
      <c r="K164" s="3"/>
      <c r="L164" s="3"/>
      <c r="M164" s="7">
        <v>2</v>
      </c>
      <c r="N164" s="7">
        <v>0</v>
      </c>
    </row>
    <row r="165" spans="1:14" ht="14.25" x14ac:dyDescent="0.2">
      <c r="A165" s="3">
        <v>66005</v>
      </c>
      <c r="B165" s="3" t="s">
        <v>1965</v>
      </c>
      <c r="C165" s="3" t="s">
        <v>16</v>
      </c>
      <c r="D165" s="6" t="s">
        <v>1206</v>
      </c>
      <c r="E165" s="6" t="s">
        <v>1782</v>
      </c>
      <c r="F165" s="3" t="str">
        <f>IFERROR( VLOOKUP(A165,#REF!,2,0),"")</f>
        <v/>
      </c>
      <c r="G165" s="3" t="str">
        <f t="array" ref="G165">_xlfn.XLOOKUP(I165,Base_Datos!D:D,Base_Datos!B:B,"")</f>
        <v>GAC</v>
      </c>
      <c r="H165" s="3" t="str">
        <f t="array" ref="H165">IF(I165="","",IFERROR(_xlfn.XLOOKUP(I165,Base_Datos!$D$2:$D3876,Base_Datos!$C$2:$C3876),""))</f>
        <v>Serie Emzoom</v>
      </c>
      <c r="I165" s="3" t="s">
        <v>1203</v>
      </c>
      <c r="J165" s="3" t="str">
        <f>IF(I165="","",IFERROR(VLOOKUP(I165,Base_Datos!$D$2:$E$72,2,0),""))</f>
        <v>(1.5L)</v>
      </c>
      <c r="K165" s="3"/>
      <c r="L165" s="3"/>
      <c r="M165" s="7">
        <v>20</v>
      </c>
      <c r="N165" s="7">
        <v>0</v>
      </c>
    </row>
    <row r="166" spans="1:14" ht="14.25" x14ac:dyDescent="0.2">
      <c r="A166" s="3">
        <v>66006</v>
      </c>
      <c r="B166" s="3" t="s">
        <v>1966</v>
      </c>
      <c r="C166" s="3" t="s">
        <v>16</v>
      </c>
      <c r="D166" s="6" t="s">
        <v>1207</v>
      </c>
      <c r="E166" s="6" t="s">
        <v>1782</v>
      </c>
      <c r="F166" s="3" t="str">
        <f>IFERROR( VLOOKUP(A166,#REF!,2,0),"")</f>
        <v/>
      </c>
      <c r="G166" s="3" t="str">
        <f t="array" ref="G166">_xlfn.XLOOKUP(I166,Base_Datos!D:D,Base_Datos!B:B,"")</f>
        <v>GAC</v>
      </c>
      <c r="H166" s="3" t="str">
        <f t="array" ref="H166">IF(I166="","",IFERROR(_xlfn.XLOOKUP(I166,Base_Datos!$D$2:$D3876,Base_Datos!$C$2:$C3876),""))</f>
        <v>Serie Emzoom</v>
      </c>
      <c r="I166" s="3" t="s">
        <v>1203</v>
      </c>
      <c r="J166" s="3" t="str">
        <f>IF(I166="","",IFERROR(VLOOKUP(I166,Base_Datos!$D$2:$E$72,2,0),""))</f>
        <v>(1.5L)</v>
      </c>
      <c r="K166" s="3"/>
      <c r="L166" s="3"/>
      <c r="M166" s="7">
        <v>7</v>
      </c>
      <c r="N166" s="7">
        <v>0</v>
      </c>
    </row>
    <row r="167" spans="1:14" ht="14.25" x14ac:dyDescent="0.2">
      <c r="A167" s="3">
        <v>66007</v>
      </c>
      <c r="B167" s="3" t="s">
        <v>1967</v>
      </c>
      <c r="C167" s="3" t="s">
        <v>16</v>
      </c>
      <c r="D167" s="6" t="s">
        <v>1208</v>
      </c>
      <c r="E167" s="6" t="s">
        <v>1782</v>
      </c>
      <c r="F167" s="3" t="str">
        <f>IFERROR( VLOOKUP(A167,#REF!,2,0),"")</f>
        <v/>
      </c>
      <c r="G167" s="3" t="str">
        <f t="array" ref="G167">_xlfn.XLOOKUP(I167,Base_Datos!D:D,Base_Datos!B:B,"")</f>
        <v>GAC</v>
      </c>
      <c r="H167" s="3" t="str">
        <f t="array" ref="H167">IF(I167="","",IFERROR(_xlfn.XLOOKUP(I167,Base_Datos!$D$2:$D3876,Base_Datos!$C$2:$C3876),""))</f>
        <v>Serie Emzoom</v>
      </c>
      <c r="I167" s="3" t="s">
        <v>1203</v>
      </c>
      <c r="J167" s="3" t="str">
        <f>IF(I167="","",IFERROR(VLOOKUP(I167,Base_Datos!$D$2:$E$72,2,0),""))</f>
        <v>(1.5L)</v>
      </c>
      <c r="K167" s="3"/>
      <c r="L167" s="3"/>
      <c r="M167" s="7">
        <v>20</v>
      </c>
      <c r="N167" s="7">
        <v>0</v>
      </c>
    </row>
    <row r="168" spans="1:14" ht="14.25" x14ac:dyDescent="0.2">
      <c r="A168" s="3">
        <v>66008</v>
      </c>
      <c r="B168" s="3" t="s">
        <v>1968</v>
      </c>
      <c r="C168" s="3" t="s">
        <v>16</v>
      </c>
      <c r="D168" s="6" t="s">
        <v>1209</v>
      </c>
      <c r="E168" s="6" t="s">
        <v>1782</v>
      </c>
      <c r="F168" s="3" t="str">
        <f>IFERROR( VLOOKUP(A168,#REF!,2,0),"")</f>
        <v/>
      </c>
      <c r="G168" s="3" t="str">
        <f t="array" ref="G168">_xlfn.XLOOKUP(I168,Base_Datos!D:D,Base_Datos!B:B,"")</f>
        <v>GAC</v>
      </c>
      <c r="H168" s="3" t="str">
        <f t="array" ref="H168">IF(I168="","",IFERROR(_xlfn.XLOOKUP(I168,Base_Datos!$D$2:$D3876,Base_Datos!$C$2:$C3876),""))</f>
        <v>Serie Emzoom</v>
      </c>
      <c r="I168" s="3" t="s">
        <v>1203</v>
      </c>
      <c r="J168" s="3" t="str">
        <f>IF(I168="","",IFERROR(VLOOKUP(I168,Base_Datos!$D$2:$E$72,2,0),""))</f>
        <v>(1.5L)</v>
      </c>
      <c r="K168" s="3"/>
      <c r="L168" s="3"/>
      <c r="M168" s="7">
        <v>2</v>
      </c>
      <c r="N168" s="7">
        <v>0</v>
      </c>
    </row>
    <row r="169" spans="1:14" ht="14.25" x14ac:dyDescent="0.2">
      <c r="A169" s="3">
        <v>66009</v>
      </c>
      <c r="B169" s="3" t="s">
        <v>1969</v>
      </c>
      <c r="C169" s="3" t="s">
        <v>16</v>
      </c>
      <c r="D169" s="6" t="s">
        <v>1210</v>
      </c>
      <c r="E169" s="6" t="s">
        <v>1782</v>
      </c>
      <c r="F169" s="3" t="str">
        <f>IFERROR( VLOOKUP(A169,#REF!,2,0),"")</f>
        <v/>
      </c>
      <c r="G169" s="3" t="str">
        <f t="array" ref="G169">_xlfn.XLOOKUP(I169,Base_Datos!D:D,Base_Datos!B:B,"")</f>
        <v>GAC</v>
      </c>
      <c r="H169" s="3" t="str">
        <f t="array" ref="H169">IF(I169="","",IFERROR(_xlfn.XLOOKUP(I169,Base_Datos!$D$2:$D3876,Base_Datos!$C$2:$C3876),""))</f>
        <v>Serie Emzoom</v>
      </c>
      <c r="I169" s="3" t="s">
        <v>1203</v>
      </c>
      <c r="J169" s="3" t="str">
        <f>IF(I169="","",IFERROR(VLOOKUP(I169,Base_Datos!$D$2:$E$72,2,0),""))</f>
        <v>(1.5L)</v>
      </c>
      <c r="K169" s="3"/>
      <c r="L169" s="3"/>
      <c r="M169" s="7">
        <v>6</v>
      </c>
      <c r="N169" s="7">
        <v>0</v>
      </c>
    </row>
    <row r="170" spans="1:14" ht="14.25" x14ac:dyDescent="0.2">
      <c r="A170" s="3">
        <v>66010</v>
      </c>
      <c r="B170" s="3" t="s">
        <v>1970</v>
      </c>
      <c r="C170" s="3" t="s">
        <v>16</v>
      </c>
      <c r="D170" s="6" t="s">
        <v>1211</v>
      </c>
      <c r="E170" s="6" t="s">
        <v>1782</v>
      </c>
      <c r="F170" s="3" t="str">
        <f>IFERROR( VLOOKUP(A170,#REF!,2,0),"")</f>
        <v/>
      </c>
      <c r="G170" s="3" t="str">
        <f t="array" ref="G170">_xlfn.XLOOKUP(I170,Base_Datos!D:D,Base_Datos!B:B,"")</f>
        <v>GAC</v>
      </c>
      <c r="H170" s="3" t="str">
        <f t="array" ref="H170">IF(I170="","",IFERROR(_xlfn.XLOOKUP(I170,Base_Datos!$D$2:$D3876,Base_Datos!$C$2:$C3876),""))</f>
        <v>Serie Emzoom</v>
      </c>
      <c r="I170" s="3" t="s">
        <v>1203</v>
      </c>
      <c r="J170" s="3" t="str">
        <f>IF(I170="","",IFERROR(VLOOKUP(I170,Base_Datos!$D$2:$E$72,2,0),""))</f>
        <v>(1.5L)</v>
      </c>
      <c r="K170" s="3"/>
      <c r="L170" s="3"/>
      <c r="M170" s="7">
        <v>8</v>
      </c>
      <c r="N170" s="7">
        <v>0</v>
      </c>
    </row>
    <row r="171" spans="1:14" ht="14.25" x14ac:dyDescent="0.2">
      <c r="A171" s="3">
        <v>66011</v>
      </c>
      <c r="B171" s="3" t="s">
        <v>1971</v>
      </c>
      <c r="C171" s="3" t="s">
        <v>16</v>
      </c>
      <c r="D171" s="6" t="s">
        <v>1212</v>
      </c>
      <c r="E171" s="6" t="s">
        <v>1212</v>
      </c>
      <c r="F171" s="3" t="str">
        <f>IFERROR( VLOOKUP(A171,#REF!,2,0),"")</f>
        <v/>
      </c>
      <c r="G171" s="3" t="str">
        <f t="array" ref="G171">_xlfn.XLOOKUP(I171,Base_Datos!D:D,Base_Datos!B:B,"")</f>
        <v>GAC</v>
      </c>
      <c r="H171" s="3" t="str">
        <f t="array" ref="H171">IF(I171="","",IFERROR(_xlfn.XLOOKUP(I171,Base_Datos!$D$2:$D3876,Base_Datos!$C$2:$C3876),""))</f>
        <v>Serie Emzoom</v>
      </c>
      <c r="I171" s="3" t="s">
        <v>1203</v>
      </c>
      <c r="J171" s="3" t="str">
        <f>IF(I171="","",IFERROR(VLOOKUP(I171,Base_Datos!$D$2:$E$72,2,0),""))</f>
        <v>(1.5L)</v>
      </c>
      <c r="K171" s="3"/>
      <c r="L171" s="3"/>
      <c r="M171" s="7">
        <v>9</v>
      </c>
      <c r="N171" s="7">
        <v>0</v>
      </c>
    </row>
    <row r="172" spans="1:14" ht="14.25" x14ac:dyDescent="0.2">
      <c r="A172" s="3">
        <v>66012</v>
      </c>
      <c r="B172" s="3" t="s">
        <v>1972</v>
      </c>
      <c r="C172" s="3" t="s">
        <v>16</v>
      </c>
      <c r="D172" s="6" t="s">
        <v>1213</v>
      </c>
      <c r="E172" s="6" t="s">
        <v>1782</v>
      </c>
      <c r="F172" s="3" t="str">
        <f>IFERROR( VLOOKUP(A172,#REF!,2,0),"")</f>
        <v/>
      </c>
      <c r="G172" s="3" t="str">
        <f t="array" ref="G172">_xlfn.XLOOKUP(I172,Base_Datos!D:D,Base_Datos!B:B,"")</f>
        <v>GAC</v>
      </c>
      <c r="H172" s="3" t="str">
        <f t="array" ref="H172">IF(I172="","",IFERROR(_xlfn.XLOOKUP(I172,Base_Datos!$D$2:$D3876,Base_Datos!$C$2:$C3876),""))</f>
        <v>Serie Emzoom</v>
      </c>
      <c r="I172" s="3" t="s">
        <v>1203</v>
      </c>
      <c r="J172" s="3" t="str">
        <f>IF(I172="","",IFERROR(VLOOKUP(I172,Base_Datos!$D$2:$E$72,2,0),""))</f>
        <v>(1.5L)</v>
      </c>
      <c r="K172" s="3"/>
      <c r="L172" s="3"/>
      <c r="M172" s="7">
        <v>10</v>
      </c>
      <c r="N172" s="7">
        <v>0</v>
      </c>
    </row>
    <row r="173" spans="1:14" ht="14.25" x14ac:dyDescent="0.2">
      <c r="A173" s="3">
        <v>66013</v>
      </c>
      <c r="B173" s="3" t="s">
        <v>1973</v>
      </c>
      <c r="C173" s="3" t="s">
        <v>16</v>
      </c>
      <c r="D173" s="6" t="s">
        <v>1214</v>
      </c>
      <c r="E173" s="6" t="s">
        <v>1782</v>
      </c>
      <c r="F173" s="3" t="str">
        <f>IFERROR( VLOOKUP(A173,#REF!,2,0),"")</f>
        <v/>
      </c>
      <c r="G173" s="3" t="str">
        <f t="array" ref="G173">_xlfn.XLOOKUP(I173,Base_Datos!D:D,Base_Datos!B:B,"")</f>
        <v>GAC</v>
      </c>
      <c r="H173" s="3" t="str">
        <f t="array" ref="H173">IF(I173="","",IFERROR(_xlfn.XLOOKUP(I173,Base_Datos!$D$2:$D3876,Base_Datos!$C$2:$C3876),""))</f>
        <v>Serie Emzoom</v>
      </c>
      <c r="I173" s="3" t="s">
        <v>1203</v>
      </c>
      <c r="J173" s="3" t="str">
        <f>IF(I173="","",IFERROR(VLOOKUP(I173,Base_Datos!$D$2:$E$72,2,0),""))</f>
        <v>(1.5L)</v>
      </c>
      <c r="K173" s="3"/>
      <c r="L173" s="3"/>
      <c r="M173" s="7">
        <v>10</v>
      </c>
      <c r="N173" s="7">
        <v>0</v>
      </c>
    </row>
    <row r="174" spans="1:14" ht="14.25" x14ac:dyDescent="0.2">
      <c r="A174" s="3">
        <v>66014</v>
      </c>
      <c r="B174" s="3" t="s">
        <v>1974</v>
      </c>
      <c r="C174" s="3" t="s">
        <v>16</v>
      </c>
      <c r="D174" s="6" t="s">
        <v>1215</v>
      </c>
      <c r="E174" s="6" t="s">
        <v>1215</v>
      </c>
      <c r="F174" s="3" t="str">
        <f>IFERROR( VLOOKUP(A174,#REF!,2,0),"")</f>
        <v/>
      </c>
      <c r="G174" s="3" t="str">
        <f t="array" ref="G174">_xlfn.XLOOKUP(I174,Base_Datos!D:D,Base_Datos!B:B,"")</f>
        <v>GAC</v>
      </c>
      <c r="H174" s="3" t="str">
        <f t="array" ref="H174">IF(I174="","",IFERROR(_xlfn.XLOOKUP(I174,Base_Datos!$D$2:$D3876,Base_Datos!$C$2:$C3876),""))</f>
        <v>Serie Emzoom</v>
      </c>
      <c r="I174" s="3" t="s">
        <v>1203</v>
      </c>
      <c r="J174" s="3" t="str">
        <f>IF(I174="","",IFERROR(VLOOKUP(I174,Base_Datos!$D$2:$E$72,2,0),""))</f>
        <v>(1.5L)</v>
      </c>
      <c r="K174" s="3"/>
      <c r="L174" s="3"/>
      <c r="M174" s="7">
        <v>5</v>
      </c>
      <c r="N174" s="7">
        <v>0</v>
      </c>
    </row>
    <row r="175" spans="1:14" ht="14.25" x14ac:dyDescent="0.2">
      <c r="A175" s="3">
        <v>66015</v>
      </c>
      <c r="B175" s="3" t="s">
        <v>1975</v>
      </c>
      <c r="C175" s="3" t="s">
        <v>16</v>
      </c>
      <c r="D175" s="6" t="s">
        <v>1216</v>
      </c>
      <c r="E175" s="6" t="s">
        <v>1782</v>
      </c>
      <c r="F175" s="3" t="str">
        <f>IFERROR( VLOOKUP(A175,#REF!,2,0),"")</f>
        <v/>
      </c>
      <c r="G175" s="3" t="str">
        <f t="array" ref="G175">_xlfn.XLOOKUP(I175,Base_Datos!D:D,Base_Datos!B:B,"")</f>
        <v>GAC</v>
      </c>
      <c r="H175" s="3" t="str">
        <f t="array" ref="H175">IF(I175="","",IFERROR(_xlfn.XLOOKUP(I175,Base_Datos!$D$2:$D3876,Base_Datos!$C$2:$C3876),""))</f>
        <v>Serie Emzoom</v>
      </c>
      <c r="I175" s="3" t="s">
        <v>1203</v>
      </c>
      <c r="J175" s="3" t="str">
        <f>IF(I175="","",IFERROR(VLOOKUP(I175,Base_Datos!$D$2:$E$72,2,0),""))</f>
        <v>(1.5L)</v>
      </c>
      <c r="K175" s="3"/>
      <c r="L175" s="3"/>
      <c r="M175" s="7">
        <v>10</v>
      </c>
      <c r="N175" s="7">
        <v>0</v>
      </c>
    </row>
    <row r="176" spans="1:14" ht="14.25" x14ac:dyDescent="0.2">
      <c r="A176" s="3">
        <v>66016</v>
      </c>
      <c r="B176" s="3" t="s">
        <v>1976</v>
      </c>
      <c r="C176" s="3" t="s">
        <v>16</v>
      </c>
      <c r="D176" s="6" t="s">
        <v>1217</v>
      </c>
      <c r="E176" s="6" t="s">
        <v>1782</v>
      </c>
      <c r="F176" s="3" t="str">
        <f>IFERROR( VLOOKUP(A176,#REF!,2,0),"")</f>
        <v/>
      </c>
      <c r="G176" s="3" t="str">
        <f t="array" ref="G176">_xlfn.XLOOKUP(I176,Base_Datos!D:D,Base_Datos!B:B,"")</f>
        <v>GAC</v>
      </c>
      <c r="H176" s="3" t="str">
        <f t="array" ref="H176">IF(I176="","",IFERROR(_xlfn.XLOOKUP(I176,Base_Datos!$D$2:$D3876,Base_Datos!$C$2:$C3876),""))</f>
        <v>Serie Emzoom</v>
      </c>
      <c r="I176" s="3" t="s">
        <v>1203</v>
      </c>
      <c r="J176" s="3" t="str">
        <f>IF(I176="","",IFERROR(VLOOKUP(I176,Base_Datos!$D$2:$E$72,2,0),""))</f>
        <v>(1.5L)</v>
      </c>
      <c r="K176" s="3"/>
      <c r="L176" s="3"/>
      <c r="M176" s="7">
        <v>5</v>
      </c>
      <c r="N176" s="7">
        <v>0</v>
      </c>
    </row>
    <row r="177" spans="1:14" ht="14.25" x14ac:dyDescent="0.2">
      <c r="A177" s="3">
        <v>66017</v>
      </c>
      <c r="B177" s="3" t="s">
        <v>1977</v>
      </c>
      <c r="C177" s="3" t="s">
        <v>16</v>
      </c>
      <c r="D177" s="6" t="s">
        <v>1218</v>
      </c>
      <c r="E177" s="6" t="s">
        <v>1782</v>
      </c>
      <c r="F177" s="3" t="str">
        <f>IFERROR( VLOOKUP(A177,#REF!,2,0),"")</f>
        <v/>
      </c>
      <c r="G177" s="3" t="str">
        <f t="array" ref="G177">_xlfn.XLOOKUP(I177,Base_Datos!D:D,Base_Datos!B:B,"")</f>
        <v>GAC</v>
      </c>
      <c r="H177" s="3" t="str">
        <f t="array" ref="H177">IF(I177="","",IFERROR(_xlfn.XLOOKUP(I177,Base_Datos!$D$2:$D3876,Base_Datos!$C$2:$C3876),""))</f>
        <v>Serie Emzoom</v>
      </c>
      <c r="I177" s="3" t="s">
        <v>1203</v>
      </c>
      <c r="J177" s="3" t="str">
        <f>IF(I177="","",IFERROR(VLOOKUP(I177,Base_Datos!$D$2:$E$72,2,0),""))</f>
        <v>(1.5L)</v>
      </c>
      <c r="K177" s="3"/>
      <c r="L177" s="3"/>
      <c r="M177" s="7">
        <v>6</v>
      </c>
      <c r="N177" s="7">
        <v>0</v>
      </c>
    </row>
    <row r="178" spans="1:14" ht="14.25" x14ac:dyDescent="0.2">
      <c r="A178" s="3">
        <v>66018</v>
      </c>
      <c r="B178" s="3" t="s">
        <v>1978</v>
      </c>
      <c r="C178" s="3" t="s">
        <v>16</v>
      </c>
      <c r="D178" s="6" t="s">
        <v>1219</v>
      </c>
      <c r="E178" s="6" t="s">
        <v>1219</v>
      </c>
      <c r="F178" s="3" t="str">
        <f>IFERROR( VLOOKUP(A178,#REF!,2,0),"")</f>
        <v/>
      </c>
      <c r="G178" s="3" t="str">
        <f t="array" ref="G178">_xlfn.XLOOKUP(I178,Base_Datos!D:D,Base_Datos!B:B,"")</f>
        <v>GAC</v>
      </c>
      <c r="H178" s="3" t="str">
        <f t="array" ref="H178">IF(I178="","",IFERROR(_xlfn.XLOOKUP(I178,Base_Datos!$D$2:$D3876,Base_Datos!$C$2:$C3876),""))</f>
        <v>Serie Emzoom</v>
      </c>
      <c r="I178" s="3" t="s">
        <v>1203</v>
      </c>
      <c r="J178" s="3" t="str">
        <f>IF(I178="","",IFERROR(VLOOKUP(I178,Base_Datos!$D$2:$E$72,2,0),""))</f>
        <v>(1.5L)</v>
      </c>
      <c r="K178" s="3"/>
      <c r="L178" s="3"/>
      <c r="M178" s="7">
        <v>6</v>
      </c>
      <c r="N178" s="7">
        <v>0</v>
      </c>
    </row>
    <row r="179" spans="1:14" ht="14.25" x14ac:dyDescent="0.2">
      <c r="A179" s="3">
        <v>66019</v>
      </c>
      <c r="B179" s="3" t="s">
        <v>1979</v>
      </c>
      <c r="C179" s="3" t="s">
        <v>16</v>
      </c>
      <c r="D179" s="6" t="s">
        <v>1220</v>
      </c>
      <c r="E179" s="6" t="s">
        <v>1782</v>
      </c>
      <c r="F179" s="3" t="str">
        <f>IFERROR( VLOOKUP(A179,#REF!,2,0),"")</f>
        <v/>
      </c>
      <c r="G179" s="3" t="str">
        <f t="array" ref="G179">_xlfn.XLOOKUP(I179,Base_Datos!D:D,Base_Datos!B:B,"")</f>
        <v>GAC</v>
      </c>
      <c r="H179" s="3" t="str">
        <f t="array" ref="H179">IF(I179="","",IFERROR(_xlfn.XLOOKUP(I179,Base_Datos!$D$2:$D3876,Base_Datos!$C$2:$C3876),""))</f>
        <v>Serie Emzoom</v>
      </c>
      <c r="I179" s="3" t="s">
        <v>1203</v>
      </c>
      <c r="J179" s="3" t="str">
        <f>IF(I179="","",IFERROR(VLOOKUP(I179,Base_Datos!$D$2:$E$72,2,0),""))</f>
        <v>(1.5L)</v>
      </c>
      <c r="K179" s="3"/>
      <c r="L179" s="3"/>
      <c r="M179" s="7">
        <v>9</v>
      </c>
      <c r="N179" s="7">
        <v>0</v>
      </c>
    </row>
    <row r="180" spans="1:14" ht="14.25" x14ac:dyDescent="0.2">
      <c r="A180" s="3">
        <v>66020</v>
      </c>
      <c r="B180" s="3" t="s">
        <v>1980</v>
      </c>
      <c r="C180" s="3" t="s">
        <v>16</v>
      </c>
      <c r="D180" s="6" t="s">
        <v>1221</v>
      </c>
      <c r="E180" s="6" t="s">
        <v>1782</v>
      </c>
      <c r="F180" s="3" t="str">
        <f>IFERROR( VLOOKUP(A180,#REF!,2,0),"")</f>
        <v/>
      </c>
      <c r="G180" s="3" t="str">
        <f t="array" ref="G180">_xlfn.XLOOKUP(I180,Base_Datos!D:D,Base_Datos!B:B,"")</f>
        <v>GAC</v>
      </c>
      <c r="H180" s="3" t="str">
        <f t="array" ref="H180">IF(I180="","",IFERROR(_xlfn.XLOOKUP(I180,Base_Datos!$D$2:$D3876,Base_Datos!$C$2:$C3876),""))</f>
        <v>Serie Emzoom</v>
      </c>
      <c r="I180" s="3" t="s">
        <v>1203</v>
      </c>
      <c r="J180" s="3" t="str">
        <f>IF(I180="","",IFERROR(VLOOKUP(I180,Base_Datos!$D$2:$E$72,2,0),""))</f>
        <v>(1.5L)</v>
      </c>
      <c r="K180" s="3"/>
      <c r="L180" s="3"/>
      <c r="M180" s="7">
        <v>8</v>
      </c>
      <c r="N180" s="7">
        <v>0</v>
      </c>
    </row>
    <row r="181" spans="1:14" ht="14.25" x14ac:dyDescent="0.2">
      <c r="A181" s="3">
        <v>66021</v>
      </c>
      <c r="B181" s="3" t="s">
        <v>1981</v>
      </c>
      <c r="C181" s="3" t="s">
        <v>16</v>
      </c>
      <c r="D181" s="6" t="s">
        <v>1222</v>
      </c>
      <c r="E181" s="6" t="s">
        <v>1782</v>
      </c>
      <c r="F181" s="3" t="str">
        <f>IFERROR( VLOOKUP(A181,#REF!,2,0),"")</f>
        <v/>
      </c>
      <c r="G181" s="3" t="str">
        <f t="array" ref="G181">_xlfn.XLOOKUP(I181,Base_Datos!D:D,Base_Datos!B:B,"")</f>
        <v>GAC</v>
      </c>
      <c r="H181" s="3" t="str">
        <f t="array" ref="H181">IF(I181="","",IFERROR(_xlfn.XLOOKUP(I181,Base_Datos!$D$2:$D3876,Base_Datos!$C$2:$C3876),""))</f>
        <v>Serie Emzoom</v>
      </c>
      <c r="I181" s="3" t="s">
        <v>1203</v>
      </c>
      <c r="J181" s="3" t="str">
        <f>IF(I181="","",IFERROR(VLOOKUP(I181,Base_Datos!$D$2:$E$72,2,0),""))</f>
        <v>(1.5L)</v>
      </c>
      <c r="K181" s="3"/>
      <c r="L181" s="3"/>
      <c r="M181" s="7">
        <v>9</v>
      </c>
      <c r="N181" s="7">
        <v>0</v>
      </c>
    </row>
    <row r="182" spans="1:14" ht="14.25" x14ac:dyDescent="0.2">
      <c r="A182" s="3">
        <v>66022</v>
      </c>
      <c r="B182" s="3" t="s">
        <v>1982</v>
      </c>
      <c r="C182" s="3" t="s">
        <v>16</v>
      </c>
      <c r="D182" s="6" t="s">
        <v>1223</v>
      </c>
      <c r="E182" s="6" t="s">
        <v>1782</v>
      </c>
      <c r="F182" s="3" t="str">
        <f>IFERROR( VLOOKUP(A182,#REF!,2,0),"")</f>
        <v/>
      </c>
      <c r="G182" s="3" t="str">
        <f t="array" ref="G182">_xlfn.XLOOKUP(I182,Base_Datos!D:D,Base_Datos!B:B,"")</f>
        <v>GAC</v>
      </c>
      <c r="H182" s="3" t="str">
        <f t="array" ref="H182">IF(I182="","",IFERROR(_xlfn.XLOOKUP(I182,Base_Datos!$D$2:$D3876,Base_Datos!$C$2:$C3876),""))</f>
        <v>Serie Emzoom</v>
      </c>
      <c r="I182" s="3" t="s">
        <v>1203</v>
      </c>
      <c r="J182" s="3" t="str">
        <f>IF(I182="","",IFERROR(VLOOKUP(I182,Base_Datos!$D$2:$E$72,2,0),""))</f>
        <v>(1.5L)</v>
      </c>
      <c r="K182" s="3"/>
      <c r="L182" s="3"/>
      <c r="M182" s="7">
        <v>7</v>
      </c>
      <c r="N182" s="7">
        <v>0</v>
      </c>
    </row>
    <row r="183" spans="1:14" ht="14.25" x14ac:dyDescent="0.2">
      <c r="A183" s="3">
        <v>66023</v>
      </c>
      <c r="B183" s="3" t="s">
        <v>1983</v>
      </c>
      <c r="C183" s="3" t="s">
        <v>16</v>
      </c>
      <c r="D183" s="6" t="s">
        <v>1224</v>
      </c>
      <c r="E183" s="6" t="s">
        <v>1782</v>
      </c>
      <c r="F183" s="3" t="str">
        <f>IFERROR( VLOOKUP(A183,#REF!,2,0),"")</f>
        <v/>
      </c>
      <c r="G183" s="3" t="str">
        <f t="array" ref="G183">_xlfn.XLOOKUP(I183,Base_Datos!D:D,Base_Datos!B:B,"")</f>
        <v>GAC</v>
      </c>
      <c r="H183" s="3" t="str">
        <f t="array" ref="H183">IF(I183="","",IFERROR(_xlfn.XLOOKUP(I183,Base_Datos!$D$2:$D3876,Base_Datos!$C$2:$C3876),""))</f>
        <v>Serie Emzoom</v>
      </c>
      <c r="I183" s="3" t="s">
        <v>1203</v>
      </c>
      <c r="J183" s="3" t="str">
        <f>IF(I183="","",IFERROR(VLOOKUP(I183,Base_Datos!$D$2:$E$72,2,0),""))</f>
        <v>(1.5L)</v>
      </c>
      <c r="K183" s="3"/>
      <c r="L183" s="3"/>
      <c r="M183" s="7">
        <v>9</v>
      </c>
      <c r="N183" s="7">
        <v>0</v>
      </c>
    </row>
    <row r="184" spans="1:14" ht="14.25" x14ac:dyDescent="0.2">
      <c r="A184" s="3">
        <v>66024</v>
      </c>
      <c r="B184" s="3" t="s">
        <v>1984</v>
      </c>
      <c r="C184" s="3" t="s">
        <v>16</v>
      </c>
      <c r="D184" s="6" t="s">
        <v>1225</v>
      </c>
      <c r="E184" s="6" t="s">
        <v>1782</v>
      </c>
      <c r="F184" s="3" t="str">
        <f>IFERROR( VLOOKUP(A184,#REF!,2,0),"")</f>
        <v/>
      </c>
      <c r="G184" s="3" t="str">
        <f t="array" ref="G184">_xlfn.XLOOKUP(I184,Base_Datos!D:D,Base_Datos!B:B,"")</f>
        <v>GAC</v>
      </c>
      <c r="H184" s="3" t="str">
        <f t="array" ref="H184">IF(I184="","",IFERROR(_xlfn.XLOOKUP(I184,Base_Datos!$D$2:$D3876,Base_Datos!$C$2:$C3876),""))</f>
        <v>Serie Emzoom</v>
      </c>
      <c r="I184" s="3" t="s">
        <v>1203</v>
      </c>
      <c r="J184" s="3" t="str">
        <f>IF(I184="","",IFERROR(VLOOKUP(I184,Base_Datos!$D$2:$E$72,2,0),""))</f>
        <v>(1.5L)</v>
      </c>
      <c r="K184" s="3"/>
      <c r="L184" s="3"/>
      <c r="M184" s="7">
        <v>8</v>
      </c>
      <c r="N184" s="7">
        <v>0</v>
      </c>
    </row>
    <row r="185" spans="1:14" ht="14.25" x14ac:dyDescent="0.2">
      <c r="A185" s="3">
        <v>66025</v>
      </c>
      <c r="B185" s="3" t="s">
        <v>1985</v>
      </c>
      <c r="C185" s="3" t="s">
        <v>16</v>
      </c>
      <c r="D185" s="6" t="s">
        <v>1226</v>
      </c>
      <c r="E185" s="6" t="s">
        <v>1782</v>
      </c>
      <c r="F185" s="3" t="str">
        <f>IFERROR( VLOOKUP(A185,#REF!,2,0),"")</f>
        <v/>
      </c>
      <c r="G185" s="3" t="str">
        <f t="array" ref="G185">_xlfn.XLOOKUP(I185,Base_Datos!D:D,Base_Datos!B:B,"")</f>
        <v>GAC</v>
      </c>
      <c r="H185" s="3" t="str">
        <f t="array" ref="H185">IF(I185="","",IFERROR(_xlfn.XLOOKUP(I185,Base_Datos!$D$2:$D3876,Base_Datos!$C$2:$C3876),""))</f>
        <v>Serie Emzoom</v>
      </c>
      <c r="I185" s="3" t="s">
        <v>1203</v>
      </c>
      <c r="J185" s="3" t="str">
        <f>IF(I185="","",IFERROR(VLOOKUP(I185,Base_Datos!$D$2:$E$72,2,0),""))</f>
        <v>(1.5L)</v>
      </c>
      <c r="K185" s="3"/>
      <c r="L185" s="3"/>
      <c r="M185" s="7">
        <v>9</v>
      </c>
      <c r="N185" s="7">
        <v>0</v>
      </c>
    </row>
    <row r="186" spans="1:14" ht="14.25" x14ac:dyDescent="0.2">
      <c r="A186" s="3">
        <v>66026</v>
      </c>
      <c r="B186" s="3" t="s">
        <v>1986</v>
      </c>
      <c r="C186" s="3" t="s">
        <v>16</v>
      </c>
      <c r="D186" s="6" t="s">
        <v>1227</v>
      </c>
      <c r="E186" s="6" t="s">
        <v>1782</v>
      </c>
      <c r="F186" s="3" t="str">
        <f>IFERROR( VLOOKUP(A186,#REF!,2,0),"")</f>
        <v/>
      </c>
      <c r="G186" s="3" t="str">
        <f t="array" ref="G186">_xlfn.XLOOKUP(I186,Base_Datos!D:D,Base_Datos!B:B,"")</f>
        <v>GAC</v>
      </c>
      <c r="H186" s="3" t="str">
        <f t="array" ref="H186">IF(I186="","",IFERROR(_xlfn.XLOOKUP(I186,Base_Datos!$D$2:$D3876,Base_Datos!$C$2:$C3876),""))</f>
        <v>Serie Emzoom</v>
      </c>
      <c r="I186" s="3" t="s">
        <v>1203</v>
      </c>
      <c r="J186" s="3" t="str">
        <f>IF(I186="","",IFERROR(VLOOKUP(I186,Base_Datos!$D$2:$E$72,2,0),""))</f>
        <v>(1.5L)</v>
      </c>
      <c r="K186" s="3"/>
      <c r="L186" s="3"/>
      <c r="M186" s="7">
        <v>9</v>
      </c>
      <c r="N186" s="7">
        <v>0</v>
      </c>
    </row>
    <row r="187" spans="1:14" ht="14.25" x14ac:dyDescent="0.2">
      <c r="A187" s="3">
        <v>66027</v>
      </c>
      <c r="B187" s="3" t="s">
        <v>1987</v>
      </c>
      <c r="C187" s="3" t="s">
        <v>16</v>
      </c>
      <c r="D187" s="6" t="s">
        <v>1228</v>
      </c>
      <c r="E187" s="6" t="s">
        <v>1782</v>
      </c>
      <c r="F187" s="3" t="str">
        <f>IFERROR( VLOOKUP(A187,#REF!,2,0),"")</f>
        <v/>
      </c>
      <c r="G187" s="3" t="str">
        <f t="array" ref="G187">_xlfn.XLOOKUP(I187,Base_Datos!D:D,Base_Datos!B:B,"")</f>
        <v>GAC</v>
      </c>
      <c r="H187" s="3" t="str">
        <f t="array" ref="H187">IF(I187="","",IFERROR(_xlfn.XLOOKUP(I187,Base_Datos!$D$2:$D3876,Base_Datos!$C$2:$C3876),""))</f>
        <v>Serie Emzoom</v>
      </c>
      <c r="I187" s="3" t="s">
        <v>1203</v>
      </c>
      <c r="J187" s="3" t="str">
        <f>IF(I187="","",IFERROR(VLOOKUP(I187,Base_Datos!$D$2:$E$72,2,0),""))</f>
        <v>(1.5L)</v>
      </c>
      <c r="K187" s="3"/>
      <c r="L187" s="3"/>
      <c r="M187" s="7">
        <v>9</v>
      </c>
      <c r="N187" s="7">
        <v>0</v>
      </c>
    </row>
    <row r="188" spans="1:14" ht="14.25" x14ac:dyDescent="0.2">
      <c r="A188" s="3">
        <v>66028</v>
      </c>
      <c r="B188" s="3" t="s">
        <v>1988</v>
      </c>
      <c r="C188" s="3" t="s">
        <v>16</v>
      </c>
      <c r="D188" s="6" t="s">
        <v>1229</v>
      </c>
      <c r="E188" s="6" t="s">
        <v>1782</v>
      </c>
      <c r="F188" s="3" t="str">
        <f>IFERROR( VLOOKUP(A188,#REF!,2,0),"")</f>
        <v/>
      </c>
      <c r="G188" s="3" t="str">
        <f t="array" ref="G188">_xlfn.XLOOKUP(I188,Base_Datos!D:D,Base_Datos!B:B,"")</f>
        <v>GAC</v>
      </c>
      <c r="H188" s="3" t="str">
        <f t="array" ref="H188">IF(I188="","",IFERROR(_xlfn.XLOOKUP(I188,Base_Datos!$D$2:$D3876,Base_Datos!$C$2:$C3876),""))</f>
        <v>Serie Emzoom</v>
      </c>
      <c r="I188" s="3" t="s">
        <v>1203</v>
      </c>
      <c r="J188" s="3" t="str">
        <f>IF(I188="","",IFERROR(VLOOKUP(I188,Base_Datos!$D$2:$E$72,2,0),""))</f>
        <v>(1.5L)</v>
      </c>
      <c r="K188" s="3"/>
      <c r="L188" s="3"/>
      <c r="M188" s="7">
        <v>8</v>
      </c>
      <c r="N188" s="7">
        <v>0</v>
      </c>
    </row>
    <row r="189" spans="1:14" ht="14.25" x14ac:dyDescent="0.2">
      <c r="A189" s="3">
        <v>66029</v>
      </c>
      <c r="B189" s="3" t="s">
        <v>1787</v>
      </c>
      <c r="C189" s="3" t="s">
        <v>16</v>
      </c>
      <c r="D189" s="6" t="s">
        <v>1230</v>
      </c>
      <c r="E189" s="6" t="s">
        <v>1782</v>
      </c>
      <c r="F189" s="3" t="str">
        <f>IFERROR( VLOOKUP(A189,#REF!,2,0),"")</f>
        <v/>
      </c>
      <c r="G189" s="3" t="str">
        <f t="array" ref="G189">_xlfn.XLOOKUP(I189,Base_Datos!D:D,Base_Datos!B:B,"")</f>
        <v>GAC</v>
      </c>
      <c r="H189" s="3" t="str">
        <f t="array" ref="H189">IF(I189="","",IFERROR(_xlfn.XLOOKUP(I189,Base_Datos!$D$2:$D3876,Base_Datos!$C$2:$C3876),""))</f>
        <v>Serie Emzoom</v>
      </c>
      <c r="I189" s="3" t="s">
        <v>1203</v>
      </c>
      <c r="J189" s="3" t="str">
        <f>IF(I189="","",IFERROR(VLOOKUP(I189,Base_Datos!$D$2:$E$72,2,0),""))</f>
        <v>(1.5L)</v>
      </c>
      <c r="K189" s="3"/>
      <c r="L189" s="3"/>
      <c r="M189" s="7">
        <v>11</v>
      </c>
      <c r="N189" s="7">
        <v>0</v>
      </c>
    </row>
    <row r="190" spans="1:14" ht="14.25" x14ac:dyDescent="0.2">
      <c r="A190" s="3">
        <v>66030</v>
      </c>
      <c r="B190" s="3" t="s">
        <v>1989</v>
      </c>
      <c r="C190" s="3" t="s">
        <v>16</v>
      </c>
      <c r="D190" s="6" t="s">
        <v>1231</v>
      </c>
      <c r="E190" s="6" t="s">
        <v>1782</v>
      </c>
      <c r="F190" s="3" t="str">
        <f>IFERROR( VLOOKUP(A190,#REF!,2,0),"")</f>
        <v/>
      </c>
      <c r="G190" s="3" t="str">
        <f t="array" ref="G190">_xlfn.XLOOKUP(I190,Base_Datos!D:D,Base_Datos!B:B,"")</f>
        <v>GAC</v>
      </c>
      <c r="H190" s="3" t="str">
        <f t="array" ref="H190">IF(I190="","",IFERROR(_xlfn.XLOOKUP(I190,Base_Datos!$D$2:$D3876,Base_Datos!$C$2:$C3876),""))</f>
        <v>Serie Emzoom</v>
      </c>
      <c r="I190" s="3" t="s">
        <v>1203</v>
      </c>
      <c r="J190" s="3" t="str">
        <f>IF(I190="","",IFERROR(VLOOKUP(I190,Base_Datos!$D$2:$E$72,2,0),""))</f>
        <v>(1.5L)</v>
      </c>
      <c r="K190" s="3"/>
      <c r="L190" s="3"/>
      <c r="M190" s="7">
        <v>5</v>
      </c>
      <c r="N190" s="7">
        <v>0</v>
      </c>
    </row>
    <row r="191" spans="1:14" ht="14.25" x14ac:dyDescent="0.2">
      <c r="A191" s="3">
        <v>66031</v>
      </c>
      <c r="B191" s="3" t="s">
        <v>1990</v>
      </c>
      <c r="C191" s="3" t="s">
        <v>16</v>
      </c>
      <c r="D191" s="6" t="s">
        <v>1232</v>
      </c>
      <c r="E191" s="6" t="s">
        <v>1782</v>
      </c>
      <c r="F191" s="3" t="str">
        <f>IFERROR( VLOOKUP(A191,#REF!,2,0),"")</f>
        <v/>
      </c>
      <c r="G191" s="3" t="str">
        <f t="array" ref="G191">_xlfn.XLOOKUP(I191,Base_Datos!D:D,Base_Datos!B:B,"")</f>
        <v>GAC</v>
      </c>
      <c r="H191" s="3" t="str">
        <f t="array" ref="H191">IF(I191="","",IFERROR(_xlfn.XLOOKUP(I191,Base_Datos!$D$2:$D3876,Base_Datos!$C$2:$C3876),""))</f>
        <v>Serie Emzoom</v>
      </c>
      <c r="I191" s="3" t="s">
        <v>1203</v>
      </c>
      <c r="J191" s="3" t="str">
        <f>IF(I191="","",IFERROR(VLOOKUP(I191,Base_Datos!$D$2:$E$72,2,0),""))</f>
        <v>(1.5L)</v>
      </c>
      <c r="K191" s="3"/>
      <c r="L191" s="3"/>
      <c r="M191" s="7">
        <v>5</v>
      </c>
      <c r="N191" s="7">
        <v>0</v>
      </c>
    </row>
    <row r="192" spans="1:14" ht="14.25" x14ac:dyDescent="0.2">
      <c r="A192" s="3">
        <v>66032</v>
      </c>
      <c r="B192" s="3" t="s">
        <v>1991</v>
      </c>
      <c r="C192" s="3" t="s">
        <v>16</v>
      </c>
      <c r="D192" s="6" t="s">
        <v>1233</v>
      </c>
      <c r="E192" s="6" t="s">
        <v>1782</v>
      </c>
      <c r="F192" s="3" t="str">
        <f>IFERROR( VLOOKUP(A192,#REF!,2,0),"")</f>
        <v/>
      </c>
      <c r="G192" s="3" t="str">
        <f t="array" ref="G192">_xlfn.XLOOKUP(I192,Base_Datos!D:D,Base_Datos!B:B,"")</f>
        <v>GAC</v>
      </c>
      <c r="H192" s="3" t="str">
        <f t="array" ref="H192">IF(I192="","",IFERROR(_xlfn.XLOOKUP(I192,Base_Datos!$D$2:$D3876,Base_Datos!$C$2:$C3876),""))</f>
        <v>Serie Emzoom</v>
      </c>
      <c r="I192" s="3" t="s">
        <v>1203</v>
      </c>
      <c r="J192" s="3" t="str">
        <f>IF(I192="","",IFERROR(VLOOKUP(I192,Base_Datos!$D$2:$E$72,2,0),""))</f>
        <v>(1.5L)</v>
      </c>
      <c r="K192" s="3"/>
      <c r="L192" s="3"/>
      <c r="M192" s="7">
        <v>6</v>
      </c>
      <c r="N192" s="7">
        <v>0</v>
      </c>
    </row>
    <row r="193" spans="1:14" ht="14.25" x14ac:dyDescent="0.2">
      <c r="A193" s="3">
        <v>66033</v>
      </c>
      <c r="B193" s="3" t="s">
        <v>1992</v>
      </c>
      <c r="C193" s="3" t="s">
        <v>16</v>
      </c>
      <c r="D193" s="6" t="s">
        <v>1234</v>
      </c>
      <c r="E193" s="6" t="s">
        <v>1782</v>
      </c>
      <c r="F193" s="3" t="str">
        <f>IFERROR( VLOOKUP(A193,#REF!,2,0),"")</f>
        <v/>
      </c>
      <c r="G193" s="3" t="str">
        <f t="array" ref="G193">_xlfn.XLOOKUP(I193,Base_Datos!D:D,Base_Datos!B:B,"")</f>
        <v>GAC</v>
      </c>
      <c r="H193" s="3" t="str">
        <f t="array" ref="H193">IF(I193="","",IFERROR(_xlfn.XLOOKUP(I193,Base_Datos!$D$2:$D3876,Base_Datos!$C$2:$C3876),""))</f>
        <v>Serie Emzoom</v>
      </c>
      <c r="I193" s="3" t="s">
        <v>1203</v>
      </c>
      <c r="J193" s="3" t="str">
        <f>IF(I193="","",IFERROR(VLOOKUP(I193,Base_Datos!$D$2:$E$72,2,0),""))</f>
        <v>(1.5L)</v>
      </c>
      <c r="K193" s="3"/>
      <c r="L193" s="3"/>
      <c r="M193" s="7">
        <v>5</v>
      </c>
      <c r="N193" s="7">
        <v>0</v>
      </c>
    </row>
    <row r="194" spans="1:14" ht="14.25" x14ac:dyDescent="0.2">
      <c r="A194" s="3">
        <v>66034</v>
      </c>
      <c r="B194" s="3" t="s">
        <v>1993</v>
      </c>
      <c r="C194" s="3" t="s">
        <v>16</v>
      </c>
      <c r="D194" s="6" t="s">
        <v>1235</v>
      </c>
      <c r="E194" s="6" t="s">
        <v>1782</v>
      </c>
      <c r="F194" s="3" t="str">
        <f>IFERROR( VLOOKUP(A194,#REF!,2,0),"")</f>
        <v/>
      </c>
      <c r="G194" s="3" t="str">
        <f t="array" ref="G194">_xlfn.XLOOKUP(I194,Base_Datos!D:D,Base_Datos!B:B,"")</f>
        <v>GAC</v>
      </c>
      <c r="H194" s="3" t="str">
        <f t="array" ref="H194">IF(I194="","",IFERROR(_xlfn.XLOOKUP(I194,Base_Datos!$D$2:$D3876,Base_Datos!$C$2:$C3876),""))</f>
        <v>Serie Emzoom</v>
      </c>
      <c r="I194" s="3" t="s">
        <v>1203</v>
      </c>
      <c r="J194" s="3" t="str">
        <f>IF(I194="","",IFERROR(VLOOKUP(I194,Base_Datos!$D$2:$E$72,2,0),""))</f>
        <v>(1.5L)</v>
      </c>
      <c r="K194" s="3"/>
      <c r="L194" s="3"/>
      <c r="M194" s="7">
        <v>6</v>
      </c>
      <c r="N194" s="7">
        <v>0</v>
      </c>
    </row>
    <row r="195" spans="1:14" ht="14.25" x14ac:dyDescent="0.2">
      <c r="A195" s="3">
        <v>66035</v>
      </c>
      <c r="B195" s="3" t="s">
        <v>1994</v>
      </c>
      <c r="C195" s="3" t="s">
        <v>16</v>
      </c>
      <c r="D195" s="6" t="s">
        <v>1236</v>
      </c>
      <c r="E195" s="6" t="s">
        <v>1782</v>
      </c>
      <c r="F195" s="3" t="str">
        <f>IFERROR( VLOOKUP(A195,#REF!,2,0),"")</f>
        <v/>
      </c>
      <c r="G195" s="3" t="str">
        <f t="array" ref="G195">_xlfn.XLOOKUP(I195,Base_Datos!D:D,Base_Datos!B:B,"")</f>
        <v>GAC</v>
      </c>
      <c r="H195" s="3" t="str">
        <f t="array" ref="H195">IF(I195="","",IFERROR(_xlfn.XLOOKUP(I195,Base_Datos!$D$2:$D3876,Base_Datos!$C$2:$C3876),""))</f>
        <v>Serie Emzoom</v>
      </c>
      <c r="I195" s="3" t="s">
        <v>1203</v>
      </c>
      <c r="J195" s="3" t="str">
        <f>IF(I195="","",IFERROR(VLOOKUP(I195,Base_Datos!$D$2:$E$72,2,0),""))</f>
        <v>(1.5L)</v>
      </c>
      <c r="K195" s="3"/>
      <c r="L195" s="3"/>
      <c r="M195" s="7">
        <v>5</v>
      </c>
      <c r="N195" s="7">
        <v>0</v>
      </c>
    </row>
    <row r="196" spans="1:14" ht="14.25" x14ac:dyDescent="0.2">
      <c r="A196" s="3">
        <v>66036</v>
      </c>
      <c r="B196" s="3" t="s">
        <v>1995</v>
      </c>
      <c r="C196" s="3" t="s">
        <v>16</v>
      </c>
      <c r="D196" s="6" t="s">
        <v>1237</v>
      </c>
      <c r="E196" s="6" t="s">
        <v>1782</v>
      </c>
      <c r="F196" s="3" t="str">
        <f>IFERROR( VLOOKUP(A196,#REF!,2,0),"")</f>
        <v/>
      </c>
      <c r="G196" s="3" t="str">
        <f t="array" ref="G196">_xlfn.XLOOKUP(I196,Base_Datos!D:D,Base_Datos!B:B,"")</f>
        <v>GAC</v>
      </c>
      <c r="H196" s="3" t="str">
        <f t="array" ref="H196">IF(I196="","",IFERROR(_xlfn.XLOOKUP(I196,Base_Datos!$D$2:$D3876,Base_Datos!$C$2:$C3876),""))</f>
        <v>Serie Emzoom</v>
      </c>
      <c r="I196" s="3" t="s">
        <v>1203</v>
      </c>
      <c r="J196" s="3" t="str">
        <f>IF(I196="","",IFERROR(VLOOKUP(I196,Base_Datos!$D$2:$E$72,2,0),""))</f>
        <v>(1.5L)</v>
      </c>
      <c r="K196" s="3"/>
      <c r="L196" s="3"/>
      <c r="M196" s="7">
        <v>3</v>
      </c>
      <c r="N196" s="7">
        <v>0</v>
      </c>
    </row>
    <row r="197" spans="1:14" ht="14.25" x14ac:dyDescent="0.2">
      <c r="A197" s="3">
        <v>66037</v>
      </c>
      <c r="B197" s="3" t="s">
        <v>1996</v>
      </c>
      <c r="C197" s="3" t="s">
        <v>16</v>
      </c>
      <c r="D197" s="6" t="s">
        <v>1238</v>
      </c>
      <c r="E197" s="6" t="s">
        <v>1782</v>
      </c>
      <c r="F197" s="3" t="str">
        <f>IFERROR( VLOOKUP(A197,#REF!,2,0),"")</f>
        <v/>
      </c>
      <c r="G197" s="3" t="str">
        <f t="array" ref="G197">_xlfn.XLOOKUP(I197,Base_Datos!D:D,Base_Datos!B:B,"")</f>
        <v>GAC</v>
      </c>
      <c r="H197" s="3" t="str">
        <f t="array" ref="H197">IF(I197="","",IFERROR(_xlfn.XLOOKUP(I197,Base_Datos!$D$2:$D3876,Base_Datos!$C$2:$C3876),""))</f>
        <v>Serie Emzoom</v>
      </c>
      <c r="I197" s="3" t="s">
        <v>1203</v>
      </c>
      <c r="J197" s="3" t="str">
        <f>IF(I197="","",IFERROR(VLOOKUP(I197,Base_Datos!$D$2:$E$72,2,0),""))</f>
        <v>(1.5L)</v>
      </c>
      <c r="K197" s="3"/>
      <c r="L197" s="3"/>
      <c r="M197" s="7">
        <v>3</v>
      </c>
      <c r="N197" s="7">
        <v>0</v>
      </c>
    </row>
    <row r="198" spans="1:14" ht="14.25" x14ac:dyDescent="0.2">
      <c r="A198" s="3">
        <v>66038</v>
      </c>
      <c r="B198" s="3" t="s">
        <v>1997</v>
      </c>
      <c r="C198" s="3" t="s">
        <v>16</v>
      </c>
      <c r="D198" s="6" t="s">
        <v>1239</v>
      </c>
      <c r="E198" s="6" t="s">
        <v>1782</v>
      </c>
      <c r="F198" s="3" t="str">
        <f>IFERROR( VLOOKUP(A198,#REF!,2,0),"")</f>
        <v/>
      </c>
      <c r="G198" s="3" t="str">
        <f t="array" ref="G198">_xlfn.XLOOKUP(I198,Base_Datos!D:D,Base_Datos!B:B,"")</f>
        <v>GAC</v>
      </c>
      <c r="H198" s="3" t="str">
        <f t="array" ref="H198">IF(I198="","",IFERROR(_xlfn.XLOOKUP(I198,Base_Datos!$D$2:$D3876,Base_Datos!$C$2:$C3876),""))</f>
        <v>Serie Emzoom</v>
      </c>
      <c r="I198" s="3" t="s">
        <v>1203</v>
      </c>
      <c r="J198" s="3" t="str">
        <f>IF(I198="","",IFERROR(VLOOKUP(I198,Base_Datos!$D$2:$E$72,2,0),""))</f>
        <v>(1.5L)</v>
      </c>
      <c r="K198" s="3"/>
      <c r="L198" s="3"/>
      <c r="M198" s="7">
        <v>3</v>
      </c>
      <c r="N198" s="7">
        <v>0</v>
      </c>
    </row>
    <row r="199" spans="1:14" ht="14.25" x14ac:dyDescent="0.2">
      <c r="A199" s="3">
        <v>66039</v>
      </c>
      <c r="B199" s="3" t="s">
        <v>1998</v>
      </c>
      <c r="C199" s="3" t="s">
        <v>16</v>
      </c>
      <c r="D199" s="6" t="s">
        <v>1240</v>
      </c>
      <c r="E199" s="6" t="s">
        <v>1782</v>
      </c>
      <c r="F199" s="3" t="str">
        <f>IFERROR( VLOOKUP(A199,#REF!,2,0),"")</f>
        <v/>
      </c>
      <c r="G199" s="3" t="str">
        <f t="array" ref="G199">_xlfn.XLOOKUP(I199,Base_Datos!D:D,Base_Datos!B:B,"")</f>
        <v>GAC</v>
      </c>
      <c r="H199" s="3" t="str">
        <f t="array" ref="H199">IF(I199="","",IFERROR(_xlfn.XLOOKUP(I199,Base_Datos!$D$2:$D3876,Base_Datos!$C$2:$C3876),""))</f>
        <v>Serie Emzoom</v>
      </c>
      <c r="I199" s="3" t="s">
        <v>1203</v>
      </c>
      <c r="J199" s="3" t="str">
        <f>IF(I199="","",IFERROR(VLOOKUP(I199,Base_Datos!$D$2:$E$72,2,0),""))</f>
        <v>(1.5L)</v>
      </c>
      <c r="K199" s="3"/>
      <c r="L199" s="3"/>
      <c r="M199" s="7">
        <v>3</v>
      </c>
      <c r="N199" s="7">
        <v>0</v>
      </c>
    </row>
    <row r="200" spans="1:14" ht="14.25" x14ac:dyDescent="0.2">
      <c r="A200" s="3">
        <v>66040</v>
      </c>
      <c r="B200" s="3" t="s">
        <v>1999</v>
      </c>
      <c r="C200" s="3" t="s">
        <v>16</v>
      </c>
      <c r="D200" s="6" t="s">
        <v>1241</v>
      </c>
      <c r="E200" s="6" t="s">
        <v>1782</v>
      </c>
      <c r="F200" s="3" t="str">
        <f>IFERROR( VLOOKUP(A200,#REF!,2,0),"")</f>
        <v/>
      </c>
      <c r="G200" s="3" t="str">
        <f t="array" ref="G200">_xlfn.XLOOKUP(I200,Base_Datos!D:D,Base_Datos!B:B,"")</f>
        <v>GAC</v>
      </c>
      <c r="H200" s="3" t="str">
        <f t="array" ref="H200">IF(I200="","",IFERROR(_xlfn.XLOOKUP(I200,Base_Datos!$D$2:$D3876,Base_Datos!$C$2:$C3876),""))</f>
        <v>Serie Emzoom</v>
      </c>
      <c r="I200" s="3" t="s">
        <v>1203</v>
      </c>
      <c r="J200" s="3" t="str">
        <f>IF(I200="","",IFERROR(VLOOKUP(I200,Base_Datos!$D$2:$E$72,2,0),""))</f>
        <v>(1.5L)</v>
      </c>
      <c r="K200" s="3"/>
      <c r="L200" s="3"/>
      <c r="M200" s="7">
        <v>3</v>
      </c>
      <c r="N200" s="7">
        <v>0</v>
      </c>
    </row>
    <row r="201" spans="1:14" ht="14.25" x14ac:dyDescent="0.2">
      <c r="A201" s="3">
        <v>66041</v>
      </c>
      <c r="B201" s="3" t="s">
        <v>2000</v>
      </c>
      <c r="C201" s="3" t="s">
        <v>16</v>
      </c>
      <c r="D201" s="6" t="s">
        <v>1242</v>
      </c>
      <c r="E201" s="6" t="s">
        <v>1782</v>
      </c>
      <c r="F201" s="3" t="str">
        <f>IFERROR( VLOOKUP(A201,#REF!,2,0),"")</f>
        <v/>
      </c>
      <c r="G201" s="3" t="str">
        <f t="array" ref="G201">_xlfn.XLOOKUP(I201,Base_Datos!D:D,Base_Datos!B:B,"")</f>
        <v>GAC</v>
      </c>
      <c r="H201" s="3" t="str">
        <f t="array" ref="H201">IF(I201="","",IFERROR(_xlfn.XLOOKUP(I201,Base_Datos!$D$2:$D3876,Base_Datos!$C$2:$C3876),""))</f>
        <v>Serie Emzoom</v>
      </c>
      <c r="I201" s="3" t="s">
        <v>1203</v>
      </c>
      <c r="J201" s="3" t="str">
        <f>IF(I201="","",IFERROR(VLOOKUP(I201,Base_Datos!$D$2:$E$72,2,0),""))</f>
        <v>(1.5L)</v>
      </c>
      <c r="K201" s="3"/>
      <c r="L201" s="3"/>
      <c r="M201" s="7">
        <v>3</v>
      </c>
      <c r="N201" s="7">
        <v>0</v>
      </c>
    </row>
    <row r="202" spans="1:14" ht="14.25" x14ac:dyDescent="0.2">
      <c r="A202" s="3">
        <v>66042</v>
      </c>
      <c r="B202" s="3" t="s">
        <v>2001</v>
      </c>
      <c r="C202" s="3" t="s">
        <v>16</v>
      </c>
      <c r="D202" s="6" t="s">
        <v>1243</v>
      </c>
      <c r="E202" s="6" t="s">
        <v>1782</v>
      </c>
      <c r="F202" s="3" t="str">
        <f>IFERROR( VLOOKUP(A202,#REF!,2,0),"")</f>
        <v/>
      </c>
      <c r="G202" s="3" t="str">
        <f t="array" ref="G202">_xlfn.XLOOKUP(I202,Base_Datos!D:D,Base_Datos!B:B,"")</f>
        <v>GAC</v>
      </c>
      <c r="H202" s="3" t="str">
        <f t="array" ref="H202">IF(I202="","",IFERROR(_xlfn.XLOOKUP(I202,Base_Datos!$D$2:$D3876,Base_Datos!$C$2:$C3876),""))</f>
        <v>Serie Emzoom</v>
      </c>
      <c r="I202" s="3" t="s">
        <v>1203</v>
      </c>
      <c r="J202" s="3" t="str">
        <f>IF(I202="","",IFERROR(VLOOKUP(I202,Base_Datos!$D$2:$E$72,2,0),""))</f>
        <v>(1.5L)</v>
      </c>
      <c r="K202" s="3"/>
      <c r="L202" s="3"/>
      <c r="M202" s="7">
        <v>3</v>
      </c>
      <c r="N202" s="7">
        <v>0</v>
      </c>
    </row>
    <row r="203" spans="1:14" ht="14.25" x14ac:dyDescent="0.2">
      <c r="A203" s="3">
        <v>66043</v>
      </c>
      <c r="B203" s="3" t="s">
        <v>2002</v>
      </c>
      <c r="C203" s="3" t="s">
        <v>16</v>
      </c>
      <c r="D203" s="6" t="s">
        <v>1244</v>
      </c>
      <c r="E203" s="6" t="s">
        <v>1782</v>
      </c>
      <c r="F203" s="3" t="str">
        <f>IFERROR( VLOOKUP(A203,#REF!,2,0),"")</f>
        <v/>
      </c>
      <c r="G203" s="3" t="str">
        <f t="array" ref="G203">_xlfn.XLOOKUP(I203,Base_Datos!D:D,Base_Datos!B:B,"")</f>
        <v>GAC</v>
      </c>
      <c r="H203" s="3" t="str">
        <f t="array" ref="H203">IF(I203="","",IFERROR(_xlfn.XLOOKUP(I203,Base_Datos!$D$2:$D3876,Base_Datos!$C$2:$C3876),""))</f>
        <v>Serie Emzoom</v>
      </c>
      <c r="I203" s="3" t="s">
        <v>1203</v>
      </c>
      <c r="J203" s="3" t="str">
        <f>IF(I203="","",IFERROR(VLOOKUP(I203,Base_Datos!$D$2:$E$72,2,0),""))</f>
        <v>(1.5L)</v>
      </c>
      <c r="K203" s="3"/>
      <c r="L203" s="3"/>
      <c r="M203" s="7">
        <v>4</v>
      </c>
      <c r="N203" s="7">
        <v>0</v>
      </c>
    </row>
    <row r="204" spans="1:14" ht="14.25" x14ac:dyDescent="0.2">
      <c r="A204" s="3">
        <v>66044</v>
      </c>
      <c r="B204" s="3" t="s">
        <v>2003</v>
      </c>
      <c r="C204" s="3" t="s">
        <v>16</v>
      </c>
      <c r="D204" s="6" t="s">
        <v>1245</v>
      </c>
      <c r="E204" s="6" t="s">
        <v>1782</v>
      </c>
      <c r="F204" s="3" t="str">
        <f>IFERROR( VLOOKUP(A204,#REF!,2,0),"")</f>
        <v/>
      </c>
      <c r="G204" s="3" t="str">
        <f t="array" ref="G204">_xlfn.XLOOKUP(I204,Base_Datos!D:D,Base_Datos!B:B,"")</f>
        <v>GAC</v>
      </c>
      <c r="H204" s="3" t="str">
        <f t="array" ref="H204">IF(I204="","",IFERROR(_xlfn.XLOOKUP(I204,Base_Datos!$D$2:$D3876,Base_Datos!$C$2:$C3876),""))</f>
        <v>Serie Emzoom</v>
      </c>
      <c r="I204" s="3" t="s">
        <v>1203</v>
      </c>
      <c r="J204" s="3" t="str">
        <f>IF(I204="","",IFERROR(VLOOKUP(I204,Base_Datos!$D$2:$E$72,2,0),""))</f>
        <v>(1.5L)</v>
      </c>
      <c r="K204" s="3"/>
      <c r="L204" s="3"/>
      <c r="M204" s="7">
        <v>3</v>
      </c>
      <c r="N204" s="7">
        <v>0</v>
      </c>
    </row>
    <row r="205" spans="1:14" ht="14.25" x14ac:dyDescent="0.2">
      <c r="A205" s="3">
        <v>66045</v>
      </c>
      <c r="B205" s="3" t="s">
        <v>2004</v>
      </c>
      <c r="C205" s="3" t="s">
        <v>16</v>
      </c>
      <c r="D205" s="6" t="s">
        <v>1246</v>
      </c>
      <c r="E205" s="6" t="s">
        <v>1782</v>
      </c>
      <c r="F205" s="3" t="str">
        <f>IFERROR( VLOOKUP(A205,#REF!,2,0),"")</f>
        <v/>
      </c>
      <c r="G205" s="3" t="str">
        <f t="array" ref="G205">_xlfn.XLOOKUP(I205,Base_Datos!D:D,Base_Datos!B:B,"")</f>
        <v>GAC</v>
      </c>
      <c r="H205" s="3" t="str">
        <f t="array" ref="H205">IF(I205="","",IFERROR(_xlfn.XLOOKUP(I205,Base_Datos!$D$2:$D3876,Base_Datos!$C$2:$C3876),""))</f>
        <v>Serie Emzoom</v>
      </c>
      <c r="I205" s="3" t="s">
        <v>1203</v>
      </c>
      <c r="J205" s="3" t="str">
        <f>IF(I205="","",IFERROR(VLOOKUP(I205,Base_Datos!$D$2:$E$72,2,0),""))</f>
        <v>(1.5L)</v>
      </c>
      <c r="K205" s="3"/>
      <c r="L205" s="3"/>
      <c r="M205" s="7">
        <v>3</v>
      </c>
      <c r="N205" s="7">
        <v>0</v>
      </c>
    </row>
    <row r="206" spans="1:14" ht="14.25" x14ac:dyDescent="0.2">
      <c r="A206" s="3">
        <v>66046</v>
      </c>
      <c r="B206" s="3" t="s">
        <v>2005</v>
      </c>
      <c r="C206" s="3" t="s">
        <v>16</v>
      </c>
      <c r="D206" s="6" t="s">
        <v>1247</v>
      </c>
      <c r="E206" s="6" t="s">
        <v>1782</v>
      </c>
      <c r="F206" s="3" t="str">
        <f>IFERROR( VLOOKUP(A206,#REF!,2,0),"")</f>
        <v/>
      </c>
      <c r="G206" s="3" t="str">
        <f t="array" ref="G206">_xlfn.XLOOKUP(I206,Base_Datos!D:D,Base_Datos!B:B,"")</f>
        <v>GAC</v>
      </c>
      <c r="H206" s="3" t="str">
        <f t="array" ref="H206">IF(I206="","",IFERROR(_xlfn.XLOOKUP(I206,Base_Datos!$D$2:$D3876,Base_Datos!$C$2:$C3876),""))</f>
        <v>Serie Emzoom</v>
      </c>
      <c r="I206" s="3" t="s">
        <v>1203</v>
      </c>
      <c r="J206" s="3" t="str">
        <f>IF(I206="","",IFERROR(VLOOKUP(I206,Base_Datos!$D$2:$E$72,2,0),""))</f>
        <v>(1.5L)</v>
      </c>
      <c r="K206" s="3"/>
      <c r="L206" s="3"/>
      <c r="M206" s="7">
        <v>3</v>
      </c>
      <c r="N206" s="7">
        <v>0</v>
      </c>
    </row>
    <row r="207" spans="1:14" ht="14.25" x14ac:dyDescent="0.2">
      <c r="A207" s="3">
        <v>66047</v>
      </c>
      <c r="B207" s="3" t="s">
        <v>2006</v>
      </c>
      <c r="C207" s="3" t="s">
        <v>16</v>
      </c>
      <c r="D207" s="6" t="s">
        <v>1248</v>
      </c>
      <c r="E207" s="6" t="s">
        <v>1782</v>
      </c>
      <c r="F207" s="3" t="str">
        <f>IFERROR( VLOOKUP(A207,#REF!,2,0),"")</f>
        <v/>
      </c>
      <c r="G207" s="3" t="str">
        <f t="array" ref="G207">_xlfn.XLOOKUP(I207,Base_Datos!D:D,Base_Datos!B:B,"")</f>
        <v>GAC</v>
      </c>
      <c r="H207" s="3" t="str">
        <f t="array" ref="H207">IF(I207="","",IFERROR(_xlfn.XLOOKUP(I207,Base_Datos!$D$2:$D3876,Base_Datos!$C$2:$C3876),""))</f>
        <v>Serie Emzoom</v>
      </c>
      <c r="I207" s="3" t="s">
        <v>1203</v>
      </c>
      <c r="J207" s="3" t="str">
        <f>IF(I207="","",IFERROR(VLOOKUP(I207,Base_Datos!$D$2:$E$72,2,0),""))</f>
        <v>(1.5L)</v>
      </c>
      <c r="K207" s="3"/>
      <c r="L207" s="3"/>
      <c r="M207" s="7">
        <v>3</v>
      </c>
      <c r="N207" s="7">
        <v>0</v>
      </c>
    </row>
    <row r="208" spans="1:14" ht="14.25" x14ac:dyDescent="0.2">
      <c r="A208" s="3">
        <v>66048</v>
      </c>
      <c r="B208" s="3" t="s">
        <v>2007</v>
      </c>
      <c r="C208" s="3" t="s">
        <v>16</v>
      </c>
      <c r="D208" s="6" t="s">
        <v>1249</v>
      </c>
      <c r="E208" s="6" t="s">
        <v>1782</v>
      </c>
      <c r="F208" s="3" t="str">
        <f>IFERROR( VLOOKUP(A208,#REF!,2,0),"")</f>
        <v/>
      </c>
      <c r="G208" s="3" t="str">
        <f t="array" ref="G208">_xlfn.XLOOKUP(I208,Base_Datos!D:D,Base_Datos!B:B,"")</f>
        <v>GAC</v>
      </c>
      <c r="H208" s="3" t="str">
        <f t="array" ref="H208">IF(I208="","",IFERROR(_xlfn.XLOOKUP(I208,Base_Datos!$D$2:$D3876,Base_Datos!$C$2:$C3876),""))</f>
        <v>Serie Emzoom</v>
      </c>
      <c r="I208" s="3" t="s">
        <v>1203</v>
      </c>
      <c r="J208" s="3" t="str">
        <f>IF(I208="","",IFERROR(VLOOKUP(I208,Base_Datos!$D$2:$E$72,2,0),""))</f>
        <v>(1.5L)</v>
      </c>
      <c r="K208" s="3"/>
      <c r="L208" s="3"/>
      <c r="M208" s="7">
        <v>3</v>
      </c>
      <c r="N208" s="7">
        <v>0</v>
      </c>
    </row>
    <row r="209" spans="1:14" ht="14.25" x14ac:dyDescent="0.2">
      <c r="A209" s="3">
        <v>66049</v>
      </c>
      <c r="B209" s="3" t="s">
        <v>2008</v>
      </c>
      <c r="C209" s="3" t="s">
        <v>16</v>
      </c>
      <c r="D209" s="6" t="s">
        <v>1250</v>
      </c>
      <c r="E209" s="6" t="s">
        <v>1782</v>
      </c>
      <c r="F209" s="3" t="str">
        <f>IFERROR( VLOOKUP(A209,#REF!,2,0),"")</f>
        <v/>
      </c>
      <c r="G209" s="3" t="str">
        <f t="array" ref="G209">_xlfn.XLOOKUP(I209,Base_Datos!D:D,Base_Datos!B:B,"")</f>
        <v>GAC</v>
      </c>
      <c r="H209" s="3" t="str">
        <f t="array" ref="H209">IF(I209="","",IFERROR(_xlfn.XLOOKUP(I209,Base_Datos!$D$2:$D3876,Base_Datos!$C$2:$C3876),""))</f>
        <v>Serie Emzoom</v>
      </c>
      <c r="I209" s="3" t="s">
        <v>1203</v>
      </c>
      <c r="J209" s="3" t="str">
        <f>IF(I209="","",IFERROR(VLOOKUP(I209,Base_Datos!$D$2:$E$72,2,0),""))</f>
        <v>(1.5L)</v>
      </c>
      <c r="K209" s="3"/>
      <c r="L209" s="3"/>
      <c r="M209" s="7">
        <v>3</v>
      </c>
      <c r="N209" s="7">
        <v>0</v>
      </c>
    </row>
    <row r="210" spans="1:14" ht="14.25" x14ac:dyDescent="0.2">
      <c r="A210" s="3">
        <v>66050</v>
      </c>
      <c r="B210" s="3" t="s">
        <v>2008</v>
      </c>
      <c r="C210" s="3" t="s">
        <v>16</v>
      </c>
      <c r="D210" s="6" t="s">
        <v>1251</v>
      </c>
      <c r="E210" s="6" t="s">
        <v>1782</v>
      </c>
      <c r="F210" s="3" t="str">
        <f>IFERROR( VLOOKUP(A210,#REF!,2,0),"")</f>
        <v/>
      </c>
      <c r="G210" s="3" t="str">
        <f t="array" ref="G210">_xlfn.XLOOKUP(I210,Base_Datos!D:D,Base_Datos!B:B,"")</f>
        <v>GAC</v>
      </c>
      <c r="H210" s="3" t="str">
        <f t="array" ref="H210">IF(I210="","",IFERROR(_xlfn.XLOOKUP(I210,Base_Datos!$D$2:$D3876,Base_Datos!$C$2:$C3876),""))</f>
        <v>Serie Emzoom</v>
      </c>
      <c r="I210" s="3" t="s">
        <v>1203</v>
      </c>
      <c r="J210" s="3" t="str">
        <f>IF(I210="","",IFERROR(VLOOKUP(I210,Base_Datos!$D$2:$E$72,2,0),""))</f>
        <v>(1.5L)</v>
      </c>
      <c r="K210" s="3"/>
      <c r="L210" s="3"/>
      <c r="M210" s="7">
        <v>3</v>
      </c>
      <c r="N210" s="7">
        <v>0</v>
      </c>
    </row>
    <row r="211" spans="1:14" ht="14.25" x14ac:dyDescent="0.2">
      <c r="A211" s="3">
        <v>66051</v>
      </c>
      <c r="B211" s="3" t="s">
        <v>2009</v>
      </c>
      <c r="C211" s="3" t="s">
        <v>16</v>
      </c>
      <c r="D211" s="6" t="s">
        <v>1252</v>
      </c>
      <c r="E211" s="6" t="s">
        <v>1782</v>
      </c>
      <c r="F211" s="3" t="str">
        <f>IFERROR( VLOOKUP(A211,#REF!,2,0),"")</f>
        <v/>
      </c>
      <c r="G211" s="3" t="str">
        <f t="array" ref="G211">_xlfn.XLOOKUP(I211,Base_Datos!D:D,Base_Datos!B:B,"")</f>
        <v>GAC</v>
      </c>
      <c r="H211" s="3" t="str">
        <f t="array" ref="H211">IF(I211="","",IFERROR(_xlfn.XLOOKUP(I211,Base_Datos!$D$2:$D3876,Base_Datos!$C$2:$C3876),""))</f>
        <v>Serie Emzoom</v>
      </c>
      <c r="I211" s="3" t="s">
        <v>1203</v>
      </c>
      <c r="J211" s="3" t="str">
        <f>IF(I211="","",IFERROR(VLOOKUP(I211,Base_Datos!$D$2:$E$72,2,0),""))</f>
        <v>(1.5L)</v>
      </c>
      <c r="K211" s="3"/>
      <c r="L211" s="3"/>
      <c r="M211" s="7">
        <v>10</v>
      </c>
      <c r="N211" s="7">
        <v>0</v>
      </c>
    </row>
    <row r="212" spans="1:14" ht="14.25" x14ac:dyDescent="0.2">
      <c r="A212" s="3">
        <v>66052</v>
      </c>
      <c r="B212" s="3" t="s">
        <v>2010</v>
      </c>
      <c r="C212" s="3" t="s">
        <v>16</v>
      </c>
      <c r="D212" s="6" t="s">
        <v>1253</v>
      </c>
      <c r="E212" s="6" t="s">
        <v>1782</v>
      </c>
      <c r="F212" s="3" t="str">
        <f>IFERROR( VLOOKUP(A212,#REF!,2,0),"")</f>
        <v/>
      </c>
      <c r="G212" s="3" t="str">
        <f t="array" ref="G212">_xlfn.XLOOKUP(I212,Base_Datos!D:D,Base_Datos!B:B,"")</f>
        <v>GAC</v>
      </c>
      <c r="H212" s="3" t="str">
        <f t="array" ref="H212">IF(I212="","",IFERROR(_xlfn.XLOOKUP(I212,Base_Datos!$D$2:$D3876,Base_Datos!$C$2:$C3876),""))</f>
        <v>Serie Emzoom</v>
      </c>
      <c r="I212" s="3" t="s">
        <v>1203</v>
      </c>
      <c r="J212" s="3" t="str">
        <f>IF(I212="","",IFERROR(VLOOKUP(I212,Base_Datos!$D$2:$E$72,2,0),""))</f>
        <v>(1.5L)</v>
      </c>
      <c r="K212" s="3"/>
      <c r="L212" s="3"/>
      <c r="M212" s="7">
        <v>3</v>
      </c>
      <c r="N212" s="7">
        <v>0</v>
      </c>
    </row>
    <row r="213" spans="1:14" ht="14.25" x14ac:dyDescent="0.2">
      <c r="A213" s="3">
        <v>66053</v>
      </c>
      <c r="B213" s="3" t="s">
        <v>2011</v>
      </c>
      <c r="C213" s="3" t="s">
        <v>16</v>
      </c>
      <c r="D213" s="6" t="s">
        <v>1254</v>
      </c>
      <c r="E213" s="6" t="s">
        <v>1254</v>
      </c>
      <c r="F213" s="3" t="str">
        <f>IFERROR( VLOOKUP(A213,#REF!,2,0),"")</f>
        <v/>
      </c>
      <c r="G213" s="3" t="str">
        <f t="array" ref="G213">_xlfn.XLOOKUP(I213,Base_Datos!D:D,Base_Datos!B:B,"")</f>
        <v>GAC</v>
      </c>
      <c r="H213" s="3" t="str">
        <f t="array" ref="H213">IF(I213="","",IFERROR(_xlfn.XLOOKUP(I213,Base_Datos!$D$2:$D3876,Base_Datos!$C$2:$C3876),""))</f>
        <v>Serie Emzoom</v>
      </c>
      <c r="I213" s="3" t="s">
        <v>1203</v>
      </c>
      <c r="J213" s="3" t="str">
        <f>IF(I213="","",IFERROR(VLOOKUP(I213,Base_Datos!$D$2:$E$72,2,0),""))</f>
        <v>(1.5L)</v>
      </c>
      <c r="K213" s="3"/>
      <c r="L213" s="3"/>
      <c r="M213" s="7">
        <v>1</v>
      </c>
      <c r="N213" s="7">
        <v>0</v>
      </c>
    </row>
    <row r="214" spans="1:14" ht="14.25" x14ac:dyDescent="0.2">
      <c r="A214" s="3">
        <v>66054</v>
      </c>
      <c r="B214" s="3" t="s">
        <v>2012</v>
      </c>
      <c r="C214" s="3" t="s">
        <v>16</v>
      </c>
      <c r="D214" s="6" t="s">
        <v>1255</v>
      </c>
      <c r="E214" s="6" t="s">
        <v>1782</v>
      </c>
      <c r="F214" s="3" t="str">
        <f>IFERROR( VLOOKUP(A214,#REF!,2,0),"")</f>
        <v/>
      </c>
      <c r="G214" s="3" t="str">
        <f t="array" ref="G214">_xlfn.XLOOKUP(I214,Base_Datos!D:D,Base_Datos!B:B,"")</f>
        <v>GAC</v>
      </c>
      <c r="H214" s="3" t="str">
        <f t="array" ref="H214">IF(I214="","",IFERROR(_xlfn.XLOOKUP(I214,Base_Datos!$D$2:$D3876,Base_Datos!$C$2:$C3876),""))</f>
        <v>Serie Emzoom</v>
      </c>
      <c r="I214" s="3" t="s">
        <v>1203</v>
      </c>
      <c r="J214" s="3" t="str">
        <f>IF(I214="","",IFERROR(VLOOKUP(I214,Base_Datos!$D$2:$E$72,2,0),""))</f>
        <v>(1.5L)</v>
      </c>
      <c r="K214" s="3"/>
      <c r="L214" s="3"/>
      <c r="M214" s="7">
        <v>4</v>
      </c>
      <c r="N214" s="7">
        <v>0</v>
      </c>
    </row>
    <row r="215" spans="1:14" ht="14.25" x14ac:dyDescent="0.2">
      <c r="A215" s="3">
        <v>66055</v>
      </c>
      <c r="B215" s="3" t="s">
        <v>2013</v>
      </c>
      <c r="C215" s="3" t="s">
        <v>16</v>
      </c>
      <c r="D215" s="6" t="s">
        <v>1256</v>
      </c>
      <c r="E215" s="6" t="s">
        <v>1782</v>
      </c>
      <c r="F215" s="3" t="str">
        <f>IFERROR( VLOOKUP(A215,#REF!,2,0),"")</f>
        <v/>
      </c>
      <c r="G215" s="3" t="str">
        <f t="array" ref="G215">_xlfn.XLOOKUP(I215,Base_Datos!D:D,Base_Datos!B:B,"")</f>
        <v>GAC</v>
      </c>
      <c r="H215" s="3" t="str">
        <f t="array" ref="H215">IF(I215="","",IFERROR(_xlfn.XLOOKUP(I215,Base_Datos!$D$2:$D3876,Base_Datos!$C$2:$C3876),""))</f>
        <v>Serie Emzoom</v>
      </c>
      <c r="I215" s="3" t="s">
        <v>1203</v>
      </c>
      <c r="J215" s="3" t="str">
        <f>IF(I215="","",IFERROR(VLOOKUP(I215,Base_Datos!$D$2:$E$72,2,0),""))</f>
        <v>(1.5L)</v>
      </c>
      <c r="K215" s="3"/>
      <c r="L215" s="3"/>
      <c r="M215" s="7">
        <v>2</v>
      </c>
      <c r="N215" s="7">
        <v>0</v>
      </c>
    </row>
    <row r="216" spans="1:14" ht="14.25" x14ac:dyDescent="0.2">
      <c r="A216" s="3">
        <v>66056</v>
      </c>
      <c r="B216" s="3" t="s">
        <v>2014</v>
      </c>
      <c r="C216" s="3" t="s">
        <v>16</v>
      </c>
      <c r="D216" s="6" t="s">
        <v>1257</v>
      </c>
      <c r="E216" s="6" t="s">
        <v>1782</v>
      </c>
      <c r="F216" s="3" t="str">
        <f>IFERROR( VLOOKUP(A216,#REF!,2,0),"")</f>
        <v/>
      </c>
      <c r="G216" s="3" t="str">
        <f t="array" ref="G216">_xlfn.XLOOKUP(I216,Base_Datos!D:D,Base_Datos!B:B,"")</f>
        <v>GAC</v>
      </c>
      <c r="H216" s="3" t="str">
        <f t="array" ref="H216">IF(I216="","",IFERROR(_xlfn.XLOOKUP(I216,Base_Datos!$D$2:$D3876,Base_Datos!$C$2:$C3876),""))</f>
        <v>Serie Emzoom</v>
      </c>
      <c r="I216" s="3" t="s">
        <v>1203</v>
      </c>
      <c r="J216" s="3" t="str">
        <f>IF(I216="","",IFERROR(VLOOKUP(I216,Base_Datos!$D$2:$E$72,2,0),""))</f>
        <v>(1.5L)</v>
      </c>
      <c r="K216" s="3"/>
      <c r="L216" s="3"/>
      <c r="M216" s="7">
        <v>3</v>
      </c>
      <c r="N216" s="7">
        <v>0</v>
      </c>
    </row>
    <row r="217" spans="1:14" ht="14.25" x14ac:dyDescent="0.2">
      <c r="A217" s="3">
        <v>66057</v>
      </c>
      <c r="B217" s="3" t="s">
        <v>2015</v>
      </c>
      <c r="C217" s="3" t="s">
        <v>16</v>
      </c>
      <c r="D217" s="6" t="s">
        <v>1258</v>
      </c>
      <c r="E217" s="6" t="s">
        <v>1782</v>
      </c>
      <c r="F217" s="3" t="str">
        <f>IFERROR( VLOOKUP(A217,#REF!,2,0),"")</f>
        <v/>
      </c>
      <c r="G217" s="3" t="str">
        <f t="array" ref="G217">_xlfn.XLOOKUP(I217,Base_Datos!D:D,Base_Datos!B:B,"")</f>
        <v>GAC</v>
      </c>
      <c r="H217" s="3" t="str">
        <f t="array" ref="H217">IF(I217="","",IFERROR(_xlfn.XLOOKUP(I217,Base_Datos!$D$2:$D3876,Base_Datos!$C$2:$C3876),""))</f>
        <v>Serie Emzoom</v>
      </c>
      <c r="I217" s="3" t="s">
        <v>1203</v>
      </c>
      <c r="J217" s="3" t="str">
        <f>IF(I217="","",IFERROR(VLOOKUP(I217,Base_Datos!$D$2:$E$72,2,0),""))</f>
        <v>(1.5L)</v>
      </c>
      <c r="K217" s="3"/>
      <c r="L217" s="3"/>
      <c r="M217" s="7">
        <v>3</v>
      </c>
      <c r="N217" s="7">
        <v>0</v>
      </c>
    </row>
    <row r="218" spans="1:14" ht="14.25" x14ac:dyDescent="0.2">
      <c r="A218" s="3">
        <v>66058</v>
      </c>
      <c r="B218" s="3" t="s">
        <v>2016</v>
      </c>
      <c r="C218" s="3" t="s">
        <v>16</v>
      </c>
      <c r="D218" s="6" t="s">
        <v>1259</v>
      </c>
      <c r="E218" s="6" t="s">
        <v>1782</v>
      </c>
      <c r="F218" s="3" t="str">
        <f>IFERROR( VLOOKUP(A218,#REF!,2,0),"")</f>
        <v/>
      </c>
      <c r="G218" s="3" t="str">
        <f t="array" ref="G218">_xlfn.XLOOKUP(I218,Base_Datos!D:D,Base_Datos!B:B,"")</f>
        <v>GAC</v>
      </c>
      <c r="H218" s="3" t="str">
        <f t="array" ref="H218">IF(I218="","",IFERROR(_xlfn.XLOOKUP(I218,Base_Datos!$D$2:$D3876,Base_Datos!$C$2:$C3876),""))</f>
        <v>Serie Emzoom</v>
      </c>
      <c r="I218" s="3" t="s">
        <v>1203</v>
      </c>
      <c r="J218" s="3" t="str">
        <f>IF(I218="","",IFERROR(VLOOKUP(I218,Base_Datos!$D$2:$E$72,2,0),""))</f>
        <v>(1.5L)</v>
      </c>
      <c r="K218" s="3"/>
      <c r="L218" s="3"/>
      <c r="M218" s="7">
        <v>3</v>
      </c>
      <c r="N218" s="7">
        <v>0</v>
      </c>
    </row>
    <row r="219" spans="1:14" ht="14.25" x14ac:dyDescent="0.2">
      <c r="A219" s="3">
        <v>66059</v>
      </c>
      <c r="B219" s="3" t="s">
        <v>2017</v>
      </c>
      <c r="C219" s="3" t="s">
        <v>16</v>
      </c>
      <c r="D219" s="6" t="s">
        <v>1260</v>
      </c>
      <c r="E219" s="6" t="s">
        <v>1782</v>
      </c>
      <c r="F219" s="3" t="str">
        <f>IFERROR( VLOOKUP(A219,#REF!,2,0),"")</f>
        <v/>
      </c>
      <c r="G219" s="3" t="str">
        <f t="array" ref="G219">_xlfn.XLOOKUP(I219,Base_Datos!D:D,Base_Datos!B:B,"")</f>
        <v>GAC</v>
      </c>
      <c r="H219" s="3" t="str">
        <f t="array" ref="H219">IF(I219="","",IFERROR(_xlfn.XLOOKUP(I219,Base_Datos!$D$2:$D3876,Base_Datos!$C$2:$C3876),""))</f>
        <v>Serie Emzoom</v>
      </c>
      <c r="I219" s="3" t="s">
        <v>1203</v>
      </c>
      <c r="J219" s="3" t="str">
        <f>IF(I219="","",IFERROR(VLOOKUP(I219,Base_Datos!$D$2:$E$72,2,0),""))</f>
        <v>(1.5L)</v>
      </c>
      <c r="K219" s="3"/>
      <c r="L219" s="3"/>
      <c r="M219" s="7">
        <v>3</v>
      </c>
      <c r="N219" s="7">
        <v>0</v>
      </c>
    </row>
    <row r="220" spans="1:14" ht="14.25" x14ac:dyDescent="0.2">
      <c r="A220" s="3">
        <v>66060</v>
      </c>
      <c r="B220" s="3" t="s">
        <v>2018</v>
      </c>
      <c r="C220" s="3" t="s">
        <v>16</v>
      </c>
      <c r="D220" s="6" t="s">
        <v>1261</v>
      </c>
      <c r="E220" s="6" t="s">
        <v>1782</v>
      </c>
      <c r="F220" s="3" t="str">
        <f>IFERROR( VLOOKUP(A220,#REF!,2,0),"")</f>
        <v/>
      </c>
      <c r="G220" s="3" t="str">
        <f t="array" ref="G220">_xlfn.XLOOKUP(I220,Base_Datos!D:D,Base_Datos!B:B,"")</f>
        <v>GAC</v>
      </c>
      <c r="H220" s="3" t="str">
        <f t="array" ref="H220">IF(I220="","",IFERROR(_xlfn.XLOOKUP(I220,Base_Datos!$D$2:$D3876,Base_Datos!$C$2:$C3876),""))</f>
        <v>Serie Emzoom</v>
      </c>
      <c r="I220" s="3" t="s">
        <v>1203</v>
      </c>
      <c r="J220" s="3" t="str">
        <f>IF(I220="","",IFERROR(VLOOKUP(I220,Base_Datos!$D$2:$E$72,2,0),""))</f>
        <v>(1.5L)</v>
      </c>
      <c r="K220" s="3"/>
      <c r="L220" s="3"/>
      <c r="M220" s="7">
        <v>2</v>
      </c>
      <c r="N220" s="7">
        <v>0</v>
      </c>
    </row>
    <row r="221" spans="1:14" ht="14.25" x14ac:dyDescent="0.2">
      <c r="A221" s="3">
        <v>66061</v>
      </c>
      <c r="B221" s="3" t="s">
        <v>1927</v>
      </c>
      <c r="C221" s="3" t="s">
        <v>16</v>
      </c>
      <c r="D221" s="6" t="s">
        <v>1262</v>
      </c>
      <c r="E221" s="6" t="s">
        <v>1782</v>
      </c>
      <c r="F221" s="3" t="str">
        <f>IFERROR( VLOOKUP(A221,#REF!,2,0),"")</f>
        <v/>
      </c>
      <c r="G221" s="3" t="str">
        <f t="array" ref="G221">_xlfn.XLOOKUP(I221,Base_Datos!D:D,Base_Datos!B:B,"")</f>
        <v>GAC</v>
      </c>
      <c r="H221" s="3" t="str">
        <f t="array" ref="H221">IF(I221="","",IFERROR(_xlfn.XLOOKUP(I221,Base_Datos!$D$2:$D3876,Base_Datos!$C$2:$C3876),""))</f>
        <v>Serie Emzoom</v>
      </c>
      <c r="I221" s="3" t="s">
        <v>1203</v>
      </c>
      <c r="J221" s="3" t="str">
        <f>IF(I221="","",IFERROR(VLOOKUP(I221,Base_Datos!$D$2:$E$72,2,0),""))</f>
        <v>(1.5L)</v>
      </c>
      <c r="K221" s="3"/>
      <c r="L221" s="3"/>
      <c r="M221" s="7">
        <v>12</v>
      </c>
      <c r="N221" s="7">
        <v>0</v>
      </c>
    </row>
    <row r="222" spans="1:14" ht="14.25" x14ac:dyDescent="0.2">
      <c r="A222" s="3">
        <v>66062</v>
      </c>
      <c r="B222" s="3" t="s">
        <v>2019</v>
      </c>
      <c r="C222" s="3" t="s">
        <v>16</v>
      </c>
      <c r="D222" s="6" t="s">
        <v>1263</v>
      </c>
      <c r="E222" s="6" t="s">
        <v>1782</v>
      </c>
      <c r="F222" s="3" t="str">
        <f>IFERROR( VLOOKUP(A222,#REF!,2,0),"")</f>
        <v/>
      </c>
      <c r="G222" s="3" t="str">
        <f t="array" ref="G222">_xlfn.XLOOKUP(I222,Base_Datos!D:D,Base_Datos!B:B,"")</f>
        <v>GAC</v>
      </c>
      <c r="H222" s="3" t="str">
        <f t="array" ref="H222">IF(I222="","",IFERROR(_xlfn.XLOOKUP(I222,Base_Datos!$D$2:$D3876,Base_Datos!$C$2:$C3876),""))</f>
        <v>Serie Emzoom</v>
      </c>
      <c r="I222" s="3" t="s">
        <v>1203</v>
      </c>
      <c r="J222" s="3" t="str">
        <f>IF(I222="","",IFERROR(VLOOKUP(I222,Base_Datos!$D$2:$E$72,2,0),""))</f>
        <v>(1.5L)</v>
      </c>
      <c r="K222" s="3"/>
      <c r="L222" s="3"/>
      <c r="M222" s="7">
        <v>3</v>
      </c>
      <c r="N222" s="7">
        <v>0</v>
      </c>
    </row>
    <row r="223" spans="1:14" ht="14.25" x14ac:dyDescent="0.2">
      <c r="A223" s="3">
        <v>66063</v>
      </c>
      <c r="B223" s="3" t="s">
        <v>2020</v>
      </c>
      <c r="C223" s="3" t="s">
        <v>16</v>
      </c>
      <c r="D223" s="6" t="s">
        <v>1264</v>
      </c>
      <c r="E223" s="6" t="s">
        <v>1782</v>
      </c>
      <c r="F223" s="3" t="str">
        <f>IFERROR( VLOOKUP(A223,#REF!,2,0),"")</f>
        <v/>
      </c>
      <c r="G223" s="3" t="str">
        <f t="array" ref="G223">_xlfn.XLOOKUP(I223,Base_Datos!D:D,Base_Datos!B:B,"")</f>
        <v>GAC</v>
      </c>
      <c r="H223" s="3" t="str">
        <f t="array" ref="H223">IF(I223="","",IFERROR(_xlfn.XLOOKUP(I223,Base_Datos!$D$2:$D3876,Base_Datos!$C$2:$C3876),""))</f>
        <v>Serie Emzoom</v>
      </c>
      <c r="I223" s="3" t="s">
        <v>1203</v>
      </c>
      <c r="J223" s="3" t="str">
        <f>IF(I223="","",IFERROR(VLOOKUP(I223,Base_Datos!$D$2:$E$72,2,0),""))</f>
        <v>(1.5L)</v>
      </c>
      <c r="K223" s="3"/>
      <c r="L223" s="3"/>
      <c r="M223" s="7">
        <v>3</v>
      </c>
      <c r="N223" s="7">
        <v>0</v>
      </c>
    </row>
    <row r="224" spans="1:14" ht="14.25" x14ac:dyDescent="0.2">
      <c r="A224" s="3">
        <v>66064</v>
      </c>
      <c r="B224" s="3" t="s">
        <v>2021</v>
      </c>
      <c r="C224" s="3" t="s">
        <v>16</v>
      </c>
      <c r="D224" s="6" t="s">
        <v>1265</v>
      </c>
      <c r="E224" s="6" t="s">
        <v>1265</v>
      </c>
      <c r="F224" s="3" t="str">
        <f>IFERROR( VLOOKUP(A224,#REF!,2,0),"")</f>
        <v/>
      </c>
      <c r="G224" s="3" t="str">
        <f t="array" ref="G224">_xlfn.XLOOKUP(I224,Base_Datos!D:D,Base_Datos!B:B,"")</f>
        <v>GAC</v>
      </c>
      <c r="H224" s="3" t="str">
        <f t="array" ref="H224">IF(I224="","",IFERROR(_xlfn.XLOOKUP(I224,Base_Datos!$D$2:$D3876,Base_Datos!$C$2:$C3876),""))</f>
        <v>Serie Emzoom</v>
      </c>
      <c r="I224" s="3" t="s">
        <v>1203</v>
      </c>
      <c r="J224" s="3" t="str">
        <f>IF(I224="","",IFERROR(VLOOKUP(I224,Base_Datos!$D$2:$E$72,2,0),""))</f>
        <v>(1.5L)</v>
      </c>
      <c r="K224" s="3" t="s">
        <v>2022</v>
      </c>
      <c r="L224" s="3"/>
      <c r="M224" s="7">
        <v>10</v>
      </c>
      <c r="N224" s="7">
        <v>0</v>
      </c>
    </row>
    <row r="225" spans="1:14" ht="14.25" x14ac:dyDescent="0.2">
      <c r="A225" s="3">
        <v>66065</v>
      </c>
      <c r="B225" s="3" t="s">
        <v>2023</v>
      </c>
      <c r="C225" s="3" t="s">
        <v>16</v>
      </c>
      <c r="D225" s="6" t="s">
        <v>1266</v>
      </c>
      <c r="E225" s="6" t="s">
        <v>1782</v>
      </c>
      <c r="F225" s="3" t="str">
        <f>IFERROR( VLOOKUP(A225,#REF!,2,0),"")</f>
        <v/>
      </c>
      <c r="G225" s="3" t="str">
        <f t="array" ref="G225">_xlfn.XLOOKUP(I225,Base_Datos!D:D,Base_Datos!B:B,"")</f>
        <v>GAC</v>
      </c>
      <c r="H225" s="3" t="str">
        <f t="array" ref="H225">IF(I225="","",IFERROR(_xlfn.XLOOKUP(I225,Base_Datos!$D$2:$D3876,Base_Datos!$C$2:$C3876),""))</f>
        <v>Serie Emzoom</v>
      </c>
      <c r="I225" s="3" t="s">
        <v>1203</v>
      </c>
      <c r="J225" s="3" t="str">
        <f>IF(I225="","",IFERROR(VLOOKUP(I225,Base_Datos!$D$2:$E$72,2,0),""))</f>
        <v>(1.5L)</v>
      </c>
      <c r="K225" s="3"/>
      <c r="L225" s="3"/>
      <c r="M225" s="7">
        <v>3</v>
      </c>
      <c r="N225" s="7">
        <v>0</v>
      </c>
    </row>
    <row r="226" spans="1:14" ht="14.25" x14ac:dyDescent="0.2">
      <c r="A226" s="3">
        <v>66066</v>
      </c>
      <c r="B226" s="3" t="s">
        <v>2024</v>
      </c>
      <c r="C226" s="3" t="s">
        <v>16</v>
      </c>
      <c r="D226" s="6" t="s">
        <v>1267</v>
      </c>
      <c r="E226" s="6" t="s">
        <v>1782</v>
      </c>
      <c r="F226" s="3" t="str">
        <f>IFERROR( VLOOKUP(A226,#REF!,2,0),"")</f>
        <v/>
      </c>
      <c r="G226" s="3" t="str">
        <f t="array" ref="G226">_xlfn.XLOOKUP(I226,Base_Datos!D:D,Base_Datos!B:B,"")</f>
        <v>GAC</v>
      </c>
      <c r="H226" s="3" t="str">
        <f t="array" ref="H226">IF(I226="","",IFERROR(_xlfn.XLOOKUP(I226,Base_Datos!$D$2:$D3876,Base_Datos!$C$2:$C3876),""))</f>
        <v>Serie Emzoom</v>
      </c>
      <c r="I226" s="3" t="s">
        <v>1203</v>
      </c>
      <c r="J226" s="3" t="str">
        <f>IF(I226="","",IFERROR(VLOOKUP(I226,Base_Datos!$D$2:$E$72,2,0),""))</f>
        <v>(1.5L)</v>
      </c>
      <c r="K226" s="3"/>
      <c r="L226" s="3"/>
      <c r="M226" s="7">
        <v>3</v>
      </c>
      <c r="N226" s="7">
        <v>0</v>
      </c>
    </row>
    <row r="227" spans="1:14" ht="14.25" x14ac:dyDescent="0.2">
      <c r="A227" s="3">
        <v>66067</v>
      </c>
      <c r="B227" s="3" t="s">
        <v>2025</v>
      </c>
      <c r="C227" s="3" t="s">
        <v>16</v>
      </c>
      <c r="D227" s="6" t="s">
        <v>1268</v>
      </c>
      <c r="E227" s="6" t="s">
        <v>1782</v>
      </c>
      <c r="F227" s="3" t="str">
        <f>IFERROR( VLOOKUP(A227,#REF!,2,0),"")</f>
        <v/>
      </c>
      <c r="G227" s="3" t="str">
        <f t="array" ref="G227">_xlfn.XLOOKUP(I227,Base_Datos!D:D,Base_Datos!B:B,"")</f>
        <v>GAC</v>
      </c>
      <c r="H227" s="3" t="str">
        <f t="array" ref="H227">IF(I227="","",IFERROR(_xlfn.XLOOKUP(I227,Base_Datos!$D$2:$D3876,Base_Datos!$C$2:$C3876),""))</f>
        <v>Serie Emzoom</v>
      </c>
      <c r="I227" s="3" t="s">
        <v>1203</v>
      </c>
      <c r="J227" s="3" t="str">
        <f>IF(I227="","",IFERROR(VLOOKUP(I227,Base_Datos!$D$2:$E$72,2,0),""))</f>
        <v>(1.5L)</v>
      </c>
      <c r="K227" s="3"/>
      <c r="L227" s="3"/>
      <c r="M227" s="7">
        <v>3</v>
      </c>
      <c r="N227" s="7">
        <v>0</v>
      </c>
    </row>
    <row r="228" spans="1:14" ht="14.25" x14ac:dyDescent="0.2">
      <c r="A228" s="3">
        <v>66068</v>
      </c>
      <c r="B228" s="3" t="s">
        <v>2026</v>
      </c>
      <c r="C228" s="3" t="s">
        <v>16</v>
      </c>
      <c r="D228" s="6" t="s">
        <v>1269</v>
      </c>
      <c r="E228" s="6" t="s">
        <v>1782</v>
      </c>
      <c r="F228" s="3" t="str">
        <f>IFERROR( VLOOKUP(A228,#REF!,2,0),"")</f>
        <v/>
      </c>
      <c r="G228" s="3" t="str">
        <f t="array" ref="G228">_xlfn.XLOOKUP(I228,Base_Datos!D:D,Base_Datos!B:B,"")</f>
        <v>GAC</v>
      </c>
      <c r="H228" s="3" t="str">
        <f t="array" ref="H228">IF(I228="","",IFERROR(_xlfn.XLOOKUP(I228,Base_Datos!$D$2:$D3876,Base_Datos!$C$2:$C3876),""))</f>
        <v>Serie Emzoom</v>
      </c>
      <c r="I228" s="3" t="s">
        <v>1203</v>
      </c>
      <c r="J228" s="3" t="str">
        <f>IF(I228="","",IFERROR(VLOOKUP(I228,Base_Datos!$D$2:$E$72,2,0),""))</f>
        <v>(1.5L)</v>
      </c>
      <c r="K228" s="3"/>
      <c r="L228" s="3"/>
      <c r="M228" s="7">
        <v>6</v>
      </c>
      <c r="N228" s="7">
        <v>0</v>
      </c>
    </row>
    <row r="229" spans="1:14" ht="14.25" x14ac:dyDescent="0.2">
      <c r="A229" s="3">
        <v>66069</v>
      </c>
      <c r="B229" s="3" t="s">
        <v>2027</v>
      </c>
      <c r="C229" s="3" t="s">
        <v>16</v>
      </c>
      <c r="D229" s="6" t="s">
        <v>1270</v>
      </c>
      <c r="E229" s="6" t="s">
        <v>1782</v>
      </c>
      <c r="F229" s="3" t="str">
        <f>IFERROR( VLOOKUP(A229,#REF!,2,0),"")</f>
        <v/>
      </c>
      <c r="G229" s="3" t="str">
        <f t="array" ref="G229">_xlfn.XLOOKUP(I229,Base_Datos!D:D,Base_Datos!B:B,"")</f>
        <v>GAC</v>
      </c>
      <c r="H229" s="3" t="str">
        <f t="array" ref="H229">IF(I229="","",IFERROR(_xlfn.XLOOKUP(I229,Base_Datos!$D$2:$D3876,Base_Datos!$C$2:$C3876),""))</f>
        <v>Serie Emzoom</v>
      </c>
      <c r="I229" s="3" t="s">
        <v>1203</v>
      </c>
      <c r="J229" s="3" t="str">
        <f>IF(I229="","",IFERROR(VLOOKUP(I229,Base_Datos!$D$2:$E$72,2,0),""))</f>
        <v>(1.5L)</v>
      </c>
      <c r="K229" s="3"/>
      <c r="L229" s="3"/>
      <c r="M229" s="7">
        <v>3</v>
      </c>
      <c r="N229" s="7">
        <v>0</v>
      </c>
    </row>
    <row r="230" spans="1:14" ht="14.25" x14ac:dyDescent="0.2">
      <c r="A230" s="3">
        <v>66070</v>
      </c>
      <c r="B230" s="3" t="s">
        <v>2028</v>
      </c>
      <c r="C230" s="3" t="s">
        <v>16</v>
      </c>
      <c r="D230" s="6" t="s">
        <v>1271</v>
      </c>
      <c r="E230" s="6" t="s">
        <v>1782</v>
      </c>
      <c r="F230" s="3" t="str">
        <f>IFERROR( VLOOKUP(A230,#REF!,2,0),"")</f>
        <v/>
      </c>
      <c r="G230" s="3" t="str">
        <f t="array" ref="G230">_xlfn.XLOOKUP(I230,Base_Datos!D:D,Base_Datos!B:B,"")</f>
        <v>GAC</v>
      </c>
      <c r="H230" s="3" t="str">
        <f t="array" ref="H230">IF(I230="","",IFERROR(_xlfn.XLOOKUP(I230,Base_Datos!$D$2:$D3876,Base_Datos!$C$2:$C3876),""))</f>
        <v>Serie Emzoom</v>
      </c>
      <c r="I230" s="3" t="s">
        <v>1203</v>
      </c>
      <c r="J230" s="3" t="str">
        <f>IF(I230="","",IFERROR(VLOOKUP(I230,Base_Datos!$D$2:$E$72,2,0),""))</f>
        <v>(1.5L)</v>
      </c>
      <c r="K230" s="3"/>
      <c r="L230" s="3"/>
      <c r="M230" s="7">
        <v>3</v>
      </c>
      <c r="N230" s="7">
        <v>0</v>
      </c>
    </row>
    <row r="231" spans="1:14" ht="14.25" x14ac:dyDescent="0.2">
      <c r="A231" s="3">
        <v>66071</v>
      </c>
      <c r="B231" s="3" t="s">
        <v>2029</v>
      </c>
      <c r="C231" s="3" t="s">
        <v>16</v>
      </c>
      <c r="D231" s="6" t="s">
        <v>1272</v>
      </c>
      <c r="E231" s="6" t="s">
        <v>1782</v>
      </c>
      <c r="F231" s="3" t="str">
        <f>IFERROR( VLOOKUP(A231,#REF!,2,0),"")</f>
        <v/>
      </c>
      <c r="G231" s="3" t="str">
        <f t="array" ref="G231">_xlfn.XLOOKUP(I231,Base_Datos!D:D,Base_Datos!B:B,"")</f>
        <v>GAC</v>
      </c>
      <c r="H231" s="3" t="str">
        <f t="array" ref="H231">IF(I231="","",IFERROR(_xlfn.XLOOKUP(I231,Base_Datos!$D$2:$D3876,Base_Datos!$C$2:$C3876),""))</f>
        <v>Serie Emzoom</v>
      </c>
      <c r="I231" s="3" t="s">
        <v>1203</v>
      </c>
      <c r="J231" s="3" t="str">
        <f>IF(I231="","",IFERROR(VLOOKUP(I231,Base_Datos!$D$2:$E$72,2,0),""))</f>
        <v>(1.5L)</v>
      </c>
      <c r="K231" s="3"/>
      <c r="L231" s="3"/>
      <c r="M231" s="7">
        <v>3</v>
      </c>
      <c r="N231" s="7">
        <v>0</v>
      </c>
    </row>
    <row r="232" spans="1:14" ht="14.25" x14ac:dyDescent="0.2">
      <c r="A232" s="3">
        <v>66072</v>
      </c>
      <c r="B232" s="3" t="s">
        <v>2030</v>
      </c>
      <c r="C232" s="3" t="s">
        <v>16</v>
      </c>
      <c r="D232" s="6" t="s">
        <v>1273</v>
      </c>
      <c r="E232" s="6" t="s">
        <v>1782</v>
      </c>
      <c r="F232" s="3" t="str">
        <f>IFERROR( VLOOKUP(A232,#REF!,2,0),"")</f>
        <v/>
      </c>
      <c r="G232" s="3" t="str">
        <f t="array" ref="G232">_xlfn.XLOOKUP(I232,Base_Datos!D:D,Base_Datos!B:B,"")</f>
        <v>GAC</v>
      </c>
      <c r="H232" s="3" t="str">
        <f t="array" ref="H232">IF(I232="","",IFERROR(_xlfn.XLOOKUP(I232,Base_Datos!$D$2:$D3876,Base_Datos!$C$2:$C3876),""))</f>
        <v>Serie Emzoom</v>
      </c>
      <c r="I232" s="3" t="s">
        <v>1203</v>
      </c>
      <c r="J232" s="3" t="str">
        <f>IF(I232="","",IFERROR(VLOOKUP(I232,Base_Datos!$D$2:$E$72,2,0),""))</f>
        <v>(1.5L)</v>
      </c>
      <c r="K232" s="3"/>
      <c r="L232" s="3"/>
      <c r="M232" s="7">
        <v>3</v>
      </c>
      <c r="N232" s="7">
        <v>0</v>
      </c>
    </row>
    <row r="233" spans="1:14" ht="14.25" x14ac:dyDescent="0.2">
      <c r="A233" s="3">
        <v>66073</v>
      </c>
      <c r="B233" s="3" t="s">
        <v>2031</v>
      </c>
      <c r="C233" s="3" t="s">
        <v>16</v>
      </c>
      <c r="D233" s="6" t="s">
        <v>1274</v>
      </c>
      <c r="E233" s="6" t="s">
        <v>1782</v>
      </c>
      <c r="F233" s="3" t="str">
        <f>IFERROR( VLOOKUP(A233,#REF!,2,0),"")</f>
        <v/>
      </c>
      <c r="G233" s="3" t="str">
        <f t="array" ref="G233">_xlfn.XLOOKUP(I233,Base_Datos!D:D,Base_Datos!B:B,"")</f>
        <v>GAC</v>
      </c>
      <c r="H233" s="3" t="str">
        <f t="array" ref="H233">IF(I233="","",IFERROR(_xlfn.XLOOKUP(I233,Base_Datos!$D$2:$D3876,Base_Datos!$C$2:$C3876),""))</f>
        <v>Serie Emzoom</v>
      </c>
      <c r="I233" s="3" t="s">
        <v>1203</v>
      </c>
      <c r="J233" s="3" t="str">
        <f>IF(I233="","",IFERROR(VLOOKUP(I233,Base_Datos!$D$2:$E$72,2,0),""))</f>
        <v>(1.5L)</v>
      </c>
      <c r="K233" s="3"/>
      <c r="L233" s="3"/>
      <c r="M233" s="7">
        <v>3</v>
      </c>
      <c r="N233" s="7">
        <v>0</v>
      </c>
    </row>
    <row r="234" spans="1:14" ht="14.25" x14ac:dyDescent="0.2">
      <c r="A234" s="3">
        <v>66074</v>
      </c>
      <c r="B234" s="3" t="s">
        <v>2032</v>
      </c>
      <c r="C234" s="3" t="s">
        <v>16</v>
      </c>
      <c r="D234" s="6" t="s">
        <v>1275</v>
      </c>
      <c r="E234" s="6" t="s">
        <v>1782</v>
      </c>
      <c r="F234" s="3" t="str">
        <f>IFERROR( VLOOKUP(A234,#REF!,2,0),"")</f>
        <v/>
      </c>
      <c r="G234" s="3" t="str">
        <f t="array" ref="G234">_xlfn.XLOOKUP(I234,Base_Datos!D:D,Base_Datos!B:B,"")</f>
        <v>GAC</v>
      </c>
      <c r="H234" s="3" t="str">
        <f t="array" ref="H234">IF(I234="","",IFERROR(_xlfn.XLOOKUP(I234,Base_Datos!$D$2:$D3876,Base_Datos!$C$2:$C3876),""))</f>
        <v>Serie Emzoom</v>
      </c>
      <c r="I234" s="3" t="s">
        <v>1203</v>
      </c>
      <c r="J234" s="3" t="str">
        <f>IF(I234="","",IFERROR(VLOOKUP(I234,Base_Datos!$D$2:$E$72,2,0),""))</f>
        <v>(1.5L)</v>
      </c>
      <c r="K234" s="3"/>
      <c r="L234" s="3"/>
      <c r="M234" s="7">
        <v>3</v>
      </c>
      <c r="N234" s="7">
        <v>0</v>
      </c>
    </row>
    <row r="235" spans="1:14" ht="14.25" x14ac:dyDescent="0.2">
      <c r="A235" s="3">
        <v>66075</v>
      </c>
      <c r="B235" s="3" t="s">
        <v>2033</v>
      </c>
      <c r="C235" s="3" t="s">
        <v>16</v>
      </c>
      <c r="D235" s="6" t="s">
        <v>1276</v>
      </c>
      <c r="E235" s="6" t="s">
        <v>1782</v>
      </c>
      <c r="F235" s="3" t="str">
        <f>IFERROR( VLOOKUP(A235,#REF!,2,0),"")</f>
        <v/>
      </c>
      <c r="G235" s="3" t="str">
        <f t="array" ref="G235">_xlfn.XLOOKUP(I235,Base_Datos!D:D,Base_Datos!B:B,"")</f>
        <v>GAC</v>
      </c>
      <c r="H235" s="3" t="str">
        <f t="array" ref="H235">IF(I235="","",IFERROR(_xlfn.XLOOKUP(I235,Base_Datos!$D$2:$D3876,Base_Datos!$C$2:$C3876),""))</f>
        <v>Serie Emzoom</v>
      </c>
      <c r="I235" s="3" t="s">
        <v>1203</v>
      </c>
      <c r="J235" s="3" t="str">
        <f>IF(I235="","",IFERROR(VLOOKUP(I235,Base_Datos!$D$2:$E$72,2,0),""))</f>
        <v>(1.5L)</v>
      </c>
      <c r="K235" s="3"/>
      <c r="L235" s="3"/>
      <c r="M235" s="7">
        <v>2</v>
      </c>
      <c r="N235" s="7">
        <v>0</v>
      </c>
    </row>
    <row r="236" spans="1:14" ht="14.25" x14ac:dyDescent="0.2">
      <c r="A236" s="3">
        <v>66076</v>
      </c>
      <c r="B236" s="3" t="s">
        <v>2034</v>
      </c>
      <c r="C236" s="3" t="s">
        <v>16</v>
      </c>
      <c r="D236" s="6" t="s">
        <v>1277</v>
      </c>
      <c r="E236" s="6" t="s">
        <v>1782</v>
      </c>
      <c r="F236" s="3" t="str">
        <f>IFERROR( VLOOKUP(A236,#REF!,2,0),"")</f>
        <v/>
      </c>
      <c r="G236" s="3" t="str">
        <f t="array" ref="G236">_xlfn.XLOOKUP(I236,Base_Datos!D:D,Base_Datos!B:B,"")</f>
        <v>GAC</v>
      </c>
      <c r="H236" s="3" t="str">
        <f t="array" ref="H236">IF(I236="","",IFERROR(_xlfn.XLOOKUP(I236,Base_Datos!$D$2:$D3876,Base_Datos!$C$2:$C3876),""))</f>
        <v>Serie Emzoom</v>
      </c>
      <c r="I236" s="3" t="s">
        <v>1203</v>
      </c>
      <c r="J236" s="3" t="str">
        <f>IF(I236="","",IFERROR(VLOOKUP(I236,Base_Datos!$D$2:$E$72,2,0),""))</f>
        <v>(1.5L)</v>
      </c>
      <c r="K236" s="3"/>
      <c r="L236" s="3"/>
      <c r="M236" s="7">
        <v>1</v>
      </c>
      <c r="N236" s="7">
        <v>0</v>
      </c>
    </row>
    <row r="237" spans="1:14" ht="14.25" x14ac:dyDescent="0.2">
      <c r="A237" s="3">
        <v>66077</v>
      </c>
      <c r="B237" s="3" t="s">
        <v>2035</v>
      </c>
      <c r="C237" s="3" t="s">
        <v>16</v>
      </c>
      <c r="D237" s="6" t="s">
        <v>1278</v>
      </c>
      <c r="E237" s="6" t="s">
        <v>1782</v>
      </c>
      <c r="F237" s="3" t="str">
        <f>IFERROR( VLOOKUP(A237,#REF!,2,0),"")</f>
        <v/>
      </c>
      <c r="G237" s="3" t="str">
        <f t="array" ref="G237">_xlfn.XLOOKUP(I237,Base_Datos!D:D,Base_Datos!B:B,"")</f>
        <v>GAC</v>
      </c>
      <c r="H237" s="3" t="str">
        <f t="array" ref="H237">IF(I237="","",IFERROR(_xlfn.XLOOKUP(I237,Base_Datos!$D$2:$D3876,Base_Datos!$C$2:$C3876),""))</f>
        <v>Serie Emzoom</v>
      </c>
      <c r="I237" s="3" t="s">
        <v>1203</v>
      </c>
      <c r="J237" s="3" t="str">
        <f>IF(I237="","",IFERROR(VLOOKUP(I237,Base_Datos!$D$2:$E$72,2,0),""))</f>
        <v>(1.5L)</v>
      </c>
      <c r="K237" s="3"/>
      <c r="L237" s="3"/>
      <c r="M237" s="7">
        <v>1</v>
      </c>
      <c r="N237" s="7">
        <v>0</v>
      </c>
    </row>
    <row r="238" spans="1:14" ht="14.25" x14ac:dyDescent="0.2">
      <c r="A238" s="3">
        <v>66078</v>
      </c>
      <c r="B238" s="3" t="s">
        <v>2036</v>
      </c>
      <c r="C238" s="3" t="s">
        <v>16</v>
      </c>
      <c r="D238" s="6" t="s">
        <v>1279</v>
      </c>
      <c r="E238" s="6" t="s">
        <v>1782</v>
      </c>
      <c r="F238" s="3" t="str">
        <f>IFERROR( VLOOKUP(A238,#REF!,2,0),"")</f>
        <v/>
      </c>
      <c r="G238" s="3" t="str">
        <f t="array" ref="G238">_xlfn.XLOOKUP(I238,Base_Datos!D:D,Base_Datos!B:B,"")</f>
        <v>GAC</v>
      </c>
      <c r="H238" s="3" t="str">
        <f t="array" ref="H238">IF(I238="","",IFERROR(_xlfn.XLOOKUP(I238,Base_Datos!$D$2:$D3876,Base_Datos!$C$2:$C3876),""))</f>
        <v>Serie Emzoom</v>
      </c>
      <c r="I238" s="3" t="s">
        <v>1203</v>
      </c>
      <c r="J238" s="3" t="str">
        <f>IF(I238="","",IFERROR(VLOOKUP(I238,Base_Datos!$D$2:$E$72,2,0),""))</f>
        <v>(1.5L)</v>
      </c>
      <c r="K238" s="3"/>
      <c r="L238" s="3"/>
      <c r="M238" s="7">
        <v>3</v>
      </c>
      <c r="N238" s="7">
        <v>0</v>
      </c>
    </row>
    <row r="239" spans="1:14" ht="14.25" x14ac:dyDescent="0.2">
      <c r="A239" s="3">
        <v>66079</v>
      </c>
      <c r="B239" s="3" t="s">
        <v>2037</v>
      </c>
      <c r="C239" s="3" t="s">
        <v>16</v>
      </c>
      <c r="D239" s="6" t="s">
        <v>1280</v>
      </c>
      <c r="E239" s="6" t="s">
        <v>1782</v>
      </c>
      <c r="F239" s="3" t="str">
        <f>IFERROR( VLOOKUP(A239,#REF!,2,0),"")</f>
        <v/>
      </c>
      <c r="G239" s="3" t="str">
        <f t="array" ref="G239">_xlfn.XLOOKUP(I239,Base_Datos!D:D,Base_Datos!B:B,"")</f>
        <v>GAC</v>
      </c>
      <c r="H239" s="3" t="str">
        <f t="array" ref="H239">IF(I239="","",IFERROR(_xlfn.XLOOKUP(I239,Base_Datos!$D$2:$D3876,Base_Datos!$C$2:$C3876),""))</f>
        <v>Serie Emzoom</v>
      </c>
      <c r="I239" s="3" t="s">
        <v>1203</v>
      </c>
      <c r="J239" s="3" t="str">
        <f>IF(I239="","",IFERROR(VLOOKUP(I239,Base_Datos!$D$2:$E$72,2,0),""))</f>
        <v>(1.5L)</v>
      </c>
      <c r="K239" s="3"/>
      <c r="L239" s="3"/>
      <c r="M239" s="7">
        <v>5</v>
      </c>
      <c r="N239" s="7">
        <v>0</v>
      </c>
    </row>
    <row r="240" spans="1:14" ht="14.25" x14ac:dyDescent="0.2">
      <c r="A240" s="3">
        <v>66080</v>
      </c>
      <c r="B240" s="3" t="s">
        <v>2038</v>
      </c>
      <c r="C240" s="3" t="s">
        <v>16</v>
      </c>
      <c r="D240" s="6" t="s">
        <v>1281</v>
      </c>
      <c r="E240" s="6" t="s">
        <v>1782</v>
      </c>
      <c r="F240" s="3" t="str">
        <f>IFERROR( VLOOKUP(A240,#REF!,2,0),"")</f>
        <v/>
      </c>
      <c r="G240" s="3" t="str">
        <f t="array" ref="G240">_xlfn.XLOOKUP(I240,Base_Datos!D:D,Base_Datos!B:B,"")</f>
        <v>GAC</v>
      </c>
      <c r="H240" s="3" t="str">
        <f t="array" ref="H240">IF(I240="","",IFERROR(_xlfn.XLOOKUP(I240,Base_Datos!$D$2:$D3876,Base_Datos!$C$2:$C3876),""))</f>
        <v>Serie Emzoom</v>
      </c>
      <c r="I240" s="3" t="s">
        <v>1203</v>
      </c>
      <c r="J240" s="3" t="str">
        <f>IF(I240="","",IFERROR(VLOOKUP(I240,Base_Datos!$D$2:$E$72,2,0),""))</f>
        <v>(1.5L)</v>
      </c>
      <c r="K240" s="3"/>
      <c r="L240" s="3"/>
      <c r="M240" s="7">
        <v>2</v>
      </c>
      <c r="N240" s="7">
        <v>0</v>
      </c>
    </row>
    <row r="241" spans="1:14" ht="14.25" x14ac:dyDescent="0.2">
      <c r="A241" s="3">
        <v>66081</v>
      </c>
      <c r="B241" s="3" t="s">
        <v>2039</v>
      </c>
      <c r="C241" s="3" t="s">
        <v>16</v>
      </c>
      <c r="D241" s="6" t="s">
        <v>1282</v>
      </c>
      <c r="E241" s="6" t="s">
        <v>1782</v>
      </c>
      <c r="F241" s="3" t="str">
        <f>IFERROR( VLOOKUP(A241,#REF!,2,0),"")</f>
        <v/>
      </c>
      <c r="G241" s="3" t="str">
        <f t="array" ref="G241">_xlfn.XLOOKUP(I241,Base_Datos!D:D,Base_Datos!B:B,"")</f>
        <v>GAC</v>
      </c>
      <c r="H241" s="3" t="str">
        <f t="array" ref="H241">IF(I241="","",IFERROR(_xlfn.XLOOKUP(I241,Base_Datos!$D$2:$D3876,Base_Datos!$C$2:$C3876),""))</f>
        <v>Serie Emzoom</v>
      </c>
      <c r="I241" s="3" t="s">
        <v>1203</v>
      </c>
      <c r="J241" s="3" t="str">
        <f>IF(I241="","",IFERROR(VLOOKUP(I241,Base_Datos!$D$2:$E$72,2,0),""))</f>
        <v>(1.5L)</v>
      </c>
      <c r="K241" s="3"/>
      <c r="L241" s="3"/>
      <c r="M241" s="7">
        <v>2</v>
      </c>
      <c r="N241" s="7">
        <v>0</v>
      </c>
    </row>
    <row r="242" spans="1:14" ht="14.25" x14ac:dyDescent="0.2">
      <c r="A242" s="3">
        <v>66082</v>
      </c>
      <c r="B242" s="3" t="s">
        <v>2040</v>
      </c>
      <c r="C242" s="3" t="s">
        <v>16</v>
      </c>
      <c r="D242" s="6" t="s">
        <v>1283</v>
      </c>
      <c r="E242" s="6" t="s">
        <v>1283</v>
      </c>
      <c r="F242" s="3" t="str">
        <f>IFERROR( VLOOKUP(A242,#REF!,2,0),"")</f>
        <v/>
      </c>
      <c r="G242" s="3" t="str">
        <f t="array" ref="G242">_xlfn.XLOOKUP(I242,Base_Datos!D:D,Base_Datos!B:B,"")</f>
        <v>GAC</v>
      </c>
      <c r="H242" s="3" t="str">
        <f t="array" ref="H242">IF(I242="","",IFERROR(_xlfn.XLOOKUP(I242,Base_Datos!$D$2:$D3876,Base_Datos!$C$2:$C3876),""))</f>
        <v>Serie Emzoom</v>
      </c>
      <c r="I242" s="3" t="s">
        <v>1203</v>
      </c>
      <c r="J242" s="3" t="str">
        <f>IF(I242="","",IFERROR(VLOOKUP(I242,Base_Datos!$D$2:$E$72,2,0),""))</f>
        <v>(1.5L)</v>
      </c>
      <c r="K242" s="3"/>
      <c r="L242" s="3"/>
      <c r="M242" s="7">
        <v>3</v>
      </c>
      <c r="N242" s="7">
        <v>0</v>
      </c>
    </row>
    <row r="243" spans="1:14" ht="14.25" x14ac:dyDescent="0.2">
      <c r="A243" s="3">
        <v>66083</v>
      </c>
      <c r="B243" s="3" t="s">
        <v>2041</v>
      </c>
      <c r="C243" s="3" t="s">
        <v>16</v>
      </c>
      <c r="D243" s="6" t="s">
        <v>1284</v>
      </c>
      <c r="E243" s="6" t="s">
        <v>1782</v>
      </c>
      <c r="F243" s="3" t="str">
        <f>IFERROR( VLOOKUP(A243,#REF!,2,0),"")</f>
        <v/>
      </c>
      <c r="G243" s="3" t="str">
        <f t="array" ref="G243">_xlfn.XLOOKUP(I243,Base_Datos!D:D,Base_Datos!B:B,"")</f>
        <v>GAC</v>
      </c>
      <c r="H243" s="3" t="str">
        <f t="array" ref="H243">IF(I243="","",IFERROR(_xlfn.XLOOKUP(I243,Base_Datos!$D$2:$D3876,Base_Datos!$C$2:$C3876),""))</f>
        <v>Serie Emzoom</v>
      </c>
      <c r="I243" s="3" t="s">
        <v>1203</v>
      </c>
      <c r="J243" s="3" t="str">
        <f>IF(I243="","",IFERROR(VLOOKUP(I243,Base_Datos!$D$2:$E$72,2,0),""))</f>
        <v>(1.5L)</v>
      </c>
      <c r="K243" s="3"/>
      <c r="L243" s="3"/>
      <c r="M243" s="7">
        <v>3</v>
      </c>
      <c r="N243" s="7">
        <v>0</v>
      </c>
    </row>
    <row r="244" spans="1:14" ht="14.25" x14ac:dyDescent="0.2">
      <c r="A244" s="3">
        <v>66084</v>
      </c>
      <c r="B244" s="3" t="s">
        <v>2042</v>
      </c>
      <c r="C244" s="3" t="s">
        <v>16</v>
      </c>
      <c r="D244" s="6" t="s">
        <v>1285</v>
      </c>
      <c r="E244" s="6" t="s">
        <v>1782</v>
      </c>
      <c r="F244" s="3" t="str">
        <f>IFERROR( VLOOKUP(A244,#REF!,2,0),"")</f>
        <v/>
      </c>
      <c r="G244" s="3" t="str">
        <f t="array" ref="G244">_xlfn.XLOOKUP(I244,Base_Datos!D:D,Base_Datos!B:B,"")</f>
        <v>GAC</v>
      </c>
      <c r="H244" s="3" t="str">
        <f t="array" ref="H244">IF(I244="","",IFERROR(_xlfn.XLOOKUP(I244,Base_Datos!$D$2:$D3876,Base_Datos!$C$2:$C3876),""))</f>
        <v>Serie Emzoom</v>
      </c>
      <c r="I244" s="3" t="s">
        <v>1203</v>
      </c>
      <c r="J244" s="3" t="str">
        <f>IF(I244="","",IFERROR(VLOOKUP(I244,Base_Datos!$D$2:$E$72,2,0),""))</f>
        <v>(1.5L)</v>
      </c>
      <c r="K244" s="3"/>
      <c r="L244" s="3"/>
      <c r="M244" s="7">
        <v>3</v>
      </c>
      <c r="N244" s="7">
        <v>0</v>
      </c>
    </row>
    <row r="245" spans="1:14" ht="14.25" x14ac:dyDescent="0.2">
      <c r="A245" s="3">
        <v>66085</v>
      </c>
      <c r="B245" s="3" t="s">
        <v>2043</v>
      </c>
      <c r="C245" s="3" t="s">
        <v>16</v>
      </c>
      <c r="D245" s="6" t="s">
        <v>1286</v>
      </c>
      <c r="E245" s="6" t="s">
        <v>1782</v>
      </c>
      <c r="F245" s="3" t="str">
        <f>IFERROR( VLOOKUP(A245,#REF!,2,0),"")</f>
        <v/>
      </c>
      <c r="G245" s="3" t="str">
        <f t="array" ref="G245">_xlfn.XLOOKUP(I245,Base_Datos!D:D,Base_Datos!B:B,"")</f>
        <v>GAC</v>
      </c>
      <c r="H245" s="3" t="str">
        <f t="array" ref="H245">IF(I245="","",IFERROR(_xlfn.XLOOKUP(I245,Base_Datos!$D$2:$D3876,Base_Datos!$C$2:$C3876),""))</f>
        <v>Serie Emzoom</v>
      </c>
      <c r="I245" s="3" t="s">
        <v>1203</v>
      </c>
      <c r="J245" s="3" t="str">
        <f>IF(I245="","",IFERROR(VLOOKUP(I245,Base_Datos!$D$2:$E$72,2,0),""))</f>
        <v>(1.5L)</v>
      </c>
      <c r="K245" s="3"/>
      <c r="L245" s="3"/>
      <c r="M245" s="7">
        <v>3</v>
      </c>
      <c r="N245" s="7">
        <v>0</v>
      </c>
    </row>
    <row r="246" spans="1:14" ht="14.25" x14ac:dyDescent="0.2">
      <c r="A246" s="3">
        <v>66086</v>
      </c>
      <c r="B246" s="3" t="s">
        <v>2044</v>
      </c>
      <c r="C246" s="3" t="s">
        <v>16</v>
      </c>
      <c r="D246" s="6" t="s">
        <v>1287</v>
      </c>
      <c r="E246" s="6" t="s">
        <v>1782</v>
      </c>
      <c r="F246" s="3" t="str">
        <f>IFERROR( VLOOKUP(A246,#REF!,2,0),"")</f>
        <v/>
      </c>
      <c r="G246" s="3" t="str">
        <f t="array" ref="G246">_xlfn.XLOOKUP(I246,Base_Datos!D:D,Base_Datos!B:B,"")</f>
        <v>GAC</v>
      </c>
      <c r="H246" s="3" t="str">
        <f t="array" ref="H246">IF(I246="","",IFERROR(_xlfn.XLOOKUP(I246,Base_Datos!$D$2:$D3876,Base_Datos!$C$2:$C3876),""))</f>
        <v>Serie Emzoom</v>
      </c>
      <c r="I246" s="3" t="s">
        <v>1203</v>
      </c>
      <c r="J246" s="3" t="str">
        <f>IF(I246="","",IFERROR(VLOOKUP(I246,Base_Datos!$D$2:$E$72,2,0),""))</f>
        <v>(1.5L)</v>
      </c>
      <c r="K246" s="3"/>
      <c r="L246" s="3"/>
      <c r="M246" s="7">
        <v>3</v>
      </c>
      <c r="N246" s="7">
        <v>0</v>
      </c>
    </row>
    <row r="247" spans="1:14" ht="14.25" x14ac:dyDescent="0.2">
      <c r="A247" s="3">
        <v>66087</v>
      </c>
      <c r="B247" s="3" t="s">
        <v>2045</v>
      </c>
      <c r="C247" s="3" t="s">
        <v>16</v>
      </c>
      <c r="D247" s="6" t="s">
        <v>1288</v>
      </c>
      <c r="E247" s="6" t="s">
        <v>1782</v>
      </c>
      <c r="F247" s="3" t="str">
        <f>IFERROR( VLOOKUP(A247,#REF!,2,0),"")</f>
        <v/>
      </c>
      <c r="G247" s="3" t="str">
        <f t="array" ref="G247">_xlfn.XLOOKUP(I247,Base_Datos!D:D,Base_Datos!B:B,"")</f>
        <v>GAC</v>
      </c>
      <c r="H247" s="3" t="str">
        <f t="array" ref="H247">IF(I247="","",IFERROR(_xlfn.XLOOKUP(I247,Base_Datos!$D$2:$D3876,Base_Datos!$C$2:$C3876),""))</f>
        <v>Serie Emzoom</v>
      </c>
      <c r="I247" s="3" t="s">
        <v>1203</v>
      </c>
      <c r="J247" s="3" t="str">
        <f>IF(I247="","",IFERROR(VLOOKUP(I247,Base_Datos!$D$2:$E$72,2,0),""))</f>
        <v>(1.5L)</v>
      </c>
      <c r="K247" s="3"/>
      <c r="L247" s="3"/>
      <c r="M247" s="7">
        <v>2</v>
      </c>
      <c r="N247" s="7">
        <v>0</v>
      </c>
    </row>
    <row r="248" spans="1:14" ht="14.25" x14ac:dyDescent="0.2">
      <c r="A248" s="3">
        <v>66088</v>
      </c>
      <c r="B248" s="3" t="s">
        <v>2046</v>
      </c>
      <c r="C248" s="3" t="s">
        <v>16</v>
      </c>
      <c r="D248" s="6" t="s">
        <v>1289</v>
      </c>
      <c r="E248" s="6" t="s">
        <v>1289</v>
      </c>
      <c r="F248" s="3" t="str">
        <f>IFERROR( VLOOKUP(A248,#REF!,2,0),"")</f>
        <v/>
      </c>
      <c r="G248" s="3" t="str">
        <f t="array" ref="G248">_xlfn.XLOOKUP(I248,Base_Datos!D:D,Base_Datos!B:B,"")</f>
        <v>GAC</v>
      </c>
      <c r="H248" s="3" t="str">
        <f t="array" ref="H248">IF(I248="","",IFERROR(_xlfn.XLOOKUP(I248,Base_Datos!$D$2:$D3876,Base_Datos!$C$2:$C3876),""))</f>
        <v>Serie Emzoom</v>
      </c>
      <c r="I248" s="3" t="s">
        <v>1203</v>
      </c>
      <c r="J248" s="3" t="str">
        <f>IF(I248="","",IFERROR(VLOOKUP(I248,Base_Datos!$D$2:$E$72,2,0),""))</f>
        <v>(1.5L)</v>
      </c>
      <c r="K248" s="3"/>
      <c r="L248" s="3"/>
      <c r="M248" s="7">
        <v>3</v>
      </c>
      <c r="N248" s="7">
        <v>0</v>
      </c>
    </row>
    <row r="249" spans="1:14" ht="14.25" x14ac:dyDescent="0.2">
      <c r="A249" s="3">
        <v>66089</v>
      </c>
      <c r="B249" s="3" t="s">
        <v>2047</v>
      </c>
      <c r="C249" s="3" t="s">
        <v>16</v>
      </c>
      <c r="D249" s="6" t="s">
        <v>1290</v>
      </c>
      <c r="E249" s="6" t="s">
        <v>1290</v>
      </c>
      <c r="F249" s="3" t="str">
        <f>IFERROR( VLOOKUP(A249,#REF!,2,0),"")</f>
        <v/>
      </c>
      <c r="G249" s="3" t="str">
        <f t="array" ref="G249">_xlfn.XLOOKUP(I249,Base_Datos!D:D,Base_Datos!B:B,"")</f>
        <v>GAC</v>
      </c>
      <c r="H249" s="3" t="str">
        <f t="array" ref="H249">IF(I249="","",IFERROR(_xlfn.XLOOKUP(I249,Base_Datos!$D$2:$D3876,Base_Datos!$C$2:$C3876),""))</f>
        <v>Serie Emzoom</v>
      </c>
      <c r="I249" s="3" t="s">
        <v>1203</v>
      </c>
      <c r="J249" s="3" t="str">
        <f>IF(I249="","",IFERROR(VLOOKUP(I249,Base_Datos!$D$2:$E$72,2,0),""))</f>
        <v>(1.5L)</v>
      </c>
      <c r="K249" s="3"/>
      <c r="L249" s="3"/>
      <c r="M249" s="7">
        <v>3</v>
      </c>
      <c r="N249" s="7">
        <v>0</v>
      </c>
    </row>
    <row r="250" spans="1:14" ht="14.25" x14ac:dyDescent="0.2">
      <c r="A250" s="3">
        <v>66090</v>
      </c>
      <c r="B250" s="3" t="s">
        <v>2048</v>
      </c>
      <c r="C250" s="3" t="s">
        <v>16</v>
      </c>
      <c r="D250" s="6" t="s">
        <v>1291</v>
      </c>
      <c r="E250" s="6" t="s">
        <v>1782</v>
      </c>
      <c r="F250" s="3" t="str">
        <f>IFERROR( VLOOKUP(A250,#REF!,2,0),"")</f>
        <v/>
      </c>
      <c r="G250" s="3" t="str">
        <f t="array" ref="G250">_xlfn.XLOOKUP(I250,Base_Datos!D:D,Base_Datos!B:B,"")</f>
        <v>GAC</v>
      </c>
      <c r="H250" s="3" t="str">
        <f t="array" ref="H250">IF(I250="","",IFERROR(_xlfn.XLOOKUP(I250,Base_Datos!$D$2:$D3876,Base_Datos!$C$2:$C3876),""))</f>
        <v>Serie Emzoom</v>
      </c>
      <c r="I250" s="3" t="s">
        <v>1203</v>
      </c>
      <c r="J250" s="3" t="str">
        <f>IF(I250="","",IFERROR(VLOOKUP(I250,Base_Datos!$D$2:$E$72,2,0),""))</f>
        <v>(1.5L)</v>
      </c>
      <c r="K250" s="3"/>
      <c r="L250" s="3"/>
      <c r="M250" s="7">
        <v>1</v>
      </c>
      <c r="N250" s="7">
        <v>0</v>
      </c>
    </row>
    <row r="251" spans="1:14" ht="14.25" x14ac:dyDescent="0.2">
      <c r="A251" s="3">
        <v>66091</v>
      </c>
      <c r="B251" s="3" t="s">
        <v>2049</v>
      </c>
      <c r="C251" s="3" t="s">
        <v>16</v>
      </c>
      <c r="D251" s="6" t="s">
        <v>1292</v>
      </c>
      <c r="E251" s="6" t="s">
        <v>1782</v>
      </c>
      <c r="F251" s="3" t="str">
        <f>IFERROR( VLOOKUP(A251,#REF!,2,0),"")</f>
        <v/>
      </c>
      <c r="G251" s="3" t="str">
        <f t="array" ref="G251">_xlfn.XLOOKUP(I251,Base_Datos!D:D,Base_Datos!B:B,"")</f>
        <v>GAC</v>
      </c>
      <c r="H251" s="3" t="str">
        <f t="array" ref="H251">IF(I251="","",IFERROR(_xlfn.XLOOKUP(I251,Base_Datos!$D$2:$D3876,Base_Datos!$C$2:$C3876),""))</f>
        <v>Serie Emzoom</v>
      </c>
      <c r="I251" s="3" t="s">
        <v>1203</v>
      </c>
      <c r="J251" s="3" t="str">
        <f>IF(I251="","",IFERROR(VLOOKUP(I251,Base_Datos!$D$2:$E$72,2,0),""))</f>
        <v>(1.5L)</v>
      </c>
      <c r="K251" s="3"/>
      <c r="L251" s="3"/>
      <c r="M251" s="7">
        <v>2</v>
      </c>
      <c r="N251" s="7">
        <v>0</v>
      </c>
    </row>
    <row r="252" spans="1:14" ht="14.25" x14ac:dyDescent="0.2">
      <c r="A252" s="3">
        <v>66092</v>
      </c>
      <c r="B252" s="3" t="s">
        <v>2050</v>
      </c>
      <c r="C252" s="3" t="s">
        <v>16</v>
      </c>
      <c r="D252" s="6" t="s">
        <v>1293</v>
      </c>
      <c r="E252" s="6" t="s">
        <v>1293</v>
      </c>
      <c r="F252" s="3" t="str">
        <f>IFERROR( VLOOKUP(A252,#REF!,2,0),"")</f>
        <v/>
      </c>
      <c r="G252" s="3" t="str">
        <f t="array" ref="G252">_xlfn.XLOOKUP(I252,Base_Datos!D:D,Base_Datos!B:B,"")</f>
        <v>GAC</v>
      </c>
      <c r="H252" s="3" t="str">
        <f t="array" ref="H252">IF(I252="","",IFERROR(_xlfn.XLOOKUP(I252,Base_Datos!$D$2:$D3876,Base_Datos!$C$2:$C3876),""))</f>
        <v>Serie Emzoom</v>
      </c>
      <c r="I252" s="3" t="s">
        <v>1203</v>
      </c>
      <c r="J252" s="3" t="str">
        <f>IF(I252="","",IFERROR(VLOOKUP(I252,Base_Datos!$D$2:$E$72,2,0),""))</f>
        <v>(1.5L)</v>
      </c>
      <c r="K252" s="3"/>
      <c r="L252" s="3"/>
      <c r="M252" s="7">
        <v>2</v>
      </c>
      <c r="N252" s="7">
        <v>0</v>
      </c>
    </row>
    <row r="253" spans="1:14" ht="14.25" x14ac:dyDescent="0.2">
      <c r="A253" s="3">
        <v>66093</v>
      </c>
      <c r="B253" s="3" t="s">
        <v>2051</v>
      </c>
      <c r="C253" s="3" t="s">
        <v>16</v>
      </c>
      <c r="D253" s="6" t="s">
        <v>1294</v>
      </c>
      <c r="E253" s="6" t="s">
        <v>1782</v>
      </c>
      <c r="F253" s="3" t="str">
        <f>IFERROR( VLOOKUP(A253,#REF!,2,0),"")</f>
        <v/>
      </c>
      <c r="G253" s="3" t="str">
        <f t="array" ref="G253">_xlfn.XLOOKUP(I253,Base_Datos!D:D,Base_Datos!B:B,"")</f>
        <v>GAC</v>
      </c>
      <c r="H253" s="3" t="str">
        <f t="array" ref="H253">IF(I253="","",IFERROR(_xlfn.XLOOKUP(I253,Base_Datos!$D$2:$D3876,Base_Datos!$C$2:$C3876),""))</f>
        <v>Serie Emzoom</v>
      </c>
      <c r="I253" s="3" t="s">
        <v>1203</v>
      </c>
      <c r="J253" s="3" t="str">
        <f>IF(I253="","",IFERROR(VLOOKUP(I253,Base_Datos!$D$2:$E$72,2,0),""))</f>
        <v>(1.5L)</v>
      </c>
      <c r="K253" s="3"/>
      <c r="L253" s="3"/>
      <c r="M253" s="7">
        <v>3</v>
      </c>
      <c r="N253" s="7">
        <v>0</v>
      </c>
    </row>
    <row r="254" spans="1:14" ht="14.25" x14ac:dyDescent="0.2">
      <c r="A254" s="3">
        <v>66094</v>
      </c>
      <c r="B254" s="3" t="s">
        <v>2052</v>
      </c>
      <c r="C254" s="3" t="s">
        <v>16</v>
      </c>
      <c r="D254" s="6" t="s">
        <v>1295</v>
      </c>
      <c r="E254" s="6" t="s">
        <v>1782</v>
      </c>
      <c r="F254" s="3" t="str">
        <f>IFERROR( VLOOKUP(A254,#REF!,2,0),"")</f>
        <v/>
      </c>
      <c r="G254" s="3" t="str">
        <f t="array" ref="G254">_xlfn.XLOOKUP(I254,Base_Datos!D:D,Base_Datos!B:B,"")</f>
        <v>GAC</v>
      </c>
      <c r="H254" s="3" t="str">
        <f t="array" ref="H254">IF(I254="","",IFERROR(_xlfn.XLOOKUP(I254,Base_Datos!$D$2:$D3876,Base_Datos!$C$2:$C3876),""))</f>
        <v>Serie Emzoom</v>
      </c>
      <c r="I254" s="3" t="s">
        <v>1203</v>
      </c>
      <c r="J254" s="3" t="str">
        <f>IF(I254="","",IFERROR(VLOOKUP(I254,Base_Datos!$D$2:$E$72,2,0),""))</f>
        <v>(1.5L)</v>
      </c>
      <c r="K254" s="3"/>
      <c r="L254" s="3"/>
      <c r="M254" s="7">
        <v>2</v>
      </c>
      <c r="N254" s="7">
        <v>0</v>
      </c>
    </row>
    <row r="255" spans="1:14" ht="14.25" x14ac:dyDescent="0.2">
      <c r="A255" s="3">
        <v>66095</v>
      </c>
      <c r="B255" s="3" t="s">
        <v>2053</v>
      </c>
      <c r="C255" s="3" t="s">
        <v>16</v>
      </c>
      <c r="D255" s="6" t="s">
        <v>1296</v>
      </c>
      <c r="E255" s="6" t="s">
        <v>1782</v>
      </c>
      <c r="F255" s="3" t="str">
        <f>IFERROR( VLOOKUP(A255,#REF!,2,0),"")</f>
        <v/>
      </c>
      <c r="G255" s="3" t="str">
        <f t="array" ref="G255">_xlfn.XLOOKUP(I255,Base_Datos!D:D,Base_Datos!B:B,"")</f>
        <v>GAC</v>
      </c>
      <c r="H255" s="3" t="str">
        <f t="array" ref="H255">IF(I255="","",IFERROR(_xlfn.XLOOKUP(I255,Base_Datos!$D$2:$D3876,Base_Datos!$C$2:$C3876),""))</f>
        <v>Serie Emzoom</v>
      </c>
      <c r="I255" s="3" t="s">
        <v>1203</v>
      </c>
      <c r="J255" s="3" t="str">
        <f>IF(I255="","",IFERROR(VLOOKUP(I255,Base_Datos!$D$2:$E$72,2,0),""))</f>
        <v>(1.5L)</v>
      </c>
      <c r="K255" s="3"/>
      <c r="L255" s="3"/>
      <c r="M255" s="7">
        <v>3</v>
      </c>
      <c r="N255" s="7">
        <v>0</v>
      </c>
    </row>
    <row r="256" spans="1:14" ht="14.25" x14ac:dyDescent="0.2">
      <c r="A256" s="3">
        <v>66096</v>
      </c>
      <c r="B256" s="3" t="s">
        <v>2054</v>
      </c>
      <c r="C256" s="3" t="s">
        <v>16</v>
      </c>
      <c r="D256" s="6" t="s">
        <v>1297</v>
      </c>
      <c r="E256" s="6" t="s">
        <v>1782</v>
      </c>
      <c r="F256" s="3" t="str">
        <f>IFERROR( VLOOKUP(A256,#REF!,2,0),"")</f>
        <v/>
      </c>
      <c r="G256" s="3" t="str">
        <f t="array" ref="G256">_xlfn.XLOOKUP(I256,Base_Datos!D:D,Base_Datos!B:B,"")</f>
        <v>GAC</v>
      </c>
      <c r="H256" s="3" t="str">
        <f t="array" ref="H256">IF(I256="","",IFERROR(_xlfn.XLOOKUP(I256,Base_Datos!$D$2:$D3876,Base_Datos!$C$2:$C3876),""))</f>
        <v>Serie Emzoom</v>
      </c>
      <c r="I256" s="3" t="s">
        <v>1203</v>
      </c>
      <c r="J256" s="3" t="str">
        <f>IF(I256="","",IFERROR(VLOOKUP(I256,Base_Datos!$D$2:$E$72,2,0),""))</f>
        <v>(1.5L)</v>
      </c>
      <c r="K256" s="3"/>
      <c r="L256" s="3"/>
      <c r="M256" s="7">
        <v>2</v>
      </c>
      <c r="N256" s="7">
        <v>0</v>
      </c>
    </row>
    <row r="257" spans="1:14" ht="14.25" x14ac:dyDescent="0.2">
      <c r="A257" s="3">
        <v>66097</v>
      </c>
      <c r="B257" s="3" t="s">
        <v>2055</v>
      </c>
      <c r="C257" s="3" t="s">
        <v>16</v>
      </c>
      <c r="D257" s="6" t="s">
        <v>1298</v>
      </c>
      <c r="E257" s="6" t="s">
        <v>1782</v>
      </c>
      <c r="F257" s="3" t="str">
        <f>IFERROR( VLOOKUP(A257,#REF!,2,0),"")</f>
        <v/>
      </c>
      <c r="G257" s="3" t="str">
        <f t="array" ref="G257">_xlfn.XLOOKUP(I257,Base_Datos!D:D,Base_Datos!B:B,"")</f>
        <v>GAC</v>
      </c>
      <c r="H257" s="3" t="str">
        <f t="array" ref="H257">IF(I257="","",IFERROR(_xlfn.XLOOKUP(I257,Base_Datos!$D$2:$D3876,Base_Datos!$C$2:$C3876),""))</f>
        <v>Serie Emzoom</v>
      </c>
      <c r="I257" s="3" t="s">
        <v>1203</v>
      </c>
      <c r="J257" s="3" t="str">
        <f>IF(I257="","",IFERROR(VLOOKUP(I257,Base_Datos!$D$2:$E$72,2,0),""))</f>
        <v>(1.5L)</v>
      </c>
      <c r="K257" s="3"/>
      <c r="L257" s="3"/>
      <c r="M257" s="7">
        <v>3</v>
      </c>
      <c r="N257" s="7">
        <v>0</v>
      </c>
    </row>
    <row r="258" spans="1:14" ht="14.25" x14ac:dyDescent="0.2">
      <c r="A258" s="3">
        <v>66098</v>
      </c>
      <c r="B258" s="3" t="s">
        <v>2056</v>
      </c>
      <c r="C258" s="3" t="s">
        <v>16</v>
      </c>
      <c r="D258" s="6" t="s">
        <v>1299</v>
      </c>
      <c r="E258" s="6" t="s">
        <v>1782</v>
      </c>
      <c r="F258" s="3" t="str">
        <f>IFERROR( VLOOKUP(A258,#REF!,2,0),"")</f>
        <v/>
      </c>
      <c r="G258" s="3" t="str">
        <f t="array" ref="G258">_xlfn.XLOOKUP(I258,Base_Datos!D:D,Base_Datos!B:B,"")</f>
        <v>GAC</v>
      </c>
      <c r="H258" s="3" t="str">
        <f t="array" ref="H258">IF(I258="","",IFERROR(_xlfn.XLOOKUP(I258,Base_Datos!$D$2:$D3876,Base_Datos!$C$2:$C3876),""))</f>
        <v>Serie Emzoom</v>
      </c>
      <c r="I258" s="3" t="s">
        <v>1203</v>
      </c>
      <c r="J258" s="3" t="str">
        <f>IF(I258="","",IFERROR(VLOOKUP(I258,Base_Datos!$D$2:$E$72,2,0),""))</f>
        <v>(1.5L)</v>
      </c>
      <c r="K258" s="3"/>
      <c r="L258" s="3"/>
      <c r="M258" s="7">
        <v>3</v>
      </c>
      <c r="N258" s="7">
        <v>0</v>
      </c>
    </row>
    <row r="259" spans="1:14" ht="14.25" x14ac:dyDescent="0.2">
      <c r="A259" s="3">
        <v>66099</v>
      </c>
      <c r="B259" s="3" t="s">
        <v>2057</v>
      </c>
      <c r="C259" s="3" t="s">
        <v>16</v>
      </c>
      <c r="D259" s="6" t="s">
        <v>1300</v>
      </c>
      <c r="E259" s="6" t="s">
        <v>1782</v>
      </c>
      <c r="F259" s="3" t="str">
        <f>IFERROR( VLOOKUP(A259,#REF!,2,0),"")</f>
        <v/>
      </c>
      <c r="G259" s="3" t="str">
        <f t="array" ref="G259">_xlfn.XLOOKUP(I259,Base_Datos!D:D,Base_Datos!B:B,"")</f>
        <v>GAC</v>
      </c>
      <c r="H259" s="3" t="str">
        <f t="array" ref="H259">IF(I259="","",IFERROR(_xlfn.XLOOKUP(I259,Base_Datos!$D$2:$D3876,Base_Datos!$C$2:$C3876),""))</f>
        <v>Serie Emzoom</v>
      </c>
      <c r="I259" s="3" t="s">
        <v>1203</v>
      </c>
      <c r="J259" s="3" t="str">
        <f>IF(I259="","",IFERROR(VLOOKUP(I259,Base_Datos!$D$2:$E$72,2,0),""))</f>
        <v>(1.5L)</v>
      </c>
      <c r="K259" s="3"/>
      <c r="L259" s="3"/>
      <c r="M259" s="7">
        <v>3</v>
      </c>
      <c r="N259" s="7">
        <v>0</v>
      </c>
    </row>
    <row r="260" spans="1:14" ht="14.25" x14ac:dyDescent="0.2">
      <c r="A260" s="3">
        <v>66100</v>
      </c>
      <c r="B260" s="3" t="s">
        <v>2058</v>
      </c>
      <c r="C260" s="3" t="s">
        <v>16</v>
      </c>
      <c r="D260" s="6" t="s">
        <v>1301</v>
      </c>
      <c r="E260" s="6" t="s">
        <v>1301</v>
      </c>
      <c r="F260" s="3" t="str">
        <f>IFERROR( VLOOKUP(A260,#REF!,2,0),"")</f>
        <v/>
      </c>
      <c r="G260" s="3" t="str">
        <f t="array" ref="G260">_xlfn.XLOOKUP(I260,Base_Datos!D:D,Base_Datos!B:B,"")</f>
        <v>GAC</v>
      </c>
      <c r="H260" s="3" t="str">
        <f t="array" ref="H260">IF(I260="","",IFERROR(_xlfn.XLOOKUP(I260,Base_Datos!$D$2:$D3876,Base_Datos!$C$2:$C3876),""))</f>
        <v>Serie Emzoom</v>
      </c>
      <c r="I260" s="3" t="s">
        <v>1203</v>
      </c>
      <c r="J260" s="3" t="str">
        <f>IF(I260="","",IFERROR(VLOOKUP(I260,Base_Datos!$D$2:$E$72,2,0),""))</f>
        <v>(1.5L)</v>
      </c>
      <c r="K260" s="3"/>
      <c r="L260" s="3"/>
      <c r="M260" s="7">
        <v>2</v>
      </c>
      <c r="N260" s="7">
        <v>0</v>
      </c>
    </row>
    <row r="261" spans="1:14" ht="14.25" x14ac:dyDescent="0.2">
      <c r="A261" s="3">
        <v>66101</v>
      </c>
      <c r="B261" s="3" t="s">
        <v>2059</v>
      </c>
      <c r="C261" s="3" t="s">
        <v>16</v>
      </c>
      <c r="D261" s="6" t="s">
        <v>1302</v>
      </c>
      <c r="E261" s="6" t="s">
        <v>1782</v>
      </c>
      <c r="F261" s="3" t="str">
        <f>IFERROR( VLOOKUP(A261,#REF!,2,0),"")</f>
        <v/>
      </c>
      <c r="G261" s="3" t="str">
        <f t="array" ref="G261">_xlfn.XLOOKUP(I261,Base_Datos!D:D,Base_Datos!B:B,"")</f>
        <v>GAC</v>
      </c>
      <c r="H261" s="3" t="str">
        <f t="array" ref="H261">IF(I261="","",IFERROR(_xlfn.XLOOKUP(I261,Base_Datos!$D$2:$D3876,Base_Datos!$C$2:$C3876),""))</f>
        <v>Serie Emzoom</v>
      </c>
      <c r="I261" s="3" t="s">
        <v>1203</v>
      </c>
      <c r="J261" s="3" t="str">
        <f>IF(I261="","",IFERROR(VLOOKUP(I261,Base_Datos!$D$2:$E$72,2,0),""))</f>
        <v>(1.5L)</v>
      </c>
      <c r="K261" s="3"/>
      <c r="L261" s="3"/>
      <c r="M261" s="7">
        <v>0</v>
      </c>
      <c r="N261" s="7">
        <v>0</v>
      </c>
    </row>
    <row r="262" spans="1:14" ht="14.25" x14ac:dyDescent="0.2">
      <c r="A262" s="3">
        <v>66102</v>
      </c>
      <c r="B262" s="3" t="s">
        <v>2059</v>
      </c>
      <c r="C262" s="3" t="s">
        <v>16</v>
      </c>
      <c r="D262" s="6" t="s">
        <v>1303</v>
      </c>
      <c r="E262" s="6" t="s">
        <v>1782</v>
      </c>
      <c r="F262" s="3" t="str">
        <f>IFERROR( VLOOKUP(A262,#REF!,2,0),"")</f>
        <v/>
      </c>
      <c r="G262" s="3" t="str">
        <f t="array" ref="G262">_xlfn.XLOOKUP(I262,Base_Datos!D:D,Base_Datos!B:B,"")</f>
        <v>GAC</v>
      </c>
      <c r="H262" s="3" t="str">
        <f t="array" ref="H262">IF(I262="","",IFERROR(_xlfn.XLOOKUP(I262,Base_Datos!$D$2:$D3876,Base_Datos!$C$2:$C3876),""))</f>
        <v>Serie Emzoom</v>
      </c>
      <c r="I262" s="3" t="s">
        <v>1203</v>
      </c>
      <c r="J262" s="3" t="str">
        <f>IF(I262="","",IFERROR(VLOOKUP(I262,Base_Datos!$D$2:$E$72,2,0),""))</f>
        <v>(1.5L)</v>
      </c>
      <c r="K262" s="3" t="s">
        <v>2060</v>
      </c>
      <c r="L262" s="3"/>
      <c r="M262" s="7">
        <v>2</v>
      </c>
      <c r="N262" s="7">
        <v>0</v>
      </c>
    </row>
    <row r="263" spans="1:14" ht="14.25" x14ac:dyDescent="0.2">
      <c r="A263" s="3">
        <v>66103</v>
      </c>
      <c r="B263" s="3" t="s">
        <v>2061</v>
      </c>
      <c r="C263" s="3" t="s">
        <v>16</v>
      </c>
      <c r="D263" s="6" t="s">
        <v>1304</v>
      </c>
      <c r="E263" s="6" t="s">
        <v>2062</v>
      </c>
      <c r="F263" s="3" t="str">
        <f>IFERROR( VLOOKUP(A263,#REF!,2,0),"")</f>
        <v/>
      </c>
      <c r="G263" s="3" t="str">
        <f t="array" ref="G263">_xlfn.XLOOKUP(I263,Base_Datos!D:D,Base_Datos!B:B,"")</f>
        <v>GAC</v>
      </c>
      <c r="H263" s="3" t="str">
        <f t="array" ref="H263">IF(I263="","",IFERROR(_xlfn.XLOOKUP(I263,Base_Datos!$D$2:$D3876,Base_Datos!$C$2:$C3876),""))</f>
        <v>Serie Emzoom</v>
      </c>
      <c r="I263" s="3" t="s">
        <v>1203</v>
      </c>
      <c r="J263" s="3" t="str">
        <f>IF(I263="","",IFERROR(VLOOKUP(I263,Base_Datos!$D$2:$E$72,2,0),""))</f>
        <v>(1.5L)</v>
      </c>
      <c r="K263" s="3"/>
      <c r="L263" s="3"/>
      <c r="M263" s="7">
        <v>2</v>
      </c>
      <c r="N263" s="7">
        <v>0</v>
      </c>
    </row>
    <row r="264" spans="1:14" ht="14.25" x14ac:dyDescent="0.2">
      <c r="A264" s="3">
        <v>66104</v>
      </c>
      <c r="B264" s="3" t="s">
        <v>2063</v>
      </c>
      <c r="C264" s="3" t="s">
        <v>16</v>
      </c>
      <c r="D264" s="6" t="s">
        <v>1305</v>
      </c>
      <c r="E264" s="6" t="s">
        <v>1782</v>
      </c>
      <c r="F264" s="3" t="str">
        <f>IFERROR( VLOOKUP(A264,#REF!,2,0),"")</f>
        <v/>
      </c>
      <c r="G264" s="3" t="str">
        <f t="array" ref="G264">_xlfn.XLOOKUP(I264,Base_Datos!D:D,Base_Datos!B:B,"")</f>
        <v>GAC</v>
      </c>
      <c r="H264" s="3" t="str">
        <f t="array" ref="H264">IF(I264="","",IFERROR(_xlfn.XLOOKUP(I264,Base_Datos!$D$2:$D3876,Base_Datos!$C$2:$C3876),""))</f>
        <v>Serie Emzoom</v>
      </c>
      <c r="I264" s="3" t="s">
        <v>1203</v>
      </c>
      <c r="J264" s="3" t="str">
        <f>IF(I264="","",IFERROR(VLOOKUP(I264,Base_Datos!$D$2:$E$72,2,0),""))</f>
        <v>(1.5L)</v>
      </c>
      <c r="K264" s="3"/>
      <c r="L264" s="3"/>
      <c r="M264" s="7">
        <v>3</v>
      </c>
      <c r="N264" s="7">
        <v>0</v>
      </c>
    </row>
    <row r="265" spans="1:14" ht="14.25" x14ac:dyDescent="0.2">
      <c r="A265" s="3">
        <v>66105</v>
      </c>
      <c r="B265" s="3" t="s">
        <v>2064</v>
      </c>
      <c r="C265" s="3" t="s">
        <v>16</v>
      </c>
      <c r="D265" s="6" t="s">
        <v>1306</v>
      </c>
      <c r="E265" s="6" t="s">
        <v>1782</v>
      </c>
      <c r="F265" s="3" t="str">
        <f>IFERROR( VLOOKUP(A265,#REF!,2,0),"")</f>
        <v/>
      </c>
      <c r="G265" s="3" t="str">
        <f t="array" ref="G265">_xlfn.XLOOKUP(I265,Base_Datos!D:D,Base_Datos!B:B,"")</f>
        <v>GAC</v>
      </c>
      <c r="H265" s="3" t="str">
        <f t="array" ref="H265">IF(I265="","",IFERROR(_xlfn.XLOOKUP(I265,Base_Datos!$D$2:$D3876,Base_Datos!$C$2:$C3876),""))</f>
        <v>Serie Emzoom</v>
      </c>
      <c r="I265" s="3" t="s">
        <v>1203</v>
      </c>
      <c r="J265" s="3" t="str">
        <f>IF(I265="","",IFERROR(VLOOKUP(I265,Base_Datos!$D$2:$E$72,2,0),""))</f>
        <v>(1.5L)</v>
      </c>
      <c r="K265" s="3"/>
      <c r="L265" s="3"/>
      <c r="M265" s="7">
        <v>3</v>
      </c>
      <c r="N265" s="7">
        <v>0</v>
      </c>
    </row>
    <row r="266" spans="1:14" ht="14.25" x14ac:dyDescent="0.2">
      <c r="A266" s="3">
        <v>66106</v>
      </c>
      <c r="B266" s="3" t="s">
        <v>2065</v>
      </c>
      <c r="C266" s="3" t="s">
        <v>16</v>
      </c>
      <c r="D266" s="6" t="s">
        <v>1307</v>
      </c>
      <c r="E266" s="6" t="s">
        <v>1782</v>
      </c>
      <c r="F266" s="3" t="str">
        <f>IFERROR( VLOOKUP(A266,#REF!,2,0),"")</f>
        <v/>
      </c>
      <c r="G266" s="3" t="str">
        <f t="array" ref="G266">_xlfn.XLOOKUP(I266,Base_Datos!D:D,Base_Datos!B:B,"")</f>
        <v>GAC</v>
      </c>
      <c r="H266" s="3" t="str">
        <f t="array" ref="H266">IF(I266="","",IFERROR(_xlfn.XLOOKUP(I266,Base_Datos!$D$2:$D3876,Base_Datos!$C$2:$C3876),""))</f>
        <v>Serie Emzoom</v>
      </c>
      <c r="I266" s="3" t="s">
        <v>1203</v>
      </c>
      <c r="J266" s="3" t="str">
        <f>IF(I266="","",IFERROR(VLOOKUP(I266,Base_Datos!$D$2:$E$72,2,0),""))</f>
        <v>(1.5L)</v>
      </c>
      <c r="K266" s="3"/>
      <c r="L266" s="3"/>
      <c r="M266" s="7">
        <v>2</v>
      </c>
      <c r="N266" s="7">
        <v>0</v>
      </c>
    </row>
    <row r="267" spans="1:14" ht="14.25" x14ac:dyDescent="0.2">
      <c r="A267" s="3">
        <v>66107</v>
      </c>
      <c r="B267" s="3" t="s">
        <v>2066</v>
      </c>
      <c r="C267" s="3" t="s">
        <v>16</v>
      </c>
      <c r="D267" s="6" t="s">
        <v>1308</v>
      </c>
      <c r="E267" s="6" t="s">
        <v>1782</v>
      </c>
      <c r="F267" s="3" t="str">
        <f>IFERROR( VLOOKUP(A267,#REF!,2,0),"")</f>
        <v/>
      </c>
      <c r="G267" s="3" t="str">
        <f t="array" ref="G267">_xlfn.XLOOKUP(I267,Base_Datos!D:D,Base_Datos!B:B,"")</f>
        <v>GAC</v>
      </c>
      <c r="H267" s="3" t="str">
        <f t="array" ref="H267">IF(I267="","",IFERROR(_xlfn.XLOOKUP(I267,Base_Datos!$D$2:$D3876,Base_Datos!$C$2:$C3876),""))</f>
        <v>Serie Emzoom</v>
      </c>
      <c r="I267" s="3" t="s">
        <v>1203</v>
      </c>
      <c r="J267" s="3" t="str">
        <f>IF(I267="","",IFERROR(VLOOKUP(I267,Base_Datos!$D$2:$E$72,2,0),""))</f>
        <v>(1.5L)</v>
      </c>
      <c r="K267" s="3"/>
      <c r="L267" s="3"/>
      <c r="M267" s="7">
        <v>2</v>
      </c>
      <c r="N267" s="7">
        <v>0</v>
      </c>
    </row>
    <row r="268" spans="1:14" ht="14.25" x14ac:dyDescent="0.2">
      <c r="A268" s="3">
        <v>66108</v>
      </c>
      <c r="B268" s="3" t="s">
        <v>2067</v>
      </c>
      <c r="C268" s="3" t="s">
        <v>16</v>
      </c>
      <c r="D268" s="6" t="s">
        <v>1309</v>
      </c>
      <c r="E268" s="6" t="s">
        <v>2068</v>
      </c>
      <c r="F268" s="3" t="str">
        <f>IFERROR( VLOOKUP(A268,#REF!,2,0),"")</f>
        <v/>
      </c>
      <c r="G268" s="3" t="str">
        <f t="array" ref="G268">_xlfn.XLOOKUP(I268,Base_Datos!D:D,Base_Datos!B:B,"")</f>
        <v>GAC</v>
      </c>
      <c r="H268" s="3" t="str">
        <f t="array" ref="H268">IF(I268="","",IFERROR(_xlfn.XLOOKUP(I268,Base_Datos!$D$2:$D3876,Base_Datos!$C$2:$C3876),""))</f>
        <v>Serie Emzoom</v>
      </c>
      <c r="I268" s="3" t="s">
        <v>1203</v>
      </c>
      <c r="J268" s="3" t="str">
        <f>IF(I268="","",IFERROR(VLOOKUP(I268,Base_Datos!$D$2:$E$72,2,0),""))</f>
        <v>(1.5L)</v>
      </c>
      <c r="K268" s="3"/>
      <c r="L268" s="3"/>
      <c r="M268" s="7">
        <v>3</v>
      </c>
      <c r="N268" s="7">
        <v>0</v>
      </c>
    </row>
    <row r="269" spans="1:14" ht="14.25" x14ac:dyDescent="0.2">
      <c r="A269" s="3">
        <v>66109</v>
      </c>
      <c r="B269" s="3" t="s">
        <v>2069</v>
      </c>
      <c r="C269" s="3" t="s">
        <v>16</v>
      </c>
      <c r="D269" s="6" t="s">
        <v>1310</v>
      </c>
      <c r="E269" s="6" t="s">
        <v>1310</v>
      </c>
      <c r="F269" s="3" t="str">
        <f>IFERROR( VLOOKUP(A269,#REF!,2,0),"")</f>
        <v/>
      </c>
      <c r="G269" s="3" t="str">
        <f t="array" ref="G269">_xlfn.XLOOKUP(I269,Base_Datos!D:D,Base_Datos!B:B,"")</f>
        <v>GAC</v>
      </c>
      <c r="H269" s="3" t="str">
        <f t="array" ref="H269">IF(I269="","",IFERROR(_xlfn.XLOOKUP(I269,Base_Datos!$D$2:$D3876,Base_Datos!$C$2:$C3876),""))</f>
        <v>Serie Emzoom</v>
      </c>
      <c r="I269" s="3" t="s">
        <v>1203</v>
      </c>
      <c r="J269" s="3" t="str">
        <f>IF(I269="","",IFERROR(VLOOKUP(I269,Base_Datos!$D$2:$E$72,2,0),""))</f>
        <v>(1.5L)</v>
      </c>
      <c r="K269" s="3"/>
      <c r="L269" s="3"/>
      <c r="M269" s="7">
        <v>3</v>
      </c>
      <c r="N269" s="7">
        <v>0</v>
      </c>
    </row>
    <row r="270" spans="1:14" ht="14.25" x14ac:dyDescent="0.2">
      <c r="A270" s="3">
        <v>66110</v>
      </c>
      <c r="B270" s="3" t="s">
        <v>2059</v>
      </c>
      <c r="C270" s="3" t="s">
        <v>16</v>
      </c>
      <c r="D270" s="6" t="s">
        <v>1311</v>
      </c>
      <c r="E270" s="6" t="s">
        <v>1311</v>
      </c>
      <c r="F270" s="3" t="str">
        <f>IFERROR( VLOOKUP(A270,#REF!,2,0),"")</f>
        <v/>
      </c>
      <c r="G270" s="3" t="str">
        <f t="array" ref="G270">_xlfn.XLOOKUP(I270,Base_Datos!D:D,Base_Datos!B:B,"")</f>
        <v>GAC</v>
      </c>
      <c r="H270" s="3" t="str">
        <f t="array" ref="H270">IF(I270="","",IFERROR(_xlfn.XLOOKUP(I270,Base_Datos!$D$2:$D3876,Base_Datos!$C$2:$C3876),""))</f>
        <v>Serie Emzoom</v>
      </c>
      <c r="I270" s="3" t="s">
        <v>1203</v>
      </c>
      <c r="J270" s="3" t="str">
        <f>IF(I270="","",IFERROR(VLOOKUP(I270,Base_Datos!$D$2:$E$72,2,0),""))</f>
        <v>(1.5L)</v>
      </c>
      <c r="K270" s="3"/>
      <c r="L270" s="3"/>
      <c r="M270" s="7">
        <v>2</v>
      </c>
      <c r="N270" s="7">
        <v>0</v>
      </c>
    </row>
    <row r="271" spans="1:14" ht="14.25" x14ac:dyDescent="0.2">
      <c r="A271" s="3">
        <v>66111</v>
      </c>
      <c r="B271" s="3" t="s">
        <v>2061</v>
      </c>
      <c r="C271" s="3" t="s">
        <v>16</v>
      </c>
      <c r="D271" s="6" t="s">
        <v>1312</v>
      </c>
      <c r="E271" s="6" t="s">
        <v>1312</v>
      </c>
      <c r="F271" s="3" t="str">
        <f>IFERROR( VLOOKUP(A271,#REF!,2,0),"")</f>
        <v/>
      </c>
      <c r="G271" s="3" t="str">
        <f t="array" ref="G271">_xlfn.XLOOKUP(I271,Base_Datos!D:D,Base_Datos!B:B,"")</f>
        <v>GAC</v>
      </c>
      <c r="H271" s="3" t="str">
        <f t="array" ref="H271">IF(I271="","",IFERROR(_xlfn.XLOOKUP(I271,Base_Datos!$D$2:$D3876,Base_Datos!$C$2:$C3876),""))</f>
        <v>Serie Emzoom</v>
      </c>
      <c r="I271" s="3" t="s">
        <v>1203</v>
      </c>
      <c r="J271" s="3" t="str">
        <f>IF(I271="","",IFERROR(VLOOKUP(I271,Base_Datos!$D$2:$E$72,2,0),""))</f>
        <v>(1.5L)</v>
      </c>
      <c r="K271" s="3"/>
      <c r="L271" s="3"/>
      <c r="M271" s="7">
        <v>2</v>
      </c>
      <c r="N271" s="7">
        <v>0</v>
      </c>
    </row>
    <row r="272" spans="1:14" ht="14.25" x14ac:dyDescent="0.2">
      <c r="A272" s="3">
        <v>66112</v>
      </c>
      <c r="B272" s="3" t="s">
        <v>2070</v>
      </c>
      <c r="C272" s="3" t="s">
        <v>16</v>
      </c>
      <c r="D272" s="6" t="s">
        <v>1313</v>
      </c>
      <c r="E272" s="6" t="s">
        <v>1782</v>
      </c>
      <c r="F272" s="3" t="str">
        <f>IFERROR( VLOOKUP(A272,#REF!,2,0),"")</f>
        <v/>
      </c>
      <c r="G272" s="3" t="str">
        <f t="array" ref="G272">_xlfn.XLOOKUP(I272,Base_Datos!D:D,Base_Datos!B:B,"")</f>
        <v>GAC</v>
      </c>
      <c r="H272" s="3" t="str">
        <f t="array" ref="H272">IF(I272="","",IFERROR(_xlfn.XLOOKUP(I272,Base_Datos!$D$2:$D3876,Base_Datos!$C$2:$C3876),""))</f>
        <v>Serie Emzoom</v>
      </c>
      <c r="I272" s="3" t="s">
        <v>1203</v>
      </c>
      <c r="J272" s="3" t="str">
        <f>IF(I272="","",IFERROR(VLOOKUP(I272,Base_Datos!$D$2:$E$72,2,0),""))</f>
        <v>(1.5L)</v>
      </c>
      <c r="K272" s="3"/>
      <c r="L272" s="3"/>
      <c r="M272" s="7">
        <v>0</v>
      </c>
      <c r="N272" s="7">
        <v>0</v>
      </c>
    </row>
    <row r="273" spans="1:14" ht="14.25" x14ac:dyDescent="0.2">
      <c r="A273" s="3">
        <v>66113</v>
      </c>
      <c r="B273" s="3" t="s">
        <v>2071</v>
      </c>
      <c r="C273" s="3" t="s">
        <v>16</v>
      </c>
      <c r="D273" s="6" t="s">
        <v>1314</v>
      </c>
      <c r="E273" s="6" t="s">
        <v>1782</v>
      </c>
      <c r="F273" s="3" t="str">
        <f>IFERROR( VLOOKUP(A273,#REF!,2,0),"")</f>
        <v/>
      </c>
      <c r="G273" s="3" t="str">
        <f t="array" ref="G273">_xlfn.XLOOKUP(I273,Base_Datos!D:D,Base_Datos!B:B,"")</f>
        <v>GAC</v>
      </c>
      <c r="H273" s="3" t="str">
        <f t="array" ref="H273">IF(I273="","",IFERROR(_xlfn.XLOOKUP(I273,Base_Datos!$D$2:$D3876,Base_Datos!$C$2:$C3876),""))</f>
        <v>Serie Emzoom</v>
      </c>
      <c r="I273" s="3" t="s">
        <v>1203</v>
      </c>
      <c r="J273" s="3" t="str">
        <f>IF(I273="","",IFERROR(VLOOKUP(I273,Base_Datos!$D$2:$E$72,2,0),""))</f>
        <v>(1.5L)</v>
      </c>
      <c r="K273" s="3"/>
      <c r="L273" s="3"/>
      <c r="M273" s="7">
        <v>3</v>
      </c>
      <c r="N273" s="7">
        <v>0</v>
      </c>
    </row>
    <row r="274" spans="1:14" ht="14.25" x14ac:dyDescent="0.2">
      <c r="A274" s="3">
        <v>66114</v>
      </c>
      <c r="B274" s="3" t="s">
        <v>2072</v>
      </c>
      <c r="C274" s="3" t="s">
        <v>16</v>
      </c>
      <c r="D274" s="6" t="s">
        <v>1315</v>
      </c>
      <c r="E274" s="6" t="s">
        <v>1782</v>
      </c>
      <c r="F274" s="3" t="str">
        <f>IFERROR( VLOOKUP(A274,#REF!,2,0),"")</f>
        <v/>
      </c>
      <c r="G274" s="3" t="str">
        <f t="array" ref="G274">_xlfn.XLOOKUP(I274,Base_Datos!D:D,Base_Datos!B:B,"")</f>
        <v>GAC</v>
      </c>
      <c r="H274" s="3" t="str">
        <f t="array" ref="H274">IF(I274="","",IFERROR(_xlfn.XLOOKUP(I274,Base_Datos!$D$2:$D3876,Base_Datos!$C$2:$C3876),""))</f>
        <v>Serie Emzoom</v>
      </c>
      <c r="I274" s="3" t="s">
        <v>1203</v>
      </c>
      <c r="J274" s="3" t="str">
        <f>IF(I274="","",IFERROR(VLOOKUP(I274,Base_Datos!$D$2:$E$72,2,0),""))</f>
        <v>(1.5L)</v>
      </c>
      <c r="K274" s="3"/>
      <c r="L274" s="3"/>
      <c r="M274" s="7">
        <v>3</v>
      </c>
      <c r="N274" s="7">
        <v>0</v>
      </c>
    </row>
    <row r="275" spans="1:14" ht="14.25" x14ac:dyDescent="0.2">
      <c r="A275" s="3">
        <v>66115</v>
      </c>
      <c r="B275" s="3" t="s">
        <v>2073</v>
      </c>
      <c r="C275" s="3" t="s">
        <v>16</v>
      </c>
      <c r="D275" s="6" t="s">
        <v>1316</v>
      </c>
      <c r="E275" s="6" t="s">
        <v>1782</v>
      </c>
      <c r="F275" s="3" t="str">
        <f>IFERROR( VLOOKUP(A275,#REF!,2,0),"")</f>
        <v/>
      </c>
      <c r="G275" s="3" t="str">
        <f t="array" ref="G275">_xlfn.XLOOKUP(I275,Base_Datos!D:D,Base_Datos!B:B,"")</f>
        <v>GAC</v>
      </c>
      <c r="H275" s="3" t="str">
        <f t="array" ref="H275">IF(I275="","",IFERROR(_xlfn.XLOOKUP(I275,Base_Datos!$D$2:$D3876,Base_Datos!$C$2:$C3876),""))</f>
        <v>Serie Emzoom</v>
      </c>
      <c r="I275" s="3" t="s">
        <v>1203</v>
      </c>
      <c r="J275" s="3" t="str">
        <f>IF(I275="","",IFERROR(VLOOKUP(I275,Base_Datos!$D$2:$E$72,2,0),""))</f>
        <v>(1.5L)</v>
      </c>
      <c r="K275" s="3"/>
      <c r="L275" s="3"/>
      <c r="M275" s="7">
        <v>3</v>
      </c>
      <c r="N275" s="7">
        <v>0</v>
      </c>
    </row>
    <row r="276" spans="1:14" ht="14.25" x14ac:dyDescent="0.2">
      <c r="A276" s="3">
        <v>66116</v>
      </c>
      <c r="B276" s="3" t="s">
        <v>2074</v>
      </c>
      <c r="C276" s="3" t="s">
        <v>16</v>
      </c>
      <c r="D276" s="6" t="s">
        <v>1317</v>
      </c>
      <c r="E276" s="6" t="s">
        <v>1317</v>
      </c>
      <c r="F276" s="3" t="str">
        <f>IFERROR( VLOOKUP(A276,#REF!,2,0),"")</f>
        <v/>
      </c>
      <c r="G276" s="3" t="str">
        <f t="array" ref="G276">_xlfn.XLOOKUP(I276,Base_Datos!D:D,Base_Datos!B:B,"")</f>
        <v>GAC</v>
      </c>
      <c r="H276" s="3" t="str">
        <f t="array" ref="H276">IF(I276="","",IFERROR(_xlfn.XLOOKUP(I276,Base_Datos!$D$2:$D3876,Base_Datos!$C$2:$C3876),""))</f>
        <v>Serie Emzoom</v>
      </c>
      <c r="I276" s="3" t="s">
        <v>1203</v>
      </c>
      <c r="J276" s="3" t="str">
        <f>IF(I276="","",IFERROR(VLOOKUP(I276,Base_Datos!$D$2:$E$72,2,0),""))</f>
        <v>(1.5L)</v>
      </c>
      <c r="K276" s="3"/>
      <c r="L276" s="3"/>
      <c r="M276" s="7">
        <v>3</v>
      </c>
      <c r="N276" s="7">
        <v>0</v>
      </c>
    </row>
    <row r="277" spans="1:14" ht="14.25" x14ac:dyDescent="0.2">
      <c r="A277" s="3">
        <v>66117</v>
      </c>
      <c r="B277" s="3" t="s">
        <v>2075</v>
      </c>
      <c r="C277" s="3" t="s">
        <v>16</v>
      </c>
      <c r="D277" s="6" t="s">
        <v>1318</v>
      </c>
      <c r="E277" s="6" t="s">
        <v>1782</v>
      </c>
      <c r="F277" s="3" t="str">
        <f>IFERROR( VLOOKUP(A277,#REF!,2,0),"")</f>
        <v/>
      </c>
      <c r="G277" s="3" t="str">
        <f t="array" ref="G277">_xlfn.XLOOKUP(I277,Base_Datos!D:D,Base_Datos!B:B,"")</f>
        <v>GAC</v>
      </c>
      <c r="H277" s="3" t="str">
        <f t="array" ref="H277">IF(I277="","",IFERROR(_xlfn.XLOOKUP(I277,Base_Datos!$D$2:$D3876,Base_Datos!$C$2:$C3876),""))</f>
        <v>Serie Emzoom</v>
      </c>
      <c r="I277" s="3" t="s">
        <v>1203</v>
      </c>
      <c r="J277" s="3" t="str">
        <f>IF(I277="","",IFERROR(VLOOKUP(I277,Base_Datos!$D$2:$E$72,2,0),""))</f>
        <v>(1.5L)</v>
      </c>
      <c r="K277" s="3"/>
      <c r="L277" s="3"/>
      <c r="M277" s="7">
        <v>1</v>
      </c>
      <c r="N277" s="7">
        <v>0</v>
      </c>
    </row>
    <row r="278" spans="1:14" ht="14.25" x14ac:dyDescent="0.2">
      <c r="A278" s="3">
        <v>66118</v>
      </c>
      <c r="B278" s="3" t="s">
        <v>2076</v>
      </c>
      <c r="C278" s="3" t="s">
        <v>16</v>
      </c>
      <c r="D278" s="6" t="s">
        <v>1319</v>
      </c>
      <c r="E278" s="6" t="s">
        <v>1782</v>
      </c>
      <c r="F278" s="3" t="str">
        <f>IFERROR( VLOOKUP(A278,#REF!,2,0),"")</f>
        <v/>
      </c>
      <c r="G278" s="3" t="str">
        <f t="array" ref="G278">_xlfn.XLOOKUP(I278,Base_Datos!D:D,Base_Datos!B:B,"")</f>
        <v>GAC</v>
      </c>
      <c r="H278" s="3" t="str">
        <f t="array" ref="H278">IF(I278="","",IFERROR(_xlfn.XLOOKUP(I278,Base_Datos!$D$2:$D3876,Base_Datos!$C$2:$C3876),""))</f>
        <v>Serie Emzoom</v>
      </c>
      <c r="I278" s="3" t="s">
        <v>1203</v>
      </c>
      <c r="J278" s="3" t="str">
        <f>IF(I278="","",IFERROR(VLOOKUP(I278,Base_Datos!$D$2:$E$72,2,0),""))</f>
        <v>(1.5L)</v>
      </c>
      <c r="K278" s="3"/>
      <c r="L278" s="3"/>
      <c r="M278" s="7">
        <v>0</v>
      </c>
      <c r="N278" s="7">
        <v>0</v>
      </c>
    </row>
    <row r="279" spans="1:14" ht="14.25" x14ac:dyDescent="0.2">
      <c r="A279" s="3">
        <v>66119</v>
      </c>
      <c r="B279" s="3" t="s">
        <v>2077</v>
      </c>
      <c r="C279" s="3" t="s">
        <v>16</v>
      </c>
      <c r="D279" s="6" t="s">
        <v>1320</v>
      </c>
      <c r="E279" s="6" t="s">
        <v>1782</v>
      </c>
      <c r="F279" s="3" t="str">
        <f>IFERROR( VLOOKUP(A279,#REF!,2,0),"")</f>
        <v/>
      </c>
      <c r="G279" s="3" t="str">
        <f t="array" ref="G279">_xlfn.XLOOKUP(I279,Base_Datos!D:D,Base_Datos!B:B,"")</f>
        <v>GAC</v>
      </c>
      <c r="H279" s="3" t="str">
        <f t="array" ref="H279">IF(I279="","",IFERROR(_xlfn.XLOOKUP(I279,Base_Datos!$D$2:$D3876,Base_Datos!$C$2:$C3876),""))</f>
        <v>Serie Emzoom</v>
      </c>
      <c r="I279" s="3" t="s">
        <v>1203</v>
      </c>
      <c r="J279" s="3" t="str">
        <f>IF(I279="","",IFERROR(VLOOKUP(I279,Base_Datos!$D$2:$E$72,2,0),""))</f>
        <v>(1.5L)</v>
      </c>
      <c r="K279" s="3"/>
      <c r="L279" s="3"/>
      <c r="M279" s="7">
        <v>2</v>
      </c>
      <c r="N279" s="7">
        <v>0</v>
      </c>
    </row>
    <row r="280" spans="1:14" ht="14.25" x14ac:dyDescent="0.2">
      <c r="A280" s="3">
        <v>66120</v>
      </c>
      <c r="B280" s="3" t="s">
        <v>2078</v>
      </c>
      <c r="C280" s="3" t="s">
        <v>16</v>
      </c>
      <c r="D280" s="6" t="s">
        <v>1321</v>
      </c>
      <c r="E280" s="6" t="s">
        <v>1321</v>
      </c>
      <c r="F280" s="3" t="str">
        <f>IFERROR( VLOOKUP(A280,#REF!,2,0),"")</f>
        <v/>
      </c>
      <c r="G280" s="3" t="str">
        <f t="array" ref="G280">_xlfn.XLOOKUP(I280,Base_Datos!D:D,Base_Datos!B:B,"")</f>
        <v>GAC</v>
      </c>
      <c r="H280" s="3" t="str">
        <f t="array" ref="H280">IF(I280="","",IFERROR(_xlfn.XLOOKUP(I280,Base_Datos!$D$2:$D3876,Base_Datos!$C$2:$C3876),""))</f>
        <v>Serie Emzoom</v>
      </c>
      <c r="I280" s="3" t="s">
        <v>1203</v>
      </c>
      <c r="J280" s="3" t="str">
        <f>IF(I280="","",IFERROR(VLOOKUP(I280,Base_Datos!$D$2:$E$72,2,0),""))</f>
        <v>(1.5L)</v>
      </c>
      <c r="K280" s="3"/>
      <c r="L280" s="3"/>
      <c r="M280" s="7">
        <v>1</v>
      </c>
      <c r="N280" s="7">
        <v>0</v>
      </c>
    </row>
    <row r="281" spans="1:14" ht="14.25" x14ac:dyDescent="0.2">
      <c r="A281" s="3">
        <v>66121</v>
      </c>
      <c r="B281" s="3" t="s">
        <v>2079</v>
      </c>
      <c r="C281" s="3" t="s">
        <v>16</v>
      </c>
      <c r="D281" s="6" t="s">
        <v>1322</v>
      </c>
      <c r="E281" s="6" t="s">
        <v>1782</v>
      </c>
      <c r="F281" s="3" t="str">
        <f>IFERROR( VLOOKUP(A281,#REF!,2,0),"")</f>
        <v/>
      </c>
      <c r="G281" s="3" t="str">
        <f t="array" ref="G281">_xlfn.XLOOKUP(I281,Base_Datos!D:D,Base_Datos!B:B,"")</f>
        <v>GAC</v>
      </c>
      <c r="H281" s="3" t="str">
        <f t="array" ref="H281">IF(I281="","",IFERROR(_xlfn.XLOOKUP(I281,Base_Datos!$D$2:$D3876,Base_Datos!$C$2:$C3876),""))</f>
        <v>Serie Emzoom</v>
      </c>
      <c r="I281" s="3" t="s">
        <v>1203</v>
      </c>
      <c r="J281" s="3" t="str">
        <f>IF(I281="","",IFERROR(VLOOKUP(I281,Base_Datos!$D$2:$E$72,2,0),""))</f>
        <v>(1.5L)</v>
      </c>
      <c r="K281" s="3"/>
      <c r="L281" s="3"/>
      <c r="M281" s="7">
        <v>1</v>
      </c>
      <c r="N281" s="7">
        <v>0</v>
      </c>
    </row>
    <row r="282" spans="1:14" ht="14.25" x14ac:dyDescent="0.2">
      <c r="A282" s="3">
        <v>66122</v>
      </c>
      <c r="B282" s="3" t="s">
        <v>2080</v>
      </c>
      <c r="C282" s="3" t="s">
        <v>16</v>
      </c>
      <c r="D282" s="6" t="s">
        <v>1323</v>
      </c>
      <c r="E282" s="6" t="s">
        <v>1782</v>
      </c>
      <c r="F282" s="3" t="str">
        <f>IFERROR( VLOOKUP(A282,#REF!,2,0),"")</f>
        <v/>
      </c>
      <c r="G282" s="3" t="str">
        <f t="array" ref="G282">_xlfn.XLOOKUP(I282,Base_Datos!D:D,Base_Datos!B:B,"")</f>
        <v>GAC</v>
      </c>
      <c r="H282" s="3" t="str">
        <f t="array" ref="H282">IF(I282="","",IFERROR(_xlfn.XLOOKUP(I282,Base_Datos!$D$2:$D3876,Base_Datos!$C$2:$C3876),""))</f>
        <v>Serie Emzoom</v>
      </c>
      <c r="I282" s="3" t="s">
        <v>1203</v>
      </c>
      <c r="J282" s="3" t="str">
        <f>IF(I282="","",IFERROR(VLOOKUP(I282,Base_Datos!$D$2:$E$72,2,0),""))</f>
        <v>(1.5L)</v>
      </c>
      <c r="K282" s="3"/>
      <c r="L282" s="3"/>
      <c r="M282" s="7">
        <v>1</v>
      </c>
      <c r="N282" s="7">
        <v>0</v>
      </c>
    </row>
    <row r="283" spans="1:14" ht="14.25" x14ac:dyDescent="0.2">
      <c r="A283" s="3">
        <v>66123</v>
      </c>
      <c r="B283" s="3" t="s">
        <v>2081</v>
      </c>
      <c r="C283" s="3" t="s">
        <v>16</v>
      </c>
      <c r="D283" s="6" t="s">
        <v>1324</v>
      </c>
      <c r="E283" s="6" t="s">
        <v>1782</v>
      </c>
      <c r="F283" s="3" t="str">
        <f>IFERROR( VLOOKUP(A283,#REF!,2,0),"")</f>
        <v/>
      </c>
      <c r="G283" s="3" t="str">
        <f t="array" ref="G283">_xlfn.XLOOKUP(I283,Base_Datos!D:D,Base_Datos!B:B,"")</f>
        <v>GAC</v>
      </c>
      <c r="H283" s="3" t="str">
        <f t="array" ref="H283">IF(I283="","",IFERROR(_xlfn.XLOOKUP(I283,Base_Datos!$D$2:$D3876,Base_Datos!$C$2:$C3876),""))</f>
        <v>Serie Emzoom</v>
      </c>
      <c r="I283" s="3" t="s">
        <v>1203</v>
      </c>
      <c r="J283" s="3" t="str">
        <f>IF(I283="","",IFERROR(VLOOKUP(I283,Base_Datos!$D$2:$E$72,2,0),""))</f>
        <v>(1.5L)</v>
      </c>
      <c r="K283" s="3"/>
      <c r="L283" s="3"/>
      <c r="M283" s="7">
        <v>1</v>
      </c>
      <c r="N283" s="7">
        <v>0</v>
      </c>
    </row>
    <row r="284" spans="1:14" ht="14.25" x14ac:dyDescent="0.2">
      <c r="A284" s="3">
        <v>66124</v>
      </c>
      <c r="B284" s="3" t="s">
        <v>2082</v>
      </c>
      <c r="C284" s="3" t="s">
        <v>16</v>
      </c>
      <c r="D284" s="6" t="s">
        <v>1325</v>
      </c>
      <c r="E284" s="6" t="s">
        <v>1782</v>
      </c>
      <c r="F284" s="3" t="str">
        <f>IFERROR( VLOOKUP(A284,#REF!,2,0),"")</f>
        <v/>
      </c>
      <c r="G284" s="3" t="str">
        <f t="array" ref="G284">_xlfn.XLOOKUP(I284,Base_Datos!D:D,Base_Datos!B:B,"")</f>
        <v>GAC</v>
      </c>
      <c r="H284" s="3" t="str">
        <f t="array" ref="H284">IF(I284="","",IFERROR(_xlfn.XLOOKUP(I284,Base_Datos!$D$2:$D3876,Base_Datos!$C$2:$C3876),""))</f>
        <v>Serie Emzoom</v>
      </c>
      <c r="I284" s="3" t="s">
        <v>1203</v>
      </c>
      <c r="J284" s="3" t="str">
        <f>IF(I284="","",IFERROR(VLOOKUP(I284,Base_Datos!$D$2:$E$72,2,0),""))</f>
        <v>(1.5L)</v>
      </c>
      <c r="K284" s="3"/>
      <c r="L284" s="3"/>
      <c r="M284" s="7">
        <v>1</v>
      </c>
      <c r="N284" s="7">
        <v>0</v>
      </c>
    </row>
    <row r="285" spans="1:14" ht="14.25" x14ac:dyDescent="0.2">
      <c r="A285" s="3">
        <v>66125</v>
      </c>
      <c r="B285" s="3" t="s">
        <v>2083</v>
      </c>
      <c r="C285" s="3" t="s">
        <v>16</v>
      </c>
      <c r="D285" s="6" t="s">
        <v>1326</v>
      </c>
      <c r="E285" s="6" t="s">
        <v>1782</v>
      </c>
      <c r="F285" s="3" t="str">
        <f>IFERROR( VLOOKUP(A285,#REF!,2,0),"")</f>
        <v/>
      </c>
      <c r="G285" s="3" t="str">
        <f t="array" ref="G285">_xlfn.XLOOKUP(I285,Base_Datos!D:D,Base_Datos!B:B,"")</f>
        <v>GAC</v>
      </c>
      <c r="H285" s="3" t="str">
        <f t="array" ref="H285">IF(I285="","",IFERROR(_xlfn.XLOOKUP(I285,Base_Datos!$D$2:$D3876,Base_Datos!$C$2:$C3876),""))</f>
        <v>Serie Emzoom</v>
      </c>
      <c r="I285" s="3" t="s">
        <v>1203</v>
      </c>
      <c r="J285" s="3" t="str">
        <f>IF(I285="","",IFERROR(VLOOKUP(I285,Base_Datos!$D$2:$E$72,2,0),""))</f>
        <v>(1.5L)</v>
      </c>
      <c r="K285" s="3"/>
      <c r="L285" s="3"/>
      <c r="M285" s="7">
        <v>1</v>
      </c>
      <c r="N285" s="7">
        <v>0</v>
      </c>
    </row>
    <row r="286" spans="1:14" ht="14.25" x14ac:dyDescent="0.2">
      <c r="A286" s="3">
        <v>66126</v>
      </c>
      <c r="B286" s="3" t="s">
        <v>2084</v>
      </c>
      <c r="C286" s="3" t="s">
        <v>16</v>
      </c>
      <c r="D286" s="6" t="s">
        <v>1327</v>
      </c>
      <c r="E286" s="6" t="s">
        <v>1782</v>
      </c>
      <c r="F286" s="3" t="str">
        <f>IFERROR( VLOOKUP(A286,#REF!,2,0),"")</f>
        <v/>
      </c>
      <c r="G286" s="3" t="str">
        <f t="array" ref="G286">_xlfn.XLOOKUP(I286,Base_Datos!D:D,Base_Datos!B:B,"")</f>
        <v>GAC</v>
      </c>
      <c r="H286" s="3" t="str">
        <f t="array" ref="H286">IF(I286="","",IFERROR(_xlfn.XLOOKUP(I286,Base_Datos!$D$2:$D3876,Base_Datos!$C$2:$C3876),""))</f>
        <v>Serie Emzoom</v>
      </c>
      <c r="I286" s="3" t="s">
        <v>1203</v>
      </c>
      <c r="J286" s="3" t="str">
        <f>IF(I286="","",IFERROR(VLOOKUP(I286,Base_Datos!$D$2:$E$72,2,0),""))</f>
        <v>(1.5L)</v>
      </c>
      <c r="K286" s="3"/>
      <c r="L286" s="3"/>
      <c r="M286" s="7">
        <v>1</v>
      </c>
      <c r="N286" s="7">
        <v>0</v>
      </c>
    </row>
    <row r="287" spans="1:14" ht="14.25" x14ac:dyDescent="0.2">
      <c r="A287" s="3">
        <v>66127</v>
      </c>
      <c r="B287" s="3" t="s">
        <v>2085</v>
      </c>
      <c r="C287" s="3" t="s">
        <v>16</v>
      </c>
      <c r="D287" s="6" t="s">
        <v>1328</v>
      </c>
      <c r="E287" s="6" t="s">
        <v>1782</v>
      </c>
      <c r="F287" s="3" t="str">
        <f>IFERROR( VLOOKUP(A287,#REF!,2,0),"")</f>
        <v/>
      </c>
      <c r="G287" s="3" t="str">
        <f t="array" ref="G287">_xlfn.XLOOKUP(I287,Base_Datos!D:D,Base_Datos!B:B,"")</f>
        <v>GAC</v>
      </c>
      <c r="H287" s="3" t="str">
        <f t="array" ref="H287">IF(I287="","",IFERROR(_xlfn.XLOOKUP(I287,Base_Datos!$D$2:$D3876,Base_Datos!$C$2:$C3876),""))</f>
        <v>Serie Emzoom</v>
      </c>
      <c r="I287" s="3" t="s">
        <v>1203</v>
      </c>
      <c r="J287" s="3" t="str">
        <f>IF(I287="","",IFERROR(VLOOKUP(I287,Base_Datos!$D$2:$E$72,2,0),""))</f>
        <v>(1.5L)</v>
      </c>
      <c r="K287" s="3"/>
      <c r="L287" s="3"/>
      <c r="M287" s="7">
        <v>3</v>
      </c>
      <c r="N287" s="7">
        <v>0</v>
      </c>
    </row>
    <row r="288" spans="1:14" ht="14.25" x14ac:dyDescent="0.2">
      <c r="A288" s="3">
        <v>66128</v>
      </c>
      <c r="B288" s="3" t="s">
        <v>2086</v>
      </c>
      <c r="C288" s="3" t="s">
        <v>16</v>
      </c>
      <c r="D288" s="6" t="s">
        <v>1329</v>
      </c>
      <c r="E288" s="6" t="s">
        <v>1782</v>
      </c>
      <c r="F288" s="3" t="str">
        <f>IFERROR( VLOOKUP(A288,#REF!,2,0),"")</f>
        <v/>
      </c>
      <c r="G288" s="3" t="str">
        <f t="array" ref="G288">_xlfn.XLOOKUP(I288,Base_Datos!D:D,Base_Datos!B:B,"")</f>
        <v>GAC</v>
      </c>
      <c r="H288" s="3" t="str">
        <f t="array" ref="H288">IF(I288="","",IFERROR(_xlfn.XLOOKUP(I288,Base_Datos!$D$2:$D3876,Base_Datos!$C$2:$C3876),""))</f>
        <v>Serie Emzoom</v>
      </c>
      <c r="I288" s="3" t="s">
        <v>1203</v>
      </c>
      <c r="J288" s="3" t="str">
        <f>IF(I288="","",IFERROR(VLOOKUP(I288,Base_Datos!$D$2:$E$72,2,0),""))</f>
        <v>(1.5L)</v>
      </c>
      <c r="K288" s="3"/>
      <c r="L288" s="3"/>
      <c r="M288" s="7">
        <v>3</v>
      </c>
      <c r="N288" s="7">
        <v>0</v>
      </c>
    </row>
    <row r="289" spans="1:14" ht="14.25" x14ac:dyDescent="0.2">
      <c r="A289" s="3">
        <v>66129</v>
      </c>
      <c r="B289" s="3" t="s">
        <v>2087</v>
      </c>
      <c r="C289" s="3" t="s">
        <v>16</v>
      </c>
      <c r="D289" s="6" t="s">
        <v>1330</v>
      </c>
      <c r="E289" s="6" t="s">
        <v>1331</v>
      </c>
      <c r="F289" s="3" t="str">
        <f>IFERROR( VLOOKUP(A289,#REF!,2,0),"")</f>
        <v/>
      </c>
      <c r="G289" s="3" t="str">
        <f t="array" ref="G289">_xlfn.XLOOKUP(I289,Base_Datos!D:D,Base_Datos!B:B,"")</f>
        <v>GAC</v>
      </c>
      <c r="H289" s="3" t="str">
        <f t="array" ref="H289">IF(I289="","",IFERROR(_xlfn.XLOOKUP(I289,Base_Datos!$D$2:$D3876,Base_Datos!$C$2:$C3876),""))</f>
        <v>Serie Emzoom</v>
      </c>
      <c r="I289" s="3" t="s">
        <v>1203</v>
      </c>
      <c r="J289" s="3" t="str">
        <f>IF(I289="","",IFERROR(VLOOKUP(I289,Base_Datos!$D$2:$E$72,2,0),""))</f>
        <v>(1.5L)</v>
      </c>
      <c r="K289" s="3"/>
      <c r="L289" s="3"/>
      <c r="M289" s="7">
        <v>3</v>
      </c>
      <c r="N289" s="7">
        <v>0</v>
      </c>
    </row>
    <row r="290" spans="1:14" ht="14.25" x14ac:dyDescent="0.2">
      <c r="A290" s="3">
        <v>66130</v>
      </c>
      <c r="B290" s="3" t="s">
        <v>2088</v>
      </c>
      <c r="C290" s="3" t="s">
        <v>16</v>
      </c>
      <c r="D290" s="6" t="s">
        <v>1331</v>
      </c>
      <c r="E290" s="6" t="s">
        <v>1331</v>
      </c>
      <c r="F290" s="3" t="str">
        <f>IFERROR( VLOOKUP(A290,#REF!,2,0),"")</f>
        <v/>
      </c>
      <c r="G290" s="3" t="str">
        <f t="array" ref="G290">_xlfn.XLOOKUP(I290,Base_Datos!D:D,Base_Datos!B:B,"")</f>
        <v>GAC</v>
      </c>
      <c r="H290" s="3" t="str">
        <f t="array" ref="H290">IF(I290="","",IFERROR(_xlfn.XLOOKUP(I290,Base_Datos!$D$2:$D3876,Base_Datos!$C$2:$C3876),""))</f>
        <v>Serie Emzoom</v>
      </c>
      <c r="I290" s="3" t="s">
        <v>1203</v>
      </c>
      <c r="J290" s="3" t="str">
        <f>IF(I290="","",IFERROR(VLOOKUP(I290,Base_Datos!$D$2:$E$72,2,0),""))</f>
        <v>(1.5L)</v>
      </c>
      <c r="K290" s="3"/>
      <c r="L290" s="3"/>
      <c r="M290" s="7">
        <v>3</v>
      </c>
      <c r="N290" s="7">
        <v>0</v>
      </c>
    </row>
    <row r="291" spans="1:14" ht="14.25" x14ac:dyDescent="0.2">
      <c r="A291" s="3">
        <v>66131</v>
      </c>
      <c r="B291" s="3" t="s">
        <v>2089</v>
      </c>
      <c r="C291" s="3" t="s">
        <v>16</v>
      </c>
      <c r="D291" s="6" t="s">
        <v>1332</v>
      </c>
      <c r="E291" s="6" t="s">
        <v>1782</v>
      </c>
      <c r="F291" s="3" t="str">
        <f>IFERROR( VLOOKUP(A291,#REF!,2,0),"")</f>
        <v/>
      </c>
      <c r="G291" s="3" t="str">
        <f t="array" ref="G291">_xlfn.XLOOKUP(I291,Base_Datos!D:D,Base_Datos!B:B,"")</f>
        <v>GAC</v>
      </c>
      <c r="H291" s="3" t="str">
        <f t="array" ref="H291">IF(I291="","",IFERROR(_xlfn.XLOOKUP(I291,Base_Datos!$D$2:$D3876,Base_Datos!$C$2:$C3876),""))</f>
        <v>Serie Emzoom</v>
      </c>
      <c r="I291" s="3" t="s">
        <v>1203</v>
      </c>
      <c r="J291" s="3" t="str">
        <f>IF(I291="","",IFERROR(VLOOKUP(I291,Base_Datos!$D$2:$E$72,2,0),""))</f>
        <v>(1.5L)</v>
      </c>
      <c r="K291" s="3"/>
      <c r="L291" s="3"/>
      <c r="M291" s="7">
        <v>2</v>
      </c>
      <c r="N291" s="7">
        <v>0</v>
      </c>
    </row>
    <row r="292" spans="1:14" ht="14.25" x14ac:dyDescent="0.2">
      <c r="A292" s="3">
        <v>66132</v>
      </c>
      <c r="B292" s="3" t="s">
        <v>2089</v>
      </c>
      <c r="C292" s="3" t="s">
        <v>16</v>
      </c>
      <c r="D292" s="6" t="s">
        <v>1333</v>
      </c>
      <c r="E292" s="6" t="s">
        <v>1782</v>
      </c>
      <c r="F292" s="3" t="str">
        <f>IFERROR( VLOOKUP(A292,#REF!,2,0),"")</f>
        <v/>
      </c>
      <c r="G292" s="3" t="str">
        <f t="array" ref="G292">_xlfn.XLOOKUP(I292,Base_Datos!D:D,Base_Datos!B:B,"")</f>
        <v>GAC</v>
      </c>
      <c r="H292" s="3" t="str">
        <f t="array" ref="H292">IF(I292="","",IFERROR(_xlfn.XLOOKUP(I292,Base_Datos!$D$2:$D3876,Base_Datos!$C$2:$C3876),""))</f>
        <v>Serie Emzoom</v>
      </c>
      <c r="I292" s="3" t="s">
        <v>1203</v>
      </c>
      <c r="J292" s="3" t="str">
        <f>IF(I292="","",IFERROR(VLOOKUP(I292,Base_Datos!$D$2:$E$72,2,0),""))</f>
        <v>(1.5L)</v>
      </c>
      <c r="K292" s="3"/>
      <c r="L292" s="3"/>
      <c r="M292" s="7">
        <v>1</v>
      </c>
      <c r="N292" s="7">
        <v>0</v>
      </c>
    </row>
    <row r="293" spans="1:14" ht="14.25" x14ac:dyDescent="0.2">
      <c r="A293" s="3">
        <v>66133</v>
      </c>
      <c r="B293" s="3" t="s">
        <v>2090</v>
      </c>
      <c r="C293" s="3" t="s">
        <v>16</v>
      </c>
      <c r="D293" s="6" t="s">
        <v>1334</v>
      </c>
      <c r="E293" s="6" t="s">
        <v>1782</v>
      </c>
      <c r="F293" s="3" t="str">
        <f>IFERROR( VLOOKUP(A293,#REF!,2,0),"")</f>
        <v/>
      </c>
      <c r="G293" s="3" t="str">
        <f t="array" ref="G293">_xlfn.XLOOKUP(I293,Base_Datos!D:D,Base_Datos!B:B,"")</f>
        <v>GAC</v>
      </c>
      <c r="H293" s="3" t="str">
        <f t="array" ref="H293">IF(I293="","",IFERROR(_xlfn.XLOOKUP(I293,Base_Datos!$D$2:$D3876,Base_Datos!$C$2:$C3876),""))</f>
        <v>Serie Emzoom</v>
      </c>
      <c r="I293" s="3" t="s">
        <v>1203</v>
      </c>
      <c r="J293" s="3" t="str">
        <f>IF(I293="","",IFERROR(VLOOKUP(I293,Base_Datos!$D$2:$E$72,2,0),""))</f>
        <v>(1.5L)</v>
      </c>
      <c r="K293" s="3"/>
      <c r="L293" s="3"/>
      <c r="M293" s="7">
        <v>3</v>
      </c>
      <c r="N293" s="7">
        <v>0</v>
      </c>
    </row>
    <row r="294" spans="1:14" ht="14.25" x14ac:dyDescent="0.2">
      <c r="A294" s="3">
        <v>66134</v>
      </c>
      <c r="B294" s="3" t="s">
        <v>2091</v>
      </c>
      <c r="C294" s="3" t="s">
        <v>16</v>
      </c>
      <c r="D294" s="6" t="s">
        <v>1335</v>
      </c>
      <c r="E294" s="6" t="s">
        <v>1782</v>
      </c>
      <c r="F294" s="3" t="str">
        <f>IFERROR( VLOOKUP(A294,#REF!,2,0),"")</f>
        <v/>
      </c>
      <c r="G294" s="3" t="str">
        <f t="array" ref="G294">_xlfn.XLOOKUP(I294,Base_Datos!D:D,Base_Datos!B:B,"")</f>
        <v>GAC</v>
      </c>
      <c r="H294" s="3" t="str">
        <f t="array" ref="H294">IF(I294="","",IFERROR(_xlfn.XLOOKUP(I294,Base_Datos!$D$2:$D3876,Base_Datos!$C$2:$C3876),""))</f>
        <v>Serie Emzoom</v>
      </c>
      <c r="I294" s="3" t="s">
        <v>1203</v>
      </c>
      <c r="J294" s="3" t="str">
        <f>IF(I294="","",IFERROR(VLOOKUP(I294,Base_Datos!$D$2:$E$72,2,0),""))</f>
        <v>(1.5L)</v>
      </c>
      <c r="K294" s="3"/>
      <c r="L294" s="3"/>
      <c r="M294" s="7">
        <v>3</v>
      </c>
      <c r="N294" s="7">
        <v>0</v>
      </c>
    </row>
    <row r="295" spans="1:14" ht="14.25" x14ac:dyDescent="0.2">
      <c r="A295" s="3">
        <v>66135</v>
      </c>
      <c r="B295" s="3" t="s">
        <v>2092</v>
      </c>
      <c r="C295" s="3" t="s">
        <v>16</v>
      </c>
      <c r="D295" s="6" t="s">
        <v>1336</v>
      </c>
      <c r="E295" s="6" t="s">
        <v>1782</v>
      </c>
      <c r="F295" s="3" t="str">
        <f>IFERROR( VLOOKUP(A295,#REF!,2,0),"")</f>
        <v/>
      </c>
      <c r="G295" s="3" t="str">
        <f t="array" ref="G295">_xlfn.XLOOKUP(I295,Base_Datos!D:D,Base_Datos!B:B,"")</f>
        <v>GAC</v>
      </c>
      <c r="H295" s="3" t="str">
        <f t="array" ref="H295">IF(I295="","",IFERROR(_xlfn.XLOOKUP(I295,Base_Datos!$D$2:$D3876,Base_Datos!$C$2:$C3876),""))</f>
        <v>Serie Emzoom</v>
      </c>
      <c r="I295" s="3" t="s">
        <v>1203</v>
      </c>
      <c r="J295" s="3" t="str">
        <f>IF(I295="","",IFERROR(VLOOKUP(I295,Base_Datos!$D$2:$E$72,2,0),""))</f>
        <v>(1.5L)</v>
      </c>
      <c r="K295" s="3"/>
      <c r="L295" s="3"/>
      <c r="M295" s="7">
        <v>3</v>
      </c>
      <c r="N295" s="7">
        <v>0</v>
      </c>
    </row>
    <row r="296" spans="1:14" ht="14.25" x14ac:dyDescent="0.2">
      <c r="A296" s="3">
        <v>66136</v>
      </c>
      <c r="B296" s="3" t="s">
        <v>2093</v>
      </c>
      <c r="C296" s="3" t="s">
        <v>16</v>
      </c>
      <c r="D296" s="6" t="s">
        <v>1337</v>
      </c>
      <c r="E296" s="6" t="s">
        <v>1782</v>
      </c>
      <c r="F296" s="3" t="str">
        <f>IFERROR( VLOOKUP(A296,#REF!,2,0),"")</f>
        <v/>
      </c>
      <c r="G296" s="3" t="str">
        <f t="array" ref="G296">_xlfn.XLOOKUP(I296,Base_Datos!D:D,Base_Datos!B:B,"")</f>
        <v>GAC</v>
      </c>
      <c r="H296" s="3" t="str">
        <f t="array" ref="H296">IF(I296="","",IFERROR(_xlfn.XLOOKUP(I296,Base_Datos!$D$2:$D3876,Base_Datos!$C$2:$C3876),""))</f>
        <v>Serie Emzoom</v>
      </c>
      <c r="I296" s="3" t="s">
        <v>1203</v>
      </c>
      <c r="J296" s="3" t="str">
        <f>IF(I296="","",IFERROR(VLOOKUP(I296,Base_Datos!$D$2:$E$72,2,0),""))</f>
        <v>(1.5L)</v>
      </c>
      <c r="K296" s="3"/>
      <c r="L296" s="3"/>
      <c r="M296" s="7">
        <v>3</v>
      </c>
      <c r="N296" s="7">
        <v>0</v>
      </c>
    </row>
    <row r="297" spans="1:14" ht="14.25" x14ac:dyDescent="0.2">
      <c r="A297" s="3">
        <v>66137</v>
      </c>
      <c r="B297" s="3" t="s">
        <v>1950</v>
      </c>
      <c r="C297" s="3" t="s">
        <v>16</v>
      </c>
      <c r="D297" s="6" t="s">
        <v>1338</v>
      </c>
      <c r="E297" s="6" t="s">
        <v>1782</v>
      </c>
      <c r="F297" s="3" t="str">
        <f>IFERROR( VLOOKUP(A297,#REF!,2,0),"")</f>
        <v/>
      </c>
      <c r="G297" s="3" t="str">
        <f t="array" ref="G297">_xlfn.XLOOKUP(I297,Base_Datos!D:D,Base_Datos!B:B,"")</f>
        <v>GAC</v>
      </c>
      <c r="H297" s="3" t="str">
        <f t="array" ref="H297">IF(I297="","",IFERROR(_xlfn.XLOOKUP(I297,Base_Datos!$D$2:$D3876,Base_Datos!$C$2:$C3876),""))</f>
        <v>Serie Emzoom</v>
      </c>
      <c r="I297" s="3" t="s">
        <v>1203</v>
      </c>
      <c r="J297" s="3" t="str">
        <f>IF(I297="","",IFERROR(VLOOKUP(I297,Base_Datos!$D$2:$E$72,2,0),""))</f>
        <v>(1.5L)</v>
      </c>
      <c r="K297" s="3"/>
      <c r="L297" s="3"/>
      <c r="M297" s="7">
        <v>0</v>
      </c>
      <c r="N297" s="7">
        <v>0</v>
      </c>
    </row>
    <row r="298" spans="1:14" ht="14.25" x14ac:dyDescent="0.2">
      <c r="A298" s="3">
        <v>66138</v>
      </c>
      <c r="B298" s="3" t="s">
        <v>2094</v>
      </c>
      <c r="C298" s="3" t="s">
        <v>16</v>
      </c>
      <c r="D298" s="6" t="s">
        <v>1339</v>
      </c>
      <c r="E298" s="6" t="s">
        <v>1782</v>
      </c>
      <c r="F298" s="3" t="str">
        <f>IFERROR( VLOOKUP(A298,#REF!,2,0),"")</f>
        <v/>
      </c>
      <c r="G298" s="3" t="str">
        <f t="array" ref="G298">_xlfn.XLOOKUP(I298,Base_Datos!D:D,Base_Datos!B:B,"")</f>
        <v>GAC</v>
      </c>
      <c r="H298" s="3" t="str">
        <f t="array" ref="H298">IF(I298="","",IFERROR(_xlfn.XLOOKUP(I298,Base_Datos!$D$2:$D3876,Base_Datos!$C$2:$C3876),""))</f>
        <v>Serie Emzoom</v>
      </c>
      <c r="I298" s="3" t="s">
        <v>1203</v>
      </c>
      <c r="J298" s="3" t="str">
        <f>IF(I298="","",IFERROR(VLOOKUP(I298,Base_Datos!$D$2:$E$72,2,0),""))</f>
        <v>(1.5L)</v>
      </c>
      <c r="K298" s="3"/>
      <c r="L298" s="3"/>
      <c r="M298" s="7">
        <v>1</v>
      </c>
      <c r="N298" s="7">
        <v>0</v>
      </c>
    </row>
    <row r="299" spans="1:14" ht="14.25" x14ac:dyDescent="0.2">
      <c r="A299" s="3">
        <v>66139</v>
      </c>
      <c r="B299" s="3" t="s">
        <v>2095</v>
      </c>
      <c r="C299" s="3" t="s">
        <v>16</v>
      </c>
      <c r="D299" s="6" t="s">
        <v>1340</v>
      </c>
      <c r="E299" s="6" t="s">
        <v>1340</v>
      </c>
      <c r="F299" s="3" t="str">
        <f>IFERROR( VLOOKUP(A299,#REF!,2,0),"")</f>
        <v/>
      </c>
      <c r="G299" s="3" t="str">
        <f t="array" ref="G299">_xlfn.XLOOKUP(I299,Base_Datos!D:D,Base_Datos!B:B,"")</f>
        <v>GAC</v>
      </c>
      <c r="H299" s="3" t="str">
        <f t="array" ref="H299">IF(I299="","",IFERROR(_xlfn.XLOOKUP(I299,Base_Datos!$D$2:$D3876,Base_Datos!$C$2:$C3876),""))</f>
        <v>Serie Emzoom</v>
      </c>
      <c r="I299" s="3" t="s">
        <v>1203</v>
      </c>
      <c r="J299" s="3" t="str">
        <f>IF(I299="","",IFERROR(VLOOKUP(I299,Base_Datos!$D$2:$E$72,2,0),""))</f>
        <v>(1.5L)</v>
      </c>
      <c r="K299" s="3"/>
      <c r="L299" s="3"/>
      <c r="M299" s="7">
        <v>3</v>
      </c>
      <c r="N299" s="7">
        <v>0</v>
      </c>
    </row>
    <row r="300" spans="1:14" ht="14.25" x14ac:dyDescent="0.2">
      <c r="A300" s="3">
        <v>66140</v>
      </c>
      <c r="B300" s="3" t="s">
        <v>2096</v>
      </c>
      <c r="C300" s="3" t="s">
        <v>16</v>
      </c>
      <c r="D300" s="6" t="s">
        <v>1341</v>
      </c>
      <c r="E300" s="6" t="s">
        <v>1782</v>
      </c>
      <c r="F300" s="3" t="str">
        <f>IFERROR( VLOOKUP(A300,#REF!,2,0),"")</f>
        <v/>
      </c>
      <c r="G300" s="3" t="str">
        <f t="array" ref="G300">_xlfn.XLOOKUP(I300,Base_Datos!D:D,Base_Datos!B:B,"")</f>
        <v>GAC</v>
      </c>
      <c r="H300" s="3" t="str">
        <f t="array" ref="H300">IF(I300="","",IFERROR(_xlfn.XLOOKUP(I300,Base_Datos!$D$2:$D3876,Base_Datos!$C$2:$C3876),""))</f>
        <v>Serie Emzoom</v>
      </c>
      <c r="I300" s="3" t="s">
        <v>1203</v>
      </c>
      <c r="J300" s="3" t="str">
        <f>IF(I300="","",IFERROR(VLOOKUP(I300,Base_Datos!$D$2:$E$72,2,0),""))</f>
        <v>(1.5L)</v>
      </c>
      <c r="K300" s="3"/>
      <c r="L300" s="3"/>
      <c r="M300" s="7">
        <v>3</v>
      </c>
      <c r="N300" s="7">
        <v>0</v>
      </c>
    </row>
    <row r="301" spans="1:14" ht="14.25" x14ac:dyDescent="0.2">
      <c r="A301" s="3">
        <v>66141</v>
      </c>
      <c r="B301" s="3" t="s">
        <v>2097</v>
      </c>
      <c r="C301" s="3" t="s">
        <v>16</v>
      </c>
      <c r="D301" s="6" t="s">
        <v>1342</v>
      </c>
      <c r="E301" s="6" t="s">
        <v>1782</v>
      </c>
      <c r="F301" s="3" t="str">
        <f>IFERROR( VLOOKUP(A301,#REF!,2,0),"")</f>
        <v/>
      </c>
      <c r="G301" s="3" t="str">
        <f t="array" ref="G301">_xlfn.XLOOKUP(I301,Base_Datos!D:D,Base_Datos!B:B,"")</f>
        <v>GAC</v>
      </c>
      <c r="H301" s="3" t="str">
        <f t="array" ref="H301">IF(I301="","",IFERROR(_xlfn.XLOOKUP(I301,Base_Datos!$D$2:$D3876,Base_Datos!$C$2:$C3876),""))</f>
        <v>Serie Emzoom</v>
      </c>
      <c r="I301" s="3" t="s">
        <v>1203</v>
      </c>
      <c r="J301" s="3" t="str">
        <f>IF(I301="","",IFERROR(VLOOKUP(I301,Base_Datos!$D$2:$E$72,2,0),""))</f>
        <v>(1.5L)</v>
      </c>
      <c r="K301" s="3"/>
      <c r="L301" s="3"/>
      <c r="M301" s="7">
        <v>3</v>
      </c>
      <c r="N301" s="7">
        <v>0</v>
      </c>
    </row>
    <row r="302" spans="1:14" ht="14.25" x14ac:dyDescent="0.2">
      <c r="A302" s="3">
        <v>66142</v>
      </c>
      <c r="B302" s="3" t="s">
        <v>2098</v>
      </c>
      <c r="C302" s="3" t="s">
        <v>16</v>
      </c>
      <c r="D302" s="6" t="s">
        <v>1343</v>
      </c>
      <c r="E302" s="6" t="s">
        <v>1782</v>
      </c>
      <c r="F302" s="3" t="str">
        <f>IFERROR( VLOOKUP(A302,#REF!,2,0),"")</f>
        <v/>
      </c>
      <c r="G302" s="3" t="str">
        <f t="array" ref="G302">_xlfn.XLOOKUP(I302,Base_Datos!D:D,Base_Datos!B:B,"")</f>
        <v>GAC</v>
      </c>
      <c r="H302" s="3" t="str">
        <f t="array" ref="H302">IF(I302="","",IFERROR(_xlfn.XLOOKUP(I302,Base_Datos!$D$2:$D3876,Base_Datos!$C$2:$C3876),""))</f>
        <v>Serie Emzoom</v>
      </c>
      <c r="I302" s="3" t="s">
        <v>1203</v>
      </c>
      <c r="J302" s="3" t="str">
        <f>IF(I302="","",IFERROR(VLOOKUP(I302,Base_Datos!$D$2:$E$72,2,0),""))</f>
        <v>(1.5L)</v>
      </c>
      <c r="K302" s="3"/>
      <c r="L302" s="3"/>
      <c r="M302" s="7">
        <v>3</v>
      </c>
      <c r="N302" s="7">
        <v>0</v>
      </c>
    </row>
    <row r="303" spans="1:14" ht="14.25" x14ac:dyDescent="0.2">
      <c r="A303" s="3">
        <v>66143</v>
      </c>
      <c r="B303" s="3" t="s">
        <v>2099</v>
      </c>
      <c r="C303" s="3" t="s">
        <v>16</v>
      </c>
      <c r="D303" s="6" t="s">
        <v>1344</v>
      </c>
      <c r="E303" s="6" t="s">
        <v>1782</v>
      </c>
      <c r="F303" s="3" t="str">
        <f>IFERROR( VLOOKUP(A303,#REF!,2,0),"")</f>
        <v/>
      </c>
      <c r="G303" s="3" t="str">
        <f t="array" ref="G303">_xlfn.XLOOKUP(I303,Base_Datos!D:D,Base_Datos!B:B,"")</f>
        <v>GAC</v>
      </c>
      <c r="H303" s="3" t="str">
        <f t="array" ref="H303">IF(I303="","",IFERROR(_xlfn.XLOOKUP(I303,Base_Datos!$D$2:$D3876,Base_Datos!$C$2:$C3876),""))</f>
        <v>Serie Emzoom</v>
      </c>
      <c r="I303" s="3" t="s">
        <v>1203</v>
      </c>
      <c r="J303" s="3" t="str">
        <f>IF(I303="","",IFERROR(VLOOKUP(I303,Base_Datos!$D$2:$E$72,2,0),""))</f>
        <v>(1.5L)</v>
      </c>
      <c r="K303" s="3"/>
      <c r="L303" s="3"/>
      <c r="M303" s="7">
        <v>3</v>
      </c>
      <c r="N303" s="7">
        <v>0</v>
      </c>
    </row>
    <row r="304" spans="1:14" ht="14.25" x14ac:dyDescent="0.2">
      <c r="A304" s="3">
        <v>66144</v>
      </c>
      <c r="B304" s="3" t="s">
        <v>2100</v>
      </c>
      <c r="C304" s="3" t="s">
        <v>16</v>
      </c>
      <c r="D304" s="6" t="s">
        <v>1345</v>
      </c>
      <c r="E304" s="6" t="s">
        <v>1782</v>
      </c>
      <c r="F304" s="3" t="str">
        <f>IFERROR( VLOOKUP(A304,#REF!,2,0),"")</f>
        <v/>
      </c>
      <c r="G304" s="3" t="str">
        <f t="array" ref="G304">_xlfn.XLOOKUP(I304,Base_Datos!D:D,Base_Datos!B:B,"")</f>
        <v>GAC</v>
      </c>
      <c r="H304" s="3" t="str">
        <f t="array" ref="H304">IF(I304="","",IFERROR(_xlfn.XLOOKUP(I304,Base_Datos!$D$2:$D3876,Base_Datos!$C$2:$C3876),""))</f>
        <v>Serie Emzoom</v>
      </c>
      <c r="I304" s="3" t="s">
        <v>1203</v>
      </c>
      <c r="J304" s="3" t="str">
        <f>IF(I304="","",IFERROR(VLOOKUP(I304,Base_Datos!$D$2:$E$72,2,0),""))</f>
        <v>(1.5L)</v>
      </c>
      <c r="K304" s="3"/>
      <c r="L304" s="3"/>
      <c r="M304" s="7">
        <v>3</v>
      </c>
      <c r="N304" s="7">
        <v>0</v>
      </c>
    </row>
    <row r="305" spans="1:14" ht="14.25" x14ac:dyDescent="0.2">
      <c r="A305" s="3">
        <v>66145</v>
      </c>
      <c r="B305" s="3" t="s">
        <v>2101</v>
      </c>
      <c r="C305" s="3" t="s">
        <v>16</v>
      </c>
      <c r="D305" s="6" t="s">
        <v>1346</v>
      </c>
      <c r="E305" s="6" t="s">
        <v>1782</v>
      </c>
      <c r="F305" s="3" t="str">
        <f>IFERROR( VLOOKUP(A305,#REF!,2,0),"")</f>
        <v/>
      </c>
      <c r="G305" s="3" t="str">
        <f t="array" ref="G305">_xlfn.XLOOKUP(I305,Base_Datos!D:D,Base_Datos!B:B,"")</f>
        <v>GAC</v>
      </c>
      <c r="H305" s="3" t="str">
        <f t="array" ref="H305">IF(I305="","",IFERROR(_xlfn.XLOOKUP(I305,Base_Datos!$D$2:$D3876,Base_Datos!$C$2:$C3876),""))</f>
        <v>Serie Emzoom</v>
      </c>
      <c r="I305" s="3" t="s">
        <v>1203</v>
      </c>
      <c r="J305" s="3" t="str">
        <f>IF(I305="","",IFERROR(VLOOKUP(I305,Base_Datos!$D$2:$E$72,2,0),""))</f>
        <v>(1.5L)</v>
      </c>
      <c r="K305" s="3"/>
      <c r="L305" s="3"/>
      <c r="M305" s="7">
        <v>1</v>
      </c>
      <c r="N305" s="7">
        <v>0</v>
      </c>
    </row>
    <row r="306" spans="1:14" ht="14.25" x14ac:dyDescent="0.2">
      <c r="A306" s="3">
        <v>66146</v>
      </c>
      <c r="B306" s="3" t="s">
        <v>2101</v>
      </c>
      <c r="C306" s="3" t="s">
        <v>16</v>
      </c>
      <c r="D306" s="6" t="s">
        <v>1347</v>
      </c>
      <c r="E306" s="6" t="s">
        <v>1782</v>
      </c>
      <c r="F306" s="3" t="str">
        <f>IFERROR( VLOOKUP(A306,#REF!,2,0),"")</f>
        <v/>
      </c>
      <c r="G306" s="3" t="str">
        <f t="array" ref="G306">_xlfn.XLOOKUP(I306,Base_Datos!D:D,Base_Datos!B:B,"")</f>
        <v>GAC</v>
      </c>
      <c r="H306" s="3" t="str">
        <f t="array" ref="H306">IF(I306="","",IFERROR(_xlfn.XLOOKUP(I306,Base_Datos!$D$2:$D3876,Base_Datos!$C$2:$C3876),""))</f>
        <v>Serie Emzoom</v>
      </c>
      <c r="I306" s="3" t="s">
        <v>1203</v>
      </c>
      <c r="J306" s="3" t="str">
        <f>IF(I306="","",IFERROR(VLOOKUP(I306,Base_Datos!$D$2:$E$72,2,0),""))</f>
        <v>(1.5L)</v>
      </c>
      <c r="K306" s="3"/>
      <c r="L306" s="3"/>
      <c r="M306" s="7">
        <v>2</v>
      </c>
      <c r="N306" s="7">
        <v>0</v>
      </c>
    </row>
    <row r="307" spans="1:14" ht="14.25" x14ac:dyDescent="0.2">
      <c r="A307" s="3">
        <v>66147</v>
      </c>
      <c r="B307" s="3" t="s">
        <v>2101</v>
      </c>
      <c r="C307" s="3" t="s">
        <v>16</v>
      </c>
      <c r="D307" s="6" t="s">
        <v>1348</v>
      </c>
      <c r="E307" s="6" t="s">
        <v>1348</v>
      </c>
      <c r="F307" s="3" t="str">
        <f>IFERROR( VLOOKUP(A307,#REF!,2,0),"")</f>
        <v/>
      </c>
      <c r="G307" s="3" t="str">
        <f t="array" ref="G307">_xlfn.XLOOKUP(I307,Base_Datos!D:D,Base_Datos!B:B,"")</f>
        <v>GAC</v>
      </c>
      <c r="H307" s="3" t="str">
        <f t="array" ref="H307">IF(I307="","",IFERROR(_xlfn.XLOOKUP(I307,Base_Datos!$D$2:$D3876,Base_Datos!$C$2:$C3876),""))</f>
        <v>Serie Emzoom</v>
      </c>
      <c r="I307" s="3" t="s">
        <v>1203</v>
      </c>
      <c r="J307" s="3" t="str">
        <f>IF(I307="","",IFERROR(VLOOKUP(I307,Base_Datos!$D$2:$E$72,2,0),""))</f>
        <v>(1.5L)</v>
      </c>
      <c r="K307" s="3"/>
      <c r="L307" s="3"/>
      <c r="M307" s="7">
        <v>2</v>
      </c>
      <c r="N307" s="7">
        <v>0</v>
      </c>
    </row>
    <row r="308" spans="1:14" ht="14.25" x14ac:dyDescent="0.2">
      <c r="A308" s="3">
        <v>66148</v>
      </c>
      <c r="B308" s="3" t="s">
        <v>2101</v>
      </c>
      <c r="C308" s="3" t="s">
        <v>16</v>
      </c>
      <c r="D308" s="6" t="s">
        <v>1349</v>
      </c>
      <c r="E308" s="6" t="s">
        <v>2102</v>
      </c>
      <c r="F308" s="3" t="str">
        <f>IFERROR( VLOOKUP(A308,#REF!,2,0),"")</f>
        <v/>
      </c>
      <c r="G308" s="3" t="str">
        <f t="array" ref="G308">_xlfn.XLOOKUP(I308,Base_Datos!D:D,Base_Datos!B:B,"")</f>
        <v>GAC</v>
      </c>
      <c r="H308" s="3" t="str">
        <f t="array" ref="H308">IF(I308="","",IFERROR(_xlfn.XLOOKUP(I308,Base_Datos!$D$2:$D3876,Base_Datos!$C$2:$C3876),""))</f>
        <v>Serie Emzoom</v>
      </c>
      <c r="I308" s="3" t="s">
        <v>1203</v>
      </c>
      <c r="J308" s="3" t="str">
        <f>IF(I308="","",IFERROR(VLOOKUP(I308,Base_Datos!$D$2:$E$72,2,0),""))</f>
        <v>(1.5L)</v>
      </c>
      <c r="K308" s="3"/>
      <c r="L308" s="3"/>
      <c r="M308" s="7">
        <v>2</v>
      </c>
      <c r="N308" s="7">
        <v>0</v>
      </c>
    </row>
    <row r="309" spans="1:14" ht="14.25" x14ac:dyDescent="0.2">
      <c r="A309" s="3">
        <v>66149</v>
      </c>
      <c r="B309" s="3" t="s">
        <v>2103</v>
      </c>
      <c r="C309" s="3" t="s">
        <v>16</v>
      </c>
      <c r="D309" s="6" t="s">
        <v>1350</v>
      </c>
      <c r="E309" s="6" t="s">
        <v>1350</v>
      </c>
      <c r="F309" s="3" t="str">
        <f>IFERROR( VLOOKUP(A309,#REF!,2,0),"")</f>
        <v/>
      </c>
      <c r="G309" s="3" t="str">
        <f t="array" ref="G309">_xlfn.XLOOKUP(I309,Base_Datos!D:D,Base_Datos!B:B,"")</f>
        <v>GAC</v>
      </c>
      <c r="H309" s="3" t="str">
        <f t="array" ref="H309">IF(I309="","",IFERROR(_xlfn.XLOOKUP(I309,Base_Datos!$D$2:$D3876,Base_Datos!$C$2:$C3876),""))</f>
        <v>Serie Emzoom</v>
      </c>
      <c r="I309" s="3" t="s">
        <v>1203</v>
      </c>
      <c r="J309" s="3" t="str">
        <f>IF(I309="","",IFERROR(VLOOKUP(I309,Base_Datos!$D$2:$E$72,2,0),""))</f>
        <v>(1.5L)</v>
      </c>
      <c r="K309" s="3"/>
      <c r="L309" s="3"/>
      <c r="M309" s="7">
        <v>2</v>
      </c>
      <c r="N309" s="7">
        <v>0</v>
      </c>
    </row>
    <row r="310" spans="1:14" ht="14.25" x14ac:dyDescent="0.2">
      <c r="A310" s="3">
        <v>66150</v>
      </c>
      <c r="B310" s="3" t="s">
        <v>2103</v>
      </c>
      <c r="C310" s="3" t="s">
        <v>16</v>
      </c>
      <c r="D310" s="6" t="s">
        <v>1351</v>
      </c>
      <c r="E310" s="6" t="s">
        <v>1351</v>
      </c>
      <c r="F310" s="3" t="str">
        <f>IFERROR( VLOOKUP(A310,#REF!,2,0),"")</f>
        <v/>
      </c>
      <c r="G310" s="3" t="str">
        <f t="array" ref="G310">_xlfn.XLOOKUP(I310,Base_Datos!D:D,Base_Datos!B:B,"")</f>
        <v>GAC</v>
      </c>
      <c r="H310" s="3" t="str">
        <f t="array" ref="H310">IF(I310="","",IFERROR(_xlfn.XLOOKUP(I310,Base_Datos!$D$2:$D3876,Base_Datos!$C$2:$C3876),""))</f>
        <v>Serie Emzoom</v>
      </c>
      <c r="I310" s="3" t="s">
        <v>1203</v>
      </c>
      <c r="J310" s="3" t="str">
        <f>IF(I310="","",IFERROR(VLOOKUP(I310,Base_Datos!$D$2:$E$72,2,0),""))</f>
        <v>(1.5L)</v>
      </c>
      <c r="K310" s="3"/>
      <c r="L310" s="3"/>
      <c r="M310" s="7">
        <v>2</v>
      </c>
      <c r="N310" s="7">
        <v>0</v>
      </c>
    </row>
    <row r="311" spans="1:14" ht="14.25" x14ac:dyDescent="0.2">
      <c r="A311" s="3">
        <v>66151</v>
      </c>
      <c r="B311" s="3" t="s">
        <v>2103</v>
      </c>
      <c r="C311" s="3" t="s">
        <v>16</v>
      </c>
      <c r="D311" s="6" t="s">
        <v>1352</v>
      </c>
      <c r="E311" s="6" t="s">
        <v>1352</v>
      </c>
      <c r="F311" s="3" t="str">
        <f>IFERROR( VLOOKUP(A311,#REF!,2,0),"")</f>
        <v/>
      </c>
      <c r="G311" s="3" t="str">
        <f t="array" ref="G311">_xlfn.XLOOKUP(I311,Base_Datos!D:D,Base_Datos!B:B,"")</f>
        <v>GAC</v>
      </c>
      <c r="H311" s="3" t="str">
        <f t="array" ref="H311">IF(I311="","",IFERROR(_xlfn.XLOOKUP(I311,Base_Datos!$D$2:$D3876,Base_Datos!$C$2:$C3876),""))</f>
        <v>Serie Emzoom</v>
      </c>
      <c r="I311" s="3" t="s">
        <v>1203</v>
      </c>
      <c r="J311" s="3" t="str">
        <f>IF(I311="","",IFERROR(VLOOKUP(I311,Base_Datos!$D$2:$E$72,2,0),""))</f>
        <v>(1.5L)</v>
      </c>
      <c r="K311" s="3"/>
      <c r="L311" s="3"/>
      <c r="M311" s="7">
        <v>2</v>
      </c>
      <c r="N311" s="7">
        <v>0</v>
      </c>
    </row>
    <row r="312" spans="1:14" ht="14.25" x14ac:dyDescent="0.2">
      <c r="A312" s="3">
        <v>66152</v>
      </c>
      <c r="B312" s="3" t="s">
        <v>2103</v>
      </c>
      <c r="C312" s="3" t="s">
        <v>16</v>
      </c>
      <c r="D312" s="6" t="s">
        <v>1353</v>
      </c>
      <c r="E312" s="6" t="s">
        <v>1353</v>
      </c>
      <c r="F312" s="3" t="str">
        <f>IFERROR( VLOOKUP(A312,#REF!,2,0),"")</f>
        <v/>
      </c>
      <c r="G312" s="3" t="str">
        <f t="array" ref="G312">_xlfn.XLOOKUP(I312,Base_Datos!D:D,Base_Datos!B:B,"")</f>
        <v>GAC</v>
      </c>
      <c r="H312" s="3" t="str">
        <f t="array" ref="H312">IF(I312="","",IFERROR(_xlfn.XLOOKUP(I312,Base_Datos!$D$2:$D3876,Base_Datos!$C$2:$C3876),""))</f>
        <v>Serie Emzoom</v>
      </c>
      <c r="I312" s="3" t="s">
        <v>1203</v>
      </c>
      <c r="J312" s="3" t="str">
        <f>IF(I312="","",IFERROR(VLOOKUP(I312,Base_Datos!$D$2:$E$72,2,0),""))</f>
        <v>(1.5L)</v>
      </c>
      <c r="K312" s="3"/>
      <c r="L312" s="3"/>
      <c r="M312" s="7">
        <v>2</v>
      </c>
      <c r="N312" s="7">
        <v>0</v>
      </c>
    </row>
    <row r="313" spans="1:14" ht="14.25" x14ac:dyDescent="0.2">
      <c r="A313" s="3">
        <v>66153</v>
      </c>
      <c r="B313" s="3" t="s">
        <v>2104</v>
      </c>
      <c r="C313" s="3" t="s">
        <v>16</v>
      </c>
      <c r="D313" s="6" t="s">
        <v>1354</v>
      </c>
      <c r="E313" s="6" t="s">
        <v>2105</v>
      </c>
      <c r="F313" s="3" t="str">
        <f>IFERROR( VLOOKUP(A313,#REF!,2,0),"")</f>
        <v/>
      </c>
      <c r="G313" s="3" t="str">
        <f t="array" ref="G313">_xlfn.XLOOKUP(I313,Base_Datos!D:D,Base_Datos!B:B,"")</f>
        <v>GAC</v>
      </c>
      <c r="H313" s="3" t="str">
        <f t="array" ref="H313">IF(I313="","",IFERROR(_xlfn.XLOOKUP(I313,Base_Datos!$D$2:$D3876,Base_Datos!$C$2:$C3876),""))</f>
        <v>Serie Emzoom</v>
      </c>
      <c r="I313" s="3" t="s">
        <v>1203</v>
      </c>
      <c r="J313" s="3" t="str">
        <f>IF(I313="","",IFERROR(VLOOKUP(I313,Base_Datos!$D$2:$E$72,2,0),""))</f>
        <v>(1.5L)</v>
      </c>
      <c r="K313" s="3"/>
      <c r="L313" s="3"/>
      <c r="M313" s="7">
        <v>2</v>
      </c>
      <c r="N313" s="7">
        <v>0</v>
      </c>
    </row>
    <row r="314" spans="1:14" ht="14.25" x14ac:dyDescent="0.2">
      <c r="A314" s="3">
        <v>66154</v>
      </c>
      <c r="B314" s="3" t="s">
        <v>2104</v>
      </c>
      <c r="C314" s="3" t="s">
        <v>16</v>
      </c>
      <c r="D314" s="6" t="s">
        <v>1355</v>
      </c>
      <c r="E314" s="6" t="s">
        <v>1782</v>
      </c>
      <c r="F314" s="3" t="str">
        <f>IFERROR( VLOOKUP(A314,#REF!,2,0),"")</f>
        <v/>
      </c>
      <c r="G314" s="3" t="str">
        <f t="array" ref="G314">_xlfn.XLOOKUP(I314,Base_Datos!D:D,Base_Datos!B:B,"")</f>
        <v>GAC</v>
      </c>
      <c r="H314" s="3" t="str">
        <f t="array" ref="H314">IF(I314="","",IFERROR(_xlfn.XLOOKUP(I314,Base_Datos!$D$2:$D3876,Base_Datos!$C$2:$C3876),""))</f>
        <v>Serie Emzoom</v>
      </c>
      <c r="I314" s="3" t="s">
        <v>1203</v>
      </c>
      <c r="J314" s="3" t="str">
        <f>IF(I314="","",IFERROR(VLOOKUP(I314,Base_Datos!$D$2:$E$72,2,0),""))</f>
        <v>(1.5L)</v>
      </c>
      <c r="K314" s="3"/>
      <c r="L314" s="3"/>
      <c r="M314" s="7">
        <v>2</v>
      </c>
      <c r="N314" s="7">
        <v>0</v>
      </c>
    </row>
    <row r="315" spans="1:14" ht="14.25" x14ac:dyDescent="0.2">
      <c r="A315" s="3">
        <v>66155</v>
      </c>
      <c r="B315" s="3" t="s">
        <v>2104</v>
      </c>
      <c r="C315" s="3" t="s">
        <v>16</v>
      </c>
      <c r="D315" s="6" t="s">
        <v>1356</v>
      </c>
      <c r="E315" s="6" t="s">
        <v>1356</v>
      </c>
      <c r="F315" s="3" t="str">
        <f>IFERROR( VLOOKUP(A315,#REF!,2,0),"")</f>
        <v/>
      </c>
      <c r="G315" s="3" t="str">
        <f t="array" ref="G315">_xlfn.XLOOKUP(I315,Base_Datos!D:D,Base_Datos!B:B,"")</f>
        <v>GAC</v>
      </c>
      <c r="H315" s="3" t="str">
        <f t="array" ref="H315">IF(I315="","",IFERROR(_xlfn.XLOOKUP(I315,Base_Datos!$D$2:$D3876,Base_Datos!$C$2:$C3876),""))</f>
        <v>Serie Emzoom</v>
      </c>
      <c r="I315" s="3" t="s">
        <v>1203</v>
      </c>
      <c r="J315" s="3" t="str">
        <f>IF(I315="","",IFERROR(VLOOKUP(I315,Base_Datos!$D$2:$E$72,2,0),""))</f>
        <v>(1.5L)</v>
      </c>
      <c r="K315" s="3"/>
      <c r="L315" s="3"/>
      <c r="M315" s="7">
        <v>2</v>
      </c>
      <c r="N315" s="7">
        <v>0</v>
      </c>
    </row>
    <row r="316" spans="1:14" ht="14.25" x14ac:dyDescent="0.2">
      <c r="A316" s="3">
        <v>66156</v>
      </c>
      <c r="B316" s="3" t="s">
        <v>2104</v>
      </c>
      <c r="C316" s="3" t="s">
        <v>16</v>
      </c>
      <c r="D316" s="6" t="s">
        <v>1357</v>
      </c>
      <c r="E316" s="6" t="s">
        <v>1357</v>
      </c>
      <c r="F316" s="3" t="str">
        <f>IFERROR( VLOOKUP(A316,#REF!,2,0),"")</f>
        <v/>
      </c>
      <c r="G316" s="3" t="str">
        <f t="array" ref="G316">_xlfn.XLOOKUP(I316,Base_Datos!D:D,Base_Datos!B:B,"")</f>
        <v>GAC</v>
      </c>
      <c r="H316" s="3" t="str">
        <f t="array" ref="H316">IF(I316="","",IFERROR(_xlfn.XLOOKUP(I316,Base_Datos!$D$2:$D3876,Base_Datos!$C$2:$C3876),""))</f>
        <v>Serie Emzoom</v>
      </c>
      <c r="I316" s="3" t="s">
        <v>1203</v>
      </c>
      <c r="J316" s="3" t="str">
        <f>IF(I316="","",IFERROR(VLOOKUP(I316,Base_Datos!$D$2:$E$72,2,0),""))</f>
        <v>(1.5L)</v>
      </c>
      <c r="K316" s="3"/>
      <c r="L316" s="3"/>
      <c r="M316" s="7">
        <v>2</v>
      </c>
      <c r="N316" s="7">
        <v>0</v>
      </c>
    </row>
    <row r="317" spans="1:14" ht="14.25" x14ac:dyDescent="0.2">
      <c r="A317" s="3">
        <v>66157</v>
      </c>
      <c r="B317" s="3" t="s">
        <v>2106</v>
      </c>
      <c r="C317" s="3" t="s">
        <v>16</v>
      </c>
      <c r="D317" s="6" t="s">
        <v>1358</v>
      </c>
      <c r="E317" s="6" t="s">
        <v>1358</v>
      </c>
      <c r="F317" s="3" t="str">
        <f>IFERROR( VLOOKUP(A317,#REF!,2,0),"")</f>
        <v/>
      </c>
      <c r="G317" s="3" t="str">
        <f t="array" ref="G317">_xlfn.XLOOKUP(I317,Base_Datos!D:D,Base_Datos!B:B,"")</f>
        <v>GAC</v>
      </c>
      <c r="H317" s="3" t="str">
        <f t="array" ref="H317">IF(I317="","",IFERROR(_xlfn.XLOOKUP(I317,Base_Datos!$D$2:$D3876,Base_Datos!$C$2:$C3876),""))</f>
        <v>Serie Emzoom</v>
      </c>
      <c r="I317" s="3" t="s">
        <v>1203</v>
      </c>
      <c r="J317" s="3" t="str">
        <f>IF(I317="","",IFERROR(VLOOKUP(I317,Base_Datos!$D$2:$E$72,2,0),""))</f>
        <v>(1.5L)</v>
      </c>
      <c r="K317" s="3"/>
      <c r="L317" s="3"/>
      <c r="M317" s="7">
        <v>1</v>
      </c>
      <c r="N317" s="7">
        <v>0</v>
      </c>
    </row>
    <row r="318" spans="1:14" ht="14.25" x14ac:dyDescent="0.2">
      <c r="A318" s="3">
        <v>66158</v>
      </c>
      <c r="B318" s="3" t="s">
        <v>2106</v>
      </c>
      <c r="C318" s="3" t="s">
        <v>16</v>
      </c>
      <c r="D318" s="6" t="s">
        <v>1359</v>
      </c>
      <c r="E318" s="6" t="s">
        <v>1359</v>
      </c>
      <c r="F318" s="3" t="str">
        <f>IFERROR( VLOOKUP(A318,#REF!,2,0),"")</f>
        <v/>
      </c>
      <c r="G318" s="3" t="str">
        <f t="array" ref="G318">_xlfn.XLOOKUP(I318,Base_Datos!D:D,Base_Datos!B:B,"")</f>
        <v>GAC</v>
      </c>
      <c r="H318" s="3" t="str">
        <f t="array" ref="H318">IF(I318="","",IFERROR(_xlfn.XLOOKUP(I318,Base_Datos!$D$2:$D3876,Base_Datos!$C$2:$C3876),""))</f>
        <v>Serie Emzoom</v>
      </c>
      <c r="I318" s="3" t="s">
        <v>1203</v>
      </c>
      <c r="J318" s="3" t="str">
        <f>IF(I318="","",IFERROR(VLOOKUP(I318,Base_Datos!$D$2:$E$72,2,0),""))</f>
        <v>(1.5L)</v>
      </c>
      <c r="K318" s="3"/>
      <c r="L318" s="3"/>
      <c r="M318" s="7">
        <v>2</v>
      </c>
      <c r="N318" s="7">
        <v>0</v>
      </c>
    </row>
    <row r="319" spans="1:14" ht="14.25" x14ac:dyDescent="0.2">
      <c r="A319" s="3">
        <v>66159</v>
      </c>
      <c r="B319" s="3" t="s">
        <v>2106</v>
      </c>
      <c r="C319" s="3" t="s">
        <v>16</v>
      </c>
      <c r="D319" s="6" t="s">
        <v>1360</v>
      </c>
      <c r="E319" s="6" t="s">
        <v>1360</v>
      </c>
      <c r="F319" s="3" t="str">
        <f>IFERROR( VLOOKUP(A319,#REF!,2,0),"")</f>
        <v/>
      </c>
      <c r="G319" s="3" t="str">
        <f t="array" ref="G319">_xlfn.XLOOKUP(I319,Base_Datos!D:D,Base_Datos!B:B,"")</f>
        <v>GAC</v>
      </c>
      <c r="H319" s="3" t="str">
        <f t="array" ref="H319">IF(I319="","",IFERROR(_xlfn.XLOOKUP(I319,Base_Datos!$D$2:$D3876,Base_Datos!$C$2:$C3876),""))</f>
        <v>Serie Emzoom</v>
      </c>
      <c r="I319" s="3" t="s">
        <v>1203</v>
      </c>
      <c r="J319" s="3" t="str">
        <f>IF(I319="","",IFERROR(VLOOKUP(I319,Base_Datos!$D$2:$E$72,2,0),""))</f>
        <v>(1.5L)</v>
      </c>
      <c r="K319" s="3"/>
      <c r="L319" s="3"/>
      <c r="M319" s="7">
        <v>2</v>
      </c>
      <c r="N319" s="7">
        <v>0</v>
      </c>
    </row>
    <row r="320" spans="1:14" ht="14.25" x14ac:dyDescent="0.2">
      <c r="A320" s="3">
        <v>66160</v>
      </c>
      <c r="B320" s="3" t="s">
        <v>2106</v>
      </c>
      <c r="C320" s="3" t="s">
        <v>16</v>
      </c>
      <c r="D320" s="6" t="s">
        <v>1361</v>
      </c>
      <c r="E320" s="6" t="s">
        <v>1361</v>
      </c>
      <c r="F320" s="3" t="str">
        <f>IFERROR( VLOOKUP(A320,#REF!,2,0),"")</f>
        <v/>
      </c>
      <c r="G320" s="3" t="str">
        <f t="array" ref="G320">_xlfn.XLOOKUP(I320,Base_Datos!D:D,Base_Datos!B:B,"")</f>
        <v>GAC</v>
      </c>
      <c r="H320" s="3" t="str">
        <f t="array" ref="H320">IF(I320="","",IFERROR(_xlfn.XLOOKUP(I320,Base_Datos!$D$2:$D3876,Base_Datos!$C$2:$C3876),""))</f>
        <v>Serie Emzoom</v>
      </c>
      <c r="I320" s="3" t="s">
        <v>1203</v>
      </c>
      <c r="J320" s="3" t="str">
        <f>IF(I320="","",IFERROR(VLOOKUP(I320,Base_Datos!$D$2:$E$72,2,0),""))</f>
        <v>(1.5L)</v>
      </c>
      <c r="K320" s="3"/>
      <c r="L320" s="3"/>
      <c r="M320" s="7">
        <v>2</v>
      </c>
      <c r="N320" s="7">
        <v>0</v>
      </c>
    </row>
    <row r="321" spans="1:14" ht="14.25" x14ac:dyDescent="0.2">
      <c r="A321" s="3">
        <v>66161</v>
      </c>
      <c r="B321" s="3" t="s">
        <v>2107</v>
      </c>
      <c r="C321" s="3" t="s">
        <v>16</v>
      </c>
      <c r="D321" s="6" t="s">
        <v>1362</v>
      </c>
      <c r="E321" s="6" t="s">
        <v>1362</v>
      </c>
      <c r="F321" s="3" t="str">
        <f>IFERROR( VLOOKUP(A321,#REF!,2,0),"")</f>
        <v/>
      </c>
      <c r="G321" s="3" t="str">
        <f t="array" ref="G321">_xlfn.XLOOKUP(I321,Base_Datos!D:D,Base_Datos!B:B,"")</f>
        <v>GAC</v>
      </c>
      <c r="H321" s="3" t="str">
        <f t="array" ref="H321">IF(I321="","",IFERROR(_xlfn.XLOOKUP(I321,Base_Datos!$D$2:$D3876,Base_Datos!$C$2:$C3876),""))</f>
        <v>Serie Emzoom</v>
      </c>
      <c r="I321" s="3" t="s">
        <v>1203</v>
      </c>
      <c r="J321" s="3" t="str">
        <f>IF(I321="","",IFERROR(VLOOKUP(I321,Base_Datos!$D$2:$E$72,2,0),""))</f>
        <v>(1.5L)</v>
      </c>
      <c r="K321" s="3"/>
      <c r="L321" s="3"/>
      <c r="M321" s="7">
        <v>3</v>
      </c>
      <c r="N321" s="7">
        <v>0</v>
      </c>
    </row>
    <row r="322" spans="1:14" ht="14.25" x14ac:dyDescent="0.2">
      <c r="A322" s="3">
        <v>66162</v>
      </c>
      <c r="B322" s="3" t="s">
        <v>2108</v>
      </c>
      <c r="C322" s="3" t="s">
        <v>16</v>
      </c>
      <c r="D322" s="6" t="s">
        <v>1363</v>
      </c>
      <c r="E322" s="6" t="s">
        <v>1363</v>
      </c>
      <c r="F322" s="3" t="str">
        <f>IFERROR( VLOOKUP(A322,#REF!,2,0),"")</f>
        <v/>
      </c>
      <c r="G322" s="3" t="str">
        <f t="array" ref="G322">_xlfn.XLOOKUP(I322,Base_Datos!D:D,Base_Datos!B:B,"")</f>
        <v>GAC</v>
      </c>
      <c r="H322" s="3" t="str">
        <f t="array" ref="H322">IF(I322="","",IFERROR(_xlfn.XLOOKUP(I322,Base_Datos!$D$2:$D3876,Base_Datos!$C$2:$C3876),""))</f>
        <v>Serie Emzoom</v>
      </c>
      <c r="I322" s="3" t="s">
        <v>1203</v>
      </c>
      <c r="J322" s="3" t="str">
        <f>IF(I322="","",IFERROR(VLOOKUP(I322,Base_Datos!$D$2:$E$72,2,0),""))</f>
        <v>(1.5L)</v>
      </c>
      <c r="K322" s="3"/>
      <c r="L322" s="3"/>
      <c r="M322" s="7">
        <v>3</v>
      </c>
      <c r="N322" s="7">
        <v>0</v>
      </c>
    </row>
    <row r="323" spans="1:14" ht="14.25" x14ac:dyDescent="0.2">
      <c r="A323" s="3">
        <v>66163</v>
      </c>
      <c r="B323" s="3" t="s">
        <v>2109</v>
      </c>
      <c r="C323" s="3" t="s">
        <v>16</v>
      </c>
      <c r="D323" s="6" t="s">
        <v>1364</v>
      </c>
      <c r="E323" s="6" t="s">
        <v>1364</v>
      </c>
      <c r="F323" s="3" t="str">
        <f>IFERROR( VLOOKUP(A323,#REF!,2,0),"")</f>
        <v/>
      </c>
      <c r="G323" s="3" t="str">
        <f t="array" ref="G323">_xlfn.XLOOKUP(I323,Base_Datos!D:D,Base_Datos!B:B,"")</f>
        <v>GAC</v>
      </c>
      <c r="H323" s="3" t="str">
        <f t="array" ref="H323">IF(I323="","",IFERROR(_xlfn.XLOOKUP(I323,Base_Datos!$D$2:$D3876,Base_Datos!$C$2:$C3876),""))</f>
        <v>Serie Emzoom</v>
      </c>
      <c r="I323" s="3" t="s">
        <v>1203</v>
      </c>
      <c r="J323" s="3" t="str">
        <f>IF(I323="","",IFERROR(VLOOKUP(I323,Base_Datos!$D$2:$E$72,2,0),""))</f>
        <v>(1.5L)</v>
      </c>
      <c r="K323" s="3"/>
      <c r="L323" s="3"/>
      <c r="M323" s="7">
        <v>3</v>
      </c>
      <c r="N323" s="7">
        <v>0</v>
      </c>
    </row>
    <row r="324" spans="1:14" ht="14.25" x14ac:dyDescent="0.2">
      <c r="A324" s="3">
        <v>66164</v>
      </c>
      <c r="B324" s="3" t="s">
        <v>2110</v>
      </c>
      <c r="C324" s="3" t="s">
        <v>16</v>
      </c>
      <c r="D324" s="6" t="s">
        <v>1365</v>
      </c>
      <c r="E324" s="6" t="s">
        <v>1365</v>
      </c>
      <c r="F324" s="3" t="str">
        <f>IFERROR( VLOOKUP(A324,#REF!,2,0),"")</f>
        <v/>
      </c>
      <c r="G324" s="3" t="str">
        <f t="array" ref="G324">_xlfn.XLOOKUP(I324,Base_Datos!D:D,Base_Datos!B:B,"")</f>
        <v>GAC</v>
      </c>
      <c r="H324" s="3" t="str">
        <f t="array" ref="H324">IF(I324="","",IFERROR(_xlfn.XLOOKUP(I324,Base_Datos!$D$2:$D3876,Base_Datos!$C$2:$C3876),""))</f>
        <v>Serie Emzoom</v>
      </c>
      <c r="I324" s="3" t="s">
        <v>1203</v>
      </c>
      <c r="J324" s="3" t="str">
        <f>IF(I324="","",IFERROR(VLOOKUP(I324,Base_Datos!$D$2:$E$72,2,0),""))</f>
        <v>(1.5L)</v>
      </c>
      <c r="K324" s="3"/>
      <c r="L324" s="3"/>
      <c r="M324" s="7">
        <v>4</v>
      </c>
      <c r="N324" s="7">
        <v>0</v>
      </c>
    </row>
    <row r="325" spans="1:14" ht="14.25" x14ac:dyDescent="0.2">
      <c r="A325" s="3">
        <v>66165</v>
      </c>
      <c r="B325" s="3" t="s">
        <v>2111</v>
      </c>
      <c r="C325" s="3" t="s">
        <v>16</v>
      </c>
      <c r="D325" s="6" t="s">
        <v>1366</v>
      </c>
      <c r="E325" s="6" t="s">
        <v>1366</v>
      </c>
      <c r="F325" s="3" t="str">
        <f>IFERROR( VLOOKUP(A325,#REF!,2,0),"")</f>
        <v/>
      </c>
      <c r="G325" s="3" t="str">
        <f t="array" ref="G325">_xlfn.XLOOKUP(I325,Base_Datos!D:D,Base_Datos!B:B,"")</f>
        <v>GAC</v>
      </c>
      <c r="H325" s="3" t="str">
        <f t="array" ref="H325">IF(I325="","",IFERROR(_xlfn.XLOOKUP(I325,Base_Datos!$D$2:$D3876,Base_Datos!$C$2:$C3876),""))</f>
        <v>Serie Emzoom</v>
      </c>
      <c r="I325" s="3" t="s">
        <v>1203</v>
      </c>
      <c r="J325" s="3" t="str">
        <f>IF(I325="","",IFERROR(VLOOKUP(I325,Base_Datos!$D$2:$E$72,2,0),""))</f>
        <v>(1.5L)</v>
      </c>
      <c r="K325" s="3"/>
      <c r="L325" s="3"/>
      <c r="M325" s="7">
        <v>4</v>
      </c>
      <c r="N325" s="7">
        <v>0</v>
      </c>
    </row>
    <row r="326" spans="1:14" ht="14.25" x14ac:dyDescent="0.2">
      <c r="A326" s="3">
        <v>66166</v>
      </c>
      <c r="B326" s="3" t="s">
        <v>2112</v>
      </c>
      <c r="C326" s="3" t="s">
        <v>16</v>
      </c>
      <c r="D326" s="6" t="s">
        <v>1367</v>
      </c>
      <c r="E326" s="6" t="s">
        <v>1367</v>
      </c>
      <c r="F326" s="3" t="str">
        <f>IFERROR( VLOOKUP(A326,#REF!,2,0),"")</f>
        <v/>
      </c>
      <c r="G326" s="3" t="str">
        <f t="array" ref="G326">_xlfn.XLOOKUP(I326,Base_Datos!D:D,Base_Datos!B:B,"")</f>
        <v>GAC</v>
      </c>
      <c r="H326" s="3" t="str">
        <f t="array" ref="H326">IF(I326="","",IFERROR(_xlfn.XLOOKUP(I326,Base_Datos!$D$2:$D3876,Base_Datos!$C$2:$C3876),""))</f>
        <v>Serie Emzoom</v>
      </c>
      <c r="I326" s="3" t="s">
        <v>1203</v>
      </c>
      <c r="J326" s="3" t="str">
        <f>IF(I326="","",IFERROR(VLOOKUP(I326,Base_Datos!$D$2:$E$72,2,0),""))</f>
        <v>(1.5L)</v>
      </c>
      <c r="K326" s="3"/>
      <c r="L326" s="3"/>
      <c r="M326" s="7">
        <v>4</v>
      </c>
      <c r="N326" s="7">
        <v>0</v>
      </c>
    </row>
    <row r="327" spans="1:14" ht="14.25" x14ac:dyDescent="0.2">
      <c r="A327" s="3">
        <v>66167</v>
      </c>
      <c r="B327" s="3" t="s">
        <v>2113</v>
      </c>
      <c r="C327" s="3" t="s">
        <v>16</v>
      </c>
      <c r="D327" s="6" t="s">
        <v>1368</v>
      </c>
      <c r="E327" s="6" t="s">
        <v>1782</v>
      </c>
      <c r="F327" s="3" t="str">
        <f>IFERROR( VLOOKUP(A327,#REF!,2,0),"")</f>
        <v/>
      </c>
      <c r="G327" s="3" t="str">
        <f t="array" ref="G327">_xlfn.XLOOKUP(I327,Base_Datos!D:D,Base_Datos!B:B,"")</f>
        <v>GAC</v>
      </c>
      <c r="H327" s="3" t="str">
        <f t="array" ref="H327">IF(I327="","",IFERROR(_xlfn.XLOOKUP(I327,Base_Datos!$D$2:$D3876,Base_Datos!$C$2:$C3876),""))</f>
        <v>Serie Emzoom</v>
      </c>
      <c r="I327" s="3" t="s">
        <v>1203</v>
      </c>
      <c r="J327" s="3" t="str">
        <f>IF(I327="","",IFERROR(VLOOKUP(I327,Base_Datos!$D$2:$E$72,2,0),""))</f>
        <v>(1.5L)</v>
      </c>
      <c r="K327" s="3"/>
      <c r="L327" s="3"/>
      <c r="M327" s="7">
        <v>4</v>
      </c>
      <c r="N327" s="7">
        <v>0</v>
      </c>
    </row>
    <row r="328" spans="1:14" ht="14.25" x14ac:dyDescent="0.2">
      <c r="A328" s="3">
        <v>66168</v>
      </c>
      <c r="B328" s="3" t="s">
        <v>2114</v>
      </c>
      <c r="C328" s="3" t="s">
        <v>16</v>
      </c>
      <c r="D328" s="6" t="s">
        <v>1369</v>
      </c>
      <c r="E328" s="6" t="s">
        <v>1782</v>
      </c>
      <c r="F328" s="3" t="str">
        <f>IFERROR( VLOOKUP(A328,#REF!,2,0),"")</f>
        <v/>
      </c>
      <c r="G328" s="3" t="str">
        <f t="array" ref="G328">_xlfn.XLOOKUP(I328,Base_Datos!D:D,Base_Datos!B:B,"")</f>
        <v>GAC</v>
      </c>
      <c r="H328" s="3" t="str">
        <f t="array" ref="H328">IF(I328="","",IFERROR(_xlfn.XLOOKUP(I328,Base_Datos!$D$2:$D3876,Base_Datos!$C$2:$C3876),""))</f>
        <v>Serie Emzoom</v>
      </c>
      <c r="I328" s="3" t="s">
        <v>1203</v>
      </c>
      <c r="J328" s="3" t="str">
        <f>IF(I328="","",IFERROR(VLOOKUP(I328,Base_Datos!$D$2:$E$72,2,0),""))</f>
        <v>(1.5L)</v>
      </c>
      <c r="K328" s="3"/>
      <c r="L328" s="3"/>
      <c r="M328" s="7">
        <v>3</v>
      </c>
      <c r="N328" s="7">
        <v>0</v>
      </c>
    </row>
    <row r="329" spans="1:14" ht="14.25" x14ac:dyDescent="0.2">
      <c r="A329" s="3">
        <v>66169</v>
      </c>
      <c r="B329" s="3" t="s">
        <v>2115</v>
      </c>
      <c r="C329" s="3" t="s">
        <v>16</v>
      </c>
      <c r="D329" s="6" t="s">
        <v>1370</v>
      </c>
      <c r="E329" s="6" t="s">
        <v>1782</v>
      </c>
      <c r="F329" s="3" t="str">
        <f>IFERROR( VLOOKUP(A329,#REF!,2,0),"")</f>
        <v/>
      </c>
      <c r="G329" s="3" t="str">
        <f t="array" ref="G329">_xlfn.XLOOKUP(I329,Base_Datos!D:D,Base_Datos!B:B,"")</f>
        <v>GAC</v>
      </c>
      <c r="H329" s="3" t="str">
        <f t="array" ref="H329">IF(I329="","",IFERROR(_xlfn.XLOOKUP(I329,Base_Datos!$D$2:$D3876,Base_Datos!$C$2:$C3876),""))</f>
        <v>Serie Emzoom</v>
      </c>
      <c r="I329" s="3" t="s">
        <v>1203</v>
      </c>
      <c r="J329" s="3" t="str">
        <f>IF(I329="","",IFERROR(VLOOKUP(I329,Base_Datos!$D$2:$E$72,2,0),""))</f>
        <v>(1.5L)</v>
      </c>
      <c r="K329" s="3"/>
      <c r="L329" s="3"/>
      <c r="M329" s="7">
        <v>3</v>
      </c>
      <c r="N329" s="7">
        <v>0</v>
      </c>
    </row>
    <row r="330" spans="1:14" ht="14.25" x14ac:dyDescent="0.2">
      <c r="A330" s="3">
        <v>66170</v>
      </c>
      <c r="B330" s="3" t="s">
        <v>2116</v>
      </c>
      <c r="C330" s="3" t="s">
        <v>16</v>
      </c>
      <c r="D330" s="6" t="s">
        <v>1371</v>
      </c>
      <c r="E330" s="6" t="s">
        <v>1782</v>
      </c>
      <c r="F330" s="3" t="str">
        <f>IFERROR( VLOOKUP(A330,#REF!,2,0),"")</f>
        <v/>
      </c>
      <c r="G330" s="3" t="str">
        <f t="array" ref="G330">_xlfn.XLOOKUP(I330,Base_Datos!D:D,Base_Datos!B:B,"")</f>
        <v>GAC</v>
      </c>
      <c r="H330" s="3" t="str">
        <f t="array" ref="H330">IF(I330="","",IFERROR(_xlfn.XLOOKUP(I330,Base_Datos!$D$2:$D3876,Base_Datos!$C$2:$C3876),""))</f>
        <v>Serie Emzoom</v>
      </c>
      <c r="I330" s="3" t="s">
        <v>1203</v>
      </c>
      <c r="J330" s="3" t="str">
        <f>IF(I330="","",IFERROR(VLOOKUP(I330,Base_Datos!$D$2:$E$72,2,0),""))</f>
        <v>(1.5L)</v>
      </c>
      <c r="K330" s="3"/>
      <c r="L330" s="3"/>
      <c r="M330" s="7">
        <v>10</v>
      </c>
      <c r="N330" s="7">
        <v>0</v>
      </c>
    </row>
    <row r="331" spans="1:14" ht="14.25" x14ac:dyDescent="0.2">
      <c r="A331" s="3">
        <v>66171</v>
      </c>
      <c r="B331" s="3" t="s">
        <v>2117</v>
      </c>
      <c r="C331" s="3" t="s">
        <v>16</v>
      </c>
      <c r="D331" s="6" t="s">
        <v>1372</v>
      </c>
      <c r="E331" s="6" t="s">
        <v>1782</v>
      </c>
      <c r="F331" s="3" t="str">
        <f>IFERROR( VLOOKUP(A331,#REF!,2,0),"")</f>
        <v/>
      </c>
      <c r="G331" s="3" t="str">
        <f t="array" ref="G331">_xlfn.XLOOKUP(I331,Base_Datos!D:D,Base_Datos!B:B,"")</f>
        <v>GAC</v>
      </c>
      <c r="H331" s="3" t="str">
        <f t="array" ref="H331">IF(I331="","",IFERROR(_xlfn.XLOOKUP(I331,Base_Datos!$D$2:$D3876,Base_Datos!$C$2:$C3876),""))</f>
        <v>Serie Emzoom</v>
      </c>
      <c r="I331" s="3" t="s">
        <v>1203</v>
      </c>
      <c r="J331" s="3" t="str">
        <f>IF(I331="","",IFERROR(VLOOKUP(I331,Base_Datos!$D$2:$E$72,2,0),""))</f>
        <v>(1.5L)</v>
      </c>
      <c r="K331" s="3"/>
      <c r="L331" s="3"/>
      <c r="M331" s="7">
        <v>3</v>
      </c>
      <c r="N331" s="7">
        <v>0</v>
      </c>
    </row>
    <row r="332" spans="1:14" ht="14.25" x14ac:dyDescent="0.2">
      <c r="A332" s="3">
        <v>66172</v>
      </c>
      <c r="B332" s="3" t="s">
        <v>2118</v>
      </c>
      <c r="C332" s="3" t="s">
        <v>16</v>
      </c>
      <c r="D332" s="6" t="s">
        <v>1373</v>
      </c>
      <c r="E332" s="6" t="s">
        <v>1782</v>
      </c>
      <c r="F332" s="3" t="str">
        <f>IFERROR( VLOOKUP(A332,#REF!,2,0),"")</f>
        <v/>
      </c>
      <c r="G332" s="3" t="str">
        <f t="array" ref="G332">_xlfn.XLOOKUP(I332,Base_Datos!D:D,Base_Datos!B:B,"")</f>
        <v>GAC</v>
      </c>
      <c r="H332" s="3" t="str">
        <f t="array" ref="H332">IF(I332="","",IFERROR(_xlfn.XLOOKUP(I332,Base_Datos!$D$2:$D3876,Base_Datos!$C$2:$C3876),""))</f>
        <v>Serie Emzoom</v>
      </c>
      <c r="I332" s="3" t="s">
        <v>1203</v>
      </c>
      <c r="J332" s="3" t="str">
        <f>IF(I332="","",IFERROR(VLOOKUP(I332,Base_Datos!$D$2:$E$72,2,0),""))</f>
        <v>(1.5L)</v>
      </c>
      <c r="K332" s="3"/>
      <c r="L332" s="3"/>
      <c r="M332" s="7">
        <v>3</v>
      </c>
      <c r="N332" s="7">
        <v>0</v>
      </c>
    </row>
    <row r="333" spans="1:14" ht="14.25" x14ac:dyDescent="0.2">
      <c r="A333" s="3">
        <v>66173</v>
      </c>
      <c r="B333" s="3" t="s">
        <v>2119</v>
      </c>
      <c r="C333" s="3" t="s">
        <v>16</v>
      </c>
      <c r="D333" s="6" t="s">
        <v>1374</v>
      </c>
      <c r="E333" s="6" t="s">
        <v>1782</v>
      </c>
      <c r="F333" s="3" t="str">
        <f>IFERROR( VLOOKUP(A333,#REF!,2,0),"")</f>
        <v/>
      </c>
      <c r="G333" s="3" t="str">
        <f t="array" ref="G333">_xlfn.XLOOKUP(I333,Base_Datos!D:D,Base_Datos!B:B,"")</f>
        <v>GAC</v>
      </c>
      <c r="H333" s="3" t="str">
        <f t="array" ref="H333">IF(I333="","",IFERROR(_xlfn.XLOOKUP(I333,Base_Datos!$D$2:$D3876,Base_Datos!$C$2:$C3876),""))</f>
        <v>Serie Emzoom</v>
      </c>
      <c r="I333" s="3" t="s">
        <v>1203</v>
      </c>
      <c r="J333" s="3" t="str">
        <f>IF(I333="","",IFERROR(VLOOKUP(I333,Base_Datos!$D$2:$E$72,2,0),""))</f>
        <v>(1.5L)</v>
      </c>
      <c r="K333" s="3"/>
      <c r="L333" s="3"/>
      <c r="M333" s="7">
        <v>5</v>
      </c>
      <c r="N333" s="7">
        <v>0</v>
      </c>
    </row>
    <row r="334" spans="1:14" ht="14.25" x14ac:dyDescent="0.2">
      <c r="A334" s="3">
        <v>66174</v>
      </c>
      <c r="B334" s="3" t="s">
        <v>2119</v>
      </c>
      <c r="C334" s="3" t="s">
        <v>16</v>
      </c>
      <c r="D334" s="6" t="s">
        <v>1375</v>
      </c>
      <c r="E334" s="6" t="s">
        <v>1782</v>
      </c>
      <c r="F334" s="3" t="str">
        <f>IFERROR( VLOOKUP(A334,#REF!,2,0),"")</f>
        <v/>
      </c>
      <c r="G334" s="3" t="str">
        <f t="array" ref="G334">_xlfn.XLOOKUP(I334,Base_Datos!D:D,Base_Datos!B:B,"")</f>
        <v>GAC</v>
      </c>
      <c r="H334" s="3" t="str">
        <f t="array" ref="H334">IF(I334="","",IFERROR(_xlfn.XLOOKUP(I334,Base_Datos!$D$2:$D3876,Base_Datos!$C$2:$C3876),""))</f>
        <v>Serie Emzoom</v>
      </c>
      <c r="I334" s="3" t="s">
        <v>1203</v>
      </c>
      <c r="J334" s="3" t="str">
        <f>IF(I334="","",IFERROR(VLOOKUP(I334,Base_Datos!$D$2:$E$72,2,0),""))</f>
        <v>(1.5L)</v>
      </c>
      <c r="K334" s="3"/>
      <c r="L334" s="3"/>
      <c r="M334" s="7">
        <v>3</v>
      </c>
      <c r="N334" s="7">
        <v>0</v>
      </c>
    </row>
    <row r="335" spans="1:14" ht="14.25" x14ac:dyDescent="0.2">
      <c r="A335" s="3">
        <v>66175</v>
      </c>
      <c r="B335" s="3" t="s">
        <v>2120</v>
      </c>
      <c r="C335" s="3" t="s">
        <v>16</v>
      </c>
      <c r="D335" s="6" t="s">
        <v>1376</v>
      </c>
      <c r="E335" s="6" t="s">
        <v>1782</v>
      </c>
      <c r="F335" s="3" t="str">
        <f>IFERROR( VLOOKUP(A335,#REF!,2,0),"")</f>
        <v/>
      </c>
      <c r="G335" s="3" t="str">
        <f t="array" ref="G335">_xlfn.XLOOKUP(I335,Base_Datos!D:D,Base_Datos!B:B,"")</f>
        <v>GAC</v>
      </c>
      <c r="H335" s="3" t="str">
        <f t="array" ref="H335">IF(I335="","",IFERROR(_xlfn.XLOOKUP(I335,Base_Datos!$D$2:$D3876,Base_Datos!$C$2:$C3876),""))</f>
        <v>Serie Emzoom</v>
      </c>
      <c r="I335" s="3" t="s">
        <v>1203</v>
      </c>
      <c r="J335" s="3" t="str">
        <f>IF(I335="","",IFERROR(VLOOKUP(I335,Base_Datos!$D$2:$E$72,2,0),""))</f>
        <v>(1.5L)</v>
      </c>
      <c r="K335" s="3"/>
      <c r="L335" s="3"/>
      <c r="M335" s="7">
        <v>5</v>
      </c>
      <c r="N335" s="7">
        <v>0</v>
      </c>
    </row>
    <row r="336" spans="1:14" ht="14.25" x14ac:dyDescent="0.2">
      <c r="A336" s="3">
        <v>66176</v>
      </c>
      <c r="B336" s="3" t="s">
        <v>1968</v>
      </c>
      <c r="C336" s="3" t="s">
        <v>16</v>
      </c>
      <c r="D336" s="6" t="s">
        <v>1377</v>
      </c>
      <c r="E336" s="6" t="s">
        <v>1782</v>
      </c>
      <c r="F336" s="3" t="str">
        <f>IFERROR( VLOOKUP(A336,#REF!,2,0),"")</f>
        <v/>
      </c>
      <c r="G336" s="3" t="str">
        <f t="array" ref="G336">_xlfn.XLOOKUP(I336,Base_Datos!D:D,Base_Datos!B:B,"")</f>
        <v>GAC</v>
      </c>
      <c r="H336" s="3" t="str">
        <f t="array" ref="H336">IF(I336="","",IFERROR(_xlfn.XLOOKUP(I336,Base_Datos!$D$2:$D3876,Base_Datos!$C$2:$C3876),""))</f>
        <v>Serie Emzoom</v>
      </c>
      <c r="I336" s="3" t="s">
        <v>1203</v>
      </c>
      <c r="J336" s="3" t="str">
        <f>IF(I336="","",IFERROR(VLOOKUP(I336,Base_Datos!$D$2:$E$72,2,0),""))</f>
        <v>(1.5L)</v>
      </c>
      <c r="K336" s="3"/>
      <c r="L336" s="3"/>
      <c r="M336" s="7">
        <v>1</v>
      </c>
      <c r="N336" s="7">
        <v>0</v>
      </c>
    </row>
    <row r="337" spans="1:14" ht="14.25" x14ac:dyDescent="0.2">
      <c r="A337" s="3">
        <v>66177</v>
      </c>
      <c r="B337" s="3" t="s">
        <v>2121</v>
      </c>
      <c r="C337" s="3" t="s">
        <v>16</v>
      </c>
      <c r="D337" s="6" t="s">
        <v>1378</v>
      </c>
      <c r="E337" s="6" t="s">
        <v>1782</v>
      </c>
      <c r="F337" s="3" t="str">
        <f>IFERROR( VLOOKUP(A337,#REF!,2,0),"")</f>
        <v/>
      </c>
      <c r="G337" s="3" t="str">
        <f t="array" ref="G337">_xlfn.XLOOKUP(I337,Base_Datos!D:D,Base_Datos!B:B,"")</f>
        <v>GAC</v>
      </c>
      <c r="H337" s="3" t="str">
        <f t="array" ref="H337">IF(I337="","",IFERROR(_xlfn.XLOOKUP(I337,Base_Datos!$D$2:$D3876,Base_Datos!$C$2:$C3876),""))</f>
        <v>Serie Emzoom</v>
      </c>
      <c r="I337" s="3" t="s">
        <v>1203</v>
      </c>
      <c r="J337" s="3" t="str">
        <f>IF(I337="","",IFERROR(VLOOKUP(I337,Base_Datos!$D$2:$E$72,2,0),""))</f>
        <v>(1.5L)</v>
      </c>
      <c r="K337" s="3"/>
      <c r="L337" s="3"/>
      <c r="M337" s="7">
        <v>1</v>
      </c>
      <c r="N337" s="7">
        <v>0</v>
      </c>
    </row>
    <row r="338" spans="1:14" ht="14.25" x14ac:dyDescent="0.2">
      <c r="A338" s="3">
        <v>66178</v>
      </c>
      <c r="B338" s="3" t="s">
        <v>2122</v>
      </c>
      <c r="C338" s="3" t="s">
        <v>16</v>
      </c>
      <c r="D338" s="6" t="s">
        <v>1379</v>
      </c>
      <c r="E338" s="6" t="s">
        <v>1782</v>
      </c>
      <c r="F338" s="3" t="str">
        <f>IFERROR( VLOOKUP(A338,#REF!,2,0),"")</f>
        <v/>
      </c>
      <c r="G338" s="3" t="str">
        <f t="array" ref="G338">_xlfn.XLOOKUP(I338,Base_Datos!D:D,Base_Datos!B:B,"")</f>
        <v>GAC</v>
      </c>
      <c r="H338" s="3" t="str">
        <f t="array" ref="H338">IF(I338="","",IFERROR(_xlfn.XLOOKUP(I338,Base_Datos!$D$2:$D3876,Base_Datos!$C$2:$C3876),""))</f>
        <v>Serie Emzoom</v>
      </c>
      <c r="I338" s="3" t="s">
        <v>1203</v>
      </c>
      <c r="J338" s="3" t="str">
        <f>IF(I338="","",IFERROR(VLOOKUP(I338,Base_Datos!$D$2:$E$72,2,0),""))</f>
        <v>(1.5L)</v>
      </c>
      <c r="K338" s="3"/>
      <c r="L338" s="3"/>
      <c r="M338" s="7">
        <v>4</v>
      </c>
      <c r="N338" s="7">
        <v>0</v>
      </c>
    </row>
    <row r="339" spans="1:14" ht="14.25" x14ac:dyDescent="0.2">
      <c r="A339" s="3">
        <v>66179</v>
      </c>
      <c r="B339" s="3" t="s">
        <v>2123</v>
      </c>
      <c r="C339" s="3" t="s">
        <v>16</v>
      </c>
      <c r="D339" s="6" t="s">
        <v>1380</v>
      </c>
      <c r="E339" s="6" t="s">
        <v>1782</v>
      </c>
      <c r="F339" s="3" t="str">
        <f>IFERROR( VLOOKUP(A339,#REF!,2,0),"")</f>
        <v/>
      </c>
      <c r="G339" s="3" t="str">
        <f t="array" ref="G339">_xlfn.XLOOKUP(I339,Base_Datos!D:D,Base_Datos!B:B,"")</f>
        <v>GAC</v>
      </c>
      <c r="H339" s="3" t="str">
        <f t="array" ref="H339">IF(I339="","",IFERROR(_xlfn.XLOOKUP(I339,Base_Datos!$D$2:$D3876,Base_Datos!$C$2:$C3876),""))</f>
        <v>Serie Emzoom</v>
      </c>
      <c r="I339" s="3" t="s">
        <v>1203</v>
      </c>
      <c r="J339" s="3" t="str">
        <f>IF(I339="","",IFERROR(VLOOKUP(I339,Base_Datos!$D$2:$E$72,2,0),""))</f>
        <v>(1.5L)</v>
      </c>
      <c r="K339" s="3"/>
      <c r="L339" s="3"/>
      <c r="M339" s="7">
        <v>4</v>
      </c>
      <c r="N339" s="7">
        <v>0</v>
      </c>
    </row>
    <row r="340" spans="1:14" ht="14.25" x14ac:dyDescent="0.2">
      <c r="A340" s="3">
        <v>66180</v>
      </c>
      <c r="B340" s="3" t="s">
        <v>2124</v>
      </c>
      <c r="C340" s="3" t="s">
        <v>16</v>
      </c>
      <c r="D340" s="6" t="s">
        <v>1381</v>
      </c>
      <c r="E340" s="6" t="s">
        <v>1381</v>
      </c>
      <c r="F340" s="3" t="str">
        <f>IFERROR( VLOOKUP(A340,#REF!,2,0),"")</f>
        <v/>
      </c>
      <c r="G340" s="3" t="str">
        <f t="array" ref="G340">_xlfn.XLOOKUP(I340,Base_Datos!D:D,Base_Datos!B:B,"")</f>
        <v>GAC</v>
      </c>
      <c r="H340" s="3" t="str">
        <f t="array" ref="H340">IF(I340="","",IFERROR(_xlfn.XLOOKUP(I340,Base_Datos!$D$2:$D3876,Base_Datos!$C$2:$C3876),""))</f>
        <v>Serie Emzoom</v>
      </c>
      <c r="I340" s="3" t="s">
        <v>1203</v>
      </c>
      <c r="J340" s="3" t="str">
        <f>IF(I340="","",IFERROR(VLOOKUP(I340,Base_Datos!$D$2:$E$72,2,0),""))</f>
        <v>(1.5L)</v>
      </c>
      <c r="K340" s="3"/>
      <c r="L340" s="3"/>
      <c r="M340" s="7">
        <v>0</v>
      </c>
      <c r="N340" s="7">
        <v>0</v>
      </c>
    </row>
    <row r="341" spans="1:14" ht="14.25" x14ac:dyDescent="0.2">
      <c r="A341" s="3">
        <v>66181</v>
      </c>
      <c r="B341" s="3" t="s">
        <v>2125</v>
      </c>
      <c r="C341" s="3" t="s">
        <v>16</v>
      </c>
      <c r="D341" s="6" t="s">
        <v>1382</v>
      </c>
      <c r="E341" s="6" t="s">
        <v>1382</v>
      </c>
      <c r="F341" s="3" t="str">
        <f>IFERROR( VLOOKUP(A341,#REF!,2,0),"")</f>
        <v/>
      </c>
      <c r="G341" s="3" t="str">
        <f t="array" ref="G341">_xlfn.XLOOKUP(I341,Base_Datos!D:D,Base_Datos!B:B,"")</f>
        <v>GAC</v>
      </c>
      <c r="H341" s="3" t="str">
        <f t="array" ref="H341">IF(I341="","",IFERROR(_xlfn.XLOOKUP(I341,Base_Datos!$D$2:$D3876,Base_Datos!$C$2:$C3876),""))</f>
        <v>Serie Emzoom</v>
      </c>
      <c r="I341" s="3" t="s">
        <v>1203</v>
      </c>
      <c r="J341" s="3" t="str">
        <f>IF(I341="","",IFERROR(VLOOKUP(I341,Base_Datos!$D$2:$E$72,2,0),""))</f>
        <v>(1.5L)</v>
      </c>
      <c r="K341" s="3"/>
      <c r="L341" s="3"/>
      <c r="M341" s="7">
        <v>2</v>
      </c>
      <c r="N341" s="7">
        <v>0</v>
      </c>
    </row>
    <row r="342" spans="1:14" ht="14.25" x14ac:dyDescent="0.2">
      <c r="A342" s="3">
        <v>66182</v>
      </c>
      <c r="B342" s="3" t="s">
        <v>2126</v>
      </c>
      <c r="C342" s="3" t="s">
        <v>16</v>
      </c>
      <c r="D342" s="6" t="s">
        <v>1383</v>
      </c>
      <c r="E342" s="6" t="s">
        <v>1782</v>
      </c>
      <c r="F342" s="3" t="str">
        <f>IFERROR( VLOOKUP(A342,#REF!,2,0),"")</f>
        <v/>
      </c>
      <c r="G342" s="3" t="str">
        <f t="array" ref="G342">_xlfn.XLOOKUP(I342,Base_Datos!D:D,Base_Datos!B:B,"")</f>
        <v>GAC</v>
      </c>
      <c r="H342" s="3" t="str">
        <f t="array" ref="H342">IF(I342="","",IFERROR(_xlfn.XLOOKUP(I342,Base_Datos!$D$2:$D3876,Base_Datos!$C$2:$C3876),""))</f>
        <v>Serie Emzoom</v>
      </c>
      <c r="I342" s="3" t="s">
        <v>1203</v>
      </c>
      <c r="J342" s="3" t="str">
        <f>IF(I342="","",IFERROR(VLOOKUP(I342,Base_Datos!$D$2:$E$72,2,0),""))</f>
        <v>(1.5L)</v>
      </c>
      <c r="K342" s="3"/>
      <c r="L342" s="3"/>
      <c r="M342" s="7">
        <v>4</v>
      </c>
      <c r="N342" s="7">
        <v>0</v>
      </c>
    </row>
    <row r="343" spans="1:14" ht="14.25" x14ac:dyDescent="0.2">
      <c r="A343" s="3">
        <v>66183</v>
      </c>
      <c r="B343" s="3" t="s">
        <v>2127</v>
      </c>
      <c r="C343" s="3" t="s">
        <v>16</v>
      </c>
      <c r="D343" s="6" t="s">
        <v>1384</v>
      </c>
      <c r="E343" s="6" t="s">
        <v>1782</v>
      </c>
      <c r="F343" s="3" t="str">
        <f>IFERROR( VLOOKUP(A343,#REF!,2,0),"")</f>
        <v/>
      </c>
      <c r="G343" s="3" t="str">
        <f t="array" ref="G343">_xlfn.XLOOKUP(I343,Base_Datos!D:D,Base_Datos!B:B,"")</f>
        <v>GAC</v>
      </c>
      <c r="H343" s="3" t="str">
        <f t="array" ref="H343">IF(I343="","",IFERROR(_xlfn.XLOOKUP(I343,Base_Datos!$D$2:$D3876,Base_Datos!$C$2:$C3876),""))</f>
        <v>Serie Emzoom</v>
      </c>
      <c r="I343" s="3" t="s">
        <v>1203</v>
      </c>
      <c r="J343" s="3" t="str">
        <f>IF(I343="","",IFERROR(VLOOKUP(I343,Base_Datos!$D$2:$E$72,2,0),""))</f>
        <v>(1.5L)</v>
      </c>
      <c r="K343" s="3"/>
      <c r="L343" s="3"/>
      <c r="M343" s="7">
        <v>2</v>
      </c>
      <c r="N343" s="7">
        <v>0</v>
      </c>
    </row>
    <row r="344" spans="1:14" ht="14.25" x14ac:dyDescent="0.2">
      <c r="A344" s="3">
        <v>66184</v>
      </c>
      <c r="B344" s="3" t="s">
        <v>2128</v>
      </c>
      <c r="C344" s="3" t="s">
        <v>16</v>
      </c>
      <c r="D344" s="6" t="s">
        <v>1385</v>
      </c>
      <c r="E344" s="6" t="s">
        <v>1782</v>
      </c>
      <c r="F344" s="3" t="str">
        <f>IFERROR( VLOOKUP(A344,#REF!,2,0),"")</f>
        <v/>
      </c>
      <c r="G344" s="3" t="str">
        <f t="array" ref="G344">_xlfn.XLOOKUP(I344,Base_Datos!D:D,Base_Datos!B:B,"")</f>
        <v>GAC</v>
      </c>
      <c r="H344" s="3" t="str">
        <f t="array" ref="H344">IF(I344="","",IFERROR(_xlfn.XLOOKUP(I344,Base_Datos!$D$2:$D3876,Base_Datos!$C$2:$C3876),""))</f>
        <v>Serie Emzoom</v>
      </c>
      <c r="I344" s="3" t="s">
        <v>1203</v>
      </c>
      <c r="J344" s="3" t="str">
        <f>IF(I344="","",IFERROR(VLOOKUP(I344,Base_Datos!$D$2:$E$72,2,0),""))</f>
        <v>(1.5L)</v>
      </c>
      <c r="K344" s="3"/>
      <c r="L344" s="3"/>
      <c r="M344" s="7">
        <v>4</v>
      </c>
      <c r="N344" s="7">
        <v>0</v>
      </c>
    </row>
    <row r="345" spans="1:14" ht="14.25" x14ac:dyDescent="0.2">
      <c r="A345" s="3">
        <v>66185</v>
      </c>
      <c r="B345" s="3" t="s">
        <v>2129</v>
      </c>
      <c r="C345" s="3" t="s">
        <v>16</v>
      </c>
      <c r="D345" s="6" t="s">
        <v>1386</v>
      </c>
      <c r="E345" s="6" t="s">
        <v>1782</v>
      </c>
      <c r="F345" s="3" t="str">
        <f>IFERROR( VLOOKUP(A345,#REF!,2,0),"")</f>
        <v/>
      </c>
      <c r="G345" s="3" t="str">
        <f t="array" ref="G345">_xlfn.XLOOKUP(I345,Base_Datos!D:D,Base_Datos!B:B,"")</f>
        <v>GAC</v>
      </c>
      <c r="H345" s="3" t="str">
        <f t="array" ref="H345">IF(I345="","",IFERROR(_xlfn.XLOOKUP(I345,Base_Datos!$D$2:$D3876,Base_Datos!$C$2:$C3876),""))</f>
        <v>Serie Emzoom</v>
      </c>
      <c r="I345" s="3" t="s">
        <v>1203</v>
      </c>
      <c r="J345" s="3" t="str">
        <f>IF(I345="","",IFERROR(VLOOKUP(I345,Base_Datos!$D$2:$E$72,2,0),""))</f>
        <v>(1.5L)</v>
      </c>
      <c r="K345" s="3"/>
      <c r="L345" s="3"/>
      <c r="M345" s="7">
        <v>4</v>
      </c>
      <c r="N345" s="7">
        <v>0</v>
      </c>
    </row>
    <row r="346" spans="1:14" ht="14.25" x14ac:dyDescent="0.2">
      <c r="A346" s="3">
        <v>66186</v>
      </c>
      <c r="B346" s="3" t="s">
        <v>2130</v>
      </c>
      <c r="C346" s="3" t="s">
        <v>16</v>
      </c>
      <c r="D346" s="6" t="s">
        <v>1387</v>
      </c>
      <c r="E346" s="6" t="s">
        <v>1782</v>
      </c>
      <c r="F346" s="3" t="str">
        <f>IFERROR( VLOOKUP(A346,#REF!,2,0),"")</f>
        <v/>
      </c>
      <c r="G346" s="3" t="str">
        <f t="array" ref="G346">_xlfn.XLOOKUP(I346,Base_Datos!D:D,Base_Datos!B:B,"")</f>
        <v>GAC</v>
      </c>
      <c r="H346" s="3" t="str">
        <f t="array" ref="H346">IF(I346="","",IFERROR(_xlfn.XLOOKUP(I346,Base_Datos!$D$2:$D3876,Base_Datos!$C$2:$C3876),""))</f>
        <v>Serie Emzoom</v>
      </c>
      <c r="I346" s="3" t="s">
        <v>1203</v>
      </c>
      <c r="J346" s="3" t="str">
        <f>IF(I346="","",IFERROR(VLOOKUP(I346,Base_Datos!$D$2:$E$72,2,0),""))</f>
        <v>(1.5L)</v>
      </c>
      <c r="K346" s="3"/>
      <c r="L346" s="3"/>
      <c r="M346" s="7">
        <v>3</v>
      </c>
      <c r="N346" s="7">
        <v>0</v>
      </c>
    </row>
    <row r="347" spans="1:14" ht="14.25" x14ac:dyDescent="0.2">
      <c r="A347" s="3">
        <v>66187</v>
      </c>
      <c r="B347" s="3" t="s">
        <v>2131</v>
      </c>
      <c r="C347" s="3" t="s">
        <v>16</v>
      </c>
      <c r="D347" s="6" t="s">
        <v>1388</v>
      </c>
      <c r="E347" s="6" t="s">
        <v>1388</v>
      </c>
      <c r="F347" s="3" t="str">
        <f>IFERROR( VLOOKUP(A347,#REF!,2,0),"")</f>
        <v/>
      </c>
      <c r="G347" s="3" t="str">
        <f t="array" ref="G347">_xlfn.XLOOKUP(I347,Base_Datos!D:D,Base_Datos!B:B,"")</f>
        <v>GAC</v>
      </c>
      <c r="H347" s="3" t="str">
        <f t="array" ref="H347">IF(I347="","",IFERROR(_xlfn.XLOOKUP(I347,Base_Datos!$D$2:$D3876,Base_Datos!$C$2:$C3876),""))</f>
        <v>Serie Emzoom</v>
      </c>
      <c r="I347" s="3" t="s">
        <v>1203</v>
      </c>
      <c r="J347" s="3" t="str">
        <f>IF(I347="","",IFERROR(VLOOKUP(I347,Base_Datos!$D$2:$E$72,2,0),""))</f>
        <v>(1.5L)</v>
      </c>
      <c r="K347" s="3"/>
      <c r="L347" s="3"/>
      <c r="M347" s="7">
        <v>4</v>
      </c>
      <c r="N347" s="7">
        <v>0</v>
      </c>
    </row>
    <row r="348" spans="1:14" ht="14.25" x14ac:dyDescent="0.2">
      <c r="A348" s="3">
        <v>66188</v>
      </c>
      <c r="B348" s="3" t="s">
        <v>2132</v>
      </c>
      <c r="C348" s="3" t="s">
        <v>16</v>
      </c>
      <c r="D348" s="6" t="s">
        <v>1389</v>
      </c>
      <c r="E348" s="6" t="s">
        <v>1782</v>
      </c>
      <c r="F348" s="3" t="str">
        <f>IFERROR( VLOOKUP(A348,#REF!,2,0),"")</f>
        <v/>
      </c>
      <c r="G348" s="3" t="str">
        <f t="array" ref="G348">_xlfn.XLOOKUP(I348,Base_Datos!D:D,Base_Datos!B:B,"")</f>
        <v>GAC</v>
      </c>
      <c r="H348" s="3" t="str">
        <f t="array" ref="H348">IF(I348="","",IFERROR(_xlfn.XLOOKUP(I348,Base_Datos!$D$2:$D3876,Base_Datos!$C$2:$C3876),""))</f>
        <v>Serie Emzoom</v>
      </c>
      <c r="I348" s="3" t="s">
        <v>1203</v>
      </c>
      <c r="J348" s="3" t="str">
        <f>IF(I348="","",IFERROR(VLOOKUP(I348,Base_Datos!$D$2:$E$72,2,0),""))</f>
        <v>(1.5L)</v>
      </c>
      <c r="K348" s="3"/>
      <c r="L348" s="3"/>
      <c r="M348" s="7">
        <v>4</v>
      </c>
      <c r="N348" s="7">
        <v>0</v>
      </c>
    </row>
    <row r="349" spans="1:14" ht="14.25" x14ac:dyDescent="0.2">
      <c r="A349" s="3">
        <v>66189</v>
      </c>
      <c r="B349" s="3" t="s">
        <v>2133</v>
      </c>
      <c r="C349" s="3" t="s">
        <v>16</v>
      </c>
      <c r="D349" s="6" t="s">
        <v>1390</v>
      </c>
      <c r="E349" s="6" t="s">
        <v>1782</v>
      </c>
      <c r="F349" s="3" t="str">
        <f>IFERROR( VLOOKUP(A349,#REF!,2,0),"")</f>
        <v/>
      </c>
      <c r="G349" s="3" t="str">
        <f t="array" ref="G349">_xlfn.XLOOKUP(I349,Base_Datos!D:D,Base_Datos!B:B,"")</f>
        <v>GAC</v>
      </c>
      <c r="H349" s="3" t="str">
        <f t="array" ref="H349">IF(I349="","",IFERROR(_xlfn.XLOOKUP(I349,Base_Datos!$D$2:$D3876,Base_Datos!$C$2:$C3876),""))</f>
        <v>Serie Emzoom</v>
      </c>
      <c r="I349" s="3" t="s">
        <v>1203</v>
      </c>
      <c r="J349" s="3" t="str">
        <f>IF(I349="","",IFERROR(VLOOKUP(I349,Base_Datos!$D$2:$E$72,2,0),""))</f>
        <v>(1.5L)</v>
      </c>
      <c r="K349" s="3"/>
      <c r="L349" s="3"/>
      <c r="M349" s="7">
        <v>4</v>
      </c>
      <c r="N349" s="7">
        <v>0</v>
      </c>
    </row>
    <row r="350" spans="1:14" ht="14.25" x14ac:dyDescent="0.2">
      <c r="A350" s="3">
        <v>66190</v>
      </c>
      <c r="B350" s="3" t="s">
        <v>2134</v>
      </c>
      <c r="C350" s="3" t="s">
        <v>16</v>
      </c>
      <c r="D350" s="6" t="s">
        <v>1391</v>
      </c>
      <c r="E350" s="6" t="s">
        <v>1391</v>
      </c>
      <c r="F350" s="3" t="str">
        <f>IFERROR( VLOOKUP(A350,#REF!,2,0),"")</f>
        <v/>
      </c>
      <c r="G350" s="3" t="str">
        <f t="array" ref="G350">_xlfn.XLOOKUP(I350,Base_Datos!D:D,Base_Datos!B:B,"")</f>
        <v>GAC</v>
      </c>
      <c r="H350" s="3" t="str">
        <f t="array" ref="H350">IF(I350="","",IFERROR(_xlfn.XLOOKUP(I350,Base_Datos!$D$2:$D3876,Base_Datos!$C$2:$C3876),""))</f>
        <v>Serie Emzoom</v>
      </c>
      <c r="I350" s="3" t="s">
        <v>1203</v>
      </c>
      <c r="J350" s="3" t="str">
        <f>IF(I350="","",IFERROR(VLOOKUP(I350,Base_Datos!$D$2:$E$72,2,0),""))</f>
        <v>(1.5L)</v>
      </c>
      <c r="K350" s="3" t="s">
        <v>2022</v>
      </c>
      <c r="L350" s="3"/>
      <c r="M350" s="7">
        <v>3</v>
      </c>
      <c r="N350" s="7">
        <v>0</v>
      </c>
    </row>
    <row r="351" spans="1:14" ht="14.25" x14ac:dyDescent="0.2">
      <c r="A351" s="3">
        <v>66191</v>
      </c>
      <c r="B351" s="3" t="s">
        <v>2135</v>
      </c>
      <c r="C351" s="3" t="s">
        <v>16</v>
      </c>
      <c r="D351" s="6" t="s">
        <v>1392</v>
      </c>
      <c r="E351" s="6" t="s">
        <v>1392</v>
      </c>
      <c r="F351" s="3" t="str">
        <f>IFERROR( VLOOKUP(A351,#REF!,2,0),"")</f>
        <v/>
      </c>
      <c r="G351" s="3" t="str">
        <f t="array" ref="G351">_xlfn.XLOOKUP(I351,Base_Datos!D:D,Base_Datos!B:B,"")</f>
        <v>GAC</v>
      </c>
      <c r="H351" s="3" t="str">
        <f t="array" ref="H351">IF(I351="","",IFERROR(_xlfn.XLOOKUP(I351,Base_Datos!$D$2:$D3876,Base_Datos!$C$2:$C3876),""))</f>
        <v>Serie Emzoom</v>
      </c>
      <c r="I351" s="3" t="s">
        <v>1203</v>
      </c>
      <c r="J351" s="3" t="str">
        <f>IF(I351="","",IFERROR(VLOOKUP(I351,Base_Datos!$D$2:$E$72,2,0),""))</f>
        <v>(1.5L)</v>
      </c>
      <c r="K351" s="3" t="s">
        <v>2022</v>
      </c>
      <c r="L351" s="3"/>
      <c r="M351" s="7">
        <v>3</v>
      </c>
      <c r="N351" s="7">
        <v>0</v>
      </c>
    </row>
    <row r="352" spans="1:14" ht="14.25" x14ac:dyDescent="0.2">
      <c r="A352" s="3">
        <v>66192</v>
      </c>
      <c r="B352" s="3" t="s">
        <v>2136</v>
      </c>
      <c r="C352" s="3" t="s">
        <v>16</v>
      </c>
      <c r="D352" s="6" t="s">
        <v>1393</v>
      </c>
      <c r="E352" s="6" t="s">
        <v>1782</v>
      </c>
      <c r="F352" s="3" t="str">
        <f>IFERROR( VLOOKUP(A352,#REF!,2,0),"")</f>
        <v/>
      </c>
      <c r="G352" s="3" t="str">
        <f t="array" ref="G352">_xlfn.XLOOKUP(I352,Base_Datos!D:D,Base_Datos!B:B,"")</f>
        <v>GAC</v>
      </c>
      <c r="H352" s="3" t="str">
        <f t="array" ref="H352">IF(I352="","",IFERROR(_xlfn.XLOOKUP(I352,Base_Datos!$D$2:$D3876,Base_Datos!$C$2:$C3876),""))</f>
        <v>Serie Emzoom</v>
      </c>
      <c r="I352" s="3" t="s">
        <v>1203</v>
      </c>
      <c r="J352" s="3" t="str">
        <f>IF(I352="","",IFERROR(VLOOKUP(I352,Base_Datos!$D$2:$E$72,2,0),""))</f>
        <v>(1.5L)</v>
      </c>
      <c r="K352" s="3"/>
      <c r="L352" s="3"/>
      <c r="M352" s="7">
        <v>1</v>
      </c>
      <c r="N352" s="7">
        <v>0</v>
      </c>
    </row>
    <row r="353" spans="1:14" ht="14.25" x14ac:dyDescent="0.2">
      <c r="A353" s="3">
        <v>66193</v>
      </c>
      <c r="B353" s="3" t="s">
        <v>2137</v>
      </c>
      <c r="C353" s="3" t="s">
        <v>16</v>
      </c>
      <c r="D353" s="6" t="s">
        <v>1394</v>
      </c>
      <c r="E353" s="6" t="s">
        <v>1782</v>
      </c>
      <c r="F353" s="3" t="str">
        <f>IFERROR( VLOOKUP(A353,#REF!,2,0),"")</f>
        <v/>
      </c>
      <c r="G353" s="3" t="str">
        <f t="array" ref="G353">_xlfn.XLOOKUP(I353,Base_Datos!D:D,Base_Datos!B:B,"")</f>
        <v>GAC</v>
      </c>
      <c r="H353" s="3" t="str">
        <f t="array" ref="H353">IF(I353="","",IFERROR(_xlfn.XLOOKUP(I353,Base_Datos!$D$2:$D3876,Base_Datos!$C$2:$C3876),""))</f>
        <v>Serie Emzoom</v>
      </c>
      <c r="I353" s="3" t="s">
        <v>1203</v>
      </c>
      <c r="J353" s="3" t="str">
        <f>IF(I353="","",IFERROR(VLOOKUP(I353,Base_Datos!$D$2:$E$72,2,0),""))</f>
        <v>(1.5L)</v>
      </c>
      <c r="K353" s="3"/>
      <c r="L353" s="3"/>
      <c r="M353" s="7">
        <v>2</v>
      </c>
      <c r="N353" s="7">
        <v>0</v>
      </c>
    </row>
    <row r="354" spans="1:14" ht="14.25" x14ac:dyDescent="0.2">
      <c r="A354" s="3">
        <v>66194</v>
      </c>
      <c r="B354" s="3" t="s">
        <v>2138</v>
      </c>
      <c r="C354" s="3" t="s">
        <v>16</v>
      </c>
      <c r="D354" s="6" t="s">
        <v>1395</v>
      </c>
      <c r="E354" s="6" t="s">
        <v>1782</v>
      </c>
      <c r="F354" s="3" t="str">
        <f>IFERROR( VLOOKUP(A354,#REF!,2,0),"")</f>
        <v/>
      </c>
      <c r="G354" s="3" t="str">
        <f t="array" ref="G354">_xlfn.XLOOKUP(I354,Base_Datos!D:D,Base_Datos!B:B,"")</f>
        <v>GAC</v>
      </c>
      <c r="H354" s="3" t="str">
        <f t="array" ref="H354">IF(I354="","",IFERROR(_xlfn.XLOOKUP(I354,Base_Datos!$D$2:$D3876,Base_Datos!$C$2:$C3876),""))</f>
        <v>Serie Emzoom</v>
      </c>
      <c r="I354" s="3" t="s">
        <v>1203</v>
      </c>
      <c r="J354" s="3" t="str">
        <f>IF(I354="","",IFERROR(VLOOKUP(I354,Base_Datos!$D$2:$E$72,2,0),""))</f>
        <v>(1.5L)</v>
      </c>
      <c r="K354" s="3"/>
      <c r="L354" s="3"/>
      <c r="M354" s="7">
        <v>2</v>
      </c>
      <c r="N354" s="7">
        <v>0</v>
      </c>
    </row>
    <row r="355" spans="1:14" ht="14.25" x14ac:dyDescent="0.2">
      <c r="A355" s="3">
        <v>66195</v>
      </c>
      <c r="B355" s="3" t="s">
        <v>2139</v>
      </c>
      <c r="C355" s="3" t="s">
        <v>16</v>
      </c>
      <c r="D355" s="6" t="s">
        <v>1396</v>
      </c>
      <c r="E355" s="6" t="s">
        <v>1782</v>
      </c>
      <c r="F355" s="3" t="str">
        <f>IFERROR( VLOOKUP(A355,#REF!,2,0),"")</f>
        <v/>
      </c>
      <c r="G355" s="3" t="str">
        <f t="array" ref="G355">_xlfn.XLOOKUP(I355,Base_Datos!D:D,Base_Datos!B:B,"")</f>
        <v>GAC</v>
      </c>
      <c r="H355" s="3" t="str">
        <f t="array" ref="H355">IF(I355="","",IFERROR(_xlfn.XLOOKUP(I355,Base_Datos!$D$2:$D3876,Base_Datos!$C$2:$C3876),""))</f>
        <v>Serie Emzoom</v>
      </c>
      <c r="I355" s="3" t="s">
        <v>1203</v>
      </c>
      <c r="J355" s="3" t="str">
        <f>IF(I355="","",IFERROR(VLOOKUP(I355,Base_Datos!$D$2:$E$72,2,0),""))</f>
        <v>(1.5L)</v>
      </c>
      <c r="K355" s="3"/>
      <c r="L355" s="3"/>
      <c r="M355" s="7">
        <v>2</v>
      </c>
      <c r="N355" s="7">
        <v>0</v>
      </c>
    </row>
    <row r="356" spans="1:14" ht="14.25" x14ac:dyDescent="0.2">
      <c r="A356" s="3">
        <v>66196</v>
      </c>
      <c r="B356" s="3" t="s">
        <v>2140</v>
      </c>
      <c r="C356" s="3" t="s">
        <v>16</v>
      </c>
      <c r="D356" s="6" t="s">
        <v>1397</v>
      </c>
      <c r="E356" s="6" t="s">
        <v>2141</v>
      </c>
      <c r="F356" s="3" t="str">
        <f>IFERROR( VLOOKUP(A356,#REF!,2,0),"")</f>
        <v/>
      </c>
      <c r="G356" s="3" t="str">
        <f t="array" ref="G356">_xlfn.XLOOKUP(I356,Base_Datos!D:D,Base_Datos!B:B,"")</f>
        <v>GAC</v>
      </c>
      <c r="H356" s="3" t="str">
        <f t="array" ref="H356">IF(I356="","",IFERROR(_xlfn.XLOOKUP(I356,Base_Datos!$D$2:$D3876,Base_Datos!$C$2:$C3876),""))</f>
        <v>Serie Emzoom</v>
      </c>
      <c r="I356" s="3" t="s">
        <v>1203</v>
      </c>
      <c r="J356" s="3" t="str">
        <f>IF(I356="","",IFERROR(VLOOKUP(I356,Base_Datos!$D$2:$E$72,2,0),""))</f>
        <v>(1.5L)</v>
      </c>
      <c r="K356" s="3"/>
      <c r="L356" s="3"/>
      <c r="M356" s="7">
        <v>2</v>
      </c>
      <c r="N356" s="7">
        <v>0</v>
      </c>
    </row>
    <row r="357" spans="1:14" ht="14.25" x14ac:dyDescent="0.2">
      <c r="A357" s="3">
        <v>66197</v>
      </c>
      <c r="B357" s="3" t="s">
        <v>2142</v>
      </c>
      <c r="C357" s="3" t="s">
        <v>16</v>
      </c>
      <c r="D357" s="6" t="s">
        <v>1398</v>
      </c>
      <c r="E357" s="6" t="s">
        <v>2143</v>
      </c>
      <c r="F357" s="3" t="str">
        <f>IFERROR( VLOOKUP(A357,#REF!,2,0),"")</f>
        <v/>
      </c>
      <c r="G357" s="3" t="str">
        <f t="array" ref="G357">_xlfn.XLOOKUP(I357,Base_Datos!D:D,Base_Datos!B:B,"")</f>
        <v>GAC</v>
      </c>
      <c r="H357" s="3" t="str">
        <f t="array" ref="H357">IF(I357="","",IFERROR(_xlfn.XLOOKUP(I357,Base_Datos!$D$2:$D3876,Base_Datos!$C$2:$C3876),""))</f>
        <v>Serie Emzoom</v>
      </c>
      <c r="I357" s="3" t="s">
        <v>1203</v>
      </c>
      <c r="J357" s="3" t="str">
        <f>IF(I357="","",IFERROR(VLOOKUP(I357,Base_Datos!$D$2:$E$72,2,0),""))</f>
        <v>(1.5L)</v>
      </c>
      <c r="K357" s="3"/>
      <c r="L357" s="3"/>
      <c r="M357" s="7">
        <v>2</v>
      </c>
      <c r="N357" s="7">
        <v>0</v>
      </c>
    </row>
    <row r="358" spans="1:14" ht="14.25" x14ac:dyDescent="0.2">
      <c r="A358" s="3">
        <v>66198</v>
      </c>
      <c r="B358" s="3" t="s">
        <v>2144</v>
      </c>
      <c r="C358" s="3" t="s">
        <v>16</v>
      </c>
      <c r="D358" s="6" t="s">
        <v>1399</v>
      </c>
      <c r="E358" s="6" t="s">
        <v>2145</v>
      </c>
      <c r="F358" s="3" t="str">
        <f>IFERROR( VLOOKUP(A358,#REF!,2,0),"")</f>
        <v/>
      </c>
      <c r="G358" s="3" t="str">
        <f t="array" ref="G358">_xlfn.XLOOKUP(I358,Base_Datos!D:D,Base_Datos!B:B,"")</f>
        <v>GAC</v>
      </c>
      <c r="H358" s="3" t="str">
        <f t="array" ref="H358">IF(I358="","",IFERROR(_xlfn.XLOOKUP(I358,Base_Datos!$D$2:$D3876,Base_Datos!$C$2:$C3876),""))</f>
        <v>Serie Emzoom</v>
      </c>
      <c r="I358" s="3" t="s">
        <v>1203</v>
      </c>
      <c r="J358" s="3" t="str">
        <f>IF(I358="","",IFERROR(VLOOKUP(I358,Base_Datos!$D$2:$E$72,2,0),""))</f>
        <v>(1.5L)</v>
      </c>
      <c r="K358" s="3"/>
      <c r="L358" s="3"/>
      <c r="M358" s="7">
        <v>2</v>
      </c>
      <c r="N358" s="7">
        <v>0</v>
      </c>
    </row>
    <row r="359" spans="1:14" ht="14.25" x14ac:dyDescent="0.2">
      <c r="A359" s="3">
        <v>66199</v>
      </c>
      <c r="B359" s="3" t="s">
        <v>2146</v>
      </c>
      <c r="C359" s="3" t="s">
        <v>16</v>
      </c>
      <c r="D359" s="6" t="s">
        <v>1400</v>
      </c>
      <c r="E359" s="6" t="s">
        <v>1782</v>
      </c>
      <c r="F359" s="3" t="str">
        <f>IFERROR( VLOOKUP(A359,#REF!,2,0),"")</f>
        <v/>
      </c>
      <c r="G359" s="3" t="str">
        <f t="array" ref="G359">_xlfn.XLOOKUP(I359,Base_Datos!D:D,Base_Datos!B:B,"")</f>
        <v>GAC</v>
      </c>
      <c r="H359" s="3" t="str">
        <f t="array" ref="H359">IF(I359="","",IFERROR(_xlfn.XLOOKUP(I359,Base_Datos!$D$2:$D3876,Base_Datos!$C$2:$C3876),""))</f>
        <v>Serie Emzoom</v>
      </c>
      <c r="I359" s="3" t="s">
        <v>1203</v>
      </c>
      <c r="J359" s="3" t="str">
        <f>IF(I359="","",IFERROR(VLOOKUP(I359,Base_Datos!$D$2:$E$72,2,0),""))</f>
        <v>(1.5L)</v>
      </c>
      <c r="K359" s="3"/>
      <c r="L359" s="3"/>
      <c r="M359" s="7">
        <v>3</v>
      </c>
      <c r="N359" s="7">
        <v>0</v>
      </c>
    </row>
    <row r="360" spans="1:14" ht="14.25" x14ac:dyDescent="0.2">
      <c r="A360" s="3">
        <v>66200</v>
      </c>
      <c r="B360" s="3" t="s">
        <v>2147</v>
      </c>
      <c r="C360" s="3" t="s">
        <v>16</v>
      </c>
      <c r="D360" s="6" t="s">
        <v>1401</v>
      </c>
      <c r="E360" s="6" t="s">
        <v>1782</v>
      </c>
      <c r="F360" s="3" t="str">
        <f>IFERROR( VLOOKUP(A360,#REF!,2,0),"")</f>
        <v/>
      </c>
      <c r="G360" s="3" t="str">
        <f t="array" ref="G360">_xlfn.XLOOKUP(I360,Base_Datos!D:D,Base_Datos!B:B,"")</f>
        <v>GAC</v>
      </c>
      <c r="H360" s="3" t="str">
        <f t="array" ref="H360">IF(I360="","",IFERROR(_xlfn.XLOOKUP(I360,Base_Datos!$D$2:$D3876,Base_Datos!$C$2:$C3876),""))</f>
        <v>Serie Emzoom</v>
      </c>
      <c r="I360" s="3" t="s">
        <v>1203</v>
      </c>
      <c r="J360" s="3" t="str">
        <f>IF(I360="","",IFERROR(VLOOKUP(I360,Base_Datos!$D$2:$E$72,2,0),""))</f>
        <v>(1.5L)</v>
      </c>
      <c r="K360" s="3"/>
      <c r="L360" s="3"/>
      <c r="M360" s="7">
        <v>3</v>
      </c>
      <c r="N360" s="7">
        <v>0</v>
      </c>
    </row>
    <row r="361" spans="1:14" ht="14.25" x14ac:dyDescent="0.2">
      <c r="A361" s="3">
        <v>66201</v>
      </c>
      <c r="B361" s="3" t="s">
        <v>2148</v>
      </c>
      <c r="C361" s="3" t="s">
        <v>16</v>
      </c>
      <c r="D361" s="6" t="s">
        <v>1402</v>
      </c>
      <c r="E361" s="6" t="s">
        <v>1782</v>
      </c>
      <c r="F361" s="3" t="str">
        <f>IFERROR( VLOOKUP(A361,#REF!,2,0),"")</f>
        <v/>
      </c>
      <c r="G361" s="3" t="str">
        <f t="array" ref="G361">_xlfn.XLOOKUP(I361,Base_Datos!D:D,Base_Datos!B:B,"")</f>
        <v>GAC</v>
      </c>
      <c r="H361" s="3" t="str">
        <f t="array" ref="H361">IF(I361="","",IFERROR(_xlfn.XLOOKUP(I361,Base_Datos!$D$2:$D3876,Base_Datos!$C$2:$C3876),""))</f>
        <v>Serie Emzoom</v>
      </c>
      <c r="I361" s="3" t="s">
        <v>1203</v>
      </c>
      <c r="J361" s="3" t="str">
        <f>IF(I361="","",IFERROR(VLOOKUP(I361,Base_Datos!$D$2:$E$72,2,0),""))</f>
        <v>(1.5L)</v>
      </c>
      <c r="K361" s="3"/>
      <c r="L361" s="3"/>
      <c r="M361" s="7">
        <v>2</v>
      </c>
      <c r="N361" s="7">
        <v>0</v>
      </c>
    </row>
    <row r="362" spans="1:14" ht="14.25" x14ac:dyDescent="0.2">
      <c r="A362" s="3">
        <v>66202</v>
      </c>
      <c r="B362" s="3" t="s">
        <v>2149</v>
      </c>
      <c r="C362" s="3" t="s">
        <v>16</v>
      </c>
      <c r="D362" s="6" t="s">
        <v>1403</v>
      </c>
      <c r="E362" s="6" t="s">
        <v>1403</v>
      </c>
      <c r="F362" s="3" t="str">
        <f>IFERROR( VLOOKUP(A362,#REF!,2,0),"")</f>
        <v/>
      </c>
      <c r="G362" s="3" t="str">
        <f t="array" ref="G362">_xlfn.XLOOKUP(I362,Base_Datos!D:D,Base_Datos!B:B,"")</f>
        <v>GAC</v>
      </c>
      <c r="H362" s="3" t="str">
        <f t="array" ref="H362">IF(I362="","",IFERROR(_xlfn.XLOOKUP(I362,Base_Datos!$D$2:$D3876,Base_Datos!$C$2:$C3876),""))</f>
        <v>Serie Emzoom</v>
      </c>
      <c r="I362" s="3" t="s">
        <v>1203</v>
      </c>
      <c r="J362" s="3" t="str">
        <f>IF(I362="","",IFERROR(VLOOKUP(I362,Base_Datos!$D$2:$E$72,2,0),""))</f>
        <v>(1.5L)</v>
      </c>
      <c r="K362" s="3"/>
      <c r="L362" s="3"/>
      <c r="M362" s="7">
        <v>1</v>
      </c>
      <c r="N362" s="7">
        <v>0</v>
      </c>
    </row>
    <row r="363" spans="1:14" ht="14.25" x14ac:dyDescent="0.2">
      <c r="A363" s="3">
        <v>66203</v>
      </c>
      <c r="B363" s="3" t="s">
        <v>2150</v>
      </c>
      <c r="C363" s="3" t="s">
        <v>16</v>
      </c>
      <c r="D363" s="6" t="s">
        <v>1404</v>
      </c>
      <c r="E363" s="6" t="s">
        <v>1404</v>
      </c>
      <c r="F363" s="3" t="str">
        <f>IFERROR( VLOOKUP(A363,#REF!,2,0),"")</f>
        <v/>
      </c>
      <c r="G363" s="3" t="str">
        <f t="array" ref="G363">_xlfn.XLOOKUP(I363,Base_Datos!D:D,Base_Datos!B:B,"")</f>
        <v>GAC</v>
      </c>
      <c r="H363" s="3" t="str">
        <f t="array" ref="H363">IF(I363="","",IFERROR(_xlfn.XLOOKUP(I363,Base_Datos!$D$2:$D3876,Base_Datos!$C$2:$C3876),""))</f>
        <v>Serie Emzoom</v>
      </c>
      <c r="I363" s="3" t="s">
        <v>1203</v>
      </c>
      <c r="J363" s="3" t="str">
        <f>IF(I363="","",IFERROR(VLOOKUP(I363,Base_Datos!$D$2:$E$72,2,0),""))</f>
        <v>(1.5L)</v>
      </c>
      <c r="K363" s="3"/>
      <c r="L363" s="3"/>
      <c r="M363" s="7">
        <v>1</v>
      </c>
      <c r="N363" s="7">
        <v>0</v>
      </c>
    </row>
    <row r="364" spans="1:14" ht="14.25" x14ac:dyDescent="0.2">
      <c r="A364" s="3">
        <v>66204</v>
      </c>
      <c r="B364" s="3" t="s">
        <v>2151</v>
      </c>
      <c r="C364" s="3" t="s">
        <v>16</v>
      </c>
      <c r="D364" s="6" t="s">
        <v>1405</v>
      </c>
      <c r="E364" s="6" t="s">
        <v>1782</v>
      </c>
      <c r="F364" s="3" t="str">
        <f>IFERROR( VLOOKUP(A364,#REF!,2,0),"")</f>
        <v/>
      </c>
      <c r="G364" s="3" t="str">
        <f t="array" ref="G364">_xlfn.XLOOKUP(I364,Base_Datos!D:D,Base_Datos!B:B,"")</f>
        <v>GAC</v>
      </c>
      <c r="H364" s="3" t="str">
        <f t="array" ref="H364">IF(I364="","",IFERROR(_xlfn.XLOOKUP(I364,Base_Datos!$D$2:$D3876,Base_Datos!$C$2:$C3876),""))</f>
        <v>Serie Emzoom</v>
      </c>
      <c r="I364" s="3" t="s">
        <v>1203</v>
      </c>
      <c r="J364" s="3" t="str">
        <f>IF(I364="","",IFERROR(VLOOKUP(I364,Base_Datos!$D$2:$E$72,2,0),""))</f>
        <v>(1.5L)</v>
      </c>
      <c r="K364" s="3"/>
      <c r="L364" s="3"/>
      <c r="M364" s="7">
        <v>0</v>
      </c>
      <c r="N364" s="7">
        <v>0</v>
      </c>
    </row>
    <row r="365" spans="1:14" ht="14.25" x14ac:dyDescent="0.2">
      <c r="A365" s="3">
        <v>66205</v>
      </c>
      <c r="B365" s="3" t="s">
        <v>2152</v>
      </c>
      <c r="C365" s="3" t="s">
        <v>16</v>
      </c>
      <c r="D365" s="6" t="s">
        <v>1406</v>
      </c>
      <c r="E365" s="6" t="s">
        <v>1782</v>
      </c>
      <c r="F365" s="3" t="str">
        <f>IFERROR( VLOOKUP(A365,#REF!,2,0),"")</f>
        <v/>
      </c>
      <c r="G365" s="3" t="str">
        <f t="array" ref="G365">_xlfn.XLOOKUP(I365,Base_Datos!D:D,Base_Datos!B:B,"")</f>
        <v>GAC</v>
      </c>
      <c r="H365" s="3" t="str">
        <f t="array" ref="H365">IF(I365="","",IFERROR(_xlfn.XLOOKUP(I365,Base_Datos!$D$2:$D3876,Base_Datos!$C$2:$C3876),""))</f>
        <v>Serie Emzoom</v>
      </c>
      <c r="I365" s="3" t="s">
        <v>1203</v>
      </c>
      <c r="J365" s="3" t="str">
        <f>IF(I365="","",IFERROR(VLOOKUP(I365,Base_Datos!$D$2:$E$72,2,0),""))</f>
        <v>(1.5L)</v>
      </c>
      <c r="K365" s="3"/>
      <c r="L365" s="3"/>
      <c r="M365" s="7">
        <v>1</v>
      </c>
      <c r="N365" s="7">
        <v>0</v>
      </c>
    </row>
    <row r="366" spans="1:14" ht="14.25" x14ac:dyDescent="0.2">
      <c r="A366" s="3">
        <v>66206</v>
      </c>
      <c r="B366" s="3" t="s">
        <v>2153</v>
      </c>
      <c r="C366" s="3" t="s">
        <v>16</v>
      </c>
      <c r="D366" s="6" t="s">
        <v>1407</v>
      </c>
      <c r="E366" s="6" t="s">
        <v>1407</v>
      </c>
      <c r="F366" s="3" t="str">
        <f>IFERROR( VLOOKUP(A366,#REF!,2,0),"")</f>
        <v/>
      </c>
      <c r="G366" s="3" t="str">
        <f t="array" ref="G366">_xlfn.XLOOKUP(I366,Base_Datos!D:D,Base_Datos!B:B,"")</f>
        <v>GAC</v>
      </c>
      <c r="H366" s="3" t="str">
        <f t="array" ref="H366">IF(I366="","",IFERROR(_xlfn.XLOOKUP(I366,Base_Datos!$D$2:$D3876,Base_Datos!$C$2:$C3876),""))</f>
        <v>Serie Emzoom</v>
      </c>
      <c r="I366" s="3" t="s">
        <v>1203</v>
      </c>
      <c r="J366" s="3" t="str">
        <f>IF(I366="","",IFERROR(VLOOKUP(I366,Base_Datos!$D$2:$E$72,2,0),""))</f>
        <v>(1.5L)</v>
      </c>
      <c r="K366" s="3"/>
      <c r="L366" s="3"/>
      <c r="M366" s="7">
        <v>1</v>
      </c>
      <c r="N366" s="7">
        <v>0</v>
      </c>
    </row>
    <row r="367" spans="1:14" ht="14.25" x14ac:dyDescent="0.2">
      <c r="A367" s="3">
        <v>66207</v>
      </c>
      <c r="B367" s="3" t="s">
        <v>2154</v>
      </c>
      <c r="C367" s="3" t="s">
        <v>16</v>
      </c>
      <c r="D367" s="6" t="s">
        <v>1408</v>
      </c>
      <c r="E367" s="6" t="s">
        <v>1408</v>
      </c>
      <c r="F367" s="3" t="str">
        <f>IFERROR( VLOOKUP(A367,#REF!,2,0),"")</f>
        <v/>
      </c>
      <c r="G367" s="3" t="str">
        <f t="array" ref="G367">_xlfn.XLOOKUP(I367,Base_Datos!D:D,Base_Datos!B:B,"")</f>
        <v>GAC</v>
      </c>
      <c r="H367" s="3" t="str">
        <f t="array" ref="H367">IF(I367="","",IFERROR(_xlfn.XLOOKUP(I367,Base_Datos!$D$2:$D3876,Base_Datos!$C$2:$C3876),""))</f>
        <v>Serie Emzoom</v>
      </c>
      <c r="I367" s="3" t="s">
        <v>1203</v>
      </c>
      <c r="J367" s="3" t="str">
        <f>IF(I367="","",IFERROR(VLOOKUP(I367,Base_Datos!$D$2:$E$72,2,0),""))</f>
        <v>(1.5L)</v>
      </c>
      <c r="K367" s="3"/>
      <c r="L367" s="3"/>
      <c r="M367" s="7">
        <v>2</v>
      </c>
      <c r="N367" s="7">
        <v>0</v>
      </c>
    </row>
    <row r="368" spans="1:14" ht="14.25" x14ac:dyDescent="0.2">
      <c r="A368" s="3">
        <v>66208</v>
      </c>
      <c r="B368" s="3" t="s">
        <v>2155</v>
      </c>
      <c r="C368" s="3" t="s">
        <v>16</v>
      </c>
      <c r="D368" s="6" t="s">
        <v>1409</v>
      </c>
      <c r="E368" s="6" t="s">
        <v>1782</v>
      </c>
      <c r="F368" s="3" t="str">
        <f>IFERROR( VLOOKUP(A368,#REF!,2,0),"")</f>
        <v/>
      </c>
      <c r="G368" s="3" t="str">
        <f t="array" ref="G368">_xlfn.XLOOKUP(I368,Base_Datos!D:D,Base_Datos!B:B,"")</f>
        <v>GAC</v>
      </c>
      <c r="H368" s="3" t="str">
        <f t="array" ref="H368">IF(I368="","",IFERROR(_xlfn.XLOOKUP(I368,Base_Datos!$D$2:$D3876,Base_Datos!$C$2:$C3876),""))</f>
        <v>Serie Emzoom</v>
      </c>
      <c r="I368" s="3" t="s">
        <v>1203</v>
      </c>
      <c r="J368" s="3" t="str">
        <f>IF(I368="","",IFERROR(VLOOKUP(I368,Base_Datos!$D$2:$E$72,2,0),""))</f>
        <v>(1.5L)</v>
      </c>
      <c r="K368" s="3"/>
      <c r="L368" s="3"/>
      <c r="M368" s="7">
        <v>3</v>
      </c>
      <c r="N368" s="7">
        <v>0</v>
      </c>
    </row>
    <row r="369" spans="1:14" ht="14.25" x14ac:dyDescent="0.2">
      <c r="A369" s="3">
        <v>66209</v>
      </c>
      <c r="B369" s="3" t="s">
        <v>2156</v>
      </c>
      <c r="C369" s="3" t="s">
        <v>16</v>
      </c>
      <c r="D369" s="6" t="s">
        <v>1410</v>
      </c>
      <c r="E369" s="6" t="s">
        <v>1782</v>
      </c>
      <c r="F369" s="3" t="str">
        <f>IFERROR( VLOOKUP(A369,#REF!,2,0),"")</f>
        <v/>
      </c>
      <c r="G369" s="3" t="str">
        <f t="array" ref="G369">_xlfn.XLOOKUP(I369,Base_Datos!D:D,Base_Datos!B:B,"")</f>
        <v>GAC</v>
      </c>
      <c r="H369" s="3" t="str">
        <f t="array" ref="H369">IF(I369="","",IFERROR(_xlfn.XLOOKUP(I369,Base_Datos!$D$2:$D3876,Base_Datos!$C$2:$C3876),""))</f>
        <v>Serie Emzoom</v>
      </c>
      <c r="I369" s="3" t="s">
        <v>1203</v>
      </c>
      <c r="J369" s="3" t="str">
        <f>IF(I369="","",IFERROR(VLOOKUP(I369,Base_Datos!$D$2:$E$72,2,0),""))</f>
        <v>(1.5L)</v>
      </c>
      <c r="K369" s="3"/>
      <c r="L369" s="3"/>
      <c r="M369" s="7">
        <v>4</v>
      </c>
      <c r="N369" s="7">
        <v>0</v>
      </c>
    </row>
    <row r="370" spans="1:14" ht="14.25" x14ac:dyDescent="0.2">
      <c r="A370" s="3">
        <v>66210</v>
      </c>
      <c r="B370" s="3" t="s">
        <v>2157</v>
      </c>
      <c r="C370" s="3" t="s">
        <v>16</v>
      </c>
      <c r="D370" s="6" t="s">
        <v>1411</v>
      </c>
      <c r="E370" s="6" t="s">
        <v>1782</v>
      </c>
      <c r="F370" s="3" t="str">
        <f>IFERROR( VLOOKUP(A370,#REF!,2,0),"")</f>
        <v/>
      </c>
      <c r="G370" s="3" t="str">
        <f t="array" ref="G370">_xlfn.XLOOKUP(I370,Base_Datos!D:D,Base_Datos!B:B,"")</f>
        <v>GAC</v>
      </c>
      <c r="H370" s="3" t="str">
        <f t="array" ref="H370">IF(I370="","",IFERROR(_xlfn.XLOOKUP(I370,Base_Datos!$D$2:$D3876,Base_Datos!$C$2:$C3876),""))</f>
        <v>Serie Emzoom</v>
      </c>
      <c r="I370" s="3" t="s">
        <v>1203</v>
      </c>
      <c r="J370" s="3" t="str">
        <f>IF(I370="","",IFERROR(VLOOKUP(I370,Base_Datos!$D$2:$E$72,2,0),""))</f>
        <v>(1.5L)</v>
      </c>
      <c r="K370" s="3"/>
      <c r="L370" s="3"/>
      <c r="M370" s="7">
        <v>4</v>
      </c>
      <c r="N370" s="7">
        <v>0</v>
      </c>
    </row>
    <row r="371" spans="1:14" ht="14.25" x14ac:dyDescent="0.2">
      <c r="A371" s="3">
        <v>66211</v>
      </c>
      <c r="B371" s="3" t="s">
        <v>2158</v>
      </c>
      <c r="C371" s="3" t="s">
        <v>16</v>
      </c>
      <c r="D371" s="6" t="s">
        <v>1412</v>
      </c>
      <c r="E371" s="6" t="s">
        <v>1782</v>
      </c>
      <c r="F371" s="3" t="str">
        <f>IFERROR( VLOOKUP(A371,#REF!,2,0),"")</f>
        <v/>
      </c>
      <c r="G371" s="3" t="str">
        <f t="array" ref="G371">_xlfn.XLOOKUP(I371,Base_Datos!D:D,Base_Datos!B:B,"")</f>
        <v>GAC</v>
      </c>
      <c r="H371" s="3" t="str">
        <f t="array" ref="H371">IF(I371="","",IFERROR(_xlfn.XLOOKUP(I371,Base_Datos!$D$2:$D3876,Base_Datos!$C$2:$C3876),""))</f>
        <v>Serie Emzoom</v>
      </c>
      <c r="I371" s="3" t="s">
        <v>1203</v>
      </c>
      <c r="J371" s="3" t="str">
        <f>IF(I371="","",IFERROR(VLOOKUP(I371,Base_Datos!$D$2:$E$72,2,0),""))</f>
        <v>(1.5L)</v>
      </c>
      <c r="K371" s="3"/>
      <c r="L371" s="3"/>
      <c r="M371" s="7">
        <v>4</v>
      </c>
      <c r="N371" s="7">
        <v>0</v>
      </c>
    </row>
    <row r="372" spans="1:14" ht="14.25" x14ac:dyDescent="0.2">
      <c r="A372" s="3">
        <v>66212</v>
      </c>
      <c r="B372" s="3" t="s">
        <v>2159</v>
      </c>
      <c r="C372" s="3" t="s">
        <v>16</v>
      </c>
      <c r="D372" s="6" t="s">
        <v>1413</v>
      </c>
      <c r="E372" s="6" t="s">
        <v>1782</v>
      </c>
      <c r="F372" s="3" t="str">
        <f>IFERROR( VLOOKUP(A372,#REF!,2,0),"")</f>
        <v/>
      </c>
      <c r="G372" s="3" t="str">
        <f t="array" ref="G372">_xlfn.XLOOKUP(I372,Base_Datos!D:D,Base_Datos!B:B,"")</f>
        <v>GAC</v>
      </c>
      <c r="H372" s="3" t="str">
        <f t="array" ref="H372">IF(I372="","",IFERROR(_xlfn.XLOOKUP(I372,Base_Datos!$D$2:$D3876,Base_Datos!$C$2:$C3876),""))</f>
        <v>Serie Emzoom</v>
      </c>
      <c r="I372" s="3" t="s">
        <v>1203</v>
      </c>
      <c r="J372" s="3" t="str">
        <f>IF(I372="","",IFERROR(VLOOKUP(I372,Base_Datos!$D$2:$E$72,2,0),""))</f>
        <v>(1.5L)</v>
      </c>
      <c r="K372" s="3"/>
      <c r="L372" s="3"/>
      <c r="M372" s="7">
        <v>20</v>
      </c>
      <c r="N372" s="7">
        <v>0</v>
      </c>
    </row>
    <row r="373" spans="1:14" ht="14.25" x14ac:dyDescent="0.2">
      <c r="A373" s="3">
        <v>66213</v>
      </c>
      <c r="B373" s="3" t="s">
        <v>2160</v>
      </c>
      <c r="C373" s="3" t="s">
        <v>16</v>
      </c>
      <c r="D373" s="6" t="s">
        <v>1414</v>
      </c>
      <c r="E373" s="6" t="s">
        <v>1782</v>
      </c>
      <c r="F373" s="3" t="str">
        <f>IFERROR( VLOOKUP(A373,#REF!,2,0),"")</f>
        <v/>
      </c>
      <c r="G373" s="3" t="str">
        <f t="array" ref="G373">_xlfn.XLOOKUP(I373,Base_Datos!D:D,Base_Datos!B:B,"")</f>
        <v>GAC</v>
      </c>
      <c r="H373" s="3" t="str">
        <f t="array" ref="H373">IF(I373="","",IFERROR(_xlfn.XLOOKUP(I373,Base_Datos!$D$2:$D3876,Base_Datos!$C$2:$C3876),""))</f>
        <v>Serie Emzoom</v>
      </c>
      <c r="I373" s="3" t="s">
        <v>1203</v>
      </c>
      <c r="J373" s="3" t="str">
        <f>IF(I373="","",IFERROR(VLOOKUP(I373,Base_Datos!$D$2:$E$72,2,0),""))</f>
        <v>(1.5L)</v>
      </c>
      <c r="K373" s="3"/>
      <c r="L373" s="3"/>
      <c r="M373" s="7">
        <v>20</v>
      </c>
      <c r="N373" s="7">
        <v>0</v>
      </c>
    </row>
    <row r="374" spans="1:14" ht="14.25" x14ac:dyDescent="0.2">
      <c r="A374" s="3">
        <v>66214</v>
      </c>
      <c r="B374" s="3" t="s">
        <v>2161</v>
      </c>
      <c r="C374" s="3" t="s">
        <v>16</v>
      </c>
      <c r="D374" s="6" t="s">
        <v>1415</v>
      </c>
      <c r="E374" s="6" t="s">
        <v>1782</v>
      </c>
      <c r="F374" s="3" t="str">
        <f>IFERROR( VLOOKUP(A374,#REF!,2,0),"")</f>
        <v/>
      </c>
      <c r="G374" s="3" t="str">
        <f t="array" ref="G374">_xlfn.XLOOKUP(I374,Base_Datos!D:D,Base_Datos!B:B,"")</f>
        <v>GAC</v>
      </c>
      <c r="H374" s="3" t="str">
        <f t="array" ref="H374">IF(I374="","",IFERROR(_xlfn.XLOOKUP(I374,Base_Datos!$D$2:$D3876,Base_Datos!$C$2:$C3876),""))</f>
        <v>Serie Emzoom</v>
      </c>
      <c r="I374" s="3" t="s">
        <v>1203</v>
      </c>
      <c r="J374" s="3" t="str">
        <f>IF(I374="","",IFERROR(VLOOKUP(I374,Base_Datos!$D$2:$E$72,2,0),""))</f>
        <v>(1.5L)</v>
      </c>
      <c r="K374" s="3"/>
      <c r="L374" s="3"/>
      <c r="M374" s="7">
        <v>1</v>
      </c>
      <c r="N374" s="7">
        <v>0</v>
      </c>
    </row>
    <row r="375" spans="1:14" ht="14.25" x14ac:dyDescent="0.2">
      <c r="A375" s="3">
        <v>66215</v>
      </c>
      <c r="B375" s="3" t="s">
        <v>2162</v>
      </c>
      <c r="C375" s="3" t="s">
        <v>16</v>
      </c>
      <c r="D375" s="6" t="s">
        <v>1416</v>
      </c>
      <c r="E375" s="6" t="s">
        <v>1782</v>
      </c>
      <c r="F375" s="3" t="str">
        <f>IFERROR( VLOOKUP(A375,#REF!,2,0),"")</f>
        <v/>
      </c>
      <c r="G375" s="3" t="str">
        <f t="array" ref="G375">_xlfn.XLOOKUP(I375,Base_Datos!D:D,Base_Datos!B:B,"")</f>
        <v>GAC</v>
      </c>
      <c r="H375" s="3" t="str">
        <f t="array" ref="H375">IF(I375="","",IFERROR(_xlfn.XLOOKUP(I375,Base_Datos!$D$2:$D3876,Base_Datos!$C$2:$C3876),""))</f>
        <v>Serie Emzoom</v>
      </c>
      <c r="I375" s="3" t="s">
        <v>1203</v>
      </c>
      <c r="J375" s="3" t="str">
        <f>IF(I375="","",IFERROR(VLOOKUP(I375,Base_Datos!$D$2:$E$72,2,0),""))</f>
        <v>(1.5L)</v>
      </c>
      <c r="K375" s="3"/>
      <c r="L375" s="3"/>
      <c r="M375" s="7">
        <v>0</v>
      </c>
      <c r="N375" s="7">
        <v>0</v>
      </c>
    </row>
    <row r="376" spans="1:14" ht="14.25" x14ac:dyDescent="0.2">
      <c r="A376" s="3">
        <v>66216</v>
      </c>
      <c r="B376" s="3" t="s">
        <v>2163</v>
      </c>
      <c r="C376" s="3" t="s">
        <v>16</v>
      </c>
      <c r="D376" s="6" t="s">
        <v>1417</v>
      </c>
      <c r="E376" s="6" t="s">
        <v>1782</v>
      </c>
      <c r="F376" s="3" t="str">
        <f>IFERROR( VLOOKUP(A376,#REF!,2,0),"")</f>
        <v/>
      </c>
      <c r="G376" s="3" t="str">
        <f t="array" ref="G376">_xlfn.XLOOKUP(I376,Base_Datos!D:D,Base_Datos!B:B,"")</f>
        <v>GAC</v>
      </c>
      <c r="H376" s="3" t="str">
        <f t="array" ref="H376">IF(I376="","",IFERROR(_xlfn.XLOOKUP(I376,Base_Datos!$D$2:$D3876,Base_Datos!$C$2:$C3876),""))</f>
        <v>Serie Emzoom</v>
      </c>
      <c r="I376" s="3" t="s">
        <v>1203</v>
      </c>
      <c r="J376" s="3" t="str">
        <f>IF(I376="","",IFERROR(VLOOKUP(I376,Base_Datos!$D$2:$E$72,2,0),""))</f>
        <v>(1.5L)</v>
      </c>
      <c r="K376" s="3"/>
      <c r="L376" s="3"/>
      <c r="M376" s="7">
        <v>4</v>
      </c>
      <c r="N376" s="7">
        <v>0</v>
      </c>
    </row>
    <row r="377" spans="1:14" ht="14.25" x14ac:dyDescent="0.2">
      <c r="A377" s="3">
        <v>66217</v>
      </c>
      <c r="B377" s="3" t="s">
        <v>2164</v>
      </c>
      <c r="C377" s="3" t="s">
        <v>16</v>
      </c>
      <c r="D377" s="6" t="s">
        <v>1418</v>
      </c>
      <c r="E377" s="6" t="s">
        <v>1418</v>
      </c>
      <c r="F377" s="3" t="str">
        <f>IFERROR( VLOOKUP(A377,#REF!,2,0),"")</f>
        <v/>
      </c>
      <c r="G377" s="3" t="str">
        <f t="array" ref="G377">_xlfn.XLOOKUP(I377,Base_Datos!D:D,Base_Datos!B:B,"")</f>
        <v>GAC</v>
      </c>
      <c r="H377" s="3" t="str">
        <f t="array" ref="H377">IF(I377="","",IFERROR(_xlfn.XLOOKUP(I377,Base_Datos!$D$2:$D3876,Base_Datos!$C$2:$C3876),""))</f>
        <v>Serie Emzoom</v>
      </c>
      <c r="I377" s="3" t="s">
        <v>1203</v>
      </c>
      <c r="J377" s="3" t="str">
        <f>IF(I377="","",IFERROR(VLOOKUP(I377,Base_Datos!$D$2:$E$72,2,0),""))</f>
        <v>(1.5L)</v>
      </c>
      <c r="K377" s="3"/>
      <c r="L377" s="3"/>
      <c r="M377" s="7">
        <v>4</v>
      </c>
      <c r="N377" s="7">
        <v>0</v>
      </c>
    </row>
    <row r="378" spans="1:14" ht="14.25" x14ac:dyDescent="0.2">
      <c r="A378" s="3">
        <v>66218</v>
      </c>
      <c r="B378" s="3" t="s">
        <v>2165</v>
      </c>
      <c r="C378" s="3" t="s">
        <v>16</v>
      </c>
      <c r="D378" s="6" t="s">
        <v>1419</v>
      </c>
      <c r="E378" s="6" t="s">
        <v>1782</v>
      </c>
      <c r="F378" s="3" t="str">
        <f>IFERROR( VLOOKUP(A378,#REF!,2,0),"")</f>
        <v/>
      </c>
      <c r="G378" s="3" t="str">
        <f t="array" ref="G378">_xlfn.XLOOKUP(I378,Base_Datos!D:D,Base_Datos!B:B,"")</f>
        <v>GAC</v>
      </c>
      <c r="H378" s="3" t="str">
        <f t="array" ref="H378">IF(I378="","",IFERROR(_xlfn.XLOOKUP(I378,Base_Datos!$D$2:$D3876,Base_Datos!$C$2:$C3876),""))</f>
        <v>Serie Emzoom</v>
      </c>
      <c r="I378" s="3" t="s">
        <v>1203</v>
      </c>
      <c r="J378" s="3" t="str">
        <f>IF(I378="","",IFERROR(VLOOKUP(I378,Base_Datos!$D$2:$E$72,2,0),""))</f>
        <v>(1.5L)</v>
      </c>
      <c r="K378" s="3"/>
      <c r="L378" s="3"/>
      <c r="M378" s="7">
        <v>3</v>
      </c>
      <c r="N378" s="7">
        <v>0</v>
      </c>
    </row>
    <row r="379" spans="1:14" ht="14.25" x14ac:dyDescent="0.2">
      <c r="A379" s="3">
        <v>66219</v>
      </c>
      <c r="B379" s="3" t="s">
        <v>2166</v>
      </c>
      <c r="C379" s="3" t="s">
        <v>16</v>
      </c>
      <c r="D379" s="6" t="s">
        <v>1420</v>
      </c>
      <c r="E379" s="6" t="s">
        <v>1782</v>
      </c>
      <c r="F379" s="3" t="str">
        <f>IFERROR( VLOOKUP(A379,#REF!,2,0),"")</f>
        <v/>
      </c>
      <c r="G379" s="3" t="str">
        <f t="array" ref="G379">_xlfn.XLOOKUP(I379,Base_Datos!D:D,Base_Datos!B:B,"")</f>
        <v>GAC</v>
      </c>
      <c r="H379" s="3" t="str">
        <f t="array" ref="H379">IF(I379="","",IFERROR(_xlfn.XLOOKUP(I379,Base_Datos!$D$2:$D3876,Base_Datos!$C$2:$C3876),""))</f>
        <v>Serie Emzoom</v>
      </c>
      <c r="I379" s="3" t="s">
        <v>1203</v>
      </c>
      <c r="J379" s="3" t="str">
        <f>IF(I379="","",IFERROR(VLOOKUP(I379,Base_Datos!$D$2:$E$72,2,0),""))</f>
        <v>(1.5L)</v>
      </c>
      <c r="K379" s="3"/>
      <c r="L379" s="3"/>
      <c r="M379" s="7">
        <v>1</v>
      </c>
      <c r="N379" s="7">
        <v>0</v>
      </c>
    </row>
    <row r="380" spans="1:14" ht="14.25" x14ac:dyDescent="0.2">
      <c r="A380" s="3">
        <v>66220</v>
      </c>
      <c r="B380" s="3" t="s">
        <v>2167</v>
      </c>
      <c r="C380" s="3" t="s">
        <v>16</v>
      </c>
      <c r="D380" s="6" t="s">
        <v>1421</v>
      </c>
      <c r="E380" s="6" t="s">
        <v>1782</v>
      </c>
      <c r="F380" s="3" t="str">
        <f>IFERROR( VLOOKUP(A380,#REF!,2,0),"")</f>
        <v/>
      </c>
      <c r="G380" s="3" t="str">
        <f t="array" ref="G380">_xlfn.XLOOKUP(I380,Base_Datos!D:D,Base_Datos!B:B,"")</f>
        <v>GAC</v>
      </c>
      <c r="H380" s="3" t="str">
        <f t="array" ref="H380">IF(I380="","",IFERROR(_xlfn.XLOOKUP(I380,Base_Datos!$D$2:$D3876,Base_Datos!$C$2:$C3876),""))</f>
        <v>Serie Emzoom</v>
      </c>
      <c r="I380" s="3" t="s">
        <v>1203</v>
      </c>
      <c r="J380" s="3" t="str">
        <f>IF(I380="","",IFERROR(VLOOKUP(I380,Base_Datos!$D$2:$E$72,2,0),""))</f>
        <v>(1.5L)</v>
      </c>
      <c r="K380" s="3"/>
      <c r="L380" s="3"/>
      <c r="M380" s="7">
        <v>3</v>
      </c>
      <c r="N380" s="7">
        <v>0</v>
      </c>
    </row>
    <row r="381" spans="1:14" ht="14.25" x14ac:dyDescent="0.2">
      <c r="A381" s="3">
        <v>66221</v>
      </c>
      <c r="B381" s="3" t="s">
        <v>2168</v>
      </c>
      <c r="C381" s="3" t="s">
        <v>16</v>
      </c>
      <c r="D381" s="6" t="s">
        <v>1422</v>
      </c>
      <c r="E381" s="6" t="s">
        <v>1782</v>
      </c>
      <c r="F381" s="3" t="str">
        <f>IFERROR( VLOOKUP(A381,#REF!,2,0),"")</f>
        <v/>
      </c>
      <c r="G381" s="3" t="str">
        <f t="array" ref="G381">_xlfn.XLOOKUP(I381,Base_Datos!D:D,Base_Datos!B:B,"")</f>
        <v>GAC</v>
      </c>
      <c r="H381" s="3" t="str">
        <f t="array" ref="H381">IF(I381="","",IFERROR(_xlfn.XLOOKUP(I381,Base_Datos!$D$2:$D3876,Base_Datos!$C$2:$C3876),""))</f>
        <v>Serie Emzoom</v>
      </c>
      <c r="I381" s="3" t="s">
        <v>1203</v>
      </c>
      <c r="J381" s="3" t="str">
        <f>IF(I381="","",IFERROR(VLOOKUP(I381,Base_Datos!$D$2:$E$72,2,0),""))</f>
        <v>(1.5L)</v>
      </c>
      <c r="K381" s="3"/>
      <c r="L381" s="3"/>
      <c r="M381" s="7">
        <v>2</v>
      </c>
      <c r="N381" s="7">
        <v>0</v>
      </c>
    </row>
    <row r="382" spans="1:14" ht="14.25" x14ac:dyDescent="0.2">
      <c r="A382" s="3">
        <v>66222</v>
      </c>
      <c r="B382" s="3" t="s">
        <v>2169</v>
      </c>
      <c r="C382" s="3" t="s">
        <v>16</v>
      </c>
      <c r="D382" s="6" t="s">
        <v>1423</v>
      </c>
      <c r="E382" s="6" t="s">
        <v>1782</v>
      </c>
      <c r="F382" s="3" t="str">
        <f>IFERROR( VLOOKUP(A382,#REF!,2,0),"")</f>
        <v/>
      </c>
      <c r="G382" s="3" t="str">
        <f t="array" ref="G382">_xlfn.XLOOKUP(I382,Base_Datos!D:D,Base_Datos!B:B,"")</f>
        <v>GAC</v>
      </c>
      <c r="H382" s="3" t="str">
        <f t="array" ref="H382">IF(I382="","",IFERROR(_xlfn.XLOOKUP(I382,Base_Datos!$D$2:$D3876,Base_Datos!$C$2:$C3876),""))</f>
        <v>Serie Emzoom</v>
      </c>
      <c r="I382" s="3" t="s">
        <v>1203</v>
      </c>
      <c r="J382" s="3" t="str">
        <f>IF(I382="","",IFERROR(VLOOKUP(I382,Base_Datos!$D$2:$E$72,2,0),""))</f>
        <v>(1.5L)</v>
      </c>
      <c r="K382" s="3"/>
      <c r="L382" s="3"/>
      <c r="M382" s="7">
        <v>5</v>
      </c>
      <c r="N382" s="7">
        <v>0</v>
      </c>
    </row>
    <row r="383" spans="1:14" ht="14.25" x14ac:dyDescent="0.2">
      <c r="A383" s="3">
        <v>66223</v>
      </c>
      <c r="B383" s="3" t="s">
        <v>2170</v>
      </c>
      <c r="C383" s="3" t="s">
        <v>16</v>
      </c>
      <c r="D383" s="6" t="s">
        <v>1424</v>
      </c>
      <c r="E383" s="6" t="s">
        <v>1424</v>
      </c>
      <c r="F383" s="3" t="str">
        <f>IFERROR( VLOOKUP(A383,#REF!,2,0),"")</f>
        <v/>
      </c>
      <c r="G383" s="3" t="str">
        <f t="array" ref="G383">_xlfn.XLOOKUP(I383,Base_Datos!D:D,Base_Datos!B:B,"")</f>
        <v>GAC</v>
      </c>
      <c r="H383" s="3" t="str">
        <f t="array" ref="H383">IF(I383="","",IFERROR(_xlfn.XLOOKUP(I383,Base_Datos!$D$2:$D3876,Base_Datos!$C$2:$C3876),""))</f>
        <v>Serie Emzoom</v>
      </c>
      <c r="I383" s="3" t="s">
        <v>1203</v>
      </c>
      <c r="J383" s="3" t="str">
        <f>IF(I383="","",IFERROR(VLOOKUP(I383,Base_Datos!$D$2:$E$72,2,0),""))</f>
        <v>(1.5L)</v>
      </c>
      <c r="K383" s="3"/>
      <c r="L383" s="3"/>
      <c r="M383" s="7">
        <v>3</v>
      </c>
      <c r="N383" s="7">
        <v>0</v>
      </c>
    </row>
    <row r="384" spans="1:14" ht="14.25" x14ac:dyDescent="0.2">
      <c r="A384" s="3">
        <v>66224</v>
      </c>
      <c r="B384" s="3" t="s">
        <v>2171</v>
      </c>
      <c r="C384" s="3" t="s">
        <v>16</v>
      </c>
      <c r="D384" s="6" t="s">
        <v>1425</v>
      </c>
      <c r="E384" s="6" t="s">
        <v>1782</v>
      </c>
      <c r="F384" s="3" t="str">
        <f>IFERROR( VLOOKUP(A384,#REF!,2,0),"")</f>
        <v/>
      </c>
      <c r="G384" s="3" t="str">
        <f t="array" ref="G384">_xlfn.XLOOKUP(I384,Base_Datos!D:D,Base_Datos!B:B,"")</f>
        <v>GAC</v>
      </c>
      <c r="H384" s="3" t="str">
        <f t="array" ref="H384">IF(I384="","",IFERROR(_xlfn.XLOOKUP(I384,Base_Datos!$D$2:$D3876,Base_Datos!$C$2:$C3876),""))</f>
        <v>Serie Emzoom</v>
      </c>
      <c r="I384" s="3" t="s">
        <v>1203</v>
      </c>
      <c r="J384" s="3" t="str">
        <f>IF(I384="","",IFERROR(VLOOKUP(I384,Base_Datos!$D$2:$E$72,2,0),""))</f>
        <v>(1.5L)</v>
      </c>
      <c r="K384" s="3"/>
      <c r="L384" s="3"/>
      <c r="M384" s="7">
        <v>3</v>
      </c>
      <c r="N384" s="7">
        <v>0</v>
      </c>
    </row>
    <row r="385" spans="1:14" ht="14.25" x14ac:dyDescent="0.2">
      <c r="A385" s="3">
        <v>66225</v>
      </c>
      <c r="B385" s="3" t="s">
        <v>2172</v>
      </c>
      <c r="C385" s="3" t="s">
        <v>16</v>
      </c>
      <c r="D385" s="6" t="s">
        <v>1426</v>
      </c>
      <c r="E385" s="6" t="s">
        <v>2173</v>
      </c>
      <c r="F385" s="3" t="str">
        <f>IFERROR( VLOOKUP(A385,#REF!,2,0),"")</f>
        <v/>
      </c>
      <c r="G385" s="3" t="str">
        <f t="array" ref="G385">_xlfn.XLOOKUP(I385,Base_Datos!D:D,Base_Datos!B:B,"")</f>
        <v>GAC</v>
      </c>
      <c r="H385" s="3" t="str">
        <f t="array" ref="H385">IF(I385="","",IFERROR(_xlfn.XLOOKUP(I385,Base_Datos!$D$2:$D3876,Base_Datos!$C$2:$C3876),""))</f>
        <v>Serie Emzoom</v>
      </c>
      <c r="I385" s="3" t="s">
        <v>1203</v>
      </c>
      <c r="J385" s="3" t="str">
        <f>IF(I385="","",IFERROR(VLOOKUP(I385,Base_Datos!$D$2:$E$72,2,0),""))</f>
        <v>(1.5L)</v>
      </c>
      <c r="K385" s="3"/>
      <c r="L385" s="3"/>
      <c r="M385" s="7">
        <v>10</v>
      </c>
      <c r="N385" s="7">
        <v>0</v>
      </c>
    </row>
    <row r="386" spans="1:14" ht="14.25" x14ac:dyDescent="0.2">
      <c r="A386" s="3">
        <v>66226</v>
      </c>
      <c r="B386" s="3" t="s">
        <v>2174</v>
      </c>
      <c r="C386" s="3" t="s">
        <v>16</v>
      </c>
      <c r="D386" s="6" t="s">
        <v>1427</v>
      </c>
      <c r="E386" s="6" t="s">
        <v>2175</v>
      </c>
      <c r="F386" s="3" t="str">
        <f>IFERROR( VLOOKUP(A386,#REF!,2,0),"")</f>
        <v/>
      </c>
      <c r="G386" s="3" t="str">
        <f t="array" ref="G386">_xlfn.XLOOKUP(I386,Base_Datos!D:D,Base_Datos!B:B,"")</f>
        <v>GAC</v>
      </c>
      <c r="H386" s="3" t="str">
        <f t="array" ref="H386">IF(I386="","",IFERROR(_xlfn.XLOOKUP(I386,Base_Datos!$D$2:$D3876,Base_Datos!$C$2:$C3876),""))</f>
        <v>Serie Emzoom</v>
      </c>
      <c r="I386" s="3" t="s">
        <v>1203</v>
      </c>
      <c r="J386" s="3" t="str">
        <f>IF(I386="","",IFERROR(VLOOKUP(I386,Base_Datos!$D$2:$E$72,2,0),""))</f>
        <v>(1.5L)</v>
      </c>
      <c r="K386" s="3"/>
      <c r="L386" s="3"/>
      <c r="M386" s="7">
        <v>1</v>
      </c>
      <c r="N386" s="7">
        <v>0</v>
      </c>
    </row>
    <row r="387" spans="1:14" ht="14.25" x14ac:dyDescent="0.2">
      <c r="A387" s="3">
        <v>66227</v>
      </c>
      <c r="B387" s="3" t="s">
        <v>2176</v>
      </c>
      <c r="C387" s="3" t="s">
        <v>16</v>
      </c>
      <c r="D387" s="6" t="s">
        <v>1428</v>
      </c>
      <c r="E387" s="6" t="s">
        <v>1782</v>
      </c>
      <c r="F387" s="3" t="str">
        <f>IFERROR( VLOOKUP(A387,#REF!,2,0),"")</f>
        <v/>
      </c>
      <c r="G387" s="3" t="str">
        <f t="array" ref="G387">_xlfn.XLOOKUP(I387,Base_Datos!D:D,Base_Datos!B:B,"")</f>
        <v>GAC</v>
      </c>
      <c r="H387" s="3" t="str">
        <f t="array" ref="H387">IF(I387="","",IFERROR(_xlfn.XLOOKUP(I387,Base_Datos!$D$2:$D3876,Base_Datos!$C$2:$C3876),""))</f>
        <v>Serie Emzoom</v>
      </c>
      <c r="I387" s="3" t="s">
        <v>1203</v>
      </c>
      <c r="J387" s="3" t="str">
        <f>IF(I387="","",IFERROR(VLOOKUP(I387,Base_Datos!$D$2:$E$72,2,0),""))</f>
        <v>(1.5L)</v>
      </c>
      <c r="K387" s="3"/>
      <c r="L387" s="3"/>
      <c r="M387" s="7">
        <v>4</v>
      </c>
      <c r="N387" s="7">
        <v>0</v>
      </c>
    </row>
    <row r="388" spans="1:14" ht="14.25" x14ac:dyDescent="0.2">
      <c r="A388" s="3">
        <v>66228</v>
      </c>
      <c r="B388" s="3" t="s">
        <v>2177</v>
      </c>
      <c r="C388" s="3" t="s">
        <v>16</v>
      </c>
      <c r="D388" s="6" t="s">
        <v>1429</v>
      </c>
      <c r="E388" s="6" t="s">
        <v>1782</v>
      </c>
      <c r="F388" s="3" t="str">
        <f>IFERROR( VLOOKUP(A388,#REF!,2,0),"")</f>
        <v/>
      </c>
      <c r="G388" s="3" t="str">
        <f t="array" ref="G388">_xlfn.XLOOKUP(I388,Base_Datos!D:D,Base_Datos!B:B,"")</f>
        <v>GAC</v>
      </c>
      <c r="H388" s="3" t="str">
        <f t="array" ref="H388">IF(I388="","",IFERROR(_xlfn.XLOOKUP(I388,Base_Datos!$D$2:$D3876,Base_Datos!$C$2:$C3876),""))</f>
        <v>Serie Emzoom</v>
      </c>
      <c r="I388" s="3" t="s">
        <v>1203</v>
      </c>
      <c r="J388" s="3" t="str">
        <f>IF(I388="","",IFERROR(VLOOKUP(I388,Base_Datos!$D$2:$E$72,2,0),""))</f>
        <v>(1.5L)</v>
      </c>
      <c r="K388" s="3"/>
      <c r="L388" s="3"/>
      <c r="M388" s="7">
        <v>4</v>
      </c>
      <c r="N388" s="7">
        <v>0</v>
      </c>
    </row>
    <row r="389" spans="1:14" ht="14.25" x14ac:dyDescent="0.2">
      <c r="A389" s="3">
        <v>66229</v>
      </c>
      <c r="B389" s="3" t="s">
        <v>2177</v>
      </c>
      <c r="C389" s="3" t="s">
        <v>16</v>
      </c>
      <c r="D389" s="6" t="s">
        <v>1430</v>
      </c>
      <c r="E389" s="6" t="s">
        <v>1782</v>
      </c>
      <c r="F389" s="3" t="str">
        <f>IFERROR( VLOOKUP(A389,#REF!,2,0),"")</f>
        <v/>
      </c>
      <c r="G389" s="3" t="str">
        <f t="array" ref="G389">_xlfn.XLOOKUP(I389,Base_Datos!D:D,Base_Datos!B:B,"")</f>
        <v>GAC</v>
      </c>
      <c r="H389" s="3" t="str">
        <f t="array" ref="H389">IF(I389="","",IFERROR(_xlfn.XLOOKUP(I389,Base_Datos!$D$2:$D3876,Base_Datos!$C$2:$C3876),""))</f>
        <v>Serie Emzoom</v>
      </c>
      <c r="I389" s="3" t="s">
        <v>1203</v>
      </c>
      <c r="J389" s="3" t="str">
        <f>IF(I389="","",IFERROR(VLOOKUP(I389,Base_Datos!$D$2:$E$72,2,0),""))</f>
        <v>(1.5L)</v>
      </c>
      <c r="K389" s="3"/>
      <c r="L389" s="3"/>
      <c r="M389" s="7">
        <v>4</v>
      </c>
      <c r="N389" s="7">
        <v>0</v>
      </c>
    </row>
    <row r="390" spans="1:14" ht="14.25" x14ac:dyDescent="0.2">
      <c r="A390" s="3">
        <v>66230</v>
      </c>
      <c r="B390" s="3" t="s">
        <v>2178</v>
      </c>
      <c r="C390" s="3" t="s">
        <v>16</v>
      </c>
      <c r="D390" s="6" t="s">
        <v>1431</v>
      </c>
      <c r="E390" s="6" t="s">
        <v>1782</v>
      </c>
      <c r="F390" s="3" t="str">
        <f>IFERROR( VLOOKUP(A390,#REF!,2,0),"")</f>
        <v/>
      </c>
      <c r="G390" s="3" t="str">
        <f t="array" ref="G390">_xlfn.XLOOKUP(I390,Base_Datos!D:D,Base_Datos!B:B,"")</f>
        <v>GAC</v>
      </c>
      <c r="H390" s="3" t="str">
        <f t="array" ref="H390">IF(I390="","",IFERROR(_xlfn.XLOOKUP(I390,Base_Datos!$D$2:$D3876,Base_Datos!$C$2:$C3876),""))</f>
        <v>Serie Emzoom</v>
      </c>
      <c r="I390" s="3" t="s">
        <v>1203</v>
      </c>
      <c r="J390" s="3" t="str">
        <f>IF(I390="","",IFERROR(VLOOKUP(I390,Base_Datos!$D$2:$E$72,2,0),""))</f>
        <v>(1.5L)</v>
      </c>
      <c r="K390" s="3"/>
      <c r="L390" s="3"/>
      <c r="M390" s="7">
        <v>4</v>
      </c>
      <c r="N390" s="7">
        <v>0</v>
      </c>
    </row>
    <row r="391" spans="1:14" ht="14.25" x14ac:dyDescent="0.2">
      <c r="A391" s="3">
        <v>66231</v>
      </c>
      <c r="B391" s="3" t="s">
        <v>2179</v>
      </c>
      <c r="C391" s="3" t="s">
        <v>16</v>
      </c>
      <c r="D391" s="6" t="s">
        <v>1432</v>
      </c>
      <c r="E391" s="6" t="s">
        <v>1782</v>
      </c>
      <c r="F391" s="3" t="str">
        <f>IFERROR( VLOOKUP(A391,#REF!,2,0),"")</f>
        <v/>
      </c>
      <c r="G391" s="3" t="str">
        <f t="array" ref="G391">_xlfn.XLOOKUP(I391,Base_Datos!D:D,Base_Datos!B:B,"")</f>
        <v>GAC</v>
      </c>
      <c r="H391" s="3" t="str">
        <f t="array" ref="H391">IF(I391="","",IFERROR(_xlfn.XLOOKUP(I391,Base_Datos!$D$2:$D3876,Base_Datos!$C$2:$C3876),""))</f>
        <v>Serie Emzoom</v>
      </c>
      <c r="I391" s="3" t="s">
        <v>1203</v>
      </c>
      <c r="J391" s="3" t="str">
        <f>IF(I391="","",IFERROR(VLOOKUP(I391,Base_Datos!$D$2:$E$72,2,0),""))</f>
        <v>(1.5L)</v>
      </c>
      <c r="K391" s="3"/>
      <c r="L391" s="3"/>
      <c r="M391" s="7">
        <v>3</v>
      </c>
      <c r="N391" s="7">
        <v>0</v>
      </c>
    </row>
    <row r="392" spans="1:14" ht="14.25" x14ac:dyDescent="0.2">
      <c r="A392" s="3">
        <v>66232</v>
      </c>
      <c r="B392" s="3" t="s">
        <v>2180</v>
      </c>
      <c r="C392" s="3" t="s">
        <v>16</v>
      </c>
      <c r="D392" s="6" t="s">
        <v>1433</v>
      </c>
      <c r="E392" s="6" t="s">
        <v>1782</v>
      </c>
      <c r="F392" s="3" t="str">
        <f>IFERROR( VLOOKUP(A392,#REF!,2,0),"")</f>
        <v/>
      </c>
      <c r="G392" s="3" t="str">
        <f t="array" ref="G392">_xlfn.XLOOKUP(I392,Base_Datos!D:D,Base_Datos!B:B,"")</f>
        <v>GAC</v>
      </c>
      <c r="H392" s="3" t="str">
        <f t="array" ref="H392">IF(I392="","",IFERROR(_xlfn.XLOOKUP(I392,Base_Datos!$D$2:$D3876,Base_Datos!$C$2:$C3876),""))</f>
        <v>Serie Emzoom</v>
      </c>
      <c r="I392" s="3" t="s">
        <v>1203</v>
      </c>
      <c r="J392" s="3" t="str">
        <f>IF(I392="","",IFERROR(VLOOKUP(I392,Base_Datos!$D$2:$E$72,2,0),""))</f>
        <v>(1.5L)</v>
      </c>
      <c r="K392" s="3"/>
      <c r="L392" s="3"/>
      <c r="M392" s="7">
        <v>5</v>
      </c>
      <c r="N392" s="7">
        <v>0</v>
      </c>
    </row>
    <row r="393" spans="1:14" ht="14.25" x14ac:dyDescent="0.2">
      <c r="A393" s="3">
        <v>66233</v>
      </c>
      <c r="B393" s="3" t="s">
        <v>2181</v>
      </c>
      <c r="C393" s="3" t="s">
        <v>16</v>
      </c>
      <c r="D393" s="6" t="s">
        <v>1434</v>
      </c>
      <c r="E393" s="6" t="s">
        <v>1782</v>
      </c>
      <c r="F393" s="3" t="str">
        <f>IFERROR( VLOOKUP(A393,#REF!,2,0),"")</f>
        <v/>
      </c>
      <c r="G393" s="3" t="str">
        <f t="array" ref="G393">_xlfn.XLOOKUP(I393,Base_Datos!D:D,Base_Datos!B:B,"")</f>
        <v>GAC</v>
      </c>
      <c r="H393" s="3" t="str">
        <f t="array" ref="H393">IF(I393="","",IFERROR(_xlfn.XLOOKUP(I393,Base_Datos!$D$2:$D3876,Base_Datos!$C$2:$C3876),""))</f>
        <v>Serie Emzoom</v>
      </c>
      <c r="I393" s="3" t="s">
        <v>1203</v>
      </c>
      <c r="J393" s="3" t="str">
        <f>IF(I393="","",IFERROR(VLOOKUP(I393,Base_Datos!$D$2:$E$72,2,0),""))</f>
        <v>(1.5L)</v>
      </c>
      <c r="K393" s="3"/>
      <c r="L393" s="3"/>
      <c r="M393" s="7">
        <v>1</v>
      </c>
      <c r="N393" s="7">
        <v>0</v>
      </c>
    </row>
    <row r="394" spans="1:14" ht="14.25" x14ac:dyDescent="0.2">
      <c r="A394" s="3">
        <v>66234</v>
      </c>
      <c r="B394" s="3" t="s">
        <v>2182</v>
      </c>
      <c r="C394" s="3" t="s">
        <v>16</v>
      </c>
      <c r="D394" s="6" t="s">
        <v>1435</v>
      </c>
      <c r="E394" s="6" t="s">
        <v>1782</v>
      </c>
      <c r="F394" s="3" t="str">
        <f>IFERROR( VLOOKUP(A394,#REF!,2,0),"")</f>
        <v/>
      </c>
      <c r="G394" s="3" t="str">
        <f t="array" ref="G394">_xlfn.XLOOKUP(I394,Base_Datos!D:D,Base_Datos!B:B,"")</f>
        <v>GAC</v>
      </c>
      <c r="H394" s="3" t="str">
        <f t="array" ref="H394">IF(I394="","",IFERROR(_xlfn.XLOOKUP(I394,Base_Datos!$D$2:$D3876,Base_Datos!$C$2:$C3876),""))</f>
        <v>Serie Emzoom</v>
      </c>
      <c r="I394" s="3" t="s">
        <v>1203</v>
      </c>
      <c r="J394" s="3" t="str">
        <f>IF(I394="","",IFERROR(VLOOKUP(I394,Base_Datos!$D$2:$E$72,2,0),""))</f>
        <v>(1.5L)</v>
      </c>
      <c r="K394" s="3"/>
      <c r="L394" s="3"/>
      <c r="M394" s="7">
        <v>3</v>
      </c>
      <c r="N394" s="7">
        <v>0</v>
      </c>
    </row>
    <row r="395" spans="1:14" ht="14.25" x14ac:dyDescent="0.2">
      <c r="A395" s="3">
        <v>66235</v>
      </c>
      <c r="B395" s="3" t="s">
        <v>2183</v>
      </c>
      <c r="C395" s="3" t="s">
        <v>16</v>
      </c>
      <c r="D395" s="6" t="s">
        <v>1436</v>
      </c>
      <c r="E395" s="6" t="s">
        <v>1782</v>
      </c>
      <c r="F395" s="3" t="str">
        <f>IFERROR( VLOOKUP(A395,#REF!,2,0),"")</f>
        <v/>
      </c>
      <c r="G395" s="3" t="str">
        <f t="array" ref="G395">_xlfn.XLOOKUP(I395,Base_Datos!D:D,Base_Datos!B:B,"")</f>
        <v>GAC</v>
      </c>
      <c r="H395" s="3" t="str">
        <f t="array" ref="H395">IF(I395="","",IFERROR(_xlfn.XLOOKUP(I395,Base_Datos!$D$2:$D3876,Base_Datos!$C$2:$C3876),""))</f>
        <v>Serie Emzoom</v>
      </c>
      <c r="I395" s="3" t="s">
        <v>1203</v>
      </c>
      <c r="J395" s="3" t="str">
        <f>IF(I395="","",IFERROR(VLOOKUP(I395,Base_Datos!$D$2:$E$72,2,0),""))</f>
        <v>(1.5L)</v>
      </c>
      <c r="K395" s="3"/>
      <c r="L395" s="3"/>
      <c r="M395" s="7">
        <v>5</v>
      </c>
      <c r="N395" s="7">
        <v>0</v>
      </c>
    </row>
    <row r="396" spans="1:14" ht="14.25" x14ac:dyDescent="0.2">
      <c r="A396" s="3">
        <v>66236</v>
      </c>
      <c r="B396" s="3" t="s">
        <v>2184</v>
      </c>
      <c r="C396" s="3" t="s">
        <v>16</v>
      </c>
      <c r="D396" s="6" t="s">
        <v>1437</v>
      </c>
      <c r="E396" s="6" t="s">
        <v>1782</v>
      </c>
      <c r="F396" s="3" t="str">
        <f>IFERROR( VLOOKUP(A396,#REF!,2,0),"")</f>
        <v/>
      </c>
      <c r="G396" s="3" t="str">
        <f t="array" ref="G396">_xlfn.XLOOKUP(I396,Base_Datos!D:D,Base_Datos!B:B,"")</f>
        <v>GAC</v>
      </c>
      <c r="H396" s="3" t="str">
        <f t="array" ref="H396">IF(I396="","",IFERROR(_xlfn.XLOOKUP(I396,Base_Datos!$D$2:$D3876,Base_Datos!$C$2:$C3876),""))</f>
        <v>Serie Emzoom</v>
      </c>
      <c r="I396" s="3" t="s">
        <v>1203</v>
      </c>
      <c r="J396" s="3" t="str">
        <f>IF(I396="","",IFERROR(VLOOKUP(I396,Base_Datos!$D$2:$E$72,2,0),""))</f>
        <v>(1.5L)</v>
      </c>
      <c r="K396" s="3"/>
      <c r="L396" s="3"/>
      <c r="M396" s="7">
        <v>1</v>
      </c>
      <c r="N396" s="7">
        <v>0</v>
      </c>
    </row>
    <row r="397" spans="1:14" ht="14.25" x14ac:dyDescent="0.2">
      <c r="A397" s="3">
        <v>66237</v>
      </c>
      <c r="B397" s="3" t="s">
        <v>2185</v>
      </c>
      <c r="C397" s="3" t="s">
        <v>16</v>
      </c>
      <c r="D397" s="6" t="s">
        <v>1438</v>
      </c>
      <c r="E397" s="6" t="s">
        <v>1782</v>
      </c>
      <c r="F397" s="3" t="str">
        <f>IFERROR( VLOOKUP(A397,#REF!,2,0),"")</f>
        <v/>
      </c>
      <c r="G397" s="3" t="str">
        <f t="array" ref="G397">_xlfn.XLOOKUP(I397,Base_Datos!D:D,Base_Datos!B:B,"")</f>
        <v>GAC</v>
      </c>
      <c r="H397" s="3" t="str">
        <f t="array" ref="H397">IF(I397="","",IFERROR(_xlfn.XLOOKUP(I397,Base_Datos!$D$2:$D3876,Base_Datos!$C$2:$C3876),""))</f>
        <v>Serie Emzoom</v>
      </c>
      <c r="I397" s="3" t="s">
        <v>1203</v>
      </c>
      <c r="J397" s="3" t="str">
        <f>IF(I397="","",IFERROR(VLOOKUP(I397,Base_Datos!$D$2:$E$72,2,0),""))</f>
        <v>(1.5L)</v>
      </c>
      <c r="K397" s="3"/>
      <c r="L397" s="3"/>
      <c r="M397" s="7">
        <v>2</v>
      </c>
      <c r="N397" s="7">
        <v>0</v>
      </c>
    </row>
    <row r="398" spans="1:14" ht="14.25" x14ac:dyDescent="0.2">
      <c r="A398" s="3">
        <v>66238</v>
      </c>
      <c r="B398" s="3" t="s">
        <v>2186</v>
      </c>
      <c r="C398" s="3" t="s">
        <v>16</v>
      </c>
      <c r="D398" s="6" t="s">
        <v>1439</v>
      </c>
      <c r="E398" s="6" t="s">
        <v>1782</v>
      </c>
      <c r="F398" s="3" t="str">
        <f>IFERROR( VLOOKUP(A398,#REF!,2,0),"")</f>
        <v/>
      </c>
      <c r="G398" s="3" t="str">
        <f t="array" ref="G398">_xlfn.XLOOKUP(I398,Base_Datos!D:D,Base_Datos!B:B,"")</f>
        <v>GAC</v>
      </c>
      <c r="H398" s="3" t="str">
        <f t="array" ref="H398">IF(I398="","",IFERROR(_xlfn.XLOOKUP(I398,Base_Datos!$D$2:$D3876,Base_Datos!$C$2:$C3876),""))</f>
        <v>Serie Emzoom</v>
      </c>
      <c r="I398" s="3" t="s">
        <v>1203</v>
      </c>
      <c r="J398" s="3" t="str">
        <f>IF(I398="","",IFERROR(VLOOKUP(I398,Base_Datos!$D$2:$E$72,2,0),""))</f>
        <v>(1.5L)</v>
      </c>
      <c r="K398" s="3"/>
      <c r="L398" s="3"/>
      <c r="M398" s="7">
        <v>3</v>
      </c>
      <c r="N398" s="7">
        <v>0</v>
      </c>
    </row>
    <row r="399" spans="1:14" ht="14.25" x14ac:dyDescent="0.2">
      <c r="A399" s="3">
        <v>66239</v>
      </c>
      <c r="B399" s="3" t="s">
        <v>2187</v>
      </c>
      <c r="C399" s="3" t="s">
        <v>16</v>
      </c>
      <c r="D399" s="6" t="s">
        <v>1440</v>
      </c>
      <c r="E399" s="6" t="s">
        <v>1782</v>
      </c>
      <c r="F399" s="3" t="str">
        <f>IFERROR( VLOOKUP(A399,#REF!,2,0),"")</f>
        <v/>
      </c>
      <c r="G399" s="3" t="str">
        <f t="array" ref="G399">_xlfn.XLOOKUP(I399,Base_Datos!D:D,Base_Datos!B:B,"")</f>
        <v>GAC</v>
      </c>
      <c r="H399" s="3" t="str">
        <f t="array" ref="H399">IF(I399="","",IFERROR(_xlfn.XLOOKUP(I399,Base_Datos!$D$2:$D3876,Base_Datos!$C$2:$C3876),""))</f>
        <v>Serie Emzoom</v>
      </c>
      <c r="I399" s="3" t="s">
        <v>1203</v>
      </c>
      <c r="J399" s="3" t="str">
        <f>IF(I399="","",IFERROR(VLOOKUP(I399,Base_Datos!$D$2:$E$72,2,0),""))</f>
        <v>(1.5L)</v>
      </c>
      <c r="K399" s="3"/>
      <c r="L399" s="3"/>
      <c r="M399" s="7">
        <v>3</v>
      </c>
      <c r="N399" s="7">
        <v>0</v>
      </c>
    </row>
    <row r="400" spans="1:14" ht="14.25" x14ac:dyDescent="0.2">
      <c r="A400" s="3">
        <v>66240</v>
      </c>
      <c r="B400" s="3" t="s">
        <v>2188</v>
      </c>
      <c r="C400" s="3" t="s">
        <v>16</v>
      </c>
      <c r="D400" s="6" t="s">
        <v>1441</v>
      </c>
      <c r="E400" s="6" t="s">
        <v>1782</v>
      </c>
      <c r="F400" s="3" t="str">
        <f>IFERROR( VLOOKUP(A400,#REF!,2,0),"")</f>
        <v/>
      </c>
      <c r="G400" s="3" t="str">
        <f t="array" ref="G400">_xlfn.XLOOKUP(I400,Base_Datos!D:D,Base_Datos!B:B,"")</f>
        <v>GAC</v>
      </c>
      <c r="H400" s="3" t="str">
        <f t="array" ref="H400">IF(I400="","",IFERROR(_xlfn.XLOOKUP(I400,Base_Datos!$D$2:$D3876,Base_Datos!$C$2:$C3876),""))</f>
        <v>Serie Emzoom</v>
      </c>
      <c r="I400" s="3" t="s">
        <v>1203</v>
      </c>
      <c r="J400" s="3" t="str">
        <f>IF(I400="","",IFERROR(VLOOKUP(I400,Base_Datos!$D$2:$E$72,2,0),""))</f>
        <v>(1.5L)</v>
      </c>
      <c r="K400" s="3"/>
      <c r="L400" s="3"/>
      <c r="M400" s="7">
        <v>3</v>
      </c>
      <c r="N400" s="7">
        <v>0</v>
      </c>
    </row>
    <row r="401" spans="1:14" ht="14.25" x14ac:dyDescent="0.2">
      <c r="A401" s="3">
        <v>66241</v>
      </c>
      <c r="B401" s="3" t="s">
        <v>2189</v>
      </c>
      <c r="C401" s="3" t="s">
        <v>16</v>
      </c>
      <c r="D401" s="6" t="s">
        <v>1442</v>
      </c>
      <c r="E401" s="6" t="s">
        <v>1782</v>
      </c>
      <c r="F401" s="3" t="str">
        <f>IFERROR( VLOOKUP(A401,#REF!,2,0),"")</f>
        <v/>
      </c>
      <c r="G401" s="3" t="str">
        <f t="array" ref="G401">_xlfn.XLOOKUP(I401,Base_Datos!D:D,Base_Datos!B:B,"")</f>
        <v>GAC</v>
      </c>
      <c r="H401" s="3" t="str">
        <f t="array" ref="H401">IF(I401="","",IFERROR(_xlfn.XLOOKUP(I401,Base_Datos!$D$2:$D3876,Base_Datos!$C$2:$C3876),""))</f>
        <v>Serie Emzoom</v>
      </c>
      <c r="I401" s="3" t="s">
        <v>1203</v>
      </c>
      <c r="J401" s="3" t="str">
        <f>IF(I401="","",IFERROR(VLOOKUP(I401,Base_Datos!$D$2:$E$72,2,0),""))</f>
        <v>(1.5L)</v>
      </c>
      <c r="K401" s="3"/>
      <c r="L401" s="3"/>
      <c r="M401" s="7">
        <v>3</v>
      </c>
      <c r="N401" s="7">
        <v>0</v>
      </c>
    </row>
    <row r="402" spans="1:14" ht="14.25" x14ac:dyDescent="0.2">
      <c r="A402" s="3">
        <v>66242</v>
      </c>
      <c r="B402" s="3" t="s">
        <v>2190</v>
      </c>
      <c r="C402" s="3" t="s">
        <v>16</v>
      </c>
      <c r="D402" s="6" t="s">
        <v>1443</v>
      </c>
      <c r="E402" s="6" t="s">
        <v>1782</v>
      </c>
      <c r="F402" s="3" t="str">
        <f>IFERROR( VLOOKUP(A402,#REF!,2,0),"")</f>
        <v/>
      </c>
      <c r="G402" s="3" t="str">
        <f t="array" ref="G402">_xlfn.XLOOKUP(I402,Base_Datos!D:D,Base_Datos!B:B,"")</f>
        <v>GAC</v>
      </c>
      <c r="H402" s="3" t="str">
        <f t="array" ref="H402">IF(I402="","",IFERROR(_xlfn.XLOOKUP(I402,Base_Datos!$D$2:$D3876,Base_Datos!$C$2:$C3876),""))</f>
        <v>Serie Emzoom</v>
      </c>
      <c r="I402" s="3" t="s">
        <v>1203</v>
      </c>
      <c r="J402" s="3" t="str">
        <f>IF(I402="","",IFERROR(VLOOKUP(I402,Base_Datos!$D$2:$E$72,2,0),""))</f>
        <v>(1.5L)</v>
      </c>
      <c r="K402" s="3"/>
      <c r="L402" s="3"/>
      <c r="M402" s="7">
        <v>3</v>
      </c>
      <c r="N402" s="7">
        <v>0</v>
      </c>
    </row>
    <row r="403" spans="1:14" ht="14.25" x14ac:dyDescent="0.2">
      <c r="A403" s="3">
        <v>66243</v>
      </c>
      <c r="B403" s="3" t="s">
        <v>2190</v>
      </c>
      <c r="C403" s="3" t="s">
        <v>16</v>
      </c>
      <c r="D403" s="6" t="s">
        <v>1444</v>
      </c>
      <c r="E403" s="6" t="s">
        <v>1782</v>
      </c>
      <c r="F403" s="3" t="str">
        <f>IFERROR( VLOOKUP(A403,#REF!,2,0),"")</f>
        <v/>
      </c>
      <c r="G403" s="3" t="str">
        <f t="array" ref="G403">_xlfn.XLOOKUP(I403,Base_Datos!D:D,Base_Datos!B:B,"")</f>
        <v>GAC</v>
      </c>
      <c r="H403" s="3" t="str">
        <f t="array" ref="H403">IF(I403="","",IFERROR(_xlfn.XLOOKUP(I403,Base_Datos!$D$2:$D3876,Base_Datos!$C$2:$C3876),""))</f>
        <v>Serie Emzoom</v>
      </c>
      <c r="I403" s="3" t="s">
        <v>1203</v>
      </c>
      <c r="J403" s="3" t="str">
        <f>IF(I403="","",IFERROR(VLOOKUP(I403,Base_Datos!$D$2:$E$72,2,0),""))</f>
        <v>(1.5L)</v>
      </c>
      <c r="K403" s="3"/>
      <c r="L403" s="3"/>
      <c r="M403" s="7">
        <v>3</v>
      </c>
      <c r="N403" s="7">
        <v>0</v>
      </c>
    </row>
    <row r="404" spans="1:14" ht="14.25" x14ac:dyDescent="0.2">
      <c r="A404" s="3">
        <v>66244</v>
      </c>
      <c r="B404" s="3" t="s">
        <v>2190</v>
      </c>
      <c r="C404" s="3" t="s">
        <v>16</v>
      </c>
      <c r="D404" s="6" t="s">
        <v>1445</v>
      </c>
      <c r="E404" s="6" t="s">
        <v>1782</v>
      </c>
      <c r="F404" s="3" t="str">
        <f>IFERROR( VLOOKUP(A404,#REF!,2,0),"")</f>
        <v/>
      </c>
      <c r="G404" s="3" t="str">
        <f t="array" ref="G404">_xlfn.XLOOKUP(I404,Base_Datos!D:D,Base_Datos!B:B,"")</f>
        <v>GAC</v>
      </c>
      <c r="H404" s="3" t="str">
        <f t="array" ref="H404">IF(I404="","",IFERROR(_xlfn.XLOOKUP(I404,Base_Datos!$D$2:$D3876,Base_Datos!$C$2:$C3876),""))</f>
        <v>Serie Emzoom</v>
      </c>
      <c r="I404" s="3" t="s">
        <v>1203</v>
      </c>
      <c r="J404" s="3" t="str">
        <f>IF(I404="","",IFERROR(VLOOKUP(I404,Base_Datos!$D$2:$E$72,2,0),""))</f>
        <v>(1.5L)</v>
      </c>
      <c r="K404" s="3"/>
      <c r="L404" s="3"/>
      <c r="M404" s="7">
        <v>3</v>
      </c>
      <c r="N404" s="7">
        <v>0</v>
      </c>
    </row>
    <row r="405" spans="1:14" ht="14.25" x14ac:dyDescent="0.2">
      <c r="A405" s="3">
        <v>66245</v>
      </c>
      <c r="B405" s="3" t="s">
        <v>2191</v>
      </c>
      <c r="C405" s="3" t="s">
        <v>16</v>
      </c>
      <c r="D405" s="6" t="s">
        <v>1446</v>
      </c>
      <c r="E405" s="6" t="s">
        <v>1782</v>
      </c>
      <c r="F405" s="3" t="str">
        <f>IFERROR( VLOOKUP(A405,#REF!,2,0),"")</f>
        <v/>
      </c>
      <c r="G405" s="3" t="str">
        <f t="array" ref="G405">_xlfn.XLOOKUP(I405,Base_Datos!D:D,Base_Datos!B:B,"")</f>
        <v>GAC</v>
      </c>
      <c r="H405" s="3" t="str">
        <f t="array" ref="H405">IF(I405="","",IFERROR(_xlfn.XLOOKUP(I405,Base_Datos!$D$2:$D3876,Base_Datos!$C$2:$C3876),""))</f>
        <v>Serie Emzoom</v>
      </c>
      <c r="I405" s="3" t="s">
        <v>1203</v>
      </c>
      <c r="J405" s="3" t="str">
        <f>IF(I405="","",IFERROR(VLOOKUP(I405,Base_Datos!$D$2:$E$72,2,0),""))</f>
        <v>(1.5L)</v>
      </c>
      <c r="K405" s="3"/>
      <c r="L405" s="3"/>
      <c r="M405" s="7">
        <v>3</v>
      </c>
      <c r="N405" s="7">
        <v>0</v>
      </c>
    </row>
    <row r="406" spans="1:14" ht="14.25" x14ac:dyDescent="0.2">
      <c r="A406" s="3">
        <v>66246</v>
      </c>
      <c r="B406" s="3" t="s">
        <v>2192</v>
      </c>
      <c r="C406" s="3" t="s">
        <v>16</v>
      </c>
      <c r="D406" s="6" t="s">
        <v>1447</v>
      </c>
      <c r="E406" s="6" t="s">
        <v>1782</v>
      </c>
      <c r="F406" s="3" t="str">
        <f>IFERROR( VLOOKUP(A406,#REF!,2,0),"")</f>
        <v/>
      </c>
      <c r="G406" s="3" t="str">
        <f t="array" ref="G406">_xlfn.XLOOKUP(I406,Base_Datos!D:D,Base_Datos!B:B,"")</f>
        <v>GAC</v>
      </c>
      <c r="H406" s="3" t="str">
        <f t="array" ref="H406">IF(I406="","",IFERROR(_xlfn.XLOOKUP(I406,Base_Datos!$D$2:$D3876,Base_Datos!$C$2:$C3876),""))</f>
        <v>Serie Emzoom</v>
      </c>
      <c r="I406" s="3" t="s">
        <v>1203</v>
      </c>
      <c r="J406" s="3" t="str">
        <f>IF(I406="","",IFERROR(VLOOKUP(I406,Base_Datos!$D$2:$E$72,2,0),""))</f>
        <v>(1.5L)</v>
      </c>
      <c r="K406" s="3"/>
      <c r="L406" s="3"/>
      <c r="M406" s="7">
        <v>2</v>
      </c>
      <c r="N406" s="7">
        <v>0</v>
      </c>
    </row>
    <row r="407" spans="1:14" ht="14.25" x14ac:dyDescent="0.2">
      <c r="A407" s="3">
        <v>66247</v>
      </c>
      <c r="B407" s="3" t="s">
        <v>2193</v>
      </c>
      <c r="C407" s="3" t="s">
        <v>16</v>
      </c>
      <c r="D407" s="6" t="s">
        <v>1448</v>
      </c>
      <c r="E407" s="6" t="s">
        <v>1782</v>
      </c>
      <c r="F407" s="3" t="str">
        <f>IFERROR( VLOOKUP(A407,#REF!,2,0),"")</f>
        <v/>
      </c>
      <c r="G407" s="3" t="str">
        <f t="array" ref="G407">_xlfn.XLOOKUP(I407,Base_Datos!D:D,Base_Datos!B:B,"")</f>
        <v>GAC</v>
      </c>
      <c r="H407" s="3" t="str">
        <f t="array" ref="H407">IF(I407="","",IFERROR(_xlfn.XLOOKUP(I407,Base_Datos!$D$2:$D3876,Base_Datos!$C$2:$C3876),""))</f>
        <v>Serie Emzoom</v>
      </c>
      <c r="I407" s="3" t="s">
        <v>1203</v>
      </c>
      <c r="J407" s="3" t="str">
        <f>IF(I407="","",IFERROR(VLOOKUP(I407,Base_Datos!$D$2:$E$72,2,0),""))</f>
        <v>(1.5L)</v>
      </c>
      <c r="K407" s="3"/>
      <c r="L407" s="3"/>
      <c r="M407" s="7">
        <v>2</v>
      </c>
      <c r="N407" s="7">
        <v>0</v>
      </c>
    </row>
    <row r="408" spans="1:14" ht="14.25" x14ac:dyDescent="0.2">
      <c r="A408" s="3">
        <v>66248</v>
      </c>
      <c r="B408" s="3" t="s">
        <v>2194</v>
      </c>
      <c r="C408" s="3" t="s">
        <v>16</v>
      </c>
      <c r="D408" s="6" t="s">
        <v>1449</v>
      </c>
      <c r="E408" s="6" t="s">
        <v>1782</v>
      </c>
      <c r="F408" s="3" t="str">
        <f>IFERROR( VLOOKUP(A408,#REF!,2,0),"")</f>
        <v/>
      </c>
      <c r="G408" s="3" t="str">
        <f t="array" ref="G408">_xlfn.XLOOKUP(I408,Base_Datos!D:D,Base_Datos!B:B,"")</f>
        <v>GAC</v>
      </c>
      <c r="H408" s="3" t="str">
        <f t="array" ref="H408">IF(I408="","",IFERROR(_xlfn.XLOOKUP(I408,Base_Datos!$D$2:$D3876,Base_Datos!$C$2:$C3876),""))</f>
        <v>Serie Emzoom</v>
      </c>
      <c r="I408" s="3" t="s">
        <v>1203</v>
      </c>
      <c r="J408" s="3" t="str">
        <f>IF(I408="","",IFERROR(VLOOKUP(I408,Base_Datos!$D$2:$E$72,2,0),""))</f>
        <v>(1.5L)</v>
      </c>
      <c r="K408" s="3"/>
      <c r="L408" s="3"/>
      <c r="M408" s="7">
        <v>2</v>
      </c>
      <c r="N408" s="7">
        <v>0</v>
      </c>
    </row>
    <row r="409" spans="1:14" ht="14.25" x14ac:dyDescent="0.2">
      <c r="A409" s="3">
        <v>66249</v>
      </c>
      <c r="B409" s="3" t="s">
        <v>2195</v>
      </c>
      <c r="C409" s="3" t="s">
        <v>16</v>
      </c>
      <c r="D409" s="6" t="s">
        <v>1450</v>
      </c>
      <c r="E409" s="6" t="s">
        <v>1782</v>
      </c>
      <c r="F409" s="3" t="str">
        <f>IFERROR( VLOOKUP(A409,#REF!,2,0),"")</f>
        <v/>
      </c>
      <c r="G409" s="3" t="str">
        <f t="array" ref="G409">_xlfn.XLOOKUP(I409,Base_Datos!D:D,Base_Datos!B:B,"")</f>
        <v>GAC</v>
      </c>
      <c r="H409" s="3" t="str">
        <f t="array" ref="H409">IF(I409="","",IFERROR(_xlfn.XLOOKUP(I409,Base_Datos!$D$2:$D3876,Base_Datos!$C$2:$C3876),""))</f>
        <v>Serie Emzoom</v>
      </c>
      <c r="I409" s="3" t="s">
        <v>1203</v>
      </c>
      <c r="J409" s="3" t="str">
        <f>IF(I409="","",IFERROR(VLOOKUP(I409,Base_Datos!$D$2:$E$72,2,0),""))</f>
        <v>(1.5L)</v>
      </c>
      <c r="K409" s="3"/>
      <c r="L409" s="3"/>
      <c r="M409" s="7">
        <v>2</v>
      </c>
      <c r="N409" s="7">
        <v>0</v>
      </c>
    </row>
    <row r="410" spans="1:14" ht="14.25" x14ac:dyDescent="0.2">
      <c r="A410" s="3">
        <v>66250</v>
      </c>
      <c r="B410" s="3" t="s">
        <v>2196</v>
      </c>
      <c r="C410" s="3" t="s">
        <v>16</v>
      </c>
      <c r="D410" s="6" t="s">
        <v>1451</v>
      </c>
      <c r="E410" s="6" t="s">
        <v>1451</v>
      </c>
      <c r="F410" s="3" t="str">
        <f>IFERROR( VLOOKUP(A410,#REF!,2,0),"")</f>
        <v/>
      </c>
      <c r="G410" s="3" t="str">
        <f t="array" ref="G410">_xlfn.XLOOKUP(I410,Base_Datos!D:D,Base_Datos!B:B,"")</f>
        <v>GAC</v>
      </c>
      <c r="H410" s="3" t="str">
        <f t="array" ref="H410">IF(I410="","",IFERROR(_xlfn.XLOOKUP(I410,Base_Datos!$D$2:$D3876,Base_Datos!$C$2:$C3876),""))</f>
        <v>Serie Emzoom</v>
      </c>
      <c r="I410" s="3" t="s">
        <v>1203</v>
      </c>
      <c r="J410" s="3" t="str">
        <f>IF(I410="","",IFERROR(VLOOKUP(I410,Base_Datos!$D$2:$E$72,2,0),""))</f>
        <v>(1.5L)</v>
      </c>
      <c r="K410" s="3"/>
      <c r="L410" s="3"/>
      <c r="M410" s="7">
        <v>2</v>
      </c>
      <c r="N410" s="7">
        <v>0</v>
      </c>
    </row>
    <row r="411" spans="1:14" ht="14.25" x14ac:dyDescent="0.2">
      <c r="A411" s="3">
        <v>66251</v>
      </c>
      <c r="B411" s="3" t="s">
        <v>2197</v>
      </c>
      <c r="C411" s="3" t="s">
        <v>16</v>
      </c>
      <c r="D411" s="6" t="s">
        <v>1452</v>
      </c>
      <c r="E411" s="6" t="s">
        <v>1782</v>
      </c>
      <c r="F411" s="3" t="str">
        <f>IFERROR( VLOOKUP(A411,#REF!,2,0),"")</f>
        <v/>
      </c>
      <c r="G411" s="3" t="str">
        <f t="array" ref="G411">_xlfn.XLOOKUP(I411,Base_Datos!D:D,Base_Datos!B:B,"")</f>
        <v>GAC</v>
      </c>
      <c r="H411" s="3" t="str">
        <f t="array" ref="H411">IF(I411="","",IFERROR(_xlfn.XLOOKUP(I411,Base_Datos!$D$2:$D3876,Base_Datos!$C$2:$C3876),""))</f>
        <v>Serie Emzoom</v>
      </c>
      <c r="I411" s="3" t="s">
        <v>1203</v>
      </c>
      <c r="J411" s="3" t="str">
        <f>IF(I411="","",IFERROR(VLOOKUP(I411,Base_Datos!$D$2:$E$72,2,0),""))</f>
        <v>(1.5L)</v>
      </c>
      <c r="K411" s="3"/>
      <c r="L411" s="3"/>
      <c r="M411" s="7">
        <v>4</v>
      </c>
      <c r="N411" s="7">
        <v>0</v>
      </c>
    </row>
    <row r="412" spans="1:14" ht="14.25" x14ac:dyDescent="0.2">
      <c r="A412" s="3">
        <v>66252</v>
      </c>
      <c r="B412" s="3" t="s">
        <v>2198</v>
      </c>
      <c r="C412" s="3" t="s">
        <v>16</v>
      </c>
      <c r="D412" s="6" t="s">
        <v>1453</v>
      </c>
      <c r="E412" s="6" t="s">
        <v>1782</v>
      </c>
      <c r="F412" s="3" t="str">
        <f>IFERROR( VLOOKUP(A412,#REF!,2,0),"")</f>
        <v/>
      </c>
      <c r="G412" s="3" t="str">
        <f t="array" ref="G412">_xlfn.XLOOKUP(I412,Base_Datos!D:D,Base_Datos!B:B,"")</f>
        <v>GAC</v>
      </c>
      <c r="H412" s="3" t="str">
        <f t="array" ref="H412">IF(I412="","",IFERROR(_xlfn.XLOOKUP(I412,Base_Datos!$D$2:$D3876,Base_Datos!$C$2:$C3876),""))</f>
        <v>Serie Emzoom</v>
      </c>
      <c r="I412" s="3" t="s">
        <v>1203</v>
      </c>
      <c r="J412" s="3" t="str">
        <f>IF(I412="","",IFERROR(VLOOKUP(I412,Base_Datos!$D$2:$E$72,2,0),""))</f>
        <v>(1.5L)</v>
      </c>
      <c r="K412" s="3"/>
      <c r="L412" s="3"/>
      <c r="M412" s="7">
        <v>5</v>
      </c>
      <c r="N412" s="7">
        <v>0</v>
      </c>
    </row>
    <row r="413" spans="1:14" ht="14.25" x14ac:dyDescent="0.2">
      <c r="A413" s="3">
        <v>66253</v>
      </c>
      <c r="B413" s="3" t="s">
        <v>2199</v>
      </c>
      <c r="C413" s="3" t="s">
        <v>16</v>
      </c>
      <c r="D413" s="6" t="s">
        <v>1454</v>
      </c>
      <c r="E413" s="6" t="s">
        <v>1782</v>
      </c>
      <c r="F413" s="3" t="str">
        <f>IFERROR( VLOOKUP(A413,#REF!,2,0),"")</f>
        <v/>
      </c>
      <c r="G413" s="3" t="str">
        <f t="array" ref="G413">_xlfn.XLOOKUP(I413,Base_Datos!D:D,Base_Datos!B:B,"")</f>
        <v>GAC</v>
      </c>
      <c r="H413" s="3" t="str">
        <f t="array" ref="H413">IF(I413="","",IFERROR(_xlfn.XLOOKUP(I413,Base_Datos!$D$2:$D3876,Base_Datos!$C$2:$C3876),""))</f>
        <v>Serie Emzoom</v>
      </c>
      <c r="I413" s="3" t="s">
        <v>1203</v>
      </c>
      <c r="J413" s="3" t="str">
        <f>IF(I413="","",IFERROR(VLOOKUP(I413,Base_Datos!$D$2:$E$72,2,0),""))</f>
        <v>(1.5L)</v>
      </c>
      <c r="K413" s="3"/>
      <c r="L413" s="3"/>
      <c r="M413" s="7">
        <v>1</v>
      </c>
      <c r="N413" s="7">
        <v>0</v>
      </c>
    </row>
    <row r="414" spans="1:14" ht="14.25" x14ac:dyDescent="0.2">
      <c r="A414" s="3">
        <v>66254</v>
      </c>
      <c r="B414" s="3" t="s">
        <v>2200</v>
      </c>
      <c r="C414" s="3" t="s">
        <v>16</v>
      </c>
      <c r="D414" s="6" t="s">
        <v>1455</v>
      </c>
      <c r="E414" s="6" t="s">
        <v>1782</v>
      </c>
      <c r="F414" s="3" t="str">
        <f>IFERROR( VLOOKUP(A414,#REF!,2,0),"")</f>
        <v/>
      </c>
      <c r="G414" s="3" t="str">
        <f t="array" ref="G414">_xlfn.XLOOKUP(I414,Base_Datos!D:D,Base_Datos!B:B,"")</f>
        <v>GAC</v>
      </c>
      <c r="H414" s="3" t="str">
        <f t="array" ref="H414">IF(I414="","",IFERROR(_xlfn.XLOOKUP(I414,Base_Datos!$D$2:$D3876,Base_Datos!$C$2:$C3876),""))</f>
        <v>Serie Emzoom</v>
      </c>
      <c r="I414" s="3" t="s">
        <v>1203</v>
      </c>
      <c r="J414" s="3" t="str">
        <f>IF(I414="","",IFERROR(VLOOKUP(I414,Base_Datos!$D$2:$E$72,2,0),""))</f>
        <v>(1.5L)</v>
      </c>
      <c r="K414" s="3"/>
      <c r="L414" s="3"/>
      <c r="M414" s="7">
        <v>2</v>
      </c>
      <c r="N414" s="7">
        <v>0</v>
      </c>
    </row>
    <row r="415" spans="1:14" ht="14.25" x14ac:dyDescent="0.2">
      <c r="A415" s="3">
        <v>66255</v>
      </c>
      <c r="B415" s="3" t="s">
        <v>2201</v>
      </c>
      <c r="C415" s="3" t="s">
        <v>16</v>
      </c>
      <c r="D415" s="6" t="s">
        <v>1456</v>
      </c>
      <c r="E415" s="6" t="s">
        <v>1782</v>
      </c>
      <c r="F415" s="3" t="str">
        <f>IFERROR( VLOOKUP(A415,#REF!,2,0),"")</f>
        <v/>
      </c>
      <c r="G415" s="3" t="str">
        <f t="array" ref="G415">_xlfn.XLOOKUP(I415,Base_Datos!D:D,Base_Datos!B:B,"")</f>
        <v>GAC</v>
      </c>
      <c r="H415" s="3" t="str">
        <f t="array" ref="H415">IF(I415="","",IFERROR(_xlfn.XLOOKUP(I415,Base_Datos!$D$2:$D3876,Base_Datos!$C$2:$C3876),""))</f>
        <v>Serie Emzoom</v>
      </c>
      <c r="I415" s="3" t="s">
        <v>1203</v>
      </c>
      <c r="J415" s="3" t="str">
        <f>IF(I415="","",IFERROR(VLOOKUP(I415,Base_Datos!$D$2:$E$72,2,0),""))</f>
        <v>(1.5L)</v>
      </c>
      <c r="K415" s="3"/>
      <c r="L415" s="3"/>
      <c r="M415" s="7">
        <v>0</v>
      </c>
      <c r="N415" s="7">
        <v>0</v>
      </c>
    </row>
    <row r="416" spans="1:14" ht="14.25" x14ac:dyDescent="0.2">
      <c r="A416" s="3">
        <v>66256</v>
      </c>
      <c r="B416" s="3" t="s">
        <v>2202</v>
      </c>
      <c r="C416" s="3" t="s">
        <v>16</v>
      </c>
      <c r="D416" s="6" t="s">
        <v>1457</v>
      </c>
      <c r="E416" s="6" t="s">
        <v>1782</v>
      </c>
      <c r="F416" s="3" t="str">
        <f>IFERROR( VLOOKUP(A416,#REF!,2,0),"")</f>
        <v/>
      </c>
      <c r="G416" s="3" t="str">
        <f t="array" ref="G416">_xlfn.XLOOKUP(I416,Base_Datos!D:D,Base_Datos!B:B,"")</f>
        <v>GAC</v>
      </c>
      <c r="H416" s="3" t="str">
        <f t="array" ref="H416">IF(I416="","",IFERROR(_xlfn.XLOOKUP(I416,Base_Datos!$D$2:$D3876,Base_Datos!$C$2:$C3876),""))</f>
        <v>Serie Emzoom</v>
      </c>
      <c r="I416" s="3" t="s">
        <v>1203</v>
      </c>
      <c r="J416" s="3" t="str">
        <f>IF(I416="","",IFERROR(VLOOKUP(I416,Base_Datos!$D$2:$E$72,2,0),""))</f>
        <v>(1.5L)</v>
      </c>
      <c r="K416" s="3"/>
      <c r="L416" s="3"/>
      <c r="M416" s="7">
        <v>1</v>
      </c>
      <c r="N416" s="7">
        <v>0</v>
      </c>
    </row>
    <row r="417" spans="1:14" ht="14.25" x14ac:dyDescent="0.2">
      <c r="A417" s="3">
        <v>66257</v>
      </c>
      <c r="B417" s="3" t="s">
        <v>2203</v>
      </c>
      <c r="C417" s="3" t="s">
        <v>16</v>
      </c>
      <c r="D417" s="6" t="s">
        <v>1458</v>
      </c>
      <c r="E417" s="6" t="s">
        <v>1782</v>
      </c>
      <c r="F417" s="3" t="str">
        <f>IFERROR( VLOOKUP(A417,#REF!,2,0),"")</f>
        <v/>
      </c>
      <c r="G417" s="3" t="str">
        <f t="array" ref="G417">_xlfn.XLOOKUP(I417,Base_Datos!D:D,Base_Datos!B:B,"")</f>
        <v>GAC</v>
      </c>
      <c r="H417" s="3" t="str">
        <f t="array" ref="H417">IF(I417="","",IFERROR(_xlfn.XLOOKUP(I417,Base_Datos!$D$2:$D3876,Base_Datos!$C$2:$C3876),""))</f>
        <v>Serie Emzoom</v>
      </c>
      <c r="I417" s="3" t="s">
        <v>1203</v>
      </c>
      <c r="J417" s="3" t="str">
        <f>IF(I417="","",IFERROR(VLOOKUP(I417,Base_Datos!$D$2:$E$72,2,0),""))</f>
        <v>(1.5L)</v>
      </c>
      <c r="K417" s="3"/>
      <c r="L417" s="3"/>
      <c r="M417" s="7">
        <v>2</v>
      </c>
      <c r="N417" s="7">
        <v>0</v>
      </c>
    </row>
    <row r="418" spans="1:14" ht="14.25" x14ac:dyDescent="0.2">
      <c r="A418" s="3">
        <v>66258</v>
      </c>
      <c r="B418" s="3" t="s">
        <v>2204</v>
      </c>
      <c r="C418" s="3" t="s">
        <v>16</v>
      </c>
      <c r="D418" s="6" t="s">
        <v>1459</v>
      </c>
      <c r="E418" s="6" t="s">
        <v>1782</v>
      </c>
      <c r="F418" s="3" t="str">
        <f>IFERROR( VLOOKUP(A418,#REF!,2,0),"")</f>
        <v/>
      </c>
      <c r="G418" s="3" t="str">
        <f t="array" ref="G418">_xlfn.XLOOKUP(I418,Base_Datos!D:D,Base_Datos!B:B,"")</f>
        <v>GAC</v>
      </c>
      <c r="H418" s="3" t="str">
        <f t="array" ref="H418">IF(I418="","",IFERROR(_xlfn.XLOOKUP(I418,Base_Datos!$D$2:$D3876,Base_Datos!$C$2:$C3876),""))</f>
        <v>Serie Emzoom</v>
      </c>
      <c r="I418" s="3" t="s">
        <v>1203</v>
      </c>
      <c r="J418" s="3" t="str">
        <f>IF(I418="","",IFERROR(VLOOKUP(I418,Base_Datos!$D$2:$E$72,2,0),""))</f>
        <v>(1.5L)</v>
      </c>
      <c r="K418" s="3"/>
      <c r="L418" s="3"/>
      <c r="M418" s="7">
        <v>2</v>
      </c>
      <c r="N418" s="7">
        <v>0</v>
      </c>
    </row>
    <row r="419" spans="1:14" ht="14.25" x14ac:dyDescent="0.2">
      <c r="A419" s="3">
        <v>66259</v>
      </c>
      <c r="B419" s="3" t="s">
        <v>2205</v>
      </c>
      <c r="C419" s="3" t="s">
        <v>16</v>
      </c>
      <c r="D419" s="6" t="s">
        <v>1460</v>
      </c>
      <c r="E419" s="6" t="s">
        <v>1782</v>
      </c>
      <c r="F419" s="3" t="str">
        <f>IFERROR( VLOOKUP(A419,#REF!,2,0),"")</f>
        <v/>
      </c>
      <c r="G419" s="3" t="str">
        <f t="array" ref="G419">_xlfn.XLOOKUP(I419,Base_Datos!D:D,Base_Datos!B:B,"")</f>
        <v>GAC</v>
      </c>
      <c r="H419" s="3" t="str">
        <f t="array" ref="H419">IF(I419="","",IFERROR(_xlfn.XLOOKUP(I419,Base_Datos!$D$2:$D3876,Base_Datos!$C$2:$C3876),""))</f>
        <v>Serie Emzoom</v>
      </c>
      <c r="I419" s="3" t="s">
        <v>1203</v>
      </c>
      <c r="J419" s="3" t="str">
        <f>IF(I419="","",IFERROR(VLOOKUP(I419,Base_Datos!$D$2:$E$72,2,0),""))</f>
        <v>(1.5L)</v>
      </c>
      <c r="K419" s="3"/>
      <c r="L419" s="3"/>
      <c r="M419" s="7">
        <v>0</v>
      </c>
      <c r="N419" s="7">
        <v>0</v>
      </c>
    </row>
    <row r="420" spans="1:14" ht="14.25" x14ac:dyDescent="0.2">
      <c r="A420" s="3">
        <v>66260</v>
      </c>
      <c r="B420" s="3" t="s">
        <v>2206</v>
      </c>
      <c r="C420" s="3" t="s">
        <v>16</v>
      </c>
      <c r="D420" s="6" t="s">
        <v>1461</v>
      </c>
      <c r="E420" s="6" t="s">
        <v>1782</v>
      </c>
      <c r="F420" s="3" t="str">
        <f>IFERROR( VLOOKUP(A420,#REF!,2,0),"")</f>
        <v/>
      </c>
      <c r="G420" s="3" t="str">
        <f t="array" ref="G420">_xlfn.XLOOKUP(I420,Base_Datos!D:D,Base_Datos!B:B,"")</f>
        <v>GAC</v>
      </c>
      <c r="H420" s="3" t="str">
        <f t="array" ref="H420">IF(I420="","",IFERROR(_xlfn.XLOOKUP(I420,Base_Datos!$D$2:$D3876,Base_Datos!$C$2:$C3876),""))</f>
        <v>Serie Emzoom</v>
      </c>
      <c r="I420" s="3" t="s">
        <v>1203</v>
      </c>
      <c r="J420" s="3" t="str">
        <f>IF(I420="","",IFERROR(VLOOKUP(I420,Base_Datos!$D$2:$E$72,2,0),""))</f>
        <v>(1.5L)</v>
      </c>
      <c r="K420" s="3"/>
      <c r="L420" s="3"/>
      <c r="M420" s="7">
        <v>1</v>
      </c>
      <c r="N420" s="7">
        <v>0</v>
      </c>
    </row>
    <row r="421" spans="1:14" ht="14.25" x14ac:dyDescent="0.2">
      <c r="A421" s="3">
        <v>66261</v>
      </c>
      <c r="B421" s="3" t="s">
        <v>2207</v>
      </c>
      <c r="C421" s="3" t="s">
        <v>16</v>
      </c>
      <c r="D421" s="6" t="s">
        <v>1462</v>
      </c>
      <c r="E421" s="6" t="s">
        <v>1782</v>
      </c>
      <c r="F421" s="3" t="str">
        <f>IFERROR( VLOOKUP(A421,#REF!,2,0),"")</f>
        <v/>
      </c>
      <c r="G421" s="3" t="str">
        <f t="array" ref="G421">_xlfn.XLOOKUP(I421,Base_Datos!D:D,Base_Datos!B:B,"")</f>
        <v>GAC</v>
      </c>
      <c r="H421" s="3" t="str">
        <f t="array" ref="H421">IF(I421="","",IFERROR(_xlfn.XLOOKUP(I421,Base_Datos!$D$2:$D3876,Base_Datos!$C$2:$C3876),""))</f>
        <v>Serie Emzoom</v>
      </c>
      <c r="I421" s="3" t="s">
        <v>1203</v>
      </c>
      <c r="J421" s="3" t="str">
        <f>IF(I421="","",IFERROR(VLOOKUP(I421,Base_Datos!$D$2:$E$72,2,0),""))</f>
        <v>(1.5L)</v>
      </c>
      <c r="K421" s="3"/>
      <c r="L421" s="3"/>
      <c r="M421" s="7">
        <v>1</v>
      </c>
      <c r="N421" s="7">
        <v>0</v>
      </c>
    </row>
    <row r="422" spans="1:14" ht="14.25" x14ac:dyDescent="0.2">
      <c r="A422" s="3">
        <v>66262</v>
      </c>
      <c r="B422" s="3" t="s">
        <v>2208</v>
      </c>
      <c r="C422" s="3" t="s">
        <v>16</v>
      </c>
      <c r="D422" s="6" t="s">
        <v>1463</v>
      </c>
      <c r="E422" s="6" t="s">
        <v>1782</v>
      </c>
      <c r="F422" s="3" t="str">
        <f>IFERROR( VLOOKUP(A422,#REF!,2,0),"")</f>
        <v/>
      </c>
      <c r="G422" s="3" t="str">
        <f t="array" ref="G422">_xlfn.XLOOKUP(I422,Base_Datos!D:D,Base_Datos!B:B,"")</f>
        <v>GAC</v>
      </c>
      <c r="H422" s="3" t="str">
        <f t="array" ref="H422">IF(I422="","",IFERROR(_xlfn.XLOOKUP(I422,Base_Datos!$D$2:$D3876,Base_Datos!$C$2:$C3876),""))</f>
        <v>Serie Emzoom</v>
      </c>
      <c r="I422" s="3" t="s">
        <v>1203</v>
      </c>
      <c r="J422" s="3" t="str">
        <f>IF(I422="","",IFERROR(VLOOKUP(I422,Base_Datos!$D$2:$E$72,2,0),""))</f>
        <v>(1.5L)</v>
      </c>
      <c r="K422" s="3"/>
      <c r="L422" s="3"/>
      <c r="M422" s="7">
        <v>2</v>
      </c>
      <c r="N422" s="7">
        <v>0</v>
      </c>
    </row>
    <row r="423" spans="1:14" ht="14.25" x14ac:dyDescent="0.2">
      <c r="A423" s="3">
        <v>66263</v>
      </c>
      <c r="B423" s="3" t="s">
        <v>2209</v>
      </c>
      <c r="C423" s="3" t="s">
        <v>16</v>
      </c>
      <c r="D423" s="6" t="s">
        <v>1464</v>
      </c>
      <c r="E423" s="6" t="s">
        <v>1782</v>
      </c>
      <c r="F423" s="3" t="str">
        <f>IFERROR( VLOOKUP(A423,#REF!,2,0),"")</f>
        <v/>
      </c>
      <c r="G423" s="3" t="str">
        <f t="array" ref="G423">_xlfn.XLOOKUP(I423,Base_Datos!D:D,Base_Datos!B:B,"")</f>
        <v>GAC</v>
      </c>
      <c r="H423" s="3" t="str">
        <f t="array" ref="H423">IF(I423="","",IFERROR(_xlfn.XLOOKUP(I423,Base_Datos!$D$2:$D3876,Base_Datos!$C$2:$C3876),""))</f>
        <v>Serie Emzoom</v>
      </c>
      <c r="I423" s="3" t="s">
        <v>1203</v>
      </c>
      <c r="J423" s="3" t="str">
        <f>IF(I423="","",IFERROR(VLOOKUP(I423,Base_Datos!$D$2:$E$72,2,0),""))</f>
        <v>(1.5L)</v>
      </c>
      <c r="K423" s="3"/>
      <c r="L423" s="3"/>
      <c r="M423" s="7">
        <v>1</v>
      </c>
      <c r="N423" s="7">
        <v>0</v>
      </c>
    </row>
    <row r="424" spans="1:14" ht="14.25" x14ac:dyDescent="0.2">
      <c r="A424" s="3">
        <v>66264</v>
      </c>
      <c r="B424" s="3" t="s">
        <v>2210</v>
      </c>
      <c r="C424" s="3" t="s">
        <v>16</v>
      </c>
      <c r="D424" s="6" t="s">
        <v>1465</v>
      </c>
      <c r="E424" s="6" t="s">
        <v>1782</v>
      </c>
      <c r="F424" s="3" t="str">
        <f>IFERROR( VLOOKUP(A424,#REF!,2,0),"")</f>
        <v/>
      </c>
      <c r="G424" s="3" t="str">
        <f t="array" ref="G424">_xlfn.XLOOKUP(I424,Base_Datos!D:D,Base_Datos!B:B,"")</f>
        <v>GAC</v>
      </c>
      <c r="H424" s="3" t="str">
        <f t="array" ref="H424">IF(I424="","",IFERROR(_xlfn.XLOOKUP(I424,Base_Datos!$D$2:$D3876,Base_Datos!$C$2:$C3876),""))</f>
        <v>Serie Emzoom</v>
      </c>
      <c r="I424" s="3" t="s">
        <v>1203</v>
      </c>
      <c r="J424" s="3" t="str">
        <f>IF(I424="","",IFERROR(VLOOKUP(I424,Base_Datos!$D$2:$E$72,2,0),""))</f>
        <v>(1.5L)</v>
      </c>
      <c r="K424" s="3"/>
      <c r="L424" s="3"/>
      <c r="M424" s="7">
        <v>1</v>
      </c>
      <c r="N424" s="7">
        <v>0</v>
      </c>
    </row>
    <row r="425" spans="1:14" ht="14.25" x14ac:dyDescent="0.2">
      <c r="A425" s="3">
        <v>66265</v>
      </c>
      <c r="B425" s="3" t="s">
        <v>2211</v>
      </c>
      <c r="C425" s="3" t="s">
        <v>16</v>
      </c>
      <c r="D425" s="6" t="s">
        <v>1466</v>
      </c>
      <c r="E425" s="6" t="s">
        <v>1782</v>
      </c>
      <c r="F425" s="3" t="str">
        <f>IFERROR( VLOOKUP(A425,#REF!,2,0),"")</f>
        <v/>
      </c>
      <c r="G425" s="3" t="str">
        <f t="array" ref="G425">_xlfn.XLOOKUP(I425,Base_Datos!D:D,Base_Datos!B:B,"")</f>
        <v>GAC</v>
      </c>
      <c r="H425" s="3" t="str">
        <f t="array" ref="H425">IF(I425="","",IFERROR(_xlfn.XLOOKUP(I425,Base_Datos!$D$2:$D3876,Base_Datos!$C$2:$C3876),""))</f>
        <v>Serie Emzoom</v>
      </c>
      <c r="I425" s="3" t="s">
        <v>1203</v>
      </c>
      <c r="J425" s="3" t="str">
        <f>IF(I425="","",IFERROR(VLOOKUP(I425,Base_Datos!$D$2:$E$72,2,0),""))</f>
        <v>(1.5L)</v>
      </c>
      <c r="K425" s="3"/>
      <c r="L425" s="3"/>
      <c r="M425" s="7">
        <v>1</v>
      </c>
      <c r="N425" s="7">
        <v>0</v>
      </c>
    </row>
    <row r="426" spans="1:14" ht="14.25" x14ac:dyDescent="0.2">
      <c r="A426" s="3">
        <v>66266</v>
      </c>
      <c r="B426" s="3" t="s">
        <v>2212</v>
      </c>
      <c r="C426" s="3" t="s">
        <v>16</v>
      </c>
      <c r="D426" s="6" t="s">
        <v>1467</v>
      </c>
      <c r="E426" s="6" t="s">
        <v>1782</v>
      </c>
      <c r="F426" s="3" t="str">
        <f>IFERROR( VLOOKUP(A426,#REF!,2,0),"")</f>
        <v/>
      </c>
      <c r="G426" s="3" t="str">
        <f t="array" ref="G426">_xlfn.XLOOKUP(I426,Base_Datos!D:D,Base_Datos!B:B,"")</f>
        <v>GAC</v>
      </c>
      <c r="H426" s="3" t="str">
        <f t="array" ref="H426">IF(I426="","",IFERROR(_xlfn.XLOOKUP(I426,Base_Datos!$D$2:$D3876,Base_Datos!$C$2:$C3876),""))</f>
        <v>Serie Emzoom</v>
      </c>
      <c r="I426" s="3" t="s">
        <v>1203</v>
      </c>
      <c r="J426" s="3" t="str">
        <f>IF(I426="","",IFERROR(VLOOKUP(I426,Base_Datos!$D$2:$E$72,2,0),""))</f>
        <v>(1.5L)</v>
      </c>
      <c r="K426" s="3"/>
      <c r="L426" s="3"/>
      <c r="M426" s="7">
        <v>2</v>
      </c>
      <c r="N426" s="7">
        <v>0</v>
      </c>
    </row>
    <row r="427" spans="1:14" ht="14.25" x14ac:dyDescent="0.2">
      <c r="A427" s="3">
        <v>66267</v>
      </c>
      <c r="B427" s="3" t="s">
        <v>2213</v>
      </c>
      <c r="C427" s="3" t="s">
        <v>16</v>
      </c>
      <c r="D427" s="6" t="s">
        <v>1468</v>
      </c>
      <c r="E427" s="6" t="s">
        <v>1782</v>
      </c>
      <c r="F427" s="3" t="str">
        <f>IFERROR( VLOOKUP(A427,#REF!,2,0),"")</f>
        <v/>
      </c>
      <c r="G427" s="3" t="str">
        <f t="array" ref="G427">_xlfn.XLOOKUP(I427,Base_Datos!D:D,Base_Datos!B:B,"")</f>
        <v>GAC</v>
      </c>
      <c r="H427" s="3" t="str">
        <f t="array" ref="H427">IF(I427="","",IFERROR(_xlfn.XLOOKUP(I427,Base_Datos!$D$2:$D3876,Base_Datos!$C$2:$C3876),""))</f>
        <v>Serie Emzoom</v>
      </c>
      <c r="I427" s="3" t="s">
        <v>1203</v>
      </c>
      <c r="J427" s="3" t="str">
        <f>IF(I427="","",IFERROR(VLOOKUP(I427,Base_Datos!$D$2:$E$72,2,0),""))</f>
        <v>(1.5L)</v>
      </c>
      <c r="K427" s="3"/>
      <c r="L427" s="3"/>
      <c r="M427" s="7">
        <v>2</v>
      </c>
      <c r="N427" s="7">
        <v>0</v>
      </c>
    </row>
    <row r="428" spans="1:14" ht="14.25" x14ac:dyDescent="0.2">
      <c r="A428" s="3">
        <v>66268</v>
      </c>
      <c r="B428" s="3" t="s">
        <v>2214</v>
      </c>
      <c r="C428" s="3" t="s">
        <v>16</v>
      </c>
      <c r="D428" s="6" t="s">
        <v>1469</v>
      </c>
      <c r="E428" s="6" t="s">
        <v>2215</v>
      </c>
      <c r="F428" s="3" t="str">
        <f>IFERROR( VLOOKUP(A428,#REF!,2,0),"")</f>
        <v/>
      </c>
      <c r="G428" s="3" t="str">
        <f t="array" ref="G428">_xlfn.XLOOKUP(I428,Base_Datos!D:D,Base_Datos!B:B,"")</f>
        <v>GAC</v>
      </c>
      <c r="H428" s="3" t="str">
        <f t="array" ref="H428">IF(I428="","",IFERROR(_xlfn.XLOOKUP(I428,Base_Datos!$D$2:$D3876,Base_Datos!$C$2:$C3876),""))</f>
        <v>Serie Emzoom</v>
      </c>
      <c r="I428" s="3" t="s">
        <v>1203</v>
      </c>
      <c r="J428" s="3" t="str">
        <f>IF(I428="","",IFERROR(VLOOKUP(I428,Base_Datos!$D$2:$E$72,2,0),""))</f>
        <v>(1.5L)</v>
      </c>
      <c r="K428" s="3"/>
      <c r="L428" s="3"/>
      <c r="M428" s="7">
        <v>1</v>
      </c>
      <c r="N428" s="7">
        <v>0</v>
      </c>
    </row>
    <row r="429" spans="1:14" ht="14.25" x14ac:dyDescent="0.2">
      <c r="A429" s="3">
        <v>66269</v>
      </c>
      <c r="B429" s="3" t="s">
        <v>2216</v>
      </c>
      <c r="C429" s="3" t="s">
        <v>16</v>
      </c>
      <c r="D429" s="6" t="s">
        <v>1470</v>
      </c>
      <c r="E429" s="6" t="s">
        <v>1782</v>
      </c>
      <c r="F429" s="3" t="str">
        <f>IFERROR( VLOOKUP(A429,#REF!,2,0),"")</f>
        <v/>
      </c>
      <c r="G429" s="3" t="str">
        <f t="array" ref="G429">_xlfn.XLOOKUP(I429,Base_Datos!D:D,Base_Datos!B:B,"")</f>
        <v>GAC</v>
      </c>
      <c r="H429" s="3" t="str">
        <f t="array" ref="H429">IF(I429="","",IFERROR(_xlfn.XLOOKUP(I429,Base_Datos!$D$2:$D3876,Base_Datos!$C$2:$C3876),""))</f>
        <v>Serie Emzoom</v>
      </c>
      <c r="I429" s="3" t="s">
        <v>1203</v>
      </c>
      <c r="J429" s="3" t="str">
        <f>IF(I429="","",IFERROR(VLOOKUP(I429,Base_Datos!$D$2:$E$72,2,0),""))</f>
        <v>(1.5L)</v>
      </c>
      <c r="K429" s="3"/>
      <c r="L429" s="3"/>
      <c r="M429" s="7">
        <v>1</v>
      </c>
      <c r="N429" s="7">
        <v>0</v>
      </c>
    </row>
    <row r="430" spans="1:14" ht="14.25" x14ac:dyDescent="0.2">
      <c r="A430" s="3">
        <v>66270</v>
      </c>
      <c r="B430" s="3" t="s">
        <v>2217</v>
      </c>
      <c r="C430" s="3" t="s">
        <v>16</v>
      </c>
      <c r="D430" s="6" t="s">
        <v>1471</v>
      </c>
      <c r="E430" s="6" t="s">
        <v>1782</v>
      </c>
      <c r="F430" s="3" t="str">
        <f>IFERROR( VLOOKUP(A430,#REF!,2,0),"")</f>
        <v/>
      </c>
      <c r="G430" s="3" t="str">
        <f t="array" ref="G430">_xlfn.XLOOKUP(I430,Base_Datos!D:D,Base_Datos!B:B,"")</f>
        <v>GAC</v>
      </c>
      <c r="H430" s="3" t="str">
        <f t="array" ref="H430">IF(I430="","",IFERROR(_xlfn.XLOOKUP(I430,Base_Datos!$D$2:$D3876,Base_Datos!$C$2:$C3876),""))</f>
        <v>Serie Emzoom</v>
      </c>
      <c r="I430" s="3" t="s">
        <v>1203</v>
      </c>
      <c r="J430" s="3" t="str">
        <f>IF(I430="","",IFERROR(VLOOKUP(I430,Base_Datos!$D$2:$E$72,2,0),""))</f>
        <v>(1.5L)</v>
      </c>
      <c r="K430" s="3"/>
      <c r="L430" s="3"/>
      <c r="M430" s="7">
        <v>1</v>
      </c>
      <c r="N430" s="7">
        <v>0</v>
      </c>
    </row>
    <row r="431" spans="1:14" ht="14.25" x14ac:dyDescent="0.2">
      <c r="A431" s="3">
        <v>66271</v>
      </c>
      <c r="B431" s="3" t="s">
        <v>2218</v>
      </c>
      <c r="C431" s="3" t="s">
        <v>16</v>
      </c>
      <c r="D431" s="6" t="s">
        <v>1472</v>
      </c>
      <c r="E431" s="6" t="s">
        <v>2215</v>
      </c>
      <c r="F431" s="3" t="str">
        <f>IFERROR( VLOOKUP(A431,#REF!,2,0),"")</f>
        <v/>
      </c>
      <c r="G431" s="3" t="str">
        <f t="array" ref="G431">_xlfn.XLOOKUP(I431,Base_Datos!D:D,Base_Datos!B:B,"")</f>
        <v>GAC</v>
      </c>
      <c r="H431" s="3" t="str">
        <f t="array" ref="H431">IF(I431="","",IFERROR(_xlfn.XLOOKUP(I431,Base_Datos!$D$2:$D3876,Base_Datos!$C$2:$C3876),""))</f>
        <v>Serie Emzoom</v>
      </c>
      <c r="I431" s="3" t="s">
        <v>1203</v>
      </c>
      <c r="J431" s="3" t="str">
        <f>IF(I431="","",IFERROR(VLOOKUP(I431,Base_Datos!$D$2:$E$72,2,0),""))</f>
        <v>(1.5L)</v>
      </c>
      <c r="K431" s="3"/>
      <c r="L431" s="3"/>
      <c r="M431" s="7">
        <v>1</v>
      </c>
      <c r="N431" s="7">
        <v>0</v>
      </c>
    </row>
    <row r="432" spans="1:14" ht="14.25" x14ac:dyDescent="0.2">
      <c r="A432" s="3">
        <v>66272</v>
      </c>
      <c r="B432" s="3" t="s">
        <v>2219</v>
      </c>
      <c r="C432" s="3" t="s">
        <v>16</v>
      </c>
      <c r="D432" s="6" t="s">
        <v>1473</v>
      </c>
      <c r="E432" s="6" t="s">
        <v>2215</v>
      </c>
      <c r="F432" s="3" t="str">
        <f>IFERROR( VLOOKUP(A432,#REF!,2,0),"")</f>
        <v/>
      </c>
      <c r="G432" s="3" t="str">
        <f t="array" ref="G432">_xlfn.XLOOKUP(I432,Base_Datos!D:D,Base_Datos!B:B,"")</f>
        <v>GAC</v>
      </c>
      <c r="H432" s="3" t="str">
        <f t="array" ref="H432">IF(I432="","",IFERROR(_xlfn.XLOOKUP(I432,Base_Datos!$D$2:$D3876,Base_Datos!$C$2:$C3876),""))</f>
        <v>Serie Emzoom</v>
      </c>
      <c r="I432" s="3" t="s">
        <v>1203</v>
      </c>
      <c r="J432" s="3" t="str">
        <f>IF(I432="","",IFERROR(VLOOKUP(I432,Base_Datos!$D$2:$E$72,2,0),""))</f>
        <v>(1.5L)</v>
      </c>
      <c r="K432" s="3"/>
      <c r="L432" s="3"/>
      <c r="M432" s="7">
        <v>0</v>
      </c>
      <c r="N432" s="7">
        <v>0</v>
      </c>
    </row>
    <row r="433" spans="1:14" ht="14.25" x14ac:dyDescent="0.2">
      <c r="A433" s="3">
        <v>66273</v>
      </c>
      <c r="B433" s="3" t="s">
        <v>2219</v>
      </c>
      <c r="C433" s="3" t="s">
        <v>16</v>
      </c>
      <c r="D433" s="6" t="s">
        <v>1474</v>
      </c>
      <c r="E433" s="6" t="s">
        <v>1782</v>
      </c>
      <c r="F433" s="3" t="str">
        <f>IFERROR( VLOOKUP(A433,#REF!,2,0),"")</f>
        <v/>
      </c>
      <c r="G433" s="3" t="str">
        <f t="array" ref="G433">_xlfn.XLOOKUP(I433,Base_Datos!D:D,Base_Datos!B:B,"")</f>
        <v>GAC</v>
      </c>
      <c r="H433" s="3" t="str">
        <f t="array" ref="H433">IF(I433="","",IFERROR(_xlfn.XLOOKUP(I433,Base_Datos!$D$2:$D3876,Base_Datos!$C$2:$C3876),""))</f>
        <v>Serie Emzoom</v>
      </c>
      <c r="I433" s="3" t="s">
        <v>1203</v>
      </c>
      <c r="J433" s="3" t="str">
        <f>IF(I433="","",IFERROR(VLOOKUP(I433,Base_Datos!$D$2:$E$72,2,0),""))</f>
        <v>(1.5L)</v>
      </c>
      <c r="K433" s="3"/>
      <c r="L433" s="3"/>
      <c r="M433" s="7">
        <v>0</v>
      </c>
      <c r="N433" s="7">
        <v>0</v>
      </c>
    </row>
    <row r="434" spans="1:14" ht="14.25" x14ac:dyDescent="0.2">
      <c r="A434" s="3">
        <v>66274</v>
      </c>
      <c r="B434" s="3" t="s">
        <v>2220</v>
      </c>
      <c r="C434" s="3" t="s">
        <v>16</v>
      </c>
      <c r="D434" s="6" t="s">
        <v>1475</v>
      </c>
      <c r="E434" s="6" t="s">
        <v>1782</v>
      </c>
      <c r="F434" s="3" t="str">
        <f>IFERROR( VLOOKUP(A434,#REF!,2,0),"")</f>
        <v/>
      </c>
      <c r="G434" s="3" t="str">
        <f t="array" ref="G434">_xlfn.XLOOKUP(I434,Base_Datos!D:D,Base_Datos!B:B,"")</f>
        <v>GAC</v>
      </c>
      <c r="H434" s="3" t="str">
        <f t="array" ref="H434">IF(I434="","",IFERROR(_xlfn.XLOOKUP(I434,Base_Datos!$D$2:$D3876,Base_Datos!$C$2:$C3876),""))</f>
        <v>Serie Emzoom</v>
      </c>
      <c r="I434" s="3" t="s">
        <v>1203</v>
      </c>
      <c r="J434" s="3" t="str">
        <f>IF(I434="","",IFERROR(VLOOKUP(I434,Base_Datos!$D$2:$E$72,2,0),""))</f>
        <v>(1.5L)</v>
      </c>
      <c r="K434" s="3"/>
      <c r="L434" s="3"/>
      <c r="M434" s="7">
        <v>1</v>
      </c>
      <c r="N434" s="7">
        <v>0</v>
      </c>
    </row>
    <row r="435" spans="1:14" ht="14.25" x14ac:dyDescent="0.2">
      <c r="A435" s="3">
        <v>66275</v>
      </c>
      <c r="B435" s="3" t="s">
        <v>2221</v>
      </c>
      <c r="C435" s="3" t="s">
        <v>16</v>
      </c>
      <c r="D435" s="6" t="s">
        <v>1476</v>
      </c>
      <c r="E435" s="6" t="s">
        <v>1782</v>
      </c>
      <c r="F435" s="3" t="str">
        <f>IFERROR( VLOOKUP(A435,#REF!,2,0),"")</f>
        <v/>
      </c>
      <c r="G435" s="3" t="str">
        <f t="array" ref="G435">_xlfn.XLOOKUP(I435,Base_Datos!D:D,Base_Datos!B:B,"")</f>
        <v>GAC</v>
      </c>
      <c r="H435" s="3" t="str">
        <f t="array" ref="H435">IF(I435="","",IFERROR(_xlfn.XLOOKUP(I435,Base_Datos!$D$2:$D3876,Base_Datos!$C$2:$C3876),""))</f>
        <v>Serie Emzoom</v>
      </c>
      <c r="I435" s="3" t="s">
        <v>1203</v>
      </c>
      <c r="J435" s="3" t="str">
        <f>IF(I435="","",IFERROR(VLOOKUP(I435,Base_Datos!$D$2:$E$72,2,0),""))</f>
        <v>(1.5L)</v>
      </c>
      <c r="K435" s="3"/>
      <c r="L435" s="3"/>
      <c r="M435" s="7">
        <v>2</v>
      </c>
      <c r="N435" s="7">
        <v>0</v>
      </c>
    </row>
    <row r="436" spans="1:14" ht="14.25" x14ac:dyDescent="0.2">
      <c r="A436" s="3">
        <v>66276</v>
      </c>
      <c r="B436" s="3" t="s">
        <v>2222</v>
      </c>
      <c r="C436" s="3" t="s">
        <v>16</v>
      </c>
      <c r="D436" s="6" t="s">
        <v>1477</v>
      </c>
      <c r="E436" s="6" t="s">
        <v>1782</v>
      </c>
      <c r="F436" s="3" t="str">
        <f>IFERROR( VLOOKUP(A436,#REF!,2,0),"")</f>
        <v/>
      </c>
      <c r="G436" s="3" t="str">
        <f t="array" ref="G436">_xlfn.XLOOKUP(I436,Base_Datos!D:D,Base_Datos!B:B,"")</f>
        <v>GAC</v>
      </c>
      <c r="H436" s="3" t="str">
        <f t="array" ref="H436">IF(I436="","",IFERROR(_xlfn.XLOOKUP(I436,Base_Datos!$D$2:$D3876,Base_Datos!$C$2:$C3876),""))</f>
        <v>Serie Emzoom</v>
      </c>
      <c r="I436" s="3" t="s">
        <v>1203</v>
      </c>
      <c r="J436" s="3" t="str">
        <f>IF(I436="","",IFERROR(VLOOKUP(I436,Base_Datos!$D$2:$E$72,2,0),""))</f>
        <v>(1.5L)</v>
      </c>
      <c r="K436" s="3"/>
      <c r="L436" s="3"/>
      <c r="M436" s="7">
        <v>1</v>
      </c>
      <c r="N436" s="7">
        <v>0</v>
      </c>
    </row>
    <row r="437" spans="1:14" ht="14.25" x14ac:dyDescent="0.2">
      <c r="A437" s="3">
        <v>66277</v>
      </c>
      <c r="B437" s="3" t="s">
        <v>2223</v>
      </c>
      <c r="C437" s="3" t="s">
        <v>16</v>
      </c>
      <c r="D437" s="6" t="s">
        <v>1478</v>
      </c>
      <c r="E437" s="6" t="s">
        <v>1782</v>
      </c>
      <c r="F437" s="3" t="str">
        <f>IFERROR( VLOOKUP(A437,#REF!,2,0),"")</f>
        <v/>
      </c>
      <c r="G437" s="3" t="str">
        <f t="array" ref="G437">_xlfn.XLOOKUP(I437,Base_Datos!D:D,Base_Datos!B:B,"")</f>
        <v>GAC</v>
      </c>
      <c r="H437" s="3" t="str">
        <f t="array" ref="H437">IF(I437="","",IFERROR(_xlfn.XLOOKUP(I437,Base_Datos!$D$2:$D3876,Base_Datos!$C$2:$C3876),""))</f>
        <v>Serie Emzoom</v>
      </c>
      <c r="I437" s="3" t="s">
        <v>1203</v>
      </c>
      <c r="J437" s="3" t="str">
        <f>IF(I437="","",IFERROR(VLOOKUP(I437,Base_Datos!$D$2:$E$72,2,0),""))</f>
        <v>(1.5L)</v>
      </c>
      <c r="K437" s="3"/>
      <c r="L437" s="3"/>
      <c r="M437" s="7">
        <v>1</v>
      </c>
      <c r="N437" s="7">
        <v>0</v>
      </c>
    </row>
    <row r="438" spans="1:14" ht="14.25" x14ac:dyDescent="0.2">
      <c r="A438" s="3">
        <v>66278</v>
      </c>
      <c r="B438" s="3" t="s">
        <v>2224</v>
      </c>
      <c r="C438" s="3" t="s">
        <v>16</v>
      </c>
      <c r="D438" s="6" t="s">
        <v>1479</v>
      </c>
      <c r="E438" s="6" t="s">
        <v>1782</v>
      </c>
      <c r="F438" s="3" t="str">
        <f>IFERROR( VLOOKUP(A438,#REF!,2,0),"")</f>
        <v/>
      </c>
      <c r="G438" s="3" t="str">
        <f t="array" ref="G438">_xlfn.XLOOKUP(I438,Base_Datos!D:D,Base_Datos!B:B,"")</f>
        <v>GAC</v>
      </c>
      <c r="H438" s="3" t="str">
        <f t="array" ref="H438">IF(I438="","",IFERROR(_xlfn.XLOOKUP(I438,Base_Datos!$D$2:$D3876,Base_Datos!$C$2:$C3876),""))</f>
        <v>Serie Emzoom</v>
      </c>
      <c r="I438" s="3" t="s">
        <v>1203</v>
      </c>
      <c r="J438" s="3" t="str">
        <f>IF(I438="","",IFERROR(VLOOKUP(I438,Base_Datos!$D$2:$E$72,2,0),""))</f>
        <v>(1.5L)</v>
      </c>
      <c r="K438" s="3"/>
      <c r="L438" s="3"/>
      <c r="M438" s="7">
        <v>2</v>
      </c>
      <c r="N438" s="7">
        <v>0</v>
      </c>
    </row>
    <row r="439" spans="1:14" ht="14.25" x14ac:dyDescent="0.2">
      <c r="A439" s="3">
        <v>66279</v>
      </c>
      <c r="B439" s="3" t="s">
        <v>2225</v>
      </c>
      <c r="C439" s="3" t="s">
        <v>16</v>
      </c>
      <c r="D439" s="6" t="s">
        <v>1480</v>
      </c>
      <c r="E439" s="6" t="s">
        <v>1782</v>
      </c>
      <c r="F439" s="3" t="str">
        <f>IFERROR( VLOOKUP(A439,#REF!,2,0),"")</f>
        <v/>
      </c>
      <c r="G439" s="3" t="str">
        <f t="array" ref="G439">_xlfn.XLOOKUP(I439,Base_Datos!D:D,Base_Datos!B:B,"")</f>
        <v>GAC</v>
      </c>
      <c r="H439" s="3" t="str">
        <f t="array" ref="H439">IF(I439="","",IFERROR(_xlfn.XLOOKUP(I439,Base_Datos!$D$2:$D3876,Base_Datos!$C$2:$C3876),""))</f>
        <v>Serie Emzoom</v>
      </c>
      <c r="I439" s="3" t="s">
        <v>1203</v>
      </c>
      <c r="J439" s="3" t="str">
        <f>IF(I439="","",IFERROR(VLOOKUP(I439,Base_Datos!$D$2:$E$72,2,0),""))</f>
        <v>(1.5L)</v>
      </c>
      <c r="K439" s="3"/>
      <c r="L439" s="3"/>
      <c r="M439" s="7">
        <v>0</v>
      </c>
      <c r="N439" s="7">
        <v>0</v>
      </c>
    </row>
    <row r="440" spans="1:14" ht="14.25" x14ac:dyDescent="0.2">
      <c r="A440" s="3">
        <v>66280</v>
      </c>
      <c r="B440" s="3" t="s">
        <v>2226</v>
      </c>
      <c r="C440" s="3" t="s">
        <v>16</v>
      </c>
      <c r="D440" s="6" t="s">
        <v>1481</v>
      </c>
      <c r="E440" s="6" t="s">
        <v>1782</v>
      </c>
      <c r="F440" s="3" t="str">
        <f>IFERROR( VLOOKUP(A440,#REF!,2,0),"")</f>
        <v/>
      </c>
      <c r="G440" s="3" t="str">
        <f t="array" ref="G440">_xlfn.XLOOKUP(I440,Base_Datos!D:D,Base_Datos!B:B,"")</f>
        <v>GAC</v>
      </c>
      <c r="H440" s="3" t="str">
        <f t="array" ref="H440">IF(I440="","",IFERROR(_xlfn.XLOOKUP(I440,Base_Datos!$D$2:$D3876,Base_Datos!$C$2:$C3876),""))</f>
        <v>Serie Emzoom</v>
      </c>
      <c r="I440" s="3" t="s">
        <v>1203</v>
      </c>
      <c r="J440" s="3" t="str">
        <f>IF(I440="","",IFERROR(VLOOKUP(I440,Base_Datos!$D$2:$E$72,2,0),""))</f>
        <v>(1.5L)</v>
      </c>
      <c r="K440" s="3"/>
      <c r="L440" s="3"/>
      <c r="M440" s="7">
        <v>1</v>
      </c>
      <c r="N440" s="7">
        <v>0</v>
      </c>
    </row>
    <row r="441" spans="1:14" ht="14.25" x14ac:dyDescent="0.2">
      <c r="A441" s="3">
        <v>66281</v>
      </c>
      <c r="B441" s="3" t="s">
        <v>2227</v>
      </c>
      <c r="C441" s="3" t="s">
        <v>16</v>
      </c>
      <c r="D441" s="6" t="s">
        <v>1482</v>
      </c>
      <c r="E441" s="6" t="s">
        <v>1782</v>
      </c>
      <c r="F441" s="3" t="str">
        <f>IFERROR( VLOOKUP(A441,#REF!,2,0),"")</f>
        <v/>
      </c>
      <c r="G441" s="3" t="str">
        <f t="array" ref="G441">_xlfn.XLOOKUP(I441,Base_Datos!D:D,Base_Datos!B:B,"")</f>
        <v>GAC</v>
      </c>
      <c r="H441" s="3" t="str">
        <f t="array" ref="H441">IF(I441="","",IFERROR(_xlfn.XLOOKUP(I441,Base_Datos!$D$2:$D3876,Base_Datos!$C$2:$C3876),""))</f>
        <v>Serie Emzoom</v>
      </c>
      <c r="I441" s="3" t="s">
        <v>1203</v>
      </c>
      <c r="J441" s="3" t="str">
        <f>IF(I441="","",IFERROR(VLOOKUP(I441,Base_Datos!$D$2:$E$72,2,0),""))</f>
        <v>(1.5L)</v>
      </c>
      <c r="K441" s="3"/>
      <c r="L441" s="3"/>
      <c r="M441" s="7">
        <v>1</v>
      </c>
      <c r="N441" s="7">
        <v>0</v>
      </c>
    </row>
    <row r="442" spans="1:14" ht="14.25" x14ac:dyDescent="0.2">
      <c r="A442" s="3">
        <v>66282</v>
      </c>
      <c r="B442" s="3" t="s">
        <v>2228</v>
      </c>
      <c r="C442" s="3" t="s">
        <v>16</v>
      </c>
      <c r="D442" s="6" t="s">
        <v>1483</v>
      </c>
      <c r="E442" s="6" t="s">
        <v>1782</v>
      </c>
      <c r="F442" s="3" t="str">
        <f>IFERROR( VLOOKUP(A442,#REF!,2,0),"")</f>
        <v/>
      </c>
      <c r="G442" s="3" t="str">
        <f t="array" ref="G442">_xlfn.XLOOKUP(I442,Base_Datos!D:D,Base_Datos!B:B,"")</f>
        <v>GAC</v>
      </c>
      <c r="H442" s="3" t="str">
        <f t="array" ref="H442">IF(I442="","",IFERROR(_xlfn.XLOOKUP(I442,Base_Datos!$D$2:$D3876,Base_Datos!$C$2:$C3876),""))</f>
        <v>Serie Emzoom</v>
      </c>
      <c r="I442" s="3" t="s">
        <v>1203</v>
      </c>
      <c r="J442" s="3" t="str">
        <f>IF(I442="","",IFERROR(VLOOKUP(I442,Base_Datos!$D$2:$E$72,2,0),""))</f>
        <v>(1.5L)</v>
      </c>
      <c r="K442" s="3"/>
      <c r="L442" s="3"/>
      <c r="M442" s="7">
        <v>0</v>
      </c>
      <c r="N442" s="7">
        <v>0</v>
      </c>
    </row>
    <row r="443" spans="1:14" ht="14.25" x14ac:dyDescent="0.2">
      <c r="A443" s="3">
        <v>66283</v>
      </c>
      <c r="B443" s="3" t="s">
        <v>2229</v>
      </c>
      <c r="C443" s="3" t="s">
        <v>16</v>
      </c>
      <c r="D443" s="6" t="s">
        <v>1484</v>
      </c>
      <c r="E443" s="6" t="s">
        <v>1782</v>
      </c>
      <c r="F443" s="3" t="str">
        <f>IFERROR( VLOOKUP(A443,#REF!,2,0),"")</f>
        <v/>
      </c>
      <c r="G443" s="3" t="str">
        <f t="array" ref="G443">_xlfn.XLOOKUP(I443,Base_Datos!D:D,Base_Datos!B:B,"")</f>
        <v>GAC</v>
      </c>
      <c r="H443" s="3" t="str">
        <f t="array" ref="H443">IF(I443="","",IFERROR(_xlfn.XLOOKUP(I443,Base_Datos!$D$2:$D3876,Base_Datos!$C$2:$C3876),""))</f>
        <v>Serie Emzoom</v>
      </c>
      <c r="I443" s="3" t="s">
        <v>1203</v>
      </c>
      <c r="J443" s="3" t="str">
        <f>IF(I443="","",IFERROR(VLOOKUP(I443,Base_Datos!$D$2:$E$72,2,0),""))</f>
        <v>(1.5L)</v>
      </c>
      <c r="K443" s="3"/>
      <c r="L443" s="3"/>
      <c r="M443" s="7">
        <v>5</v>
      </c>
      <c r="N443" s="7">
        <v>0</v>
      </c>
    </row>
    <row r="444" spans="1:14" ht="14.25" x14ac:dyDescent="0.2">
      <c r="A444" s="3">
        <v>66284</v>
      </c>
      <c r="B444" s="3" t="s">
        <v>2230</v>
      </c>
      <c r="C444" s="3" t="s">
        <v>16</v>
      </c>
      <c r="D444" s="6" t="s">
        <v>1485</v>
      </c>
      <c r="E444" s="6" t="s">
        <v>1782</v>
      </c>
      <c r="F444" s="3" t="str">
        <f>IFERROR( VLOOKUP(A444,#REF!,2,0),"")</f>
        <v/>
      </c>
      <c r="G444" s="3" t="str">
        <f t="array" ref="G444">_xlfn.XLOOKUP(I444,Base_Datos!D:D,Base_Datos!B:B,"")</f>
        <v>GAC</v>
      </c>
      <c r="H444" s="3" t="str">
        <f t="array" ref="H444">IF(I444="","",IFERROR(_xlfn.XLOOKUP(I444,Base_Datos!$D$2:$D3876,Base_Datos!$C$2:$C3876),""))</f>
        <v>Serie Emzoom</v>
      </c>
      <c r="I444" s="3" t="s">
        <v>1203</v>
      </c>
      <c r="J444" s="3" t="str">
        <f>IF(I444="","",IFERROR(VLOOKUP(I444,Base_Datos!$D$2:$E$72,2,0),""))</f>
        <v>(1.5L)</v>
      </c>
      <c r="K444" s="3"/>
      <c r="L444" s="3"/>
      <c r="M444" s="7">
        <v>100</v>
      </c>
      <c r="N444" s="7">
        <v>0</v>
      </c>
    </row>
    <row r="445" spans="1:14" ht="14.25" x14ac:dyDescent="0.2">
      <c r="A445" s="3">
        <v>66285</v>
      </c>
      <c r="B445" s="3" t="s">
        <v>2231</v>
      </c>
      <c r="C445" s="3" t="s">
        <v>16</v>
      </c>
      <c r="D445" s="6" t="s">
        <v>1486</v>
      </c>
      <c r="E445" s="6" t="s">
        <v>1782</v>
      </c>
      <c r="F445" s="3" t="str">
        <f>IFERROR( VLOOKUP(A445,#REF!,2,0),"")</f>
        <v/>
      </c>
      <c r="G445" s="3" t="str">
        <f t="array" ref="G445">_xlfn.XLOOKUP(I445,Base_Datos!D:D,Base_Datos!B:B,"")</f>
        <v>GAC</v>
      </c>
      <c r="H445" s="3" t="str">
        <f t="array" ref="H445">IF(I445="","",IFERROR(_xlfn.XLOOKUP(I445,Base_Datos!$D$2:$D3876,Base_Datos!$C$2:$C3876),""))</f>
        <v>Serie Emzoom</v>
      </c>
      <c r="I445" s="3" t="s">
        <v>1203</v>
      </c>
      <c r="J445" s="3" t="str">
        <f>IF(I445="","",IFERROR(VLOOKUP(I445,Base_Datos!$D$2:$E$72,2,0),""))</f>
        <v>(1.5L)</v>
      </c>
      <c r="K445" s="3"/>
      <c r="L445" s="3"/>
      <c r="M445" s="7">
        <v>20</v>
      </c>
      <c r="N445" s="7">
        <v>0</v>
      </c>
    </row>
    <row r="446" spans="1:14" ht="14.25" x14ac:dyDescent="0.2">
      <c r="A446" s="3">
        <v>66286</v>
      </c>
      <c r="B446" s="3" t="s">
        <v>2232</v>
      </c>
      <c r="C446" s="3" t="s">
        <v>16</v>
      </c>
      <c r="D446" s="6" t="s">
        <v>1178</v>
      </c>
      <c r="E446" s="6" t="s">
        <v>1178</v>
      </c>
      <c r="F446" s="3" t="str">
        <f>IFERROR( VLOOKUP(A446,#REF!,2,0),"")</f>
        <v/>
      </c>
      <c r="G446" s="3" t="str">
        <f t="array" ref="G446">_xlfn.XLOOKUP(I446,Base_Datos!D:D,Base_Datos!B:B,"")</f>
        <v>GAC</v>
      </c>
      <c r="H446" s="3" t="str">
        <f t="array" ref="H446">IF(I446="","",IFERROR(_xlfn.XLOOKUP(I446,Base_Datos!$D$2:$D3876,Base_Datos!$C$2:$C3876),""))</f>
        <v>Serie Emzoom</v>
      </c>
      <c r="I446" s="3" t="s">
        <v>1203</v>
      </c>
      <c r="J446" s="3" t="str">
        <f>IF(I446="","",IFERROR(VLOOKUP(I446,Base_Datos!$D$2:$E$72,2,0),""))</f>
        <v>(1.5L)</v>
      </c>
      <c r="K446" s="3"/>
      <c r="L446" s="3"/>
      <c r="M446" s="7">
        <v>0</v>
      </c>
      <c r="N446" s="7">
        <v>0</v>
      </c>
    </row>
    <row r="447" spans="1:14" ht="14.25" x14ac:dyDescent="0.2">
      <c r="A447" s="3">
        <v>66287</v>
      </c>
      <c r="B447" s="3" t="s">
        <v>2233</v>
      </c>
      <c r="C447" s="3" t="s">
        <v>16</v>
      </c>
      <c r="D447" s="6" t="s">
        <v>1782</v>
      </c>
      <c r="E447" s="6" t="s">
        <v>1782</v>
      </c>
      <c r="F447" s="3" t="str">
        <f>IFERROR( VLOOKUP(A447,#REF!,2,0),"")</f>
        <v/>
      </c>
      <c r="G447" s="3">
        <f t="array" ref="G447">_xlfn.XLOOKUP(I447,Base_Datos!D:D,Base_Datos!B:B,"")</f>
        <v>0</v>
      </c>
      <c r="H447" s="3" t="str">
        <f t="array" ref="H447">IF(I447="","",IFERROR(_xlfn.XLOOKUP(I447,Base_Datos!$D$2:$D3876,Base_Datos!$C$2:$C3876),""))</f>
        <v/>
      </c>
      <c r="I447" s="3"/>
      <c r="J447" s="3" t="str">
        <f>IF(I447="","",IFERROR(VLOOKUP(I447,Base_Datos!$D$2:$E$72,2,0),""))</f>
        <v/>
      </c>
      <c r="K447" s="3"/>
      <c r="L447" s="3"/>
      <c r="M447" s="7">
        <v>2</v>
      </c>
      <c r="N447" s="7">
        <v>0</v>
      </c>
    </row>
    <row r="448" spans="1:14" ht="14.25" x14ac:dyDescent="0.2">
      <c r="A448" s="3">
        <v>66288</v>
      </c>
      <c r="B448" s="3" t="s">
        <v>2234</v>
      </c>
      <c r="C448" s="3" t="s">
        <v>16</v>
      </c>
      <c r="D448" s="6" t="s">
        <v>1782</v>
      </c>
      <c r="E448" s="6" t="s">
        <v>1782</v>
      </c>
      <c r="F448" s="3" t="str">
        <f>IFERROR( VLOOKUP(A448,#REF!,2,0),"")</f>
        <v/>
      </c>
      <c r="G448" s="3">
        <f t="array" ref="G448">_xlfn.XLOOKUP(I448,Base_Datos!D:D,Base_Datos!B:B,"")</f>
        <v>0</v>
      </c>
      <c r="H448" s="3" t="str">
        <f t="array" ref="H448">IF(I448="","",IFERROR(_xlfn.XLOOKUP(I448,Base_Datos!$D$2:$D3876,Base_Datos!$C$2:$C3876),""))</f>
        <v/>
      </c>
      <c r="I448" s="3"/>
      <c r="J448" s="3" t="str">
        <f>IF(I448="","",IFERROR(VLOOKUP(I448,Base_Datos!$D$2:$E$72,2,0),""))</f>
        <v/>
      </c>
      <c r="K448" s="3"/>
      <c r="L448" s="3"/>
      <c r="M448" s="7">
        <v>2</v>
      </c>
      <c r="N448" s="7">
        <v>0</v>
      </c>
    </row>
    <row r="449" spans="1:14" ht="14.25" x14ac:dyDescent="0.2">
      <c r="A449" s="3">
        <v>66289</v>
      </c>
      <c r="B449" s="3" t="s">
        <v>2235</v>
      </c>
      <c r="C449" s="3" t="s">
        <v>16</v>
      </c>
      <c r="D449" s="6" t="s">
        <v>1782</v>
      </c>
      <c r="E449" s="6" t="s">
        <v>1782</v>
      </c>
      <c r="F449" s="3" t="str">
        <f>IFERROR( VLOOKUP(A449,#REF!,2,0),"")</f>
        <v/>
      </c>
      <c r="G449" s="3">
        <f t="array" ref="G449">_xlfn.XLOOKUP(I449,Base_Datos!D:D,Base_Datos!B:B,"")</f>
        <v>0</v>
      </c>
      <c r="H449" s="3" t="str">
        <f t="array" ref="H449">IF(I449="","",IFERROR(_xlfn.XLOOKUP(I449,Base_Datos!$D$2:$D3876,Base_Datos!$C$2:$C3876),""))</f>
        <v/>
      </c>
      <c r="I449" s="3"/>
      <c r="J449" s="3" t="str">
        <f>IF(I449="","",IFERROR(VLOOKUP(I449,Base_Datos!$D$2:$E$72,2,0),""))</f>
        <v/>
      </c>
      <c r="K449" s="3"/>
      <c r="L449" s="3"/>
      <c r="M449" s="7">
        <v>2</v>
      </c>
      <c r="N449" s="7">
        <v>0</v>
      </c>
    </row>
    <row r="450" spans="1:14" ht="14.25" x14ac:dyDescent="0.2">
      <c r="A450" s="3">
        <v>66290</v>
      </c>
      <c r="B450" s="3" t="s">
        <v>2236</v>
      </c>
      <c r="C450" s="3" t="s">
        <v>16</v>
      </c>
      <c r="D450" s="6" t="s">
        <v>1782</v>
      </c>
      <c r="E450" s="6" t="s">
        <v>1782</v>
      </c>
      <c r="F450" s="3" t="str">
        <f>IFERROR( VLOOKUP(A450,#REF!,2,0),"")</f>
        <v/>
      </c>
      <c r="G450" s="3">
        <f t="array" ref="G450">_xlfn.XLOOKUP(I450,Base_Datos!D:D,Base_Datos!B:B,"")</f>
        <v>0</v>
      </c>
      <c r="H450" s="3" t="str">
        <f t="array" ref="H450">IF(I450="","",IFERROR(_xlfn.XLOOKUP(I450,Base_Datos!$D$2:$D3876,Base_Datos!$C$2:$C3876),""))</f>
        <v/>
      </c>
      <c r="I450" s="3"/>
      <c r="J450" s="3" t="str">
        <f>IF(I450="","",IFERROR(VLOOKUP(I450,Base_Datos!$D$2:$E$72,2,0),""))</f>
        <v/>
      </c>
      <c r="K450" s="3"/>
      <c r="L450" s="3"/>
      <c r="M450" s="7">
        <v>1</v>
      </c>
      <c r="N450" s="7">
        <v>0</v>
      </c>
    </row>
    <row r="451" spans="1:14" ht="14.25" x14ac:dyDescent="0.2">
      <c r="A451" s="3">
        <v>66291</v>
      </c>
      <c r="B451" s="3" t="s">
        <v>2237</v>
      </c>
      <c r="C451" s="3" t="s">
        <v>16</v>
      </c>
      <c r="D451" s="6" t="s">
        <v>1782</v>
      </c>
      <c r="E451" s="6" t="s">
        <v>1782</v>
      </c>
      <c r="F451" s="3" t="str">
        <f>IFERROR( VLOOKUP(A451,#REF!,2,0),"")</f>
        <v/>
      </c>
      <c r="G451" s="3">
        <f t="array" ref="G451">_xlfn.XLOOKUP(I451,Base_Datos!D:D,Base_Datos!B:B,"")</f>
        <v>0</v>
      </c>
      <c r="H451" s="3" t="str">
        <f t="array" ref="H451">IF(I451="","",IFERROR(_xlfn.XLOOKUP(I451,Base_Datos!$D$2:$D3876,Base_Datos!$C$2:$C3876),""))</f>
        <v/>
      </c>
      <c r="I451" s="3"/>
      <c r="J451" s="3" t="str">
        <f>IF(I451="","",IFERROR(VLOOKUP(I451,Base_Datos!$D$2:$E$72,2,0),""))</f>
        <v/>
      </c>
      <c r="K451" s="3"/>
      <c r="L451" s="3"/>
      <c r="M451" s="7">
        <v>1</v>
      </c>
      <c r="N451" s="7">
        <v>0</v>
      </c>
    </row>
    <row r="452" spans="1:14" ht="14.25" x14ac:dyDescent="0.2">
      <c r="A452" s="3">
        <v>66292</v>
      </c>
      <c r="B452" s="3" t="s">
        <v>2238</v>
      </c>
      <c r="C452" s="3" t="s">
        <v>16</v>
      </c>
      <c r="D452" s="6" t="s">
        <v>1782</v>
      </c>
      <c r="E452" s="6" t="s">
        <v>1782</v>
      </c>
      <c r="F452" s="3" t="str">
        <f>IFERROR( VLOOKUP(A452,#REF!,2,0),"")</f>
        <v/>
      </c>
      <c r="G452" s="3">
        <f t="array" ref="G452">_xlfn.XLOOKUP(I452,Base_Datos!D:D,Base_Datos!B:B,"")</f>
        <v>0</v>
      </c>
      <c r="H452" s="3" t="str">
        <f t="array" ref="H452">IF(I452="","",IFERROR(_xlfn.XLOOKUP(I452,Base_Datos!$D$2:$D3876,Base_Datos!$C$2:$C3876),""))</f>
        <v/>
      </c>
      <c r="I452" s="3"/>
      <c r="J452" s="3" t="str">
        <f>IF(I452="","",IFERROR(VLOOKUP(I452,Base_Datos!$D$2:$E$72,2,0),""))</f>
        <v/>
      </c>
      <c r="K452" s="3"/>
      <c r="L452" s="3"/>
      <c r="M452" s="7">
        <v>3</v>
      </c>
      <c r="N452" s="7">
        <v>0</v>
      </c>
    </row>
    <row r="453" spans="1:14" ht="14.25" x14ac:dyDescent="0.2">
      <c r="A453" s="3">
        <v>66293</v>
      </c>
      <c r="B453" s="3" t="s">
        <v>2239</v>
      </c>
      <c r="C453" s="3" t="s">
        <v>16</v>
      </c>
      <c r="D453" s="6" t="s">
        <v>1782</v>
      </c>
      <c r="E453" s="6" t="s">
        <v>1782</v>
      </c>
      <c r="F453" s="3" t="str">
        <f>IFERROR( VLOOKUP(A453,#REF!,2,0),"")</f>
        <v/>
      </c>
      <c r="G453" s="3">
        <f t="array" ref="G453">_xlfn.XLOOKUP(I453,Base_Datos!D:D,Base_Datos!B:B,"")</f>
        <v>0</v>
      </c>
      <c r="H453" s="3" t="str">
        <f t="array" ref="H453">IF(I453="","",IFERROR(_xlfn.XLOOKUP(I453,Base_Datos!$D$2:$D3876,Base_Datos!$C$2:$C3876),""))</f>
        <v/>
      </c>
      <c r="I453" s="3"/>
      <c r="J453" s="3" t="str">
        <f>IF(I453="","",IFERROR(VLOOKUP(I453,Base_Datos!$D$2:$E$72,2,0),""))</f>
        <v/>
      </c>
      <c r="K453" s="3"/>
      <c r="L453" s="3"/>
      <c r="M453" s="7">
        <v>3</v>
      </c>
      <c r="N453" s="7">
        <v>0</v>
      </c>
    </row>
    <row r="454" spans="1:14" ht="14.25" x14ac:dyDescent="0.2">
      <c r="A454" s="3">
        <v>66294</v>
      </c>
      <c r="B454" s="3" t="s">
        <v>2240</v>
      </c>
      <c r="C454" s="3" t="s">
        <v>16</v>
      </c>
      <c r="D454" s="6" t="s">
        <v>1782</v>
      </c>
      <c r="E454" s="6" t="s">
        <v>1782</v>
      </c>
      <c r="F454" s="3" t="str">
        <f>IFERROR( VLOOKUP(A454,#REF!,2,0),"")</f>
        <v/>
      </c>
      <c r="G454" s="3">
        <f t="array" ref="G454">_xlfn.XLOOKUP(I454,Base_Datos!D:D,Base_Datos!B:B,"")</f>
        <v>0</v>
      </c>
      <c r="H454" s="3" t="str">
        <f t="array" ref="H454">IF(I454="","",IFERROR(_xlfn.XLOOKUP(I454,Base_Datos!$D$2:$D3876,Base_Datos!$C$2:$C3876),""))</f>
        <v/>
      </c>
      <c r="I454" s="3"/>
      <c r="J454" s="3" t="str">
        <f>IF(I454="","",IFERROR(VLOOKUP(I454,Base_Datos!$D$2:$E$72,2,0),""))</f>
        <v/>
      </c>
      <c r="K454" s="3"/>
      <c r="L454" s="3"/>
      <c r="M454" s="7">
        <v>3</v>
      </c>
      <c r="N454" s="7">
        <v>0</v>
      </c>
    </row>
    <row r="455" spans="1:14" ht="14.25" x14ac:dyDescent="0.2">
      <c r="A455" s="3">
        <v>66295</v>
      </c>
      <c r="B455" s="3" t="s">
        <v>1866</v>
      </c>
      <c r="C455" s="3" t="s">
        <v>16</v>
      </c>
      <c r="D455" s="6" t="s">
        <v>1782</v>
      </c>
      <c r="E455" s="6" t="s">
        <v>1782</v>
      </c>
      <c r="F455" s="3" t="str">
        <f>IFERROR( VLOOKUP(A455,#REF!,2,0),"")</f>
        <v/>
      </c>
      <c r="G455" s="3">
        <f t="array" ref="G455">_xlfn.XLOOKUP(I455,Base_Datos!D:D,Base_Datos!B:B,"")</f>
        <v>0</v>
      </c>
      <c r="H455" s="3" t="str">
        <f t="array" ref="H455">IF(I455="","",IFERROR(_xlfn.XLOOKUP(I455,Base_Datos!$D$2:$D3876,Base_Datos!$C$2:$C3876),""))</f>
        <v/>
      </c>
      <c r="I455" s="3"/>
      <c r="J455" s="3" t="str">
        <f>IF(I455="","",IFERROR(VLOOKUP(I455,Base_Datos!$D$2:$E$72,2,0),""))</f>
        <v/>
      </c>
      <c r="K455" s="3"/>
      <c r="L455" s="3"/>
      <c r="M455" s="7">
        <v>3</v>
      </c>
      <c r="N455" s="7">
        <v>0</v>
      </c>
    </row>
    <row r="456" spans="1:14" ht="14.25" x14ac:dyDescent="0.2">
      <c r="A456" s="3">
        <v>66296</v>
      </c>
      <c r="B456" s="3" t="s">
        <v>2241</v>
      </c>
      <c r="C456" s="3" t="s">
        <v>16</v>
      </c>
      <c r="D456" s="6" t="s">
        <v>1782</v>
      </c>
      <c r="E456" s="6" t="s">
        <v>1782</v>
      </c>
      <c r="F456" s="3" t="str">
        <f>IFERROR( VLOOKUP(A456,#REF!,2,0),"")</f>
        <v/>
      </c>
      <c r="G456" s="3">
        <f t="array" ref="G456">_xlfn.XLOOKUP(I456,Base_Datos!D:D,Base_Datos!B:B,"")</f>
        <v>0</v>
      </c>
      <c r="H456" s="3" t="str">
        <f t="array" ref="H456">IF(I456="","",IFERROR(_xlfn.XLOOKUP(I456,Base_Datos!$D$2:$D3876,Base_Datos!$C$2:$C3876),""))</f>
        <v/>
      </c>
      <c r="I456" s="3"/>
      <c r="J456" s="3" t="str">
        <f>IF(I456="","",IFERROR(VLOOKUP(I456,Base_Datos!$D$2:$E$72,2,0),""))</f>
        <v/>
      </c>
      <c r="K456" s="3"/>
      <c r="L456" s="3"/>
      <c r="M456" s="7">
        <v>3</v>
      </c>
      <c r="N456" s="7">
        <v>0</v>
      </c>
    </row>
    <row r="457" spans="1:14" ht="14.25" x14ac:dyDescent="0.2">
      <c r="A457" s="3">
        <v>67001</v>
      </c>
      <c r="B457" s="3" t="s">
        <v>2242</v>
      </c>
      <c r="C457" s="3" t="s">
        <v>16</v>
      </c>
      <c r="D457" s="6" t="s">
        <v>1488</v>
      </c>
      <c r="E457" s="6" t="s">
        <v>1488</v>
      </c>
      <c r="F457" s="3" t="str">
        <f>IFERROR( VLOOKUP(A457,#REF!,2,0),"")</f>
        <v/>
      </c>
      <c r="G457" s="3" t="str">
        <f t="array" ref="G457">_xlfn.XLOOKUP(I457,Base_Datos!D:D,Base_Datos!B:B,"")</f>
        <v>GAC</v>
      </c>
      <c r="H457" s="3" t="str">
        <f t="array" ref="H457">IF(I457="","",IFERROR(_xlfn.XLOOKUP(I457,Base_Datos!$D$2:$D3876,Base_Datos!$C$2:$C3876),""))</f>
        <v>Serie GS</v>
      </c>
      <c r="I457" s="3" t="s">
        <v>1487</v>
      </c>
      <c r="J457" s="3" t="str">
        <f>IF(I457="","",IFERROR(VLOOKUP(I457,Base_Datos!$D$2:$E$72,2,0),""))</f>
        <v>(2.0L)</v>
      </c>
      <c r="K457" s="3"/>
      <c r="L457" s="3"/>
      <c r="M457" s="7">
        <v>305</v>
      </c>
      <c r="N457" s="7">
        <v>0</v>
      </c>
    </row>
    <row r="458" spans="1:14" ht="14.25" x14ac:dyDescent="0.2">
      <c r="A458" s="3">
        <v>67002</v>
      </c>
      <c r="B458" s="3" t="s">
        <v>2243</v>
      </c>
      <c r="C458" s="3" t="s">
        <v>16</v>
      </c>
      <c r="D458" s="6" t="s">
        <v>1489</v>
      </c>
      <c r="E458" s="6" t="s">
        <v>1489</v>
      </c>
      <c r="F458" s="3" t="str">
        <f>IFERROR( VLOOKUP(A458,#REF!,2,0),"")</f>
        <v/>
      </c>
      <c r="G458" s="3" t="str">
        <f t="array" ref="G458">_xlfn.XLOOKUP(I458,Base_Datos!D:D,Base_Datos!B:B,"")</f>
        <v>GAC</v>
      </c>
      <c r="H458" s="3" t="str">
        <f t="array" ref="H458">IF(I458="","",IFERROR(_xlfn.XLOOKUP(I458,Base_Datos!$D$2:$D3876,Base_Datos!$C$2:$C3876),""))</f>
        <v>Serie GS</v>
      </c>
      <c r="I458" s="3" t="s">
        <v>1487</v>
      </c>
      <c r="J458" s="3" t="str">
        <f>IF(I458="","",IFERROR(VLOOKUP(I458,Base_Datos!$D$2:$E$72,2,0),""))</f>
        <v>(2.0L)</v>
      </c>
      <c r="K458" s="3"/>
      <c r="L458" s="3"/>
      <c r="M458" s="7">
        <v>4</v>
      </c>
      <c r="N458" s="7">
        <v>0</v>
      </c>
    </row>
    <row r="459" spans="1:14" ht="14.25" x14ac:dyDescent="0.2">
      <c r="A459" s="3">
        <v>67003</v>
      </c>
      <c r="B459" s="3" t="s">
        <v>2244</v>
      </c>
      <c r="C459" s="3" t="s">
        <v>16</v>
      </c>
      <c r="D459" s="6" t="s">
        <v>1490</v>
      </c>
      <c r="E459" s="6" t="s">
        <v>1490</v>
      </c>
      <c r="F459" s="3" t="str">
        <f>IFERROR( VLOOKUP(A459,#REF!,2,0),"")</f>
        <v/>
      </c>
      <c r="G459" s="3" t="str">
        <f t="array" ref="G459">_xlfn.XLOOKUP(I459,Base_Datos!D:D,Base_Datos!B:B,"")</f>
        <v>GAC</v>
      </c>
      <c r="H459" s="3" t="str">
        <f t="array" ref="H459">IF(I459="","",IFERROR(_xlfn.XLOOKUP(I459,Base_Datos!$D$2:$D3876,Base_Datos!$C$2:$C3876),""))</f>
        <v>Serie GS</v>
      </c>
      <c r="I459" s="3" t="s">
        <v>1487</v>
      </c>
      <c r="J459" s="3" t="str">
        <f>IF(I459="","",IFERROR(VLOOKUP(I459,Base_Datos!$D$2:$E$72,2,0),""))</f>
        <v>(2.0L)</v>
      </c>
      <c r="K459" s="3"/>
      <c r="L459" s="3"/>
      <c r="M459" s="7">
        <v>3</v>
      </c>
      <c r="N459" s="7">
        <v>0</v>
      </c>
    </row>
    <row r="460" spans="1:14" ht="14.25" x14ac:dyDescent="0.2">
      <c r="A460" s="3">
        <v>67004</v>
      </c>
      <c r="B460" s="3" t="s">
        <v>2245</v>
      </c>
      <c r="C460" s="3" t="s">
        <v>16</v>
      </c>
      <c r="D460" s="6" t="s">
        <v>1491</v>
      </c>
      <c r="E460" s="6" t="s">
        <v>1491</v>
      </c>
      <c r="F460" s="3" t="str">
        <f>IFERROR( VLOOKUP(A460,#REF!,2,0),"")</f>
        <v/>
      </c>
      <c r="G460" s="3" t="str">
        <f t="array" ref="G460">_xlfn.XLOOKUP(I460,Base_Datos!D:D,Base_Datos!B:B,"")</f>
        <v>GAC</v>
      </c>
      <c r="H460" s="3" t="str">
        <f t="array" ref="H460">IF(I460="","",IFERROR(_xlfn.XLOOKUP(I460,Base_Datos!$D$2:$D3876,Base_Datos!$C$2:$C3876),""))</f>
        <v>Serie GS</v>
      </c>
      <c r="I460" s="3" t="s">
        <v>1487</v>
      </c>
      <c r="J460" s="3" t="str">
        <f>IF(I460="","",IFERROR(VLOOKUP(I460,Base_Datos!$D$2:$E$72,2,0),""))</f>
        <v>(2.0L)</v>
      </c>
      <c r="K460" s="3"/>
      <c r="L460" s="3"/>
      <c r="M460" s="7">
        <v>9</v>
      </c>
      <c r="N460" s="7">
        <v>0</v>
      </c>
    </row>
    <row r="461" spans="1:14" ht="14.25" x14ac:dyDescent="0.2">
      <c r="A461" s="3">
        <v>67005</v>
      </c>
      <c r="B461" s="3" t="s">
        <v>2246</v>
      </c>
      <c r="C461" s="3" t="s">
        <v>16</v>
      </c>
      <c r="D461" s="6" t="s">
        <v>1492</v>
      </c>
      <c r="E461" s="6" t="s">
        <v>1782</v>
      </c>
      <c r="F461" s="3" t="str">
        <f>IFERROR( VLOOKUP(A461,#REF!,2,0),"")</f>
        <v/>
      </c>
      <c r="G461" s="3" t="str">
        <f t="array" ref="G461">_xlfn.XLOOKUP(I461,Base_Datos!D:D,Base_Datos!B:B,"")</f>
        <v>GAC</v>
      </c>
      <c r="H461" s="3" t="str">
        <f t="array" ref="H461">IF(I461="","",IFERROR(_xlfn.XLOOKUP(I461,Base_Datos!$D$2:$D3876,Base_Datos!$C$2:$C3876),""))</f>
        <v>Serie GS</v>
      </c>
      <c r="I461" s="3" t="s">
        <v>1487</v>
      </c>
      <c r="J461" s="3" t="str">
        <f>IF(I461="","",IFERROR(VLOOKUP(I461,Base_Datos!$D$2:$E$72,2,0),""))</f>
        <v>(2.0L)</v>
      </c>
      <c r="K461" s="3"/>
      <c r="L461" s="3"/>
      <c r="M461" s="7">
        <v>12</v>
      </c>
      <c r="N461" s="7">
        <v>0</v>
      </c>
    </row>
    <row r="462" spans="1:14" ht="14.25" x14ac:dyDescent="0.2">
      <c r="A462" s="3">
        <v>67006</v>
      </c>
      <c r="B462" s="3" t="s">
        <v>2247</v>
      </c>
      <c r="C462" s="3" t="s">
        <v>16</v>
      </c>
      <c r="D462" s="6" t="s">
        <v>1493</v>
      </c>
      <c r="E462" s="6" t="s">
        <v>1782</v>
      </c>
      <c r="F462" s="3" t="str">
        <f>IFERROR( VLOOKUP(A462,#REF!,2,0),"")</f>
        <v/>
      </c>
      <c r="G462" s="3" t="str">
        <f t="array" ref="G462">_xlfn.XLOOKUP(I462,Base_Datos!D:D,Base_Datos!B:B,"")</f>
        <v>GAC</v>
      </c>
      <c r="H462" s="3" t="str">
        <f t="array" ref="H462">IF(I462="","",IFERROR(_xlfn.XLOOKUP(I462,Base_Datos!$D$2:$D3876,Base_Datos!$C$2:$C3876),""))</f>
        <v>Serie GS</v>
      </c>
      <c r="I462" s="3" t="s">
        <v>1487</v>
      </c>
      <c r="J462" s="3" t="str">
        <f>IF(I462="","",IFERROR(VLOOKUP(I462,Base_Datos!$D$2:$E$72,2,0),""))</f>
        <v>(2.0L)</v>
      </c>
      <c r="K462" s="3"/>
      <c r="L462" s="3"/>
      <c r="M462" s="7">
        <v>12</v>
      </c>
      <c r="N462" s="7">
        <v>0</v>
      </c>
    </row>
    <row r="463" spans="1:14" ht="14.25" x14ac:dyDescent="0.2">
      <c r="A463" s="3">
        <v>67007</v>
      </c>
      <c r="B463" s="3" t="s">
        <v>2248</v>
      </c>
      <c r="C463" s="3" t="s">
        <v>16</v>
      </c>
      <c r="D463" s="6" t="s">
        <v>1494</v>
      </c>
      <c r="E463" s="6" t="s">
        <v>1782</v>
      </c>
      <c r="F463" s="3" t="str">
        <f>IFERROR( VLOOKUP(A463,#REF!,2,0),"")</f>
        <v/>
      </c>
      <c r="G463" s="3" t="str">
        <f t="array" ref="G463">_xlfn.XLOOKUP(I463,Base_Datos!D:D,Base_Datos!B:B,"")</f>
        <v>GAC</v>
      </c>
      <c r="H463" s="3" t="str">
        <f t="array" ref="H463">IF(I463="","",IFERROR(_xlfn.XLOOKUP(I463,Base_Datos!$D$2:$D3876,Base_Datos!$C$2:$C3876),""))</f>
        <v>Serie GS</v>
      </c>
      <c r="I463" s="3" t="s">
        <v>1487</v>
      </c>
      <c r="J463" s="3" t="str">
        <f>IF(I463="","",IFERROR(VLOOKUP(I463,Base_Datos!$D$2:$E$72,2,0),""))</f>
        <v>(2.0L)</v>
      </c>
      <c r="K463" s="3"/>
      <c r="L463" s="3"/>
      <c r="M463" s="7">
        <v>10</v>
      </c>
      <c r="N463" s="7">
        <v>0</v>
      </c>
    </row>
    <row r="464" spans="1:14" ht="14.25" x14ac:dyDescent="0.2">
      <c r="A464" s="3">
        <v>67008</v>
      </c>
      <c r="B464" s="3" t="s">
        <v>2249</v>
      </c>
      <c r="C464" s="3" t="s">
        <v>16</v>
      </c>
      <c r="D464" s="6" t="s">
        <v>1495</v>
      </c>
      <c r="E464" s="6" t="s">
        <v>2250</v>
      </c>
      <c r="F464" s="3" t="str">
        <f>IFERROR( VLOOKUP(A464,#REF!,2,0),"")</f>
        <v/>
      </c>
      <c r="G464" s="3" t="str">
        <f t="array" ref="G464">_xlfn.XLOOKUP(I464,Base_Datos!D:D,Base_Datos!B:B,"")</f>
        <v>GAC</v>
      </c>
      <c r="H464" s="3" t="str">
        <f t="array" ref="H464">IF(I464="","",IFERROR(_xlfn.XLOOKUP(I464,Base_Datos!$D$2:$D3876,Base_Datos!$C$2:$C3876),""))</f>
        <v>Serie GS</v>
      </c>
      <c r="I464" s="3" t="s">
        <v>1487</v>
      </c>
      <c r="J464" s="3" t="str">
        <f>IF(I464="","",IFERROR(VLOOKUP(I464,Base_Datos!$D$2:$E$72,2,0),""))</f>
        <v>(2.0L)</v>
      </c>
      <c r="K464" s="3" t="s">
        <v>2251</v>
      </c>
      <c r="L464" s="3"/>
      <c r="M464" s="7">
        <v>10</v>
      </c>
      <c r="N464" s="7">
        <v>0</v>
      </c>
    </row>
    <row r="465" spans="1:14" ht="14.25" x14ac:dyDescent="0.2">
      <c r="A465" s="3">
        <v>67009</v>
      </c>
      <c r="B465" s="3" t="s">
        <v>1944</v>
      </c>
      <c r="C465" s="3" t="s">
        <v>16</v>
      </c>
      <c r="D465" s="6" t="s">
        <v>1496</v>
      </c>
      <c r="E465" s="6" t="s">
        <v>1782</v>
      </c>
      <c r="F465" s="3" t="str">
        <f>IFERROR( VLOOKUP(A465,#REF!,2,0),"")</f>
        <v/>
      </c>
      <c r="G465" s="3" t="str">
        <f t="array" ref="G465">_xlfn.XLOOKUP(I465,Base_Datos!D:D,Base_Datos!B:B,"")</f>
        <v>GAC</v>
      </c>
      <c r="H465" s="3" t="str">
        <f t="array" ref="H465">IF(I465="","",IFERROR(_xlfn.XLOOKUP(I465,Base_Datos!$D$2:$D3876,Base_Datos!$C$2:$C3876),""))</f>
        <v>Serie GS</v>
      </c>
      <c r="I465" s="3" t="s">
        <v>1487</v>
      </c>
      <c r="J465" s="3" t="str">
        <f>IF(I465="","",IFERROR(VLOOKUP(I465,Base_Datos!$D$2:$E$72,2,0),""))</f>
        <v>(2.0L)</v>
      </c>
      <c r="K465" s="3" t="s">
        <v>1782</v>
      </c>
      <c r="L465" s="3"/>
      <c r="M465" s="7">
        <v>10</v>
      </c>
      <c r="N465" s="7">
        <v>0</v>
      </c>
    </row>
    <row r="466" spans="1:14" ht="14.25" x14ac:dyDescent="0.2">
      <c r="A466" s="3">
        <v>67010</v>
      </c>
      <c r="B466" s="3" t="s">
        <v>2252</v>
      </c>
      <c r="C466" s="3" t="s">
        <v>16</v>
      </c>
      <c r="D466" s="6" t="s">
        <v>1497</v>
      </c>
      <c r="E466" s="6" t="s">
        <v>1497</v>
      </c>
      <c r="F466" s="3" t="str">
        <f>IFERROR( VLOOKUP(A466,#REF!,2,0),"")</f>
        <v/>
      </c>
      <c r="G466" s="3" t="str">
        <f t="array" ref="G466">_xlfn.XLOOKUP(I466,Base_Datos!D:D,Base_Datos!B:B,"")</f>
        <v>GAC</v>
      </c>
      <c r="H466" s="3" t="str">
        <f t="array" ref="H466">IF(I466="","",IFERROR(_xlfn.XLOOKUP(I466,Base_Datos!$D$2:$D3876,Base_Datos!$C$2:$C3876),""))</f>
        <v>Serie GS</v>
      </c>
      <c r="I466" s="3" t="s">
        <v>1487</v>
      </c>
      <c r="J466" s="3" t="str">
        <f>IF(I466="","",IFERROR(VLOOKUP(I466,Base_Datos!$D$2:$E$72,2,0),""))</f>
        <v>(2.0L)</v>
      </c>
      <c r="K466" s="3" t="s">
        <v>1782</v>
      </c>
      <c r="L466" s="3"/>
      <c r="M466" s="7">
        <v>12</v>
      </c>
      <c r="N466" s="7">
        <v>0</v>
      </c>
    </row>
    <row r="467" spans="1:14" ht="14.25" x14ac:dyDescent="0.2">
      <c r="A467" s="3">
        <v>67011</v>
      </c>
      <c r="B467" s="3" t="s">
        <v>2253</v>
      </c>
      <c r="C467" s="3" t="s">
        <v>16</v>
      </c>
      <c r="D467" s="6" t="s">
        <v>1498</v>
      </c>
      <c r="E467" s="6" t="s">
        <v>1498</v>
      </c>
      <c r="F467" s="3" t="str">
        <f>IFERROR( VLOOKUP(A467,#REF!,2,0),"")</f>
        <v/>
      </c>
      <c r="G467" s="3" t="str">
        <f t="array" ref="G467">_xlfn.XLOOKUP(I467,Base_Datos!D:D,Base_Datos!B:B,"")</f>
        <v>GAC</v>
      </c>
      <c r="H467" s="3" t="str">
        <f t="array" ref="H467">IF(I467="","",IFERROR(_xlfn.XLOOKUP(I467,Base_Datos!$D$2:$D3876,Base_Datos!$C$2:$C3876),""))</f>
        <v>Serie GS</v>
      </c>
      <c r="I467" s="3" t="s">
        <v>1487</v>
      </c>
      <c r="J467" s="3" t="str">
        <f>IF(I467="","",IFERROR(VLOOKUP(I467,Base_Datos!$D$2:$E$72,2,0),""))</f>
        <v>(2.0L)</v>
      </c>
      <c r="K467" s="3" t="s">
        <v>1782</v>
      </c>
      <c r="L467" s="3"/>
      <c r="M467" s="7">
        <v>12</v>
      </c>
      <c r="N467" s="7">
        <v>0</v>
      </c>
    </row>
    <row r="468" spans="1:14" ht="14.25" x14ac:dyDescent="0.2">
      <c r="A468" s="3">
        <v>67012</v>
      </c>
      <c r="B468" s="3" t="s">
        <v>2254</v>
      </c>
      <c r="C468" s="3" t="s">
        <v>16</v>
      </c>
      <c r="D468" s="6" t="s">
        <v>1499</v>
      </c>
      <c r="E468" s="6" t="s">
        <v>1782</v>
      </c>
      <c r="F468" s="3" t="str">
        <f>IFERROR( VLOOKUP(A468,#REF!,2,0),"")</f>
        <v/>
      </c>
      <c r="G468" s="3" t="str">
        <f t="array" ref="G468">_xlfn.XLOOKUP(I468,Base_Datos!D:D,Base_Datos!B:B,"")</f>
        <v>GAC</v>
      </c>
      <c r="H468" s="3" t="str">
        <f t="array" ref="H468">IF(I468="","",IFERROR(_xlfn.XLOOKUP(I468,Base_Datos!$D$2:$D3876,Base_Datos!$C$2:$C3876),""))</f>
        <v>Serie GS</v>
      </c>
      <c r="I468" s="3" t="s">
        <v>1487</v>
      </c>
      <c r="J468" s="3" t="str">
        <f>IF(I468="","",IFERROR(VLOOKUP(I468,Base_Datos!$D$2:$E$72,2,0),""))</f>
        <v>(2.0L)</v>
      </c>
      <c r="K468" s="3" t="s">
        <v>1782</v>
      </c>
      <c r="L468" s="3"/>
      <c r="M468" s="7">
        <v>8</v>
      </c>
      <c r="N468" s="7">
        <v>0</v>
      </c>
    </row>
    <row r="469" spans="1:14" ht="14.25" x14ac:dyDescent="0.2">
      <c r="A469" s="3">
        <v>67013</v>
      </c>
      <c r="B469" s="3" t="s">
        <v>2255</v>
      </c>
      <c r="C469" s="3" t="s">
        <v>16</v>
      </c>
      <c r="D469" s="6" t="s">
        <v>1500</v>
      </c>
      <c r="E469" s="6" t="s">
        <v>1782</v>
      </c>
      <c r="F469" s="3" t="str">
        <f>IFERROR( VLOOKUP(A469,#REF!,2,0),"")</f>
        <v/>
      </c>
      <c r="G469" s="3" t="str">
        <f t="array" ref="G469">_xlfn.XLOOKUP(I469,Base_Datos!D:D,Base_Datos!B:B,"")</f>
        <v>GAC</v>
      </c>
      <c r="H469" s="3" t="str">
        <f t="array" ref="H469">IF(I469="","",IFERROR(_xlfn.XLOOKUP(I469,Base_Datos!$D$2:$D3876,Base_Datos!$C$2:$C3876),""))</f>
        <v>Serie GS</v>
      </c>
      <c r="I469" s="3" t="s">
        <v>1487</v>
      </c>
      <c r="J469" s="3" t="str">
        <f>IF(I469="","",IFERROR(VLOOKUP(I469,Base_Datos!$D$2:$E$72,2,0),""))</f>
        <v>(2.0L)</v>
      </c>
      <c r="K469" s="3" t="s">
        <v>1782</v>
      </c>
      <c r="L469" s="3"/>
      <c r="M469" s="7">
        <v>8</v>
      </c>
      <c r="N469" s="7">
        <v>0</v>
      </c>
    </row>
    <row r="470" spans="1:14" ht="14.25" x14ac:dyDescent="0.2">
      <c r="A470" s="3">
        <v>67014</v>
      </c>
      <c r="B470" s="3" t="s">
        <v>2256</v>
      </c>
      <c r="C470" s="3" t="s">
        <v>16</v>
      </c>
      <c r="D470" s="6" t="s">
        <v>1782</v>
      </c>
      <c r="E470" s="6" t="s">
        <v>1782</v>
      </c>
      <c r="F470" s="3" t="str">
        <f>IFERROR( VLOOKUP(A470,#REF!,2,0),"")</f>
        <v/>
      </c>
      <c r="G470" s="3" t="str">
        <f t="array" ref="G470">_xlfn.XLOOKUP(I470,Base_Datos!D:D,Base_Datos!B:B,"")</f>
        <v>GAC</v>
      </c>
      <c r="H470" s="3" t="str">
        <f t="array" ref="H470">IF(I470="","",IFERROR(_xlfn.XLOOKUP(I470,Base_Datos!$D$2:$D3876,Base_Datos!$C$2:$C3876),""))</f>
        <v>Serie GS</v>
      </c>
      <c r="I470" s="3" t="s">
        <v>1487</v>
      </c>
      <c r="J470" s="3" t="str">
        <f>IF(I470="","",IFERROR(VLOOKUP(I470,Base_Datos!$D$2:$E$72,2,0),""))</f>
        <v>(2.0L)</v>
      </c>
      <c r="K470" s="3" t="s">
        <v>1782</v>
      </c>
      <c r="L470" s="3"/>
      <c r="M470" s="7">
        <v>1</v>
      </c>
      <c r="N470" s="7">
        <v>0</v>
      </c>
    </row>
    <row r="471" spans="1:14" ht="14.25" x14ac:dyDescent="0.2">
      <c r="A471" s="3">
        <v>67015</v>
      </c>
      <c r="B471" s="3" t="s">
        <v>1967</v>
      </c>
      <c r="C471" s="3" t="s">
        <v>16</v>
      </c>
      <c r="D471" s="6" t="s">
        <v>1501</v>
      </c>
      <c r="E471" s="6" t="s">
        <v>1782</v>
      </c>
      <c r="F471" s="3" t="str">
        <f>IFERROR( VLOOKUP(A471,#REF!,2,0),"")</f>
        <v/>
      </c>
      <c r="G471" s="3" t="str">
        <f t="array" ref="G471">_xlfn.XLOOKUP(I471,Base_Datos!D:D,Base_Datos!B:B,"")</f>
        <v>GAC</v>
      </c>
      <c r="H471" s="3" t="str">
        <f t="array" ref="H471">IF(I471="","",IFERROR(_xlfn.XLOOKUP(I471,Base_Datos!$D$2:$D3876,Base_Datos!$C$2:$C3876),""))</f>
        <v>Serie GS</v>
      </c>
      <c r="I471" s="3" t="s">
        <v>1487</v>
      </c>
      <c r="J471" s="3" t="str">
        <f>IF(I471="","",IFERROR(VLOOKUP(I471,Base_Datos!$D$2:$E$72,2,0),""))</f>
        <v>(2.0L)</v>
      </c>
      <c r="K471" s="3" t="s">
        <v>1782</v>
      </c>
      <c r="L471" s="3"/>
      <c r="M471" s="7">
        <v>10</v>
      </c>
      <c r="N471" s="7">
        <v>0</v>
      </c>
    </row>
    <row r="472" spans="1:14" ht="14.25" x14ac:dyDescent="0.2">
      <c r="A472" s="3">
        <v>67016</v>
      </c>
      <c r="B472" s="3" t="s">
        <v>1979</v>
      </c>
      <c r="C472" s="3" t="s">
        <v>16</v>
      </c>
      <c r="D472" s="6" t="s">
        <v>1502</v>
      </c>
      <c r="E472" s="6" t="s">
        <v>1782</v>
      </c>
      <c r="F472" s="3" t="str">
        <f>IFERROR( VLOOKUP(A472,#REF!,2,0),"")</f>
        <v/>
      </c>
      <c r="G472" s="3" t="str">
        <f t="array" ref="G472">_xlfn.XLOOKUP(I472,Base_Datos!D:D,Base_Datos!B:B,"")</f>
        <v>GAC</v>
      </c>
      <c r="H472" s="3" t="str">
        <f t="array" ref="H472">IF(I472="","",IFERROR(_xlfn.XLOOKUP(I472,Base_Datos!$D$2:$D3876,Base_Datos!$C$2:$C3876),""))</f>
        <v>Serie GS</v>
      </c>
      <c r="I472" s="3" t="s">
        <v>1487</v>
      </c>
      <c r="J472" s="3" t="str">
        <f>IF(I472="","",IFERROR(VLOOKUP(I472,Base_Datos!$D$2:$E$72,2,0),""))</f>
        <v>(2.0L)</v>
      </c>
      <c r="K472" s="3" t="s">
        <v>1782</v>
      </c>
      <c r="L472" s="3"/>
      <c r="M472" s="7">
        <v>8</v>
      </c>
      <c r="N472" s="7">
        <v>0</v>
      </c>
    </row>
    <row r="473" spans="1:14" ht="14.25" x14ac:dyDescent="0.2">
      <c r="A473" s="3">
        <v>67017</v>
      </c>
      <c r="B473" s="3" t="s">
        <v>1980</v>
      </c>
      <c r="C473" s="3" t="s">
        <v>16</v>
      </c>
      <c r="D473" s="6" t="s">
        <v>1503</v>
      </c>
      <c r="E473" s="6" t="s">
        <v>1218</v>
      </c>
      <c r="F473" s="3" t="str">
        <f>IFERROR( VLOOKUP(A473,#REF!,2,0),"")</f>
        <v/>
      </c>
      <c r="G473" s="3" t="str">
        <f t="array" ref="G473">_xlfn.XLOOKUP(I473,Base_Datos!D:D,Base_Datos!B:B,"")</f>
        <v>GAC</v>
      </c>
      <c r="H473" s="3" t="str">
        <f t="array" ref="H473">IF(I473="","",IFERROR(_xlfn.XLOOKUP(I473,Base_Datos!$D$2:$D3876,Base_Datos!$C$2:$C3876),""))</f>
        <v>Serie GS</v>
      </c>
      <c r="I473" s="3" t="s">
        <v>1487</v>
      </c>
      <c r="J473" s="3" t="str">
        <f>IF(I473="","",IFERROR(VLOOKUP(I473,Base_Datos!$D$2:$E$72,2,0),""))</f>
        <v>(2.0L)</v>
      </c>
      <c r="K473" s="3" t="s">
        <v>1782</v>
      </c>
      <c r="L473" s="3"/>
      <c r="M473" s="7">
        <v>7</v>
      </c>
      <c r="N473" s="7">
        <v>0</v>
      </c>
    </row>
    <row r="474" spans="1:14" ht="14.25" x14ac:dyDescent="0.2">
      <c r="A474" s="3">
        <v>67018</v>
      </c>
      <c r="B474" s="3" t="s">
        <v>1982</v>
      </c>
      <c r="C474" s="3" t="s">
        <v>16</v>
      </c>
      <c r="D474" s="6" t="s">
        <v>1504</v>
      </c>
      <c r="E474" s="6" t="s">
        <v>1782</v>
      </c>
      <c r="F474" s="3" t="str">
        <f>IFERROR( VLOOKUP(A474,#REF!,2,0),"")</f>
        <v/>
      </c>
      <c r="G474" s="3" t="str">
        <f t="array" ref="G474">_xlfn.XLOOKUP(I474,Base_Datos!D:D,Base_Datos!B:B,"")</f>
        <v>GAC</v>
      </c>
      <c r="H474" s="3" t="str">
        <f t="array" ref="H474">IF(I474="","",IFERROR(_xlfn.XLOOKUP(I474,Base_Datos!$D$2:$D3876,Base_Datos!$C$2:$C3876),""))</f>
        <v>Serie GS</v>
      </c>
      <c r="I474" s="3" t="s">
        <v>1487</v>
      </c>
      <c r="J474" s="3" t="str">
        <f>IF(I474="","",IFERROR(VLOOKUP(I474,Base_Datos!$D$2:$E$72,2,0),""))</f>
        <v>(2.0L)</v>
      </c>
      <c r="K474" s="3" t="s">
        <v>1782</v>
      </c>
      <c r="L474" s="3"/>
      <c r="M474" s="7">
        <v>8</v>
      </c>
      <c r="N474" s="7">
        <v>0</v>
      </c>
    </row>
    <row r="475" spans="1:14" ht="14.25" x14ac:dyDescent="0.2">
      <c r="A475" s="3">
        <v>67019</v>
      </c>
      <c r="B475" s="3" t="s">
        <v>2257</v>
      </c>
      <c r="C475" s="3" t="s">
        <v>16</v>
      </c>
      <c r="D475" s="6" t="s">
        <v>1505</v>
      </c>
      <c r="E475" s="6" t="s">
        <v>1782</v>
      </c>
      <c r="F475" s="3" t="str">
        <f>IFERROR( VLOOKUP(A475,#REF!,2,0),"")</f>
        <v/>
      </c>
      <c r="G475" s="3" t="str">
        <f t="array" ref="G475">_xlfn.XLOOKUP(I475,Base_Datos!D:D,Base_Datos!B:B,"")</f>
        <v>GAC</v>
      </c>
      <c r="H475" s="3" t="str">
        <f t="array" ref="H475">IF(I475="","",IFERROR(_xlfn.XLOOKUP(I475,Base_Datos!$D$2:$D3876,Base_Datos!$C$2:$C3876),""))</f>
        <v>Serie GS</v>
      </c>
      <c r="I475" s="3" t="s">
        <v>1487</v>
      </c>
      <c r="J475" s="3" t="str">
        <f>IF(I475="","",IFERROR(VLOOKUP(I475,Base_Datos!$D$2:$E$72,2,0),""))</f>
        <v>(2.0L)</v>
      </c>
      <c r="K475" s="3" t="s">
        <v>1782</v>
      </c>
      <c r="L475" s="3"/>
      <c r="M475" s="7">
        <v>8</v>
      </c>
      <c r="N475" s="7">
        <v>0</v>
      </c>
    </row>
    <row r="476" spans="1:14" ht="14.25" x14ac:dyDescent="0.2">
      <c r="A476" s="3">
        <v>67020</v>
      </c>
      <c r="B476" s="3" t="s">
        <v>2258</v>
      </c>
      <c r="C476" s="3" t="s">
        <v>16</v>
      </c>
      <c r="D476" s="6" t="s">
        <v>1506</v>
      </c>
      <c r="E476" s="6" t="s">
        <v>1782</v>
      </c>
      <c r="F476" s="3" t="str">
        <f>IFERROR( VLOOKUP(A476,#REF!,2,0),"")</f>
        <v/>
      </c>
      <c r="G476" s="3" t="str">
        <f t="array" ref="G476">_xlfn.XLOOKUP(I476,Base_Datos!D:D,Base_Datos!B:B,"")</f>
        <v>GAC</v>
      </c>
      <c r="H476" s="3" t="str">
        <f t="array" ref="H476">IF(I476="","",IFERROR(_xlfn.XLOOKUP(I476,Base_Datos!$D$2:$D3876,Base_Datos!$C$2:$C3876),""))</f>
        <v>Serie GS</v>
      </c>
      <c r="I476" s="3" t="s">
        <v>1487</v>
      </c>
      <c r="J476" s="3" t="str">
        <f>IF(I476="","",IFERROR(VLOOKUP(I476,Base_Datos!$D$2:$E$72,2,0),""))</f>
        <v>(2.0L)</v>
      </c>
      <c r="K476" s="3" t="s">
        <v>1782</v>
      </c>
      <c r="L476" s="3"/>
      <c r="M476" s="7">
        <v>7</v>
      </c>
      <c r="N476" s="7">
        <v>0</v>
      </c>
    </row>
    <row r="477" spans="1:14" ht="14.25" x14ac:dyDescent="0.2">
      <c r="A477" s="3">
        <v>67021</v>
      </c>
      <c r="B477" s="3" t="s">
        <v>2259</v>
      </c>
      <c r="C477" s="3" t="s">
        <v>16</v>
      </c>
      <c r="D477" s="6" t="s">
        <v>1507</v>
      </c>
      <c r="E477" s="6" t="s">
        <v>1782</v>
      </c>
      <c r="F477" s="3" t="str">
        <f>IFERROR( VLOOKUP(A477,#REF!,2,0),"")</f>
        <v/>
      </c>
      <c r="G477" s="3" t="str">
        <f t="array" ref="G477">_xlfn.XLOOKUP(I477,Base_Datos!D:D,Base_Datos!B:B,"")</f>
        <v>GAC</v>
      </c>
      <c r="H477" s="3" t="str">
        <f t="array" ref="H477">IF(I477="","",IFERROR(_xlfn.XLOOKUP(I477,Base_Datos!$D$2:$D3876,Base_Datos!$C$2:$C3876),""))</f>
        <v>Serie GS</v>
      </c>
      <c r="I477" s="3" t="s">
        <v>1487</v>
      </c>
      <c r="J477" s="3" t="str">
        <f>IF(I477="","",IFERROR(VLOOKUP(I477,Base_Datos!$D$2:$E$72,2,0),""))</f>
        <v>(2.0L)</v>
      </c>
      <c r="K477" s="3" t="s">
        <v>1782</v>
      </c>
      <c r="L477" s="3"/>
      <c r="M477" s="7">
        <v>8</v>
      </c>
      <c r="N477" s="7">
        <v>0</v>
      </c>
    </row>
    <row r="478" spans="1:14" ht="14.25" x14ac:dyDescent="0.2">
      <c r="A478" s="3">
        <v>67022</v>
      </c>
      <c r="B478" s="3" t="s">
        <v>2260</v>
      </c>
      <c r="C478" s="3" t="s">
        <v>16</v>
      </c>
      <c r="D478" s="6" t="s">
        <v>1508</v>
      </c>
      <c r="E478" s="6" t="s">
        <v>1782</v>
      </c>
      <c r="F478" s="3" t="str">
        <f>IFERROR( VLOOKUP(A478,#REF!,2,0),"")</f>
        <v/>
      </c>
      <c r="G478" s="3" t="str">
        <f t="array" ref="G478">_xlfn.XLOOKUP(I478,Base_Datos!D:D,Base_Datos!B:B,"")</f>
        <v>GAC</v>
      </c>
      <c r="H478" s="3" t="str">
        <f t="array" ref="H478">IF(I478="","",IFERROR(_xlfn.XLOOKUP(I478,Base_Datos!$D$2:$D3876,Base_Datos!$C$2:$C3876),""))</f>
        <v>Serie GS</v>
      </c>
      <c r="I478" s="3" t="s">
        <v>1487</v>
      </c>
      <c r="J478" s="3" t="str">
        <f>IF(I478="","",IFERROR(VLOOKUP(I478,Base_Datos!$D$2:$E$72,2,0),""))</f>
        <v>(2.0L)</v>
      </c>
      <c r="K478" s="3" t="s">
        <v>1782</v>
      </c>
      <c r="L478" s="3"/>
      <c r="M478" s="7">
        <v>6</v>
      </c>
      <c r="N478" s="7">
        <v>0</v>
      </c>
    </row>
    <row r="479" spans="1:14" ht="14.25" x14ac:dyDescent="0.2">
      <c r="A479" s="3">
        <v>67023</v>
      </c>
      <c r="B479" s="3" t="s">
        <v>2261</v>
      </c>
      <c r="C479" s="3" t="s">
        <v>16</v>
      </c>
      <c r="D479" s="6" t="s">
        <v>1509</v>
      </c>
      <c r="E479" s="6" t="s">
        <v>1509</v>
      </c>
      <c r="F479" s="3" t="str">
        <f>IFERROR( VLOOKUP(A479,#REF!,2,0),"")</f>
        <v/>
      </c>
      <c r="G479" s="3" t="str">
        <f t="array" ref="G479">_xlfn.XLOOKUP(I479,Base_Datos!D:D,Base_Datos!B:B,"")</f>
        <v>GAC</v>
      </c>
      <c r="H479" s="3" t="str">
        <f t="array" ref="H479">IF(I479="","",IFERROR(_xlfn.XLOOKUP(I479,Base_Datos!$D$2:$D3876,Base_Datos!$C$2:$C3876),""))</f>
        <v>Serie GS</v>
      </c>
      <c r="I479" s="3" t="s">
        <v>1487</v>
      </c>
      <c r="J479" s="3" t="str">
        <f>IF(I479="","",IFERROR(VLOOKUP(I479,Base_Datos!$D$2:$E$72,2,0),""))</f>
        <v>(2.0L)</v>
      </c>
      <c r="K479" s="3" t="s">
        <v>1782</v>
      </c>
      <c r="L479" s="3"/>
      <c r="M479" s="7">
        <v>8</v>
      </c>
      <c r="N479" s="7">
        <v>0</v>
      </c>
    </row>
    <row r="480" spans="1:14" ht="14.25" x14ac:dyDescent="0.2">
      <c r="A480" s="3">
        <v>67024</v>
      </c>
      <c r="B480" s="3" t="s">
        <v>2262</v>
      </c>
      <c r="C480" s="3" t="s">
        <v>16</v>
      </c>
      <c r="D480" s="6" t="s">
        <v>1510</v>
      </c>
      <c r="E480" s="6" t="s">
        <v>1510</v>
      </c>
      <c r="F480" s="3" t="str">
        <f>IFERROR( VLOOKUP(A480,#REF!,2,0),"")</f>
        <v/>
      </c>
      <c r="G480" s="3" t="str">
        <f t="array" ref="G480">_xlfn.XLOOKUP(I480,Base_Datos!D:D,Base_Datos!B:B,"")</f>
        <v>GAC</v>
      </c>
      <c r="H480" s="3" t="str">
        <f t="array" ref="H480">IF(I480="","",IFERROR(_xlfn.XLOOKUP(I480,Base_Datos!$D$2:$D3876,Base_Datos!$C$2:$C3876),""))</f>
        <v>Serie GS</v>
      </c>
      <c r="I480" s="3" t="s">
        <v>1487</v>
      </c>
      <c r="J480" s="3" t="str">
        <f>IF(I480="","",IFERROR(VLOOKUP(I480,Base_Datos!$D$2:$E$72,2,0),""))</f>
        <v>(2.0L)</v>
      </c>
      <c r="K480" s="3" t="s">
        <v>1782</v>
      </c>
      <c r="L480" s="3"/>
      <c r="M480" s="7">
        <v>9</v>
      </c>
      <c r="N480" s="7">
        <v>0</v>
      </c>
    </row>
    <row r="481" spans="1:14" ht="14.25" x14ac:dyDescent="0.2">
      <c r="A481" s="3">
        <v>67025</v>
      </c>
      <c r="B481" s="3" t="s">
        <v>2263</v>
      </c>
      <c r="C481" s="3" t="s">
        <v>16</v>
      </c>
      <c r="D481" s="6" t="s">
        <v>1511</v>
      </c>
      <c r="E481" s="6" t="s">
        <v>1782</v>
      </c>
      <c r="F481" s="3" t="str">
        <f>IFERROR( VLOOKUP(A481,#REF!,2,0),"")</f>
        <v/>
      </c>
      <c r="G481" s="3" t="str">
        <f t="array" ref="G481">_xlfn.XLOOKUP(I481,Base_Datos!D:D,Base_Datos!B:B,"")</f>
        <v>GAC</v>
      </c>
      <c r="H481" s="3" t="str">
        <f t="array" ref="H481">IF(I481="","",IFERROR(_xlfn.XLOOKUP(I481,Base_Datos!$D$2:$D3876,Base_Datos!$C$2:$C3876),""))</f>
        <v>Serie GS</v>
      </c>
      <c r="I481" s="3" t="s">
        <v>1487</v>
      </c>
      <c r="J481" s="3" t="str">
        <f>IF(I481="","",IFERROR(VLOOKUP(I481,Base_Datos!$D$2:$E$72,2,0),""))</f>
        <v>(2.0L)</v>
      </c>
      <c r="K481" s="3" t="s">
        <v>1782</v>
      </c>
      <c r="L481" s="3"/>
      <c r="M481" s="7">
        <v>8</v>
      </c>
      <c r="N481" s="7">
        <v>0</v>
      </c>
    </row>
    <row r="482" spans="1:14" ht="14.25" x14ac:dyDescent="0.2">
      <c r="A482" s="3">
        <v>67026</v>
      </c>
      <c r="B482" s="3" t="s">
        <v>2264</v>
      </c>
      <c r="C482" s="3" t="s">
        <v>16</v>
      </c>
      <c r="D482" s="6" t="s">
        <v>1512</v>
      </c>
      <c r="E482" s="6" t="s">
        <v>1782</v>
      </c>
      <c r="F482" s="3" t="str">
        <f>IFERROR( VLOOKUP(A482,#REF!,2,0),"")</f>
        <v/>
      </c>
      <c r="G482" s="3">
        <f t="array" ref="G482">_xlfn.XLOOKUP(I482,Base_Datos!D:D,Base_Datos!B:B,"")</f>
        <v>0</v>
      </c>
      <c r="H482" s="3" t="str">
        <f t="array" ref="H482">IF(I482="","",IFERROR(_xlfn.XLOOKUP(I482,Base_Datos!$D$2:$D3876,Base_Datos!$C$2:$C3876),""))</f>
        <v/>
      </c>
      <c r="I482" s="3"/>
      <c r="J482" s="3" t="str">
        <f>IF(I482="","",IFERROR(VLOOKUP(I482,Base_Datos!$D$2:$E$72,2,0),""))</f>
        <v/>
      </c>
      <c r="K482" s="3" t="s">
        <v>1782</v>
      </c>
      <c r="L482" s="3"/>
      <c r="M482" s="7">
        <v>7</v>
      </c>
      <c r="N482" s="7">
        <v>0</v>
      </c>
    </row>
    <row r="483" spans="1:14" ht="14.25" x14ac:dyDescent="0.2">
      <c r="A483" s="3">
        <v>67027</v>
      </c>
      <c r="B483" s="3" t="s">
        <v>2265</v>
      </c>
      <c r="C483" s="3" t="s">
        <v>16</v>
      </c>
      <c r="D483" s="6" t="s">
        <v>1513</v>
      </c>
      <c r="E483" s="6" t="s">
        <v>1782</v>
      </c>
      <c r="F483" s="3" t="str">
        <f>IFERROR( VLOOKUP(A483,#REF!,2,0),"")</f>
        <v/>
      </c>
      <c r="G483" s="3" t="str">
        <f t="array" ref="G483">_xlfn.XLOOKUP(I483,Base_Datos!D:D,Base_Datos!B:B,"")</f>
        <v>GAC</v>
      </c>
      <c r="H483" s="3" t="str">
        <f t="array" ref="H483">IF(I483="","",IFERROR(_xlfn.XLOOKUP(I483,Base_Datos!$D$2:$D3876,Base_Datos!$C$2:$C3876),""))</f>
        <v>Serie GS</v>
      </c>
      <c r="I483" s="3" t="s">
        <v>1487</v>
      </c>
      <c r="J483" s="3" t="str">
        <f>IF(I483="","",IFERROR(VLOOKUP(I483,Base_Datos!$D$2:$E$72,2,0),""))</f>
        <v>(2.0L)</v>
      </c>
      <c r="K483" s="3" t="s">
        <v>1782</v>
      </c>
      <c r="L483" s="3"/>
      <c r="M483" s="7">
        <v>61</v>
      </c>
      <c r="N483" s="7">
        <v>0</v>
      </c>
    </row>
    <row r="484" spans="1:14" ht="14.25" x14ac:dyDescent="0.2">
      <c r="A484" s="3">
        <v>67028</v>
      </c>
      <c r="B484" s="3" t="s">
        <v>2266</v>
      </c>
      <c r="C484" s="3" t="s">
        <v>16</v>
      </c>
      <c r="D484" s="6" t="s">
        <v>1514</v>
      </c>
      <c r="E484" s="6" t="s">
        <v>1782</v>
      </c>
      <c r="F484" s="3" t="str">
        <f>IFERROR( VLOOKUP(A484,#REF!,2,0),"")</f>
        <v/>
      </c>
      <c r="G484" s="3" t="str">
        <f t="array" ref="G484">_xlfn.XLOOKUP(I484,Base_Datos!D:D,Base_Datos!B:B,"")</f>
        <v>GAC</v>
      </c>
      <c r="H484" s="3" t="str">
        <f t="array" ref="H484">IF(I484="","",IFERROR(_xlfn.XLOOKUP(I484,Base_Datos!$D$2:$D3876,Base_Datos!$C$2:$C3876),""))</f>
        <v>Serie GS</v>
      </c>
      <c r="I484" s="3" t="s">
        <v>1487</v>
      </c>
      <c r="J484" s="3" t="str">
        <f>IF(I484="","",IFERROR(VLOOKUP(I484,Base_Datos!$D$2:$E$72,2,0),""))</f>
        <v>(2.0L)</v>
      </c>
      <c r="K484" s="3" t="s">
        <v>1782</v>
      </c>
      <c r="L484" s="3"/>
      <c r="M484" s="7">
        <v>62</v>
      </c>
      <c r="N484" s="7">
        <v>0</v>
      </c>
    </row>
    <row r="485" spans="1:14" ht="14.25" x14ac:dyDescent="0.2">
      <c r="A485" s="3">
        <v>67029</v>
      </c>
      <c r="B485" s="3" t="s">
        <v>2267</v>
      </c>
      <c r="C485" s="3" t="s">
        <v>16</v>
      </c>
      <c r="D485" s="6" t="s">
        <v>1515</v>
      </c>
      <c r="E485" s="6" t="s">
        <v>1782</v>
      </c>
      <c r="F485" s="3" t="str">
        <f>IFERROR( VLOOKUP(A485,#REF!,2,0),"")</f>
        <v/>
      </c>
      <c r="G485" s="3" t="str">
        <f t="array" ref="G485">_xlfn.XLOOKUP(I485,Base_Datos!D:D,Base_Datos!B:B,"")</f>
        <v>GAC</v>
      </c>
      <c r="H485" s="3" t="str">
        <f t="array" ref="H485">IF(I485="","",IFERROR(_xlfn.XLOOKUP(I485,Base_Datos!$D$2:$D3876,Base_Datos!$C$2:$C3876),""))</f>
        <v>Serie GS</v>
      </c>
      <c r="I485" s="3" t="s">
        <v>1487</v>
      </c>
      <c r="J485" s="3" t="str">
        <f>IF(I485="","",IFERROR(VLOOKUP(I485,Base_Datos!$D$2:$E$72,2,0),""))</f>
        <v>(2.0L)</v>
      </c>
      <c r="K485" s="3" t="s">
        <v>1782</v>
      </c>
      <c r="L485" s="3"/>
      <c r="M485" s="7">
        <v>6</v>
      </c>
      <c r="N485" s="7">
        <v>0</v>
      </c>
    </row>
    <row r="486" spans="1:14" ht="14.25" x14ac:dyDescent="0.2">
      <c r="A486" s="3">
        <v>67030</v>
      </c>
      <c r="B486" s="3" t="s">
        <v>1995</v>
      </c>
      <c r="C486" s="3" t="s">
        <v>16</v>
      </c>
      <c r="D486" s="6" t="s">
        <v>1516</v>
      </c>
      <c r="E486" s="6" t="s">
        <v>1782</v>
      </c>
      <c r="F486" s="3" t="str">
        <f>IFERROR( VLOOKUP(A486,#REF!,2,0),"")</f>
        <v/>
      </c>
      <c r="G486" s="3" t="str">
        <f t="array" ref="G486">_xlfn.XLOOKUP(I486,Base_Datos!D:D,Base_Datos!B:B,"")</f>
        <v>GAC</v>
      </c>
      <c r="H486" s="3" t="str">
        <f t="array" ref="H486">IF(I486="","",IFERROR(_xlfn.XLOOKUP(I486,Base_Datos!$D$2:$D3876,Base_Datos!$C$2:$C3876),""))</f>
        <v>Serie GS</v>
      </c>
      <c r="I486" s="3" t="s">
        <v>1487</v>
      </c>
      <c r="J486" s="3" t="str">
        <f>IF(I486="","",IFERROR(VLOOKUP(I486,Base_Datos!$D$2:$E$72,2,0),""))</f>
        <v>(2.0L)</v>
      </c>
      <c r="K486" s="3" t="s">
        <v>1782</v>
      </c>
      <c r="L486" s="3"/>
      <c r="M486" s="7">
        <v>2</v>
      </c>
      <c r="N486" s="7">
        <v>0</v>
      </c>
    </row>
    <row r="487" spans="1:14" ht="14.25" x14ac:dyDescent="0.2">
      <c r="A487" s="3">
        <v>67031</v>
      </c>
      <c r="B487" s="3" t="s">
        <v>2268</v>
      </c>
      <c r="C487" s="3" t="s">
        <v>16</v>
      </c>
      <c r="D487" s="6" t="s">
        <v>1517</v>
      </c>
      <c r="E487" s="6" t="s">
        <v>1782</v>
      </c>
      <c r="F487" s="3" t="str">
        <f>IFERROR( VLOOKUP(A487,#REF!,2,0),"")</f>
        <v/>
      </c>
      <c r="G487" s="3" t="str">
        <f t="array" ref="G487">_xlfn.XLOOKUP(I487,Base_Datos!D:D,Base_Datos!B:B,"")</f>
        <v>GAC</v>
      </c>
      <c r="H487" s="3" t="str">
        <f t="array" ref="H487">IF(I487="","",IFERROR(_xlfn.XLOOKUP(I487,Base_Datos!$D$2:$D3876,Base_Datos!$C$2:$C3876),""))</f>
        <v>Serie GS</v>
      </c>
      <c r="I487" s="3" t="s">
        <v>1487</v>
      </c>
      <c r="J487" s="3" t="str">
        <f>IF(I487="","",IFERROR(VLOOKUP(I487,Base_Datos!$D$2:$E$72,2,0),""))</f>
        <v>(2.0L)</v>
      </c>
      <c r="K487" s="3" t="s">
        <v>1782</v>
      </c>
      <c r="L487" s="3"/>
      <c r="M487" s="7">
        <v>2</v>
      </c>
      <c r="N487" s="7">
        <v>0</v>
      </c>
    </row>
    <row r="488" spans="1:14" ht="14.25" x14ac:dyDescent="0.2">
      <c r="A488" s="3">
        <v>67032</v>
      </c>
      <c r="B488" s="3" t="s">
        <v>2269</v>
      </c>
      <c r="C488" s="3" t="s">
        <v>16</v>
      </c>
      <c r="D488" s="6" t="s">
        <v>1518</v>
      </c>
      <c r="E488" s="6" t="s">
        <v>1782</v>
      </c>
      <c r="F488" s="3" t="str">
        <f>IFERROR( VLOOKUP(A488,#REF!,2,0),"")</f>
        <v/>
      </c>
      <c r="G488" s="3" t="str">
        <f t="array" ref="G488">_xlfn.XLOOKUP(I488,Base_Datos!D:D,Base_Datos!B:B,"")</f>
        <v>GAC</v>
      </c>
      <c r="H488" s="3" t="str">
        <f t="array" ref="H488">IF(I488="","",IFERROR(_xlfn.XLOOKUP(I488,Base_Datos!$D$2:$D3876,Base_Datos!$C$2:$C3876),""))</f>
        <v>Serie GS</v>
      </c>
      <c r="I488" s="3" t="s">
        <v>1487</v>
      </c>
      <c r="J488" s="3" t="str">
        <f>IF(I488="","",IFERROR(VLOOKUP(I488,Base_Datos!$D$2:$E$72,2,0),""))</f>
        <v>(2.0L)</v>
      </c>
      <c r="K488" s="3" t="s">
        <v>1782</v>
      </c>
      <c r="L488" s="3"/>
      <c r="M488" s="7">
        <v>2</v>
      </c>
      <c r="N488" s="7">
        <v>0</v>
      </c>
    </row>
    <row r="489" spans="1:14" ht="14.25" x14ac:dyDescent="0.2">
      <c r="A489" s="3">
        <v>67033</v>
      </c>
      <c r="B489" s="3" t="s">
        <v>2002</v>
      </c>
      <c r="C489" s="3" t="s">
        <v>16</v>
      </c>
      <c r="D489" s="6" t="s">
        <v>1519</v>
      </c>
      <c r="E489" s="6" t="s">
        <v>1782</v>
      </c>
      <c r="F489" s="3" t="str">
        <f>IFERROR( VLOOKUP(A489,#REF!,2,0),"")</f>
        <v/>
      </c>
      <c r="G489" s="3" t="str">
        <f t="array" ref="G489">_xlfn.XLOOKUP(I489,Base_Datos!D:D,Base_Datos!B:B,"")</f>
        <v>GAC</v>
      </c>
      <c r="H489" s="3" t="str">
        <f t="array" ref="H489">IF(I489="","",IFERROR(_xlfn.XLOOKUP(I489,Base_Datos!$D$2:$D3876,Base_Datos!$C$2:$C3876),""))</f>
        <v>Serie GS</v>
      </c>
      <c r="I489" s="3" t="s">
        <v>1487</v>
      </c>
      <c r="J489" s="3" t="str">
        <f>IF(I489="","",IFERROR(VLOOKUP(I489,Base_Datos!$D$2:$E$72,2,0),""))</f>
        <v>(2.0L)</v>
      </c>
      <c r="K489" s="3" t="s">
        <v>1782</v>
      </c>
      <c r="L489" s="3"/>
      <c r="M489" s="7">
        <v>2</v>
      </c>
      <c r="N489" s="7">
        <v>0</v>
      </c>
    </row>
    <row r="490" spans="1:14" ht="14.25" x14ac:dyDescent="0.2">
      <c r="A490" s="3">
        <v>67034</v>
      </c>
      <c r="B490" s="3" t="s">
        <v>2270</v>
      </c>
      <c r="C490" s="3" t="s">
        <v>16</v>
      </c>
      <c r="D490" s="6" t="s">
        <v>1520</v>
      </c>
      <c r="E490" s="6" t="s">
        <v>1782</v>
      </c>
      <c r="F490" s="3" t="str">
        <f>IFERROR( VLOOKUP(A490,#REF!,2,0),"")</f>
        <v/>
      </c>
      <c r="G490" s="3" t="str">
        <f t="array" ref="G490">_xlfn.XLOOKUP(I490,Base_Datos!D:D,Base_Datos!B:B,"")</f>
        <v>GAC</v>
      </c>
      <c r="H490" s="3" t="str">
        <f t="array" ref="H490">IF(I490="","",IFERROR(_xlfn.XLOOKUP(I490,Base_Datos!$D$2:$D3876,Base_Datos!$C$2:$C3876),""))</f>
        <v>Serie GS</v>
      </c>
      <c r="I490" s="3" t="s">
        <v>1487</v>
      </c>
      <c r="J490" s="3" t="str">
        <f>IF(I490="","",IFERROR(VLOOKUP(I490,Base_Datos!$D$2:$E$72,2,0),""))</f>
        <v>(2.0L)</v>
      </c>
      <c r="K490" s="3" t="s">
        <v>1782</v>
      </c>
      <c r="L490" s="3"/>
      <c r="M490" s="7">
        <v>2</v>
      </c>
      <c r="N490" s="7">
        <v>0</v>
      </c>
    </row>
    <row r="491" spans="1:14" ht="14.25" x14ac:dyDescent="0.2">
      <c r="A491" s="3">
        <v>67035</v>
      </c>
      <c r="B491" s="3" t="s">
        <v>2271</v>
      </c>
      <c r="C491" s="3" t="s">
        <v>16</v>
      </c>
      <c r="D491" s="6" t="s">
        <v>1521</v>
      </c>
      <c r="E491" s="6" t="s">
        <v>1782</v>
      </c>
      <c r="F491" s="3" t="str">
        <f>IFERROR( VLOOKUP(A491,#REF!,2,0),"")</f>
        <v/>
      </c>
      <c r="G491" s="3" t="str">
        <f t="array" ref="G491">_xlfn.XLOOKUP(I491,Base_Datos!D:D,Base_Datos!B:B,"")</f>
        <v>GAC</v>
      </c>
      <c r="H491" s="3" t="str">
        <f t="array" ref="H491">IF(I491="","",IFERROR(_xlfn.XLOOKUP(I491,Base_Datos!$D$2:$D3876,Base_Datos!$C$2:$C3876),""))</f>
        <v>Serie GS</v>
      </c>
      <c r="I491" s="3" t="s">
        <v>1487</v>
      </c>
      <c r="J491" s="3" t="str">
        <f>IF(I491="","",IFERROR(VLOOKUP(I491,Base_Datos!$D$2:$E$72,2,0),""))</f>
        <v>(2.0L)</v>
      </c>
      <c r="K491" s="3" t="s">
        <v>1782</v>
      </c>
      <c r="L491" s="3"/>
      <c r="M491" s="7">
        <v>2</v>
      </c>
      <c r="N491" s="7">
        <v>0</v>
      </c>
    </row>
    <row r="492" spans="1:14" ht="14.25" x14ac:dyDescent="0.2">
      <c r="A492" s="3">
        <v>67036</v>
      </c>
      <c r="B492" s="3" t="s">
        <v>2005</v>
      </c>
      <c r="C492" s="3" t="s">
        <v>16</v>
      </c>
      <c r="D492" s="6" t="s">
        <v>1522</v>
      </c>
      <c r="E492" s="6" t="s">
        <v>1782</v>
      </c>
      <c r="F492" s="3" t="str">
        <f>IFERROR( VLOOKUP(A492,#REF!,2,0),"")</f>
        <v/>
      </c>
      <c r="G492" s="3" t="str">
        <f t="array" ref="G492">_xlfn.XLOOKUP(I492,Base_Datos!D:D,Base_Datos!B:B,"")</f>
        <v>GAC</v>
      </c>
      <c r="H492" s="3" t="str">
        <f t="array" ref="H492">IF(I492="","",IFERROR(_xlfn.XLOOKUP(I492,Base_Datos!$D$2:$D3876,Base_Datos!$C$2:$C3876),""))</f>
        <v>Serie GS</v>
      </c>
      <c r="I492" s="3" t="s">
        <v>1487</v>
      </c>
      <c r="J492" s="3" t="str">
        <f>IF(I492="","",IFERROR(VLOOKUP(I492,Base_Datos!$D$2:$E$72,2,0),""))</f>
        <v>(2.0L)</v>
      </c>
      <c r="K492" s="3" t="s">
        <v>1782</v>
      </c>
      <c r="L492" s="3"/>
      <c r="M492" s="7">
        <v>2</v>
      </c>
      <c r="N492" s="7">
        <v>0</v>
      </c>
    </row>
    <row r="493" spans="1:14" ht="14.25" x14ac:dyDescent="0.2">
      <c r="A493" s="3">
        <v>67037</v>
      </c>
      <c r="B493" s="3" t="s">
        <v>2272</v>
      </c>
      <c r="C493" s="3" t="s">
        <v>16</v>
      </c>
      <c r="D493" s="6" t="s">
        <v>1523</v>
      </c>
      <c r="E493" s="6" t="s">
        <v>1782</v>
      </c>
      <c r="F493" s="3" t="str">
        <f>IFERROR( VLOOKUP(A493,#REF!,2,0),"")</f>
        <v/>
      </c>
      <c r="G493" s="3" t="str">
        <f t="array" ref="G493">_xlfn.XLOOKUP(I493,Base_Datos!D:D,Base_Datos!B:B,"")</f>
        <v>GAC</v>
      </c>
      <c r="H493" s="3" t="str">
        <f t="array" ref="H493">IF(I493="","",IFERROR(_xlfn.XLOOKUP(I493,Base_Datos!$D$2:$D3876,Base_Datos!$C$2:$C3876),""))</f>
        <v>Serie GS</v>
      </c>
      <c r="I493" s="3" t="s">
        <v>1487</v>
      </c>
      <c r="J493" s="3" t="str">
        <f>IF(I493="","",IFERROR(VLOOKUP(I493,Base_Datos!$D$2:$E$72,2,0),""))</f>
        <v>(2.0L)</v>
      </c>
      <c r="K493" s="3" t="s">
        <v>1782</v>
      </c>
      <c r="L493" s="3"/>
      <c r="M493" s="7">
        <v>2</v>
      </c>
      <c r="N493" s="7">
        <v>0</v>
      </c>
    </row>
    <row r="494" spans="1:14" ht="14.25" x14ac:dyDescent="0.2">
      <c r="A494" s="3">
        <v>67038</v>
      </c>
      <c r="B494" s="3" t="s">
        <v>2009</v>
      </c>
      <c r="C494" s="3" t="s">
        <v>16</v>
      </c>
      <c r="D494" s="6" t="s">
        <v>1524</v>
      </c>
      <c r="E494" s="6" t="s">
        <v>1782</v>
      </c>
      <c r="F494" s="3" t="str">
        <f>IFERROR( VLOOKUP(A494,#REF!,2,0),"")</f>
        <v/>
      </c>
      <c r="G494" s="3" t="str">
        <f t="array" ref="G494">_xlfn.XLOOKUP(I494,Base_Datos!D:D,Base_Datos!B:B,"")</f>
        <v>GAC</v>
      </c>
      <c r="H494" s="3" t="str">
        <f t="array" ref="H494">IF(I494="","",IFERROR(_xlfn.XLOOKUP(I494,Base_Datos!$D$2:$D3876,Base_Datos!$C$2:$C3876),""))</f>
        <v>Serie GS</v>
      </c>
      <c r="I494" s="3" t="s">
        <v>1487</v>
      </c>
      <c r="J494" s="3" t="str">
        <f>IF(I494="","",IFERROR(VLOOKUP(I494,Base_Datos!$D$2:$E$72,2,0),""))</f>
        <v>(2.0L)</v>
      </c>
      <c r="K494" s="3" t="s">
        <v>1782</v>
      </c>
      <c r="L494" s="3"/>
      <c r="M494" s="7">
        <v>10</v>
      </c>
      <c r="N494" s="7">
        <v>0</v>
      </c>
    </row>
    <row r="495" spans="1:14" ht="14.25" x14ac:dyDescent="0.2">
      <c r="A495" s="3">
        <v>67039</v>
      </c>
      <c r="B495" s="3" t="s">
        <v>2273</v>
      </c>
      <c r="C495" s="3" t="s">
        <v>16</v>
      </c>
      <c r="D495" s="6" t="s">
        <v>1525</v>
      </c>
      <c r="E495" s="6" t="s">
        <v>1782</v>
      </c>
      <c r="F495" s="3" t="str">
        <f>IFERROR( VLOOKUP(A495,#REF!,2,0),"")</f>
        <v/>
      </c>
      <c r="G495" s="3" t="str">
        <f t="array" ref="G495">_xlfn.XLOOKUP(I495,Base_Datos!D:D,Base_Datos!B:B,"")</f>
        <v>GAC</v>
      </c>
      <c r="H495" s="3" t="str">
        <f t="array" ref="H495">IF(I495="","",IFERROR(_xlfn.XLOOKUP(I495,Base_Datos!$D$2:$D3876,Base_Datos!$C$2:$C3876),""))</f>
        <v>Serie GS</v>
      </c>
      <c r="I495" s="3" t="s">
        <v>1487</v>
      </c>
      <c r="J495" s="3" t="str">
        <f>IF(I495="","",IFERROR(VLOOKUP(I495,Base_Datos!$D$2:$E$72,2,0),""))</f>
        <v>(2.0L)</v>
      </c>
      <c r="K495" s="3" t="s">
        <v>1782</v>
      </c>
      <c r="L495" s="3"/>
      <c r="M495" s="7">
        <v>10</v>
      </c>
      <c r="N495" s="7">
        <v>0</v>
      </c>
    </row>
    <row r="496" spans="1:14" ht="14.25" x14ac:dyDescent="0.2">
      <c r="A496" s="3">
        <v>67040</v>
      </c>
      <c r="B496" s="3" t="s">
        <v>2274</v>
      </c>
      <c r="C496" s="3" t="s">
        <v>16</v>
      </c>
      <c r="D496" s="6" t="s">
        <v>1526</v>
      </c>
      <c r="E496" s="6" t="s">
        <v>1782</v>
      </c>
      <c r="F496" s="3" t="str">
        <f>IFERROR( VLOOKUP(A496,#REF!,2,0),"")</f>
        <v/>
      </c>
      <c r="G496" s="3" t="str">
        <f t="array" ref="G496">_xlfn.XLOOKUP(I496,Base_Datos!D:D,Base_Datos!B:B,"")</f>
        <v>GAC</v>
      </c>
      <c r="H496" s="3" t="str">
        <f t="array" ref="H496">IF(I496="","",IFERROR(_xlfn.XLOOKUP(I496,Base_Datos!$D$2:$D3876,Base_Datos!$C$2:$C3876),""))</f>
        <v>Serie GS</v>
      </c>
      <c r="I496" s="3" t="s">
        <v>1487</v>
      </c>
      <c r="J496" s="3" t="str">
        <f>IF(I496="","",IFERROR(VLOOKUP(I496,Base_Datos!$D$2:$E$72,2,0),""))</f>
        <v>(2.0L)</v>
      </c>
      <c r="K496" s="3" t="s">
        <v>1782</v>
      </c>
      <c r="L496" s="3"/>
      <c r="M496" s="7">
        <v>2</v>
      </c>
      <c r="N496" s="7">
        <v>0</v>
      </c>
    </row>
    <row r="497" spans="1:14" ht="14.25" x14ac:dyDescent="0.2">
      <c r="A497" s="3">
        <v>67041</v>
      </c>
      <c r="B497" s="3" t="s">
        <v>2010</v>
      </c>
      <c r="C497" s="3" t="s">
        <v>16</v>
      </c>
      <c r="D497" s="6" t="s">
        <v>1527</v>
      </c>
      <c r="E497" s="6" t="s">
        <v>1782</v>
      </c>
      <c r="F497" s="3" t="str">
        <f>IFERROR( VLOOKUP(A497,#REF!,2,0),"")</f>
        <v/>
      </c>
      <c r="G497" s="3" t="str">
        <f t="array" ref="G497">_xlfn.XLOOKUP(I497,Base_Datos!D:D,Base_Datos!B:B,"")</f>
        <v>GAC</v>
      </c>
      <c r="H497" s="3" t="str">
        <f t="array" ref="H497">IF(I497="","",IFERROR(_xlfn.XLOOKUP(I497,Base_Datos!$D$2:$D3876,Base_Datos!$C$2:$C3876),""))</f>
        <v>Serie GS</v>
      </c>
      <c r="I497" s="3" t="s">
        <v>1487</v>
      </c>
      <c r="J497" s="3" t="str">
        <f>IF(I497="","",IFERROR(VLOOKUP(I497,Base_Datos!$D$2:$E$72,2,0),""))</f>
        <v>(2.0L)</v>
      </c>
      <c r="K497" s="3" t="s">
        <v>1782</v>
      </c>
      <c r="L497" s="3"/>
      <c r="M497" s="7">
        <v>2</v>
      </c>
      <c r="N497" s="7">
        <v>0</v>
      </c>
    </row>
    <row r="498" spans="1:14" ht="14.25" x14ac:dyDescent="0.2">
      <c r="A498" s="3">
        <v>67042</v>
      </c>
      <c r="B498" s="3" t="s">
        <v>2011</v>
      </c>
      <c r="C498" s="3" t="s">
        <v>16</v>
      </c>
      <c r="D498" s="6" t="s">
        <v>1528</v>
      </c>
      <c r="E498" s="6" t="s">
        <v>1528</v>
      </c>
      <c r="F498" s="3" t="str">
        <f>IFERROR( VLOOKUP(A498,#REF!,2,0),"")</f>
        <v/>
      </c>
      <c r="G498" s="3" t="str">
        <f t="array" ref="G498">_xlfn.XLOOKUP(I498,Base_Datos!D:D,Base_Datos!B:B,"")</f>
        <v>GAC</v>
      </c>
      <c r="H498" s="3" t="str">
        <f t="array" ref="H498">IF(I498="","",IFERROR(_xlfn.XLOOKUP(I498,Base_Datos!$D$2:$D3876,Base_Datos!$C$2:$C3876),""))</f>
        <v>Serie GS</v>
      </c>
      <c r="I498" s="3" t="s">
        <v>1487</v>
      </c>
      <c r="J498" s="3" t="str">
        <f>IF(I498="","",IFERROR(VLOOKUP(I498,Base_Datos!$D$2:$E$72,2,0),""))</f>
        <v>(2.0L)</v>
      </c>
      <c r="K498" s="3" t="s">
        <v>1782</v>
      </c>
      <c r="L498" s="3"/>
      <c r="M498" s="7">
        <v>1</v>
      </c>
      <c r="N498" s="7">
        <v>0</v>
      </c>
    </row>
    <row r="499" spans="1:14" ht="14.25" x14ac:dyDescent="0.2">
      <c r="A499" s="3">
        <v>67043</v>
      </c>
      <c r="B499" s="3" t="s">
        <v>2012</v>
      </c>
      <c r="C499" s="3" t="s">
        <v>16</v>
      </c>
      <c r="D499" s="6" t="s">
        <v>1529</v>
      </c>
      <c r="E499" s="6" t="s">
        <v>1782</v>
      </c>
      <c r="F499" s="3" t="str">
        <f>IFERROR( VLOOKUP(A499,#REF!,2,0),"")</f>
        <v/>
      </c>
      <c r="G499" s="3" t="str">
        <f t="array" ref="G499">_xlfn.XLOOKUP(I499,Base_Datos!D:D,Base_Datos!B:B,"")</f>
        <v>GAC</v>
      </c>
      <c r="H499" s="3" t="str">
        <f t="array" ref="H499">IF(I499="","",IFERROR(_xlfn.XLOOKUP(I499,Base_Datos!$D$2:$D3876,Base_Datos!$C$2:$C3876),""))</f>
        <v>Serie GS</v>
      </c>
      <c r="I499" s="3" t="s">
        <v>1487</v>
      </c>
      <c r="J499" s="3" t="str">
        <f>IF(I499="","",IFERROR(VLOOKUP(I499,Base_Datos!$D$2:$E$72,2,0),""))</f>
        <v>(2.0L)</v>
      </c>
      <c r="K499" s="3" t="s">
        <v>1782</v>
      </c>
      <c r="L499" s="3"/>
      <c r="M499" s="7">
        <v>2</v>
      </c>
      <c r="N499" s="7">
        <v>0</v>
      </c>
    </row>
    <row r="500" spans="1:14" ht="14.25" x14ac:dyDescent="0.2">
      <c r="A500" s="3">
        <v>67044</v>
      </c>
      <c r="B500" s="9" t="s">
        <v>2275</v>
      </c>
      <c r="C500" s="3" t="s">
        <v>16</v>
      </c>
      <c r="D500" s="6" t="s">
        <v>1530</v>
      </c>
      <c r="E500" s="6" t="s">
        <v>1782</v>
      </c>
      <c r="F500" s="3" t="str">
        <f>IFERROR( VLOOKUP(A500,#REF!,2,0),"")</f>
        <v/>
      </c>
      <c r="G500" s="3" t="str">
        <f t="array" ref="G500">_xlfn.XLOOKUP(I500,Base_Datos!D:D,Base_Datos!B:B,"")</f>
        <v>GAC</v>
      </c>
      <c r="H500" s="3" t="str">
        <f t="array" ref="H500">IF(I500="","",IFERROR(_xlfn.XLOOKUP(I500,Base_Datos!$D$2:$D3876,Base_Datos!$C$2:$C3876),""))</f>
        <v>Serie GS</v>
      </c>
      <c r="I500" s="3" t="s">
        <v>1487</v>
      </c>
      <c r="J500" s="3" t="str">
        <f>IF(I500="","",IFERROR(VLOOKUP(I500,Base_Datos!$D$2:$E$72,2,0),""))</f>
        <v>(2.0L)</v>
      </c>
      <c r="K500" s="3" t="s">
        <v>1782</v>
      </c>
      <c r="L500" s="3"/>
      <c r="M500" s="7">
        <v>3</v>
      </c>
      <c r="N500" s="7">
        <v>0</v>
      </c>
    </row>
    <row r="501" spans="1:14" ht="14.25" x14ac:dyDescent="0.2">
      <c r="A501" s="3">
        <v>67045</v>
      </c>
      <c r="B501" s="3" t="s">
        <v>1939</v>
      </c>
      <c r="C501" s="3" t="s">
        <v>16</v>
      </c>
      <c r="D501" s="6" t="s">
        <v>1531</v>
      </c>
      <c r="E501" s="6" t="s">
        <v>1782</v>
      </c>
      <c r="F501" s="3" t="str">
        <f>IFERROR( VLOOKUP(A501,#REF!,2,0),"")</f>
        <v/>
      </c>
      <c r="G501" s="3" t="str">
        <f t="array" ref="G501">_xlfn.XLOOKUP(I501,Base_Datos!D:D,Base_Datos!B:B,"")</f>
        <v>GAC</v>
      </c>
      <c r="H501" s="3" t="str">
        <f t="array" ref="H501">IF(I501="","",IFERROR(_xlfn.XLOOKUP(I501,Base_Datos!$D$2:$D3876,Base_Datos!$C$2:$C3876),""))</f>
        <v>Serie GS</v>
      </c>
      <c r="I501" s="3" t="s">
        <v>1487</v>
      </c>
      <c r="J501" s="3" t="str">
        <f>IF(I501="","",IFERROR(VLOOKUP(I501,Base_Datos!$D$2:$E$72,2,0),""))</f>
        <v>(2.0L)</v>
      </c>
      <c r="K501" s="3" t="s">
        <v>1782</v>
      </c>
      <c r="L501" s="3"/>
      <c r="M501" s="7">
        <v>5</v>
      </c>
      <c r="N501" s="7">
        <v>0</v>
      </c>
    </row>
    <row r="502" spans="1:14" ht="14.25" x14ac:dyDescent="0.2">
      <c r="A502" s="3">
        <v>67046</v>
      </c>
      <c r="B502" s="3" t="s">
        <v>2276</v>
      </c>
      <c r="C502" s="3" t="s">
        <v>16</v>
      </c>
      <c r="D502" s="6" t="s">
        <v>1532</v>
      </c>
      <c r="E502" s="6" t="s">
        <v>1782</v>
      </c>
      <c r="F502" s="3" t="str">
        <f>IFERROR( VLOOKUP(A502,#REF!,2,0),"")</f>
        <v/>
      </c>
      <c r="G502" s="3" t="str">
        <f t="array" ref="G502">_xlfn.XLOOKUP(I502,Base_Datos!D:D,Base_Datos!B:B,"")</f>
        <v>GAC</v>
      </c>
      <c r="H502" s="3" t="str">
        <f t="array" ref="H502">IF(I502="","",IFERROR(_xlfn.XLOOKUP(I502,Base_Datos!$D$2:$D3876,Base_Datos!$C$2:$C3876),""))</f>
        <v>Serie GS</v>
      </c>
      <c r="I502" s="3" t="s">
        <v>1487</v>
      </c>
      <c r="J502" s="3" t="str">
        <f>IF(I502="","",IFERROR(VLOOKUP(I502,Base_Datos!$D$2:$E$72,2,0),""))</f>
        <v>(2.0L)</v>
      </c>
      <c r="K502" s="3" t="s">
        <v>1782</v>
      </c>
      <c r="L502" s="3"/>
      <c r="M502" s="7">
        <v>5</v>
      </c>
      <c r="N502" s="7">
        <v>0</v>
      </c>
    </row>
    <row r="503" spans="1:14" ht="14.25" x14ac:dyDescent="0.2">
      <c r="A503" s="3">
        <v>67047</v>
      </c>
      <c r="B503" s="3" t="s">
        <v>2277</v>
      </c>
      <c r="C503" s="3" t="s">
        <v>16</v>
      </c>
      <c r="D503" s="6" t="s">
        <v>1533</v>
      </c>
      <c r="E503" s="6" t="s">
        <v>1782</v>
      </c>
      <c r="F503" s="3" t="str">
        <f>IFERROR( VLOOKUP(A503,#REF!,2,0),"")</f>
        <v/>
      </c>
      <c r="G503" s="3" t="str">
        <f t="array" ref="G503">_xlfn.XLOOKUP(I503,Base_Datos!D:D,Base_Datos!B:B,"")</f>
        <v>GAC</v>
      </c>
      <c r="H503" s="3" t="str">
        <f t="array" ref="H503">IF(I503="","",IFERROR(_xlfn.XLOOKUP(I503,Base_Datos!$D$2:$D3876,Base_Datos!$C$2:$C3876),""))</f>
        <v>Serie GS</v>
      </c>
      <c r="I503" s="3" t="s">
        <v>1487</v>
      </c>
      <c r="J503" s="3" t="str">
        <f>IF(I503="","",IFERROR(VLOOKUP(I503,Base_Datos!$D$2:$E$72,2,0),""))</f>
        <v>(2.0L)</v>
      </c>
      <c r="K503" s="3" t="s">
        <v>1782</v>
      </c>
      <c r="L503" s="3"/>
      <c r="M503" s="7">
        <v>2</v>
      </c>
      <c r="N503" s="7">
        <v>0</v>
      </c>
    </row>
    <row r="504" spans="1:14" ht="14.25" x14ac:dyDescent="0.2">
      <c r="A504" s="3">
        <v>67048</v>
      </c>
      <c r="B504" s="3" t="s">
        <v>2231</v>
      </c>
      <c r="C504" s="3" t="s">
        <v>16</v>
      </c>
      <c r="D504" s="6" t="s">
        <v>1534</v>
      </c>
      <c r="E504" s="6" t="s">
        <v>1782</v>
      </c>
      <c r="F504" s="3" t="str">
        <f>IFERROR( VLOOKUP(A504,#REF!,2,0),"")</f>
        <v/>
      </c>
      <c r="G504" s="3" t="str">
        <f t="array" ref="G504">_xlfn.XLOOKUP(I504,Base_Datos!D:D,Base_Datos!B:B,"")</f>
        <v>GAC</v>
      </c>
      <c r="H504" s="3" t="str">
        <f t="array" ref="H504">IF(I504="","",IFERROR(_xlfn.XLOOKUP(I504,Base_Datos!$D$2:$D3876,Base_Datos!$C$2:$C3876),""))</f>
        <v>Serie GS</v>
      </c>
      <c r="I504" s="3" t="s">
        <v>1487</v>
      </c>
      <c r="J504" s="3" t="str">
        <f>IF(I504="","",IFERROR(VLOOKUP(I504,Base_Datos!$D$2:$E$72,2,0),""))</f>
        <v>(2.0L)</v>
      </c>
      <c r="K504" s="3" t="s">
        <v>1782</v>
      </c>
      <c r="L504" s="3"/>
      <c r="M504" s="7">
        <v>2</v>
      </c>
      <c r="N504" s="7">
        <v>0</v>
      </c>
    </row>
    <row r="505" spans="1:14" ht="14.25" x14ac:dyDescent="0.2">
      <c r="A505" s="3">
        <v>67049</v>
      </c>
      <c r="B505" s="3" t="s">
        <v>2278</v>
      </c>
      <c r="C505" s="3" t="s">
        <v>16</v>
      </c>
      <c r="D505" s="6" t="s">
        <v>1535</v>
      </c>
      <c r="E505" s="6" t="s">
        <v>1782</v>
      </c>
      <c r="F505" s="3" t="str">
        <f>IFERROR( VLOOKUP(A505,#REF!,2,0),"")</f>
        <v/>
      </c>
      <c r="G505" s="3" t="str">
        <f t="array" ref="G505">_xlfn.XLOOKUP(I505,Base_Datos!D:D,Base_Datos!B:B,"")</f>
        <v>GAC</v>
      </c>
      <c r="H505" s="3" t="str">
        <f t="array" ref="H505">IF(I505="","",IFERROR(_xlfn.XLOOKUP(I505,Base_Datos!$D$2:$D3876,Base_Datos!$C$2:$C3876),""))</f>
        <v>Serie GS</v>
      </c>
      <c r="I505" s="3" t="s">
        <v>1487</v>
      </c>
      <c r="J505" s="3" t="str">
        <f>IF(I505="","",IFERROR(VLOOKUP(I505,Base_Datos!$D$2:$E$72,2,0),""))</f>
        <v>(2.0L)</v>
      </c>
      <c r="K505" s="3" t="s">
        <v>1782</v>
      </c>
      <c r="L505" s="3"/>
      <c r="M505" s="7">
        <v>50</v>
      </c>
      <c r="N505" s="7">
        <v>0</v>
      </c>
    </row>
    <row r="506" spans="1:14" ht="14.25" x14ac:dyDescent="0.2">
      <c r="A506" s="3">
        <v>67050</v>
      </c>
      <c r="B506" s="3" t="s">
        <v>2015</v>
      </c>
      <c r="C506" s="3" t="s">
        <v>16</v>
      </c>
      <c r="D506" s="6" t="s">
        <v>1536</v>
      </c>
      <c r="E506" s="6" t="s">
        <v>1782</v>
      </c>
      <c r="F506" s="3" t="str">
        <f>IFERROR( VLOOKUP(A506,#REF!,2,0),"")</f>
        <v/>
      </c>
      <c r="G506" s="3" t="str">
        <f t="array" ref="G506">_xlfn.XLOOKUP(I506,Base_Datos!D:D,Base_Datos!B:B,"")</f>
        <v>GAC</v>
      </c>
      <c r="H506" s="3" t="str">
        <f t="array" ref="H506">IF(I506="","",IFERROR(_xlfn.XLOOKUP(I506,Base_Datos!$D$2:$D3876,Base_Datos!$C$2:$C3876),""))</f>
        <v>Serie GS</v>
      </c>
      <c r="I506" s="3" t="s">
        <v>1487</v>
      </c>
      <c r="J506" s="3" t="str">
        <f>IF(I506="","",IFERROR(VLOOKUP(I506,Base_Datos!$D$2:$E$72,2,0),""))</f>
        <v>(2.0L)</v>
      </c>
      <c r="K506" s="3" t="s">
        <v>1782</v>
      </c>
      <c r="L506" s="3"/>
      <c r="M506" s="7">
        <v>2</v>
      </c>
      <c r="N506" s="7">
        <v>0</v>
      </c>
    </row>
    <row r="507" spans="1:14" ht="14.25" x14ac:dyDescent="0.2">
      <c r="A507" s="3">
        <v>67051</v>
      </c>
      <c r="B507" s="3" t="s">
        <v>2279</v>
      </c>
      <c r="C507" s="3" t="s">
        <v>16</v>
      </c>
      <c r="D507" s="6" t="s">
        <v>1537</v>
      </c>
      <c r="E507" s="6" t="s">
        <v>1782</v>
      </c>
      <c r="F507" s="3" t="str">
        <f>IFERROR( VLOOKUP(A507,#REF!,2,0),"")</f>
        <v/>
      </c>
      <c r="G507" s="3" t="str">
        <f t="array" ref="G507">_xlfn.XLOOKUP(I507,Base_Datos!D:D,Base_Datos!B:B,"")</f>
        <v>GAC</v>
      </c>
      <c r="H507" s="3" t="str">
        <f t="array" ref="H507">IF(I507="","",IFERROR(_xlfn.XLOOKUP(I507,Base_Datos!$D$2:$D3876,Base_Datos!$C$2:$C3876),""))</f>
        <v>Serie GS</v>
      </c>
      <c r="I507" s="3" t="s">
        <v>1487</v>
      </c>
      <c r="J507" s="3" t="str">
        <f>IF(I507="","",IFERROR(VLOOKUP(I507,Base_Datos!$D$2:$E$72,2,0),""))</f>
        <v>(2.0L)</v>
      </c>
      <c r="K507" s="3" t="s">
        <v>1782</v>
      </c>
      <c r="L507" s="3"/>
      <c r="M507" s="7">
        <v>2</v>
      </c>
      <c r="N507" s="7">
        <v>0</v>
      </c>
    </row>
    <row r="508" spans="1:14" ht="14.25" x14ac:dyDescent="0.2">
      <c r="A508" s="3">
        <v>67052</v>
      </c>
      <c r="B508" s="3" t="s">
        <v>2280</v>
      </c>
      <c r="C508" s="3" t="s">
        <v>16</v>
      </c>
      <c r="D508" s="6" t="s">
        <v>1538</v>
      </c>
      <c r="E508" s="6" t="s">
        <v>1782</v>
      </c>
      <c r="F508" s="3" t="str">
        <f>IFERROR( VLOOKUP(A508,#REF!,2,0),"")</f>
        <v/>
      </c>
      <c r="G508" s="3" t="str">
        <f t="array" ref="G508">_xlfn.XLOOKUP(I508,Base_Datos!D:D,Base_Datos!B:B,"")</f>
        <v>GAC</v>
      </c>
      <c r="H508" s="3" t="str">
        <f t="array" ref="H508">IF(I508="","",IFERROR(_xlfn.XLOOKUP(I508,Base_Datos!$D$2:$D3876,Base_Datos!$C$2:$C3876),""))</f>
        <v>Serie GS</v>
      </c>
      <c r="I508" s="3" t="s">
        <v>1487</v>
      </c>
      <c r="J508" s="3" t="str">
        <f>IF(I508="","",IFERROR(VLOOKUP(I508,Base_Datos!$D$2:$E$72,2,0),""))</f>
        <v>(2.0L)</v>
      </c>
      <c r="K508" s="3" t="s">
        <v>1782</v>
      </c>
      <c r="L508" s="3"/>
      <c r="M508" s="7">
        <v>2</v>
      </c>
      <c r="N508" s="7">
        <v>0</v>
      </c>
    </row>
    <row r="509" spans="1:14" ht="14.25" x14ac:dyDescent="0.2">
      <c r="A509" s="3">
        <v>67053</v>
      </c>
      <c r="B509" s="3" t="s">
        <v>2016</v>
      </c>
      <c r="C509" s="3" t="s">
        <v>16</v>
      </c>
      <c r="D509" s="6" t="s">
        <v>1539</v>
      </c>
      <c r="E509" s="6" t="s">
        <v>1782</v>
      </c>
      <c r="F509" s="3" t="str">
        <f>IFERROR( VLOOKUP(A509,#REF!,2,0),"")</f>
        <v/>
      </c>
      <c r="G509" s="3" t="str">
        <f t="array" ref="G509">_xlfn.XLOOKUP(I509,Base_Datos!D:D,Base_Datos!B:B,"")</f>
        <v>GAC</v>
      </c>
      <c r="H509" s="3" t="str">
        <f t="array" ref="H509">IF(I509="","",IFERROR(_xlfn.XLOOKUP(I509,Base_Datos!$D$2:$D3876,Base_Datos!$C$2:$C3876),""))</f>
        <v>Serie GS</v>
      </c>
      <c r="I509" s="3" t="s">
        <v>1487</v>
      </c>
      <c r="J509" s="3" t="str">
        <f>IF(I509="","",IFERROR(VLOOKUP(I509,Base_Datos!$D$2:$E$72,2,0),""))</f>
        <v>(2.0L)</v>
      </c>
      <c r="K509" s="3" t="s">
        <v>1782</v>
      </c>
      <c r="L509" s="3"/>
      <c r="M509" s="7">
        <v>2</v>
      </c>
      <c r="N509" s="7">
        <v>0</v>
      </c>
    </row>
    <row r="510" spans="1:14" ht="14.25" x14ac:dyDescent="0.2">
      <c r="A510" s="3">
        <v>67054</v>
      </c>
      <c r="B510" s="3" t="s">
        <v>2281</v>
      </c>
      <c r="C510" s="3" t="s">
        <v>16</v>
      </c>
      <c r="D510" s="6" t="s">
        <v>1540</v>
      </c>
      <c r="E510" s="6" t="s">
        <v>1782</v>
      </c>
      <c r="F510" s="3" t="str">
        <f>IFERROR( VLOOKUP(A510,#REF!,2,0),"")</f>
        <v/>
      </c>
      <c r="G510" s="3" t="str">
        <f t="array" ref="G510">_xlfn.XLOOKUP(I510,Base_Datos!D:D,Base_Datos!B:B,"")</f>
        <v>GAC</v>
      </c>
      <c r="H510" s="3" t="str">
        <f t="array" ref="H510">IF(I510="","",IFERROR(_xlfn.XLOOKUP(I510,Base_Datos!$D$2:$D3876,Base_Datos!$C$2:$C3876),""))</f>
        <v>Serie GS</v>
      </c>
      <c r="I510" s="3" t="s">
        <v>1487</v>
      </c>
      <c r="J510" s="3" t="str">
        <f>IF(I510="","",IFERROR(VLOOKUP(I510,Base_Datos!$D$2:$E$72,2,0),""))</f>
        <v>(2.0L)</v>
      </c>
      <c r="K510" s="3" t="s">
        <v>1782</v>
      </c>
      <c r="L510" s="3"/>
      <c r="M510" s="7">
        <v>2</v>
      </c>
      <c r="N510" s="7">
        <v>0</v>
      </c>
    </row>
    <row r="511" spans="1:14" ht="14.25" x14ac:dyDescent="0.2">
      <c r="A511" s="3">
        <v>67055</v>
      </c>
      <c r="B511" s="3" t="s">
        <v>2282</v>
      </c>
      <c r="C511" s="3" t="s">
        <v>16</v>
      </c>
      <c r="D511" s="6" t="s">
        <v>1541</v>
      </c>
      <c r="E511" s="6" t="s">
        <v>1782</v>
      </c>
      <c r="F511" s="3" t="str">
        <f>IFERROR( VLOOKUP(A511,#REF!,2,0),"")</f>
        <v/>
      </c>
      <c r="G511" s="3" t="str">
        <f t="array" ref="G511">_xlfn.XLOOKUP(I511,Base_Datos!D:D,Base_Datos!B:B,"")</f>
        <v>GAC</v>
      </c>
      <c r="H511" s="3" t="str">
        <f t="array" ref="H511">IF(I511="","",IFERROR(_xlfn.XLOOKUP(I511,Base_Datos!$D$2:$D3876,Base_Datos!$C$2:$C3876),""))</f>
        <v>Serie GS</v>
      </c>
      <c r="I511" s="3" t="s">
        <v>1487</v>
      </c>
      <c r="J511" s="3" t="str">
        <f>IF(I511="","",IFERROR(VLOOKUP(I511,Base_Datos!$D$2:$E$72,2,0),""))</f>
        <v>(2.0L)</v>
      </c>
      <c r="K511" s="3" t="s">
        <v>1782</v>
      </c>
      <c r="L511" s="3"/>
      <c r="M511" s="7">
        <v>2</v>
      </c>
      <c r="N511" s="7">
        <v>0</v>
      </c>
    </row>
    <row r="512" spans="1:14" ht="14.25" x14ac:dyDescent="0.2">
      <c r="A512" s="3">
        <v>67056</v>
      </c>
      <c r="B512" s="3" t="s">
        <v>2017</v>
      </c>
      <c r="C512" s="3" t="s">
        <v>16</v>
      </c>
      <c r="D512" s="6" t="s">
        <v>1542</v>
      </c>
      <c r="E512" s="6" t="s">
        <v>1782</v>
      </c>
      <c r="F512" s="3" t="str">
        <f>IFERROR( VLOOKUP(A512,#REF!,2,0),"")</f>
        <v/>
      </c>
      <c r="G512" s="3" t="str">
        <f t="array" ref="G512">_xlfn.XLOOKUP(I512,Base_Datos!D:D,Base_Datos!B:B,"")</f>
        <v>GAC</v>
      </c>
      <c r="H512" s="3" t="str">
        <f t="array" ref="H512">IF(I512="","",IFERROR(_xlfn.XLOOKUP(I512,Base_Datos!$D$2:$D3876,Base_Datos!$C$2:$C3876),""))</f>
        <v>Serie GS</v>
      </c>
      <c r="I512" s="3" t="s">
        <v>1487</v>
      </c>
      <c r="J512" s="3" t="str">
        <f>IF(I512="","",IFERROR(VLOOKUP(I512,Base_Datos!$D$2:$E$72,2,0),""))</f>
        <v>(2.0L)</v>
      </c>
      <c r="K512" s="3" t="s">
        <v>1782</v>
      </c>
      <c r="L512" s="3"/>
      <c r="M512" s="7">
        <v>2</v>
      </c>
      <c r="N512" s="7">
        <v>0</v>
      </c>
    </row>
    <row r="513" spans="1:14" ht="14.25" x14ac:dyDescent="0.2">
      <c r="A513" s="3">
        <v>67057</v>
      </c>
      <c r="B513" s="3" t="s">
        <v>2018</v>
      </c>
      <c r="C513" s="3" t="s">
        <v>16</v>
      </c>
      <c r="D513" s="6" t="s">
        <v>1543</v>
      </c>
      <c r="E513" s="6" t="s">
        <v>1782</v>
      </c>
      <c r="F513" s="3" t="str">
        <f>IFERROR( VLOOKUP(A513,#REF!,2,0),"")</f>
        <v/>
      </c>
      <c r="G513" s="3" t="str">
        <f t="array" ref="G513">_xlfn.XLOOKUP(I513,Base_Datos!D:D,Base_Datos!B:B,"")</f>
        <v>GAC</v>
      </c>
      <c r="H513" s="3" t="str">
        <f t="array" ref="H513">IF(I513="","",IFERROR(_xlfn.XLOOKUP(I513,Base_Datos!$D$2:$D3876,Base_Datos!$C$2:$C3876),""))</f>
        <v>Serie GS</v>
      </c>
      <c r="I513" s="3" t="s">
        <v>1487</v>
      </c>
      <c r="J513" s="3" t="str">
        <f>IF(I513="","",IFERROR(VLOOKUP(I513,Base_Datos!$D$2:$E$72,2,0),""))</f>
        <v>(2.0L)</v>
      </c>
      <c r="K513" s="3" t="s">
        <v>1782</v>
      </c>
      <c r="L513" s="3"/>
      <c r="M513" s="7">
        <v>2</v>
      </c>
      <c r="N513" s="7">
        <v>0</v>
      </c>
    </row>
    <row r="514" spans="1:14" ht="14.25" x14ac:dyDescent="0.2">
      <c r="A514" s="3">
        <v>67058</v>
      </c>
      <c r="B514" s="3" t="s">
        <v>1965</v>
      </c>
      <c r="C514" s="3" t="s">
        <v>16</v>
      </c>
      <c r="D514" s="6" t="s">
        <v>1544</v>
      </c>
      <c r="E514" s="6" t="s">
        <v>1782</v>
      </c>
      <c r="F514" s="3" t="str">
        <f>IFERROR( VLOOKUP(A514,#REF!,2,0),"")</f>
        <v/>
      </c>
      <c r="G514" s="3" t="str">
        <f t="array" ref="G514">_xlfn.XLOOKUP(I514,Base_Datos!D:D,Base_Datos!B:B,"")</f>
        <v>GAC</v>
      </c>
      <c r="H514" s="3" t="str">
        <f t="array" ref="H514">IF(I514="","",IFERROR(_xlfn.XLOOKUP(I514,Base_Datos!$D$2:$D3876,Base_Datos!$C$2:$C3876),""))</f>
        <v>Serie GS</v>
      </c>
      <c r="I514" s="3" t="s">
        <v>1487</v>
      </c>
      <c r="J514" s="3" t="str">
        <f>IF(I514="","",IFERROR(VLOOKUP(I514,Base_Datos!$D$2:$E$72,2,0),""))</f>
        <v>(2.0L)</v>
      </c>
      <c r="K514" s="3" t="s">
        <v>1782</v>
      </c>
      <c r="L514" s="3"/>
      <c r="M514" s="7">
        <v>2</v>
      </c>
      <c r="N514" s="7">
        <v>0</v>
      </c>
    </row>
    <row r="515" spans="1:14" ht="14.25" x14ac:dyDescent="0.2">
      <c r="A515" s="3">
        <v>67059</v>
      </c>
      <c r="B515" s="3" t="s">
        <v>1927</v>
      </c>
      <c r="C515" s="3" t="s">
        <v>16</v>
      </c>
      <c r="D515" s="6" t="s">
        <v>1545</v>
      </c>
      <c r="E515" s="6" t="s">
        <v>1782</v>
      </c>
      <c r="F515" s="3" t="str">
        <f>IFERROR( VLOOKUP(A515,#REF!,2,0),"")</f>
        <v/>
      </c>
      <c r="G515" s="3" t="str">
        <f t="array" ref="G515">_xlfn.XLOOKUP(I515,Base_Datos!D:D,Base_Datos!B:B,"")</f>
        <v>GAC</v>
      </c>
      <c r="H515" s="3" t="str">
        <f t="array" ref="H515">IF(I515="","",IFERROR(_xlfn.XLOOKUP(I515,Base_Datos!$D$2:$D3876,Base_Datos!$C$2:$C3876),""))</f>
        <v>Serie GS</v>
      </c>
      <c r="I515" s="3" t="s">
        <v>1487</v>
      </c>
      <c r="J515" s="3" t="str">
        <f>IF(I515="","",IFERROR(VLOOKUP(I515,Base_Datos!$D$2:$E$72,2,0),""))</f>
        <v>(2.0L)</v>
      </c>
      <c r="K515" s="3" t="s">
        <v>1782</v>
      </c>
      <c r="L515" s="3"/>
      <c r="M515" s="7">
        <v>0</v>
      </c>
      <c r="N515" s="7">
        <v>0</v>
      </c>
    </row>
    <row r="516" spans="1:14" ht="14.25" x14ac:dyDescent="0.2">
      <c r="A516" s="3">
        <v>67060</v>
      </c>
      <c r="B516" s="3" t="s">
        <v>2283</v>
      </c>
      <c r="C516" s="3" t="s">
        <v>16</v>
      </c>
      <c r="D516" s="6" t="s">
        <v>1546</v>
      </c>
      <c r="E516" s="6" t="s">
        <v>1782</v>
      </c>
      <c r="F516" s="3" t="str">
        <f>IFERROR( VLOOKUP(A516,#REF!,2,0),"")</f>
        <v/>
      </c>
      <c r="G516" s="3" t="str">
        <f t="array" ref="G516">_xlfn.XLOOKUP(I516,Base_Datos!D:D,Base_Datos!B:B,"")</f>
        <v>GAC</v>
      </c>
      <c r="H516" s="3" t="str">
        <f t="array" ref="H516">IF(I516="","",IFERROR(_xlfn.XLOOKUP(I516,Base_Datos!$D$2:$D3876,Base_Datos!$C$2:$C3876),""))</f>
        <v>Serie GS</v>
      </c>
      <c r="I516" s="3" t="s">
        <v>1487</v>
      </c>
      <c r="J516" s="3" t="str">
        <f>IF(I516="","",IFERROR(VLOOKUP(I516,Base_Datos!$D$2:$E$72,2,0),""))</f>
        <v>(2.0L)</v>
      </c>
      <c r="K516" s="3" t="s">
        <v>1782</v>
      </c>
      <c r="L516" s="3"/>
      <c r="M516" s="7">
        <v>2</v>
      </c>
      <c r="N516" s="7">
        <v>0</v>
      </c>
    </row>
    <row r="517" spans="1:14" ht="14.25" x14ac:dyDescent="0.2">
      <c r="A517" s="3">
        <v>67061</v>
      </c>
      <c r="B517" s="3" t="s">
        <v>2019</v>
      </c>
      <c r="C517" s="3" t="s">
        <v>16</v>
      </c>
      <c r="D517" s="6" t="s">
        <v>1547</v>
      </c>
      <c r="E517" s="6" t="s">
        <v>1782</v>
      </c>
      <c r="F517" s="3" t="str">
        <f>IFERROR( VLOOKUP(A517,#REF!,2,0),"")</f>
        <v/>
      </c>
      <c r="G517" s="3" t="str">
        <f t="array" ref="G517">_xlfn.XLOOKUP(I517,Base_Datos!D:D,Base_Datos!B:B,"")</f>
        <v>GAC</v>
      </c>
      <c r="H517" s="3" t="str">
        <f t="array" ref="H517">IF(I517="","",IFERROR(_xlfn.XLOOKUP(I517,Base_Datos!$D$2:$D3876,Base_Datos!$C$2:$C3876),""))</f>
        <v>Serie GS</v>
      </c>
      <c r="I517" s="3" t="s">
        <v>1487</v>
      </c>
      <c r="J517" s="3" t="str">
        <f>IF(I517="","",IFERROR(VLOOKUP(I517,Base_Datos!$D$2:$E$72,2,0),""))</f>
        <v>(2.0L)</v>
      </c>
      <c r="K517" s="3" t="s">
        <v>1782</v>
      </c>
      <c r="L517" s="3"/>
      <c r="M517" s="7">
        <v>2</v>
      </c>
      <c r="N517" s="7">
        <v>0</v>
      </c>
    </row>
    <row r="518" spans="1:14" ht="14.25" x14ac:dyDescent="0.2">
      <c r="A518" s="3">
        <v>67062</v>
      </c>
      <c r="B518" s="3" t="s">
        <v>2284</v>
      </c>
      <c r="C518" s="3" t="s">
        <v>16</v>
      </c>
      <c r="D518" s="6" t="s">
        <v>1548</v>
      </c>
      <c r="E518" s="6" t="s">
        <v>1782</v>
      </c>
      <c r="F518" s="3" t="str">
        <f>IFERROR( VLOOKUP(A518,#REF!,2,0),"")</f>
        <v/>
      </c>
      <c r="G518" s="3" t="str">
        <f t="array" ref="G518">_xlfn.XLOOKUP(I518,Base_Datos!D:D,Base_Datos!B:B,"")</f>
        <v>GAC</v>
      </c>
      <c r="H518" s="3" t="str">
        <f t="array" ref="H518">IF(I518="","",IFERROR(_xlfn.XLOOKUP(I518,Base_Datos!$D$2:$D3876,Base_Datos!$C$2:$C3876),""))</f>
        <v>Serie GS</v>
      </c>
      <c r="I518" s="3" t="s">
        <v>1487</v>
      </c>
      <c r="J518" s="3" t="str">
        <f>IF(I518="","",IFERROR(VLOOKUP(I518,Base_Datos!$D$2:$E$72,2,0),""))</f>
        <v>(2.0L)</v>
      </c>
      <c r="K518" s="3" t="s">
        <v>1782</v>
      </c>
      <c r="L518" s="3"/>
      <c r="M518" s="7">
        <v>2</v>
      </c>
      <c r="N518" s="7">
        <v>0</v>
      </c>
    </row>
    <row r="519" spans="1:14" ht="14.25" x14ac:dyDescent="0.2">
      <c r="A519" s="3">
        <v>67063</v>
      </c>
      <c r="B519" s="3" t="s">
        <v>1939</v>
      </c>
      <c r="C519" s="3" t="s">
        <v>16</v>
      </c>
      <c r="D519" s="6" t="s">
        <v>1549</v>
      </c>
      <c r="E519" s="6" t="s">
        <v>1782</v>
      </c>
      <c r="F519" s="3" t="str">
        <f>IFERROR( VLOOKUP(A519,#REF!,2,0),"")</f>
        <v/>
      </c>
      <c r="G519" s="3" t="str">
        <f t="array" ref="G519">_xlfn.XLOOKUP(I519,Base_Datos!D:D,Base_Datos!B:B,"")</f>
        <v>GAC</v>
      </c>
      <c r="H519" s="3" t="str">
        <f t="array" ref="H519">IF(I519="","",IFERROR(_xlfn.XLOOKUP(I519,Base_Datos!$D$2:$D3876,Base_Datos!$C$2:$C3876),""))</f>
        <v>Serie GS</v>
      </c>
      <c r="I519" s="3" t="s">
        <v>1487</v>
      </c>
      <c r="J519" s="3" t="str">
        <f>IF(I519="","",IFERROR(VLOOKUP(I519,Base_Datos!$D$2:$E$72,2,0),""))</f>
        <v>(2.0L)</v>
      </c>
      <c r="K519" s="3" t="s">
        <v>1782</v>
      </c>
      <c r="L519" s="3"/>
      <c r="M519" s="7">
        <v>2</v>
      </c>
      <c r="N519" s="7">
        <v>0</v>
      </c>
    </row>
    <row r="520" spans="1:14" ht="14.25" x14ac:dyDescent="0.2">
      <c r="A520" s="3">
        <v>67064</v>
      </c>
      <c r="B520" s="3" t="s">
        <v>2285</v>
      </c>
      <c r="C520" s="3" t="s">
        <v>16</v>
      </c>
      <c r="D520" s="6" t="s">
        <v>1550</v>
      </c>
      <c r="E520" s="6" t="s">
        <v>1782</v>
      </c>
      <c r="F520" s="3" t="str">
        <f>IFERROR( VLOOKUP(A520,#REF!,2,0),"")</f>
        <v/>
      </c>
      <c r="G520" s="3" t="str">
        <f t="array" ref="G520">_xlfn.XLOOKUP(I520,Base_Datos!D:D,Base_Datos!B:B,"")</f>
        <v>GAC</v>
      </c>
      <c r="H520" s="3" t="str">
        <f t="array" ref="H520">IF(I520="","",IFERROR(_xlfn.XLOOKUP(I520,Base_Datos!$D$2:$D3876,Base_Datos!$C$2:$C3876),""))</f>
        <v>Serie GS</v>
      </c>
      <c r="I520" s="3" t="s">
        <v>1487</v>
      </c>
      <c r="J520" s="3" t="str">
        <f>IF(I520="","",IFERROR(VLOOKUP(I520,Base_Datos!$D$2:$E$72,2,0),""))</f>
        <v>(2.0L)</v>
      </c>
      <c r="K520" s="3" t="s">
        <v>1782</v>
      </c>
      <c r="L520" s="3"/>
      <c r="M520" s="7">
        <v>2</v>
      </c>
      <c r="N520" s="7">
        <v>0</v>
      </c>
    </row>
    <row r="521" spans="1:14" ht="14.25" x14ac:dyDescent="0.2">
      <c r="A521" s="3">
        <v>67065</v>
      </c>
      <c r="B521" s="3" t="s">
        <v>2023</v>
      </c>
      <c r="C521" s="3" t="s">
        <v>16</v>
      </c>
      <c r="D521" s="6" t="s">
        <v>1551</v>
      </c>
      <c r="E521" s="6" t="s">
        <v>1782</v>
      </c>
      <c r="F521" s="3" t="str">
        <f>IFERROR( VLOOKUP(A521,#REF!,2,0),"")</f>
        <v/>
      </c>
      <c r="G521" s="3" t="str">
        <f t="array" ref="G521">_xlfn.XLOOKUP(I521,Base_Datos!D:D,Base_Datos!B:B,"")</f>
        <v>GAC</v>
      </c>
      <c r="H521" s="3" t="str">
        <f t="array" ref="H521">IF(I521="","",IFERROR(_xlfn.XLOOKUP(I521,Base_Datos!$D$2:$D3876,Base_Datos!$C$2:$C3876),""))</f>
        <v>Serie GS</v>
      </c>
      <c r="I521" s="3" t="s">
        <v>1487</v>
      </c>
      <c r="J521" s="3" t="str">
        <f>IF(I521="","",IFERROR(VLOOKUP(I521,Base_Datos!$D$2:$E$72,2,0),""))</f>
        <v>(2.0L)</v>
      </c>
      <c r="K521" s="3" t="s">
        <v>1782</v>
      </c>
      <c r="L521" s="3"/>
      <c r="M521" s="7">
        <v>2</v>
      </c>
      <c r="N521" s="7">
        <v>0</v>
      </c>
    </row>
    <row r="522" spans="1:14" ht="14.25" x14ac:dyDescent="0.2">
      <c r="A522" s="3">
        <v>67066</v>
      </c>
      <c r="B522" s="3" t="s">
        <v>1928</v>
      </c>
      <c r="C522" s="3" t="s">
        <v>16</v>
      </c>
      <c r="D522" s="6" t="s">
        <v>1552</v>
      </c>
      <c r="E522" s="6" t="s">
        <v>1552</v>
      </c>
      <c r="F522" s="3" t="str">
        <f>IFERROR( VLOOKUP(A522,#REF!,2,0),"")</f>
        <v/>
      </c>
      <c r="G522" s="3" t="str">
        <f t="array" ref="G522">_xlfn.XLOOKUP(I522,Base_Datos!D:D,Base_Datos!B:B,"")</f>
        <v>GAC</v>
      </c>
      <c r="H522" s="3" t="str">
        <f t="array" ref="H522">IF(I522="","",IFERROR(_xlfn.XLOOKUP(I522,Base_Datos!$D$2:$D3876,Base_Datos!$C$2:$C3876),""))</f>
        <v>Serie GS</v>
      </c>
      <c r="I522" s="3" t="s">
        <v>1487</v>
      </c>
      <c r="J522" s="3" t="str">
        <f>IF(I522="","",IFERROR(VLOOKUP(I522,Base_Datos!$D$2:$E$72,2,0),""))</f>
        <v>(2.0L)</v>
      </c>
      <c r="K522" s="3" t="s">
        <v>1782</v>
      </c>
      <c r="L522" s="3"/>
      <c r="M522" s="7">
        <v>1</v>
      </c>
      <c r="N522" s="7">
        <v>0</v>
      </c>
    </row>
    <row r="523" spans="1:14" ht="14.25" x14ac:dyDescent="0.2">
      <c r="A523" s="3">
        <v>67067</v>
      </c>
      <c r="B523" s="3" t="s">
        <v>2024</v>
      </c>
      <c r="C523" s="3" t="s">
        <v>16</v>
      </c>
      <c r="D523" s="6" t="s">
        <v>1553</v>
      </c>
      <c r="E523" s="6" t="s">
        <v>1782</v>
      </c>
      <c r="F523" s="3" t="str">
        <f>IFERROR( VLOOKUP(A523,#REF!,2,0),"")</f>
        <v/>
      </c>
      <c r="G523" s="3" t="str">
        <f t="array" ref="G523">_xlfn.XLOOKUP(I523,Base_Datos!D:D,Base_Datos!B:B,"")</f>
        <v>GAC</v>
      </c>
      <c r="H523" s="3" t="str">
        <f t="array" ref="H523">IF(I523="","",IFERROR(_xlfn.XLOOKUP(I523,Base_Datos!$D$2:$D3876,Base_Datos!$C$2:$C3876),""))</f>
        <v>Serie GS</v>
      </c>
      <c r="I523" s="3" t="s">
        <v>1487</v>
      </c>
      <c r="J523" s="3" t="str">
        <f>IF(I523="","",IFERROR(VLOOKUP(I523,Base_Datos!$D$2:$E$72,2,0),""))</f>
        <v>(2.0L)</v>
      </c>
      <c r="K523" s="3" t="s">
        <v>1782</v>
      </c>
      <c r="L523" s="3"/>
      <c r="M523" s="7">
        <v>2</v>
      </c>
      <c r="N523" s="7">
        <v>0</v>
      </c>
    </row>
    <row r="524" spans="1:14" ht="14.25" x14ac:dyDescent="0.2">
      <c r="A524" s="3">
        <v>67068</v>
      </c>
      <c r="B524" s="3" t="s">
        <v>2024</v>
      </c>
      <c r="C524" s="3" t="s">
        <v>16</v>
      </c>
      <c r="D524" s="6" t="s">
        <v>1554</v>
      </c>
      <c r="E524" s="6" t="s">
        <v>1782</v>
      </c>
      <c r="F524" s="3" t="str">
        <f>IFERROR( VLOOKUP(A524,#REF!,2,0),"")</f>
        <v/>
      </c>
      <c r="G524" s="3" t="str">
        <f t="array" ref="G524">_xlfn.XLOOKUP(I524,Base_Datos!D:D,Base_Datos!B:B,"")</f>
        <v>GAC</v>
      </c>
      <c r="H524" s="3" t="str">
        <f t="array" ref="H524">IF(I524="","",IFERROR(_xlfn.XLOOKUP(I524,Base_Datos!$D$2:$D3876,Base_Datos!$C$2:$C3876),""))</f>
        <v>Serie GS</v>
      </c>
      <c r="I524" s="3" t="s">
        <v>1487</v>
      </c>
      <c r="J524" s="3" t="str">
        <f>IF(I524="","",IFERROR(VLOOKUP(I524,Base_Datos!$D$2:$E$72,2,0),""))</f>
        <v>(2.0L)</v>
      </c>
      <c r="K524" s="3" t="s">
        <v>1782</v>
      </c>
      <c r="L524" s="3"/>
      <c r="M524" s="7">
        <v>2</v>
      </c>
      <c r="N524" s="7">
        <v>0</v>
      </c>
    </row>
    <row r="525" spans="1:14" ht="14.25" x14ac:dyDescent="0.2">
      <c r="A525" s="3">
        <v>67069</v>
      </c>
      <c r="B525" s="3" t="s">
        <v>2025</v>
      </c>
      <c r="C525" s="3" t="s">
        <v>16</v>
      </c>
      <c r="D525" s="6" t="s">
        <v>1555</v>
      </c>
      <c r="E525" s="6" t="s">
        <v>1782</v>
      </c>
      <c r="F525" s="3" t="str">
        <f>IFERROR( VLOOKUP(A525,#REF!,2,0),"")</f>
        <v/>
      </c>
      <c r="G525" s="3" t="str">
        <f t="array" ref="G525">_xlfn.XLOOKUP(I525,Base_Datos!D:D,Base_Datos!B:B,"")</f>
        <v>GAC</v>
      </c>
      <c r="H525" s="3" t="str">
        <f t="array" ref="H525">IF(I525="","",IFERROR(_xlfn.XLOOKUP(I525,Base_Datos!$D$2:$D3876,Base_Datos!$C$2:$C3876),""))</f>
        <v>Serie GS</v>
      </c>
      <c r="I525" s="3" t="s">
        <v>1487</v>
      </c>
      <c r="J525" s="3" t="str">
        <f>IF(I525="","",IFERROR(VLOOKUP(I525,Base_Datos!$D$2:$E$72,2,0),""))</f>
        <v>(2.0L)</v>
      </c>
      <c r="K525" s="3" t="s">
        <v>1782</v>
      </c>
      <c r="L525" s="3"/>
      <c r="M525" s="7">
        <v>2</v>
      </c>
      <c r="N525" s="7">
        <v>0</v>
      </c>
    </row>
    <row r="526" spans="1:14" ht="14.25" x14ac:dyDescent="0.2">
      <c r="A526" s="3">
        <v>67070</v>
      </c>
      <c r="B526" s="3" t="s">
        <v>1944</v>
      </c>
      <c r="C526" s="3" t="s">
        <v>16</v>
      </c>
      <c r="D526" s="6" t="s">
        <v>1556</v>
      </c>
      <c r="E526" s="6" t="s">
        <v>1782</v>
      </c>
      <c r="F526" s="3" t="str">
        <f>IFERROR( VLOOKUP(A526,#REF!,2,0),"")</f>
        <v/>
      </c>
      <c r="G526" s="3" t="str">
        <f t="array" ref="G526">_xlfn.XLOOKUP(I526,Base_Datos!D:D,Base_Datos!B:B,"")</f>
        <v>GAC</v>
      </c>
      <c r="H526" s="3" t="str">
        <f t="array" ref="H526">IF(I526="","",IFERROR(_xlfn.XLOOKUP(I526,Base_Datos!$D$2:$D3876,Base_Datos!$C$2:$C3876),""))</f>
        <v>Serie GS</v>
      </c>
      <c r="I526" s="3" t="s">
        <v>1487</v>
      </c>
      <c r="J526" s="3" t="str">
        <f>IF(I526="","",IFERROR(VLOOKUP(I526,Base_Datos!$D$2:$E$72,2,0),""))</f>
        <v>(2.0L)</v>
      </c>
      <c r="K526" s="3" t="s">
        <v>1782</v>
      </c>
      <c r="L526" s="3"/>
      <c r="M526" s="7">
        <v>2</v>
      </c>
      <c r="N526" s="7">
        <v>0</v>
      </c>
    </row>
    <row r="527" spans="1:14" ht="14.25" x14ac:dyDescent="0.2">
      <c r="A527" s="3">
        <v>67071</v>
      </c>
      <c r="B527" s="3" t="s">
        <v>2233</v>
      </c>
      <c r="C527" s="3" t="s">
        <v>16</v>
      </c>
      <c r="D527" s="6" t="s">
        <v>1557</v>
      </c>
      <c r="E527" s="6" t="s">
        <v>1782</v>
      </c>
      <c r="F527" s="3" t="str">
        <f>IFERROR( VLOOKUP(A527,#REF!,2,0),"")</f>
        <v/>
      </c>
      <c r="G527" s="3" t="str">
        <f t="array" ref="G527">_xlfn.XLOOKUP(I527,Base_Datos!D:D,Base_Datos!B:B,"")</f>
        <v>GAC</v>
      </c>
      <c r="H527" s="3" t="str">
        <f t="array" ref="H527">IF(I527="","",IFERROR(_xlfn.XLOOKUP(I527,Base_Datos!$D$2:$D3876,Base_Datos!$C$2:$C3876),""))</f>
        <v>Serie GS</v>
      </c>
      <c r="I527" s="3" t="s">
        <v>1487</v>
      </c>
      <c r="J527" s="3" t="str">
        <f>IF(I527="","",IFERROR(VLOOKUP(I527,Base_Datos!$D$2:$E$72,2,0),""))</f>
        <v>(2.0L)</v>
      </c>
      <c r="K527" s="3" t="s">
        <v>1782</v>
      </c>
      <c r="L527" s="3"/>
      <c r="M527" s="7">
        <v>2</v>
      </c>
      <c r="N527" s="7">
        <v>0</v>
      </c>
    </row>
    <row r="528" spans="1:14" ht="14.25" x14ac:dyDescent="0.2">
      <c r="A528" s="3">
        <v>67072</v>
      </c>
      <c r="B528" s="3" t="s">
        <v>2286</v>
      </c>
      <c r="C528" s="3" t="s">
        <v>16</v>
      </c>
      <c r="D528" s="6" t="s">
        <v>1558</v>
      </c>
      <c r="E528" s="6" t="s">
        <v>1782</v>
      </c>
      <c r="F528" s="3" t="str">
        <f>IFERROR( VLOOKUP(A528,#REF!,2,0),"")</f>
        <v/>
      </c>
      <c r="G528" s="3" t="str">
        <f t="array" ref="G528">_xlfn.XLOOKUP(I528,Base_Datos!D:D,Base_Datos!B:B,"")</f>
        <v>GAC</v>
      </c>
      <c r="H528" s="3" t="str">
        <f t="array" ref="H528">IF(I528="","",IFERROR(_xlfn.XLOOKUP(I528,Base_Datos!$D$2:$D3876,Base_Datos!$C$2:$C3876),""))</f>
        <v>Serie GS</v>
      </c>
      <c r="I528" s="3" t="s">
        <v>1487</v>
      </c>
      <c r="J528" s="3" t="str">
        <f>IF(I528="","",IFERROR(VLOOKUP(I528,Base_Datos!$D$2:$E$72,2,0),""))</f>
        <v>(2.0L)</v>
      </c>
      <c r="K528" s="3" t="s">
        <v>1782</v>
      </c>
      <c r="L528" s="3"/>
      <c r="M528" s="7">
        <v>2</v>
      </c>
      <c r="N528" s="7">
        <v>0</v>
      </c>
    </row>
    <row r="529" spans="1:14" ht="14.25" x14ac:dyDescent="0.2">
      <c r="A529" s="3">
        <v>67073</v>
      </c>
      <c r="B529" s="3" t="s">
        <v>2287</v>
      </c>
      <c r="C529" s="3" t="s">
        <v>16</v>
      </c>
      <c r="D529" s="6" t="s">
        <v>1559</v>
      </c>
      <c r="E529" s="6" t="s">
        <v>1782</v>
      </c>
      <c r="F529" s="3" t="str">
        <f>IFERROR( VLOOKUP(A529,#REF!,2,0),"")</f>
        <v/>
      </c>
      <c r="G529" s="3" t="str">
        <f t="array" ref="G529">_xlfn.XLOOKUP(I529,Base_Datos!D:D,Base_Datos!B:B,"")</f>
        <v>GAC</v>
      </c>
      <c r="H529" s="3" t="str">
        <f t="array" ref="H529">IF(I529="","",IFERROR(_xlfn.XLOOKUP(I529,Base_Datos!$D$2:$D3876,Base_Datos!$C$2:$C3876),""))</f>
        <v>Serie GS</v>
      </c>
      <c r="I529" s="3" t="s">
        <v>1487</v>
      </c>
      <c r="J529" s="3" t="str">
        <f>IF(I529="","",IFERROR(VLOOKUP(I529,Base_Datos!$D$2:$E$72,2,0),""))</f>
        <v>(2.0L)</v>
      </c>
      <c r="K529" s="3" t="s">
        <v>1782</v>
      </c>
      <c r="L529" s="3"/>
      <c r="M529" s="7">
        <v>2</v>
      </c>
      <c r="N529" s="7">
        <v>0</v>
      </c>
    </row>
    <row r="530" spans="1:14" ht="14.25" x14ac:dyDescent="0.2">
      <c r="A530" s="3">
        <v>67074</v>
      </c>
      <c r="B530" s="3" t="s">
        <v>2288</v>
      </c>
      <c r="C530" s="3" t="s">
        <v>16</v>
      </c>
      <c r="D530" s="6" t="s">
        <v>1560</v>
      </c>
      <c r="E530" s="6" t="s">
        <v>1782</v>
      </c>
      <c r="F530" s="3" t="str">
        <f>IFERROR( VLOOKUP(A530,#REF!,2,0),"")</f>
        <v/>
      </c>
      <c r="G530" s="3" t="str">
        <f t="array" ref="G530">_xlfn.XLOOKUP(I530,Base_Datos!D:D,Base_Datos!B:B,"")</f>
        <v>GAC</v>
      </c>
      <c r="H530" s="3" t="str">
        <f t="array" ref="H530">IF(I530="","",IFERROR(_xlfn.XLOOKUP(I530,Base_Datos!$D$2:$D3876,Base_Datos!$C$2:$C3876),""))</f>
        <v>Serie GS</v>
      </c>
      <c r="I530" s="3" t="s">
        <v>1487</v>
      </c>
      <c r="J530" s="3" t="str">
        <f>IF(I530="","",IFERROR(VLOOKUP(I530,Base_Datos!$D$2:$E$72,2,0),""))</f>
        <v>(2.0L)</v>
      </c>
      <c r="K530" s="3" t="s">
        <v>1782</v>
      </c>
      <c r="L530" s="3"/>
      <c r="M530" s="7">
        <v>2</v>
      </c>
      <c r="N530" s="7">
        <v>0</v>
      </c>
    </row>
    <row r="531" spans="1:14" ht="14.25" x14ac:dyDescent="0.2">
      <c r="A531" s="3">
        <v>67075</v>
      </c>
      <c r="B531" s="3" t="s">
        <v>2289</v>
      </c>
      <c r="C531" s="3" t="s">
        <v>16</v>
      </c>
      <c r="D531" s="6" t="s">
        <v>1561</v>
      </c>
      <c r="E531" s="6" t="s">
        <v>1782</v>
      </c>
      <c r="F531" s="3" t="str">
        <f>IFERROR( VLOOKUP(A531,#REF!,2,0),"")</f>
        <v/>
      </c>
      <c r="G531" s="3" t="str">
        <f t="array" ref="G531">_xlfn.XLOOKUP(I531,Base_Datos!D:D,Base_Datos!B:B,"")</f>
        <v>GAC</v>
      </c>
      <c r="H531" s="3" t="str">
        <f t="array" ref="H531">IF(I531="","",IFERROR(_xlfn.XLOOKUP(I531,Base_Datos!$D$2:$D3876,Base_Datos!$C$2:$C3876),""))</f>
        <v>Serie GS</v>
      </c>
      <c r="I531" s="3" t="s">
        <v>1487</v>
      </c>
      <c r="J531" s="3" t="str">
        <f>IF(I531="","",IFERROR(VLOOKUP(I531,Base_Datos!$D$2:$E$72,2,0),""))</f>
        <v>(2.0L)</v>
      </c>
      <c r="K531" s="3" t="s">
        <v>1782</v>
      </c>
      <c r="L531" s="3"/>
      <c r="M531" s="7">
        <v>2</v>
      </c>
      <c r="N531" s="7">
        <v>0</v>
      </c>
    </row>
    <row r="532" spans="1:14" ht="14.25" x14ac:dyDescent="0.2">
      <c r="A532" s="3">
        <v>67076</v>
      </c>
      <c r="B532" s="3" t="s">
        <v>2031</v>
      </c>
      <c r="C532" s="3" t="s">
        <v>16</v>
      </c>
      <c r="D532" s="6" t="s">
        <v>1562</v>
      </c>
      <c r="E532" s="6" t="s">
        <v>1782</v>
      </c>
      <c r="F532" s="3" t="str">
        <f>IFERROR( VLOOKUP(A532,#REF!,2,0),"")</f>
        <v/>
      </c>
      <c r="G532" s="3" t="str">
        <f t="array" ref="G532">_xlfn.XLOOKUP(I532,Base_Datos!D:D,Base_Datos!B:B,"")</f>
        <v>GAC</v>
      </c>
      <c r="H532" s="3" t="str">
        <f t="array" ref="H532">IF(I532="","",IFERROR(_xlfn.XLOOKUP(I532,Base_Datos!$D$2:$D3876,Base_Datos!$C$2:$C3876),""))</f>
        <v>Serie GS</v>
      </c>
      <c r="I532" s="3" t="s">
        <v>1487</v>
      </c>
      <c r="J532" s="3" t="str">
        <f>IF(I532="","",IFERROR(VLOOKUP(I532,Base_Datos!$D$2:$E$72,2,0),""))</f>
        <v>(2.0L)</v>
      </c>
      <c r="K532" s="3" t="s">
        <v>1782</v>
      </c>
      <c r="L532" s="3"/>
      <c r="M532" s="7">
        <v>2</v>
      </c>
      <c r="N532" s="7">
        <v>0</v>
      </c>
    </row>
    <row r="533" spans="1:14" ht="14.25" x14ac:dyDescent="0.2">
      <c r="A533" s="3">
        <v>67077</v>
      </c>
      <c r="B533" s="3" t="s">
        <v>2032</v>
      </c>
      <c r="C533" s="3" t="s">
        <v>16</v>
      </c>
      <c r="D533" s="6" t="s">
        <v>1563</v>
      </c>
      <c r="E533" s="6" t="s">
        <v>1782</v>
      </c>
      <c r="F533" s="3" t="str">
        <f>IFERROR( VLOOKUP(A533,#REF!,2,0),"")</f>
        <v/>
      </c>
      <c r="G533" s="3" t="str">
        <f t="array" ref="G533">_xlfn.XLOOKUP(I533,Base_Datos!D:D,Base_Datos!B:B,"")</f>
        <v>GAC</v>
      </c>
      <c r="H533" s="3" t="str">
        <f t="array" ref="H533">IF(I533="","",IFERROR(_xlfn.XLOOKUP(I533,Base_Datos!$D$2:$D3876,Base_Datos!$C$2:$C3876),""))</f>
        <v>Serie GS</v>
      </c>
      <c r="I533" s="3" t="s">
        <v>1487</v>
      </c>
      <c r="J533" s="3" t="str">
        <f>IF(I533="","",IFERROR(VLOOKUP(I533,Base_Datos!$D$2:$E$72,2,0),""))</f>
        <v>(2.0L)</v>
      </c>
      <c r="K533" s="3" t="s">
        <v>1782</v>
      </c>
      <c r="L533" s="3"/>
      <c r="M533" s="7">
        <v>2</v>
      </c>
      <c r="N533" s="7">
        <v>0</v>
      </c>
    </row>
    <row r="534" spans="1:14" ht="14.25" x14ac:dyDescent="0.2">
      <c r="A534" s="3">
        <v>67078</v>
      </c>
      <c r="B534" s="3" t="s">
        <v>2290</v>
      </c>
      <c r="C534" s="3" t="s">
        <v>16</v>
      </c>
      <c r="D534" s="6" t="s">
        <v>1564</v>
      </c>
      <c r="E534" s="6" t="s">
        <v>1782</v>
      </c>
      <c r="F534" s="3" t="str">
        <f>IFERROR( VLOOKUP(A534,#REF!,2,0),"")</f>
        <v/>
      </c>
      <c r="G534" s="3" t="str">
        <f t="array" ref="G534">_xlfn.XLOOKUP(I534,Base_Datos!D:D,Base_Datos!B:B,"")</f>
        <v>GAC</v>
      </c>
      <c r="H534" s="3" t="str">
        <f t="array" ref="H534">IF(I534="","",IFERROR(_xlfn.XLOOKUP(I534,Base_Datos!$D$2:$D3876,Base_Datos!$C$2:$C3876),""))</f>
        <v>Serie GS</v>
      </c>
      <c r="I534" s="3" t="s">
        <v>1487</v>
      </c>
      <c r="J534" s="3" t="str">
        <f>IF(I534="","",IFERROR(VLOOKUP(I534,Base_Datos!$D$2:$E$72,2,0),""))</f>
        <v>(2.0L)</v>
      </c>
      <c r="K534" s="3" t="s">
        <v>1782</v>
      </c>
      <c r="L534" s="3"/>
      <c r="M534" s="7">
        <v>1</v>
      </c>
      <c r="N534" s="7">
        <v>0</v>
      </c>
    </row>
    <row r="535" spans="1:14" ht="14.25" x14ac:dyDescent="0.2">
      <c r="A535" s="3">
        <v>67079</v>
      </c>
      <c r="B535" s="3" t="s">
        <v>2034</v>
      </c>
      <c r="C535" s="3" t="s">
        <v>16</v>
      </c>
      <c r="D535" s="6" t="s">
        <v>1565</v>
      </c>
      <c r="E535" s="6" t="s">
        <v>1782</v>
      </c>
      <c r="F535" s="3" t="str">
        <f>IFERROR( VLOOKUP(A535,#REF!,2,0),"")</f>
        <v/>
      </c>
      <c r="G535" s="3" t="str">
        <f t="array" ref="G535">_xlfn.XLOOKUP(I535,Base_Datos!D:D,Base_Datos!B:B,"")</f>
        <v>GAC</v>
      </c>
      <c r="H535" s="3" t="str">
        <f t="array" ref="H535">IF(I535="","",IFERROR(_xlfn.XLOOKUP(I535,Base_Datos!$D$2:$D3876,Base_Datos!$C$2:$C3876),""))</f>
        <v>Serie GS</v>
      </c>
      <c r="I535" s="3" t="s">
        <v>1487</v>
      </c>
      <c r="J535" s="3" t="str">
        <f>IF(I535="","",IFERROR(VLOOKUP(I535,Base_Datos!$D$2:$E$72,2,0),""))</f>
        <v>(2.0L)</v>
      </c>
      <c r="K535" s="3" t="s">
        <v>1782</v>
      </c>
      <c r="L535" s="3"/>
      <c r="M535" s="7">
        <v>2</v>
      </c>
      <c r="N535" s="7">
        <v>0</v>
      </c>
    </row>
    <row r="536" spans="1:14" ht="14.25" x14ac:dyDescent="0.2">
      <c r="A536" s="3">
        <v>67080</v>
      </c>
      <c r="B536" s="3" t="s">
        <v>2035</v>
      </c>
      <c r="C536" s="3" t="s">
        <v>16</v>
      </c>
      <c r="D536" s="6" t="s">
        <v>1566</v>
      </c>
      <c r="E536" s="6" t="s">
        <v>1782</v>
      </c>
      <c r="F536" s="3" t="str">
        <f>IFERROR( VLOOKUP(A536,#REF!,2,0),"")</f>
        <v/>
      </c>
      <c r="G536" s="3" t="str">
        <f t="array" ref="G536">_xlfn.XLOOKUP(I536,Base_Datos!D:D,Base_Datos!B:B,"")</f>
        <v>GAC</v>
      </c>
      <c r="H536" s="3" t="str">
        <f t="array" ref="H536">IF(I536="","",IFERROR(_xlfn.XLOOKUP(I536,Base_Datos!$D$2:$D3876,Base_Datos!$C$2:$C3876),""))</f>
        <v>Serie GS</v>
      </c>
      <c r="I536" s="3" t="s">
        <v>1487</v>
      </c>
      <c r="J536" s="3" t="str">
        <f>IF(I536="","",IFERROR(VLOOKUP(I536,Base_Datos!$D$2:$E$72,2,0),""))</f>
        <v>(2.0L)</v>
      </c>
      <c r="K536" s="3" t="s">
        <v>1782</v>
      </c>
      <c r="L536" s="3"/>
      <c r="M536" s="7">
        <v>1</v>
      </c>
      <c r="N536" s="7">
        <v>0</v>
      </c>
    </row>
    <row r="537" spans="1:14" ht="14.25" x14ac:dyDescent="0.2">
      <c r="A537" s="3">
        <v>67081</v>
      </c>
      <c r="B537" s="3" t="s">
        <v>2036</v>
      </c>
      <c r="C537" s="3" t="s">
        <v>16</v>
      </c>
      <c r="D537" s="6" t="s">
        <v>1567</v>
      </c>
      <c r="E537" s="6" t="s">
        <v>1782</v>
      </c>
      <c r="F537" s="3" t="str">
        <f>IFERROR( VLOOKUP(A537,#REF!,2,0),"")</f>
        <v/>
      </c>
      <c r="G537" s="3" t="str">
        <f t="array" ref="G537">_xlfn.XLOOKUP(I537,Base_Datos!D:D,Base_Datos!B:B,"")</f>
        <v>GAC</v>
      </c>
      <c r="H537" s="3" t="str">
        <f t="array" ref="H537">IF(I537="","",IFERROR(_xlfn.XLOOKUP(I537,Base_Datos!$D$2:$D3876,Base_Datos!$C$2:$C3876),""))</f>
        <v>Serie GS</v>
      </c>
      <c r="I537" s="3" t="s">
        <v>1487</v>
      </c>
      <c r="J537" s="3" t="str">
        <f>IF(I537="","",IFERROR(VLOOKUP(I537,Base_Datos!$D$2:$E$72,2,0),""))</f>
        <v>(2.0L)</v>
      </c>
      <c r="K537" s="3" t="s">
        <v>1782</v>
      </c>
      <c r="L537" s="3"/>
      <c r="M537" s="7">
        <v>2</v>
      </c>
      <c r="N537" s="7">
        <v>0</v>
      </c>
    </row>
    <row r="538" spans="1:14" ht="14.25" x14ac:dyDescent="0.2">
      <c r="A538" s="3">
        <v>67082</v>
      </c>
      <c r="B538" s="3" t="s">
        <v>2291</v>
      </c>
      <c r="C538" s="3" t="s">
        <v>16</v>
      </c>
      <c r="D538" s="6" t="s">
        <v>1568</v>
      </c>
      <c r="E538" s="6" t="s">
        <v>1782</v>
      </c>
      <c r="F538" s="3" t="str">
        <f>IFERROR( VLOOKUP(A538,#REF!,2,0),"")</f>
        <v/>
      </c>
      <c r="G538" s="3" t="str">
        <f t="array" ref="G538">_xlfn.XLOOKUP(I538,Base_Datos!D:D,Base_Datos!B:B,"")</f>
        <v>GAC</v>
      </c>
      <c r="H538" s="3" t="str">
        <f t="array" ref="H538">IF(I538="","",IFERROR(_xlfn.XLOOKUP(I538,Base_Datos!$D$2:$D3876,Base_Datos!$C$2:$C3876),""))</f>
        <v>Serie GS</v>
      </c>
      <c r="I538" s="3" t="s">
        <v>1487</v>
      </c>
      <c r="J538" s="3" t="str">
        <f>IF(I538="","",IFERROR(VLOOKUP(I538,Base_Datos!$D$2:$E$72,2,0),""))</f>
        <v>(2.0L)</v>
      </c>
      <c r="K538" s="3" t="s">
        <v>2292</v>
      </c>
      <c r="L538" s="3"/>
      <c r="M538" s="7">
        <v>1</v>
      </c>
      <c r="N538" s="7">
        <v>0</v>
      </c>
    </row>
    <row r="539" spans="1:14" ht="14.25" x14ac:dyDescent="0.2">
      <c r="A539" s="3">
        <v>67083</v>
      </c>
      <c r="B539" s="3" t="s">
        <v>2293</v>
      </c>
      <c r="C539" s="3" t="s">
        <v>16</v>
      </c>
      <c r="D539" s="6" t="s">
        <v>1569</v>
      </c>
      <c r="E539" s="6" t="s">
        <v>1782</v>
      </c>
      <c r="F539" s="3" t="str">
        <f>IFERROR( VLOOKUP(A539,#REF!,2,0),"")</f>
        <v/>
      </c>
      <c r="G539" s="3" t="str">
        <f t="array" ref="G539">_xlfn.XLOOKUP(I539,Base_Datos!D:D,Base_Datos!B:B,"")</f>
        <v>GAC</v>
      </c>
      <c r="H539" s="3" t="str">
        <f t="array" ref="H539">IF(I539="","",IFERROR(_xlfn.XLOOKUP(I539,Base_Datos!$D$2:$D3876,Base_Datos!$C$2:$C3876),""))</f>
        <v>Serie GS</v>
      </c>
      <c r="I539" s="3" t="s">
        <v>1487</v>
      </c>
      <c r="J539" s="3" t="str">
        <f>IF(I539="","",IFERROR(VLOOKUP(I539,Base_Datos!$D$2:$E$72,2,0),""))</f>
        <v>(2.0L)</v>
      </c>
      <c r="K539" s="3" t="s">
        <v>1782</v>
      </c>
      <c r="L539" s="3"/>
      <c r="M539" s="7">
        <v>2</v>
      </c>
      <c r="N539" s="7">
        <v>0</v>
      </c>
    </row>
    <row r="540" spans="1:14" ht="14.25" x14ac:dyDescent="0.2">
      <c r="A540" s="3">
        <v>67084</v>
      </c>
      <c r="B540" s="3" t="s">
        <v>2294</v>
      </c>
      <c r="C540" s="3" t="s">
        <v>16</v>
      </c>
      <c r="D540" s="6" t="s">
        <v>1570</v>
      </c>
      <c r="E540" s="6" t="s">
        <v>1782</v>
      </c>
      <c r="F540" s="3" t="str">
        <f>IFERROR( VLOOKUP(A540,#REF!,2,0),"")</f>
        <v/>
      </c>
      <c r="G540" s="3" t="str">
        <f t="array" ref="G540">_xlfn.XLOOKUP(I540,Base_Datos!D:D,Base_Datos!B:B,"")</f>
        <v>GAC</v>
      </c>
      <c r="H540" s="3" t="str">
        <f t="array" ref="H540">IF(I540="","",IFERROR(_xlfn.XLOOKUP(I540,Base_Datos!$D$2:$D3876,Base_Datos!$C$2:$C3876),""))</f>
        <v>Serie GS</v>
      </c>
      <c r="I540" s="3" t="s">
        <v>1487</v>
      </c>
      <c r="J540" s="3" t="str">
        <f>IF(I540="","",IFERROR(VLOOKUP(I540,Base_Datos!$D$2:$E$72,2,0),""))</f>
        <v>(2.0L)</v>
      </c>
      <c r="K540" s="3" t="s">
        <v>1782</v>
      </c>
      <c r="L540" s="3"/>
      <c r="M540" s="7">
        <v>2</v>
      </c>
      <c r="N540" s="7">
        <v>0</v>
      </c>
    </row>
    <row r="541" spans="1:14" ht="14.25" x14ac:dyDescent="0.2">
      <c r="A541" s="3">
        <v>67085</v>
      </c>
      <c r="B541" s="3" t="s">
        <v>2041</v>
      </c>
      <c r="C541" s="3" t="s">
        <v>16</v>
      </c>
      <c r="D541" s="6" t="s">
        <v>1571</v>
      </c>
      <c r="E541" s="6" t="s">
        <v>1782</v>
      </c>
      <c r="F541" s="3" t="str">
        <f>IFERROR( VLOOKUP(A541,#REF!,2,0),"")</f>
        <v/>
      </c>
      <c r="G541" s="3" t="str">
        <f t="array" ref="G541">_xlfn.XLOOKUP(I541,Base_Datos!D:D,Base_Datos!B:B,"")</f>
        <v>GAC</v>
      </c>
      <c r="H541" s="3" t="str">
        <f t="array" ref="H541">IF(I541="","",IFERROR(_xlfn.XLOOKUP(I541,Base_Datos!$D$2:$D3876,Base_Datos!$C$2:$C3876),""))</f>
        <v>Serie GS</v>
      </c>
      <c r="I541" s="3" t="s">
        <v>1487</v>
      </c>
      <c r="J541" s="3" t="str">
        <f>IF(I541="","",IFERROR(VLOOKUP(I541,Base_Datos!$D$2:$E$72,2,0),""))</f>
        <v>(2.0L)</v>
      </c>
      <c r="K541" s="3" t="s">
        <v>1782</v>
      </c>
      <c r="L541" s="3"/>
      <c r="M541" s="7">
        <v>2</v>
      </c>
      <c r="N541" s="7">
        <v>0</v>
      </c>
    </row>
    <row r="542" spans="1:14" ht="14.25" x14ac:dyDescent="0.2">
      <c r="A542" s="3">
        <v>67086</v>
      </c>
      <c r="B542" s="3" t="s">
        <v>2042</v>
      </c>
      <c r="C542" s="3" t="s">
        <v>16</v>
      </c>
      <c r="D542" s="6" t="s">
        <v>1572</v>
      </c>
      <c r="E542" s="6" t="s">
        <v>1782</v>
      </c>
      <c r="F542" s="3" t="str">
        <f>IFERROR( VLOOKUP(A542,#REF!,2,0),"")</f>
        <v/>
      </c>
      <c r="G542" s="3" t="str">
        <f t="array" ref="G542">_xlfn.XLOOKUP(I542,Base_Datos!D:D,Base_Datos!B:B,"")</f>
        <v>GAC</v>
      </c>
      <c r="H542" s="3" t="str">
        <f t="array" ref="H542">IF(I542="","",IFERROR(_xlfn.XLOOKUP(I542,Base_Datos!$D$2:$D3876,Base_Datos!$C$2:$C3876),""))</f>
        <v>Serie GS</v>
      </c>
      <c r="I542" s="3" t="s">
        <v>1487</v>
      </c>
      <c r="J542" s="3" t="str">
        <f>IF(I542="","",IFERROR(VLOOKUP(I542,Base_Datos!$D$2:$E$72,2,0),""))</f>
        <v>(2.0L)</v>
      </c>
      <c r="K542" s="3" t="s">
        <v>1782</v>
      </c>
      <c r="L542" s="3"/>
      <c r="M542" s="7">
        <v>2</v>
      </c>
      <c r="N542" s="7">
        <v>0</v>
      </c>
    </row>
    <row r="543" spans="1:14" ht="14.25" x14ac:dyDescent="0.2">
      <c r="A543" s="3">
        <v>67087</v>
      </c>
      <c r="B543" s="3" t="s">
        <v>2043</v>
      </c>
      <c r="C543" s="3" t="s">
        <v>16</v>
      </c>
      <c r="D543" s="6" t="s">
        <v>1573</v>
      </c>
      <c r="E543" s="6" t="s">
        <v>1782</v>
      </c>
      <c r="F543" s="3" t="str">
        <f>IFERROR( VLOOKUP(A543,#REF!,2,0),"")</f>
        <v/>
      </c>
      <c r="G543" s="3" t="str">
        <f t="array" ref="G543">_xlfn.XLOOKUP(I543,Base_Datos!D:D,Base_Datos!B:B,"")</f>
        <v>GAC</v>
      </c>
      <c r="H543" s="3" t="str">
        <f t="array" ref="H543">IF(I543="","",IFERROR(_xlfn.XLOOKUP(I543,Base_Datos!$D$2:$D3876,Base_Datos!$C$2:$C3876),""))</f>
        <v>Serie GS</v>
      </c>
      <c r="I543" s="3" t="s">
        <v>1487</v>
      </c>
      <c r="J543" s="3" t="str">
        <f>IF(I543="","",IFERROR(VLOOKUP(I543,Base_Datos!$D$2:$E$72,2,0),""))</f>
        <v>(2.0L)</v>
      </c>
      <c r="K543" s="3" t="s">
        <v>1782</v>
      </c>
      <c r="L543" s="3"/>
      <c r="M543" s="7">
        <v>2</v>
      </c>
      <c r="N543" s="7">
        <v>0</v>
      </c>
    </row>
    <row r="544" spans="1:14" ht="14.25" x14ac:dyDescent="0.2">
      <c r="A544" s="3">
        <v>67088</v>
      </c>
      <c r="B544" s="3" t="s">
        <v>2295</v>
      </c>
      <c r="C544" s="3" t="s">
        <v>16</v>
      </c>
      <c r="D544" s="6" t="s">
        <v>1574</v>
      </c>
      <c r="E544" s="6" t="s">
        <v>1782</v>
      </c>
      <c r="F544" s="3" t="str">
        <f>IFERROR( VLOOKUP(A544,#REF!,2,0),"")</f>
        <v/>
      </c>
      <c r="G544" s="3" t="str">
        <f t="array" ref="G544">_xlfn.XLOOKUP(I544,Base_Datos!D:D,Base_Datos!B:B,"")</f>
        <v>GAC</v>
      </c>
      <c r="H544" s="3" t="str">
        <f t="array" ref="H544">IF(I544="","",IFERROR(_xlfn.XLOOKUP(I544,Base_Datos!$D$2:$D3876,Base_Datos!$C$2:$C3876),""))</f>
        <v>Serie GS</v>
      </c>
      <c r="I544" s="3" t="s">
        <v>1487</v>
      </c>
      <c r="J544" s="3" t="str">
        <f>IF(I544="","",IFERROR(VLOOKUP(I544,Base_Datos!$D$2:$E$72,2,0),""))</f>
        <v>(2.0L)</v>
      </c>
      <c r="K544" s="3" t="s">
        <v>1782</v>
      </c>
      <c r="L544" s="3"/>
      <c r="M544" s="7">
        <v>1</v>
      </c>
      <c r="N544" s="7">
        <v>0</v>
      </c>
    </row>
    <row r="545" spans="1:14" ht="14.25" x14ac:dyDescent="0.2">
      <c r="A545" s="3">
        <v>67089</v>
      </c>
      <c r="B545" s="3" t="s">
        <v>2296</v>
      </c>
      <c r="C545" s="3" t="s">
        <v>16</v>
      </c>
      <c r="D545" s="6" t="s">
        <v>1575</v>
      </c>
      <c r="E545" s="6" t="s">
        <v>1782</v>
      </c>
      <c r="F545" s="3" t="str">
        <f>IFERROR( VLOOKUP(A545,#REF!,2,0),"")</f>
        <v/>
      </c>
      <c r="G545" s="3" t="str">
        <f t="array" ref="G545">_xlfn.XLOOKUP(I545,Base_Datos!D:D,Base_Datos!B:B,"")</f>
        <v>GAC</v>
      </c>
      <c r="H545" s="3" t="str">
        <f t="array" ref="H545">IF(I545="","",IFERROR(_xlfn.XLOOKUP(I545,Base_Datos!$D$2:$D3876,Base_Datos!$C$2:$C3876),""))</f>
        <v>Serie GS</v>
      </c>
      <c r="I545" s="3" t="s">
        <v>1487</v>
      </c>
      <c r="J545" s="3" t="str">
        <f>IF(I545="","",IFERROR(VLOOKUP(I545,Base_Datos!$D$2:$E$72,2,0),""))</f>
        <v>(2.0L)</v>
      </c>
      <c r="K545" s="3" t="s">
        <v>1782</v>
      </c>
      <c r="L545" s="3"/>
      <c r="M545" s="7">
        <v>2</v>
      </c>
      <c r="N545" s="7">
        <v>0</v>
      </c>
    </row>
    <row r="546" spans="1:14" ht="14.25" x14ac:dyDescent="0.2">
      <c r="A546" s="3">
        <v>67090</v>
      </c>
      <c r="B546" s="3" t="s">
        <v>2297</v>
      </c>
      <c r="C546" s="3" t="s">
        <v>16</v>
      </c>
      <c r="D546" s="6" t="s">
        <v>1576</v>
      </c>
      <c r="E546" s="6" t="s">
        <v>1782</v>
      </c>
      <c r="F546" s="3" t="str">
        <f>IFERROR( VLOOKUP(A546,#REF!,2,0),"")</f>
        <v/>
      </c>
      <c r="G546" s="3" t="str">
        <f t="array" ref="G546">_xlfn.XLOOKUP(I546,Base_Datos!D:D,Base_Datos!B:B,"")</f>
        <v>GAC</v>
      </c>
      <c r="H546" s="3" t="str">
        <f t="array" ref="H546">IF(I546="","",IFERROR(_xlfn.XLOOKUP(I546,Base_Datos!$D$2:$D3876,Base_Datos!$C$2:$C3876),""))</f>
        <v>Serie GS</v>
      </c>
      <c r="I546" s="3" t="s">
        <v>1487</v>
      </c>
      <c r="J546" s="3" t="str">
        <f>IF(I546="","",IFERROR(VLOOKUP(I546,Base_Datos!$D$2:$E$72,2,0),""))</f>
        <v>(2.0L)</v>
      </c>
      <c r="K546" s="3" t="s">
        <v>1782</v>
      </c>
      <c r="L546" s="3"/>
      <c r="M546" s="7">
        <v>2</v>
      </c>
      <c r="N546" s="7">
        <v>0</v>
      </c>
    </row>
    <row r="547" spans="1:14" ht="14.25" x14ac:dyDescent="0.2">
      <c r="A547" s="3">
        <v>67091</v>
      </c>
      <c r="B547" s="3" t="s">
        <v>2298</v>
      </c>
      <c r="C547" s="3" t="s">
        <v>16</v>
      </c>
      <c r="D547" s="6" t="s">
        <v>1577</v>
      </c>
      <c r="E547" s="6" t="s">
        <v>1782</v>
      </c>
      <c r="F547" s="3" t="str">
        <f>IFERROR( VLOOKUP(A547,#REF!,2,0),"")</f>
        <v/>
      </c>
      <c r="G547" s="3" t="str">
        <f t="array" ref="G547">_xlfn.XLOOKUP(I547,Base_Datos!D:D,Base_Datos!B:B,"")</f>
        <v>GAC</v>
      </c>
      <c r="H547" s="3" t="str">
        <f t="array" ref="H547">IF(I547="","",IFERROR(_xlfn.XLOOKUP(I547,Base_Datos!$D$2:$D3876,Base_Datos!$C$2:$C3876),""))</f>
        <v>Serie GS</v>
      </c>
      <c r="I547" s="3" t="s">
        <v>1487</v>
      </c>
      <c r="J547" s="3" t="str">
        <f>IF(I547="","",IFERROR(VLOOKUP(I547,Base_Datos!$D$2:$E$72,2,0),""))</f>
        <v>(2.0L)</v>
      </c>
      <c r="K547" s="3" t="s">
        <v>1782</v>
      </c>
      <c r="L547" s="3"/>
      <c r="M547" s="7">
        <v>2</v>
      </c>
      <c r="N547" s="7">
        <v>0</v>
      </c>
    </row>
    <row r="548" spans="1:14" ht="14.25" x14ac:dyDescent="0.2">
      <c r="A548" s="3">
        <v>67092</v>
      </c>
      <c r="B548" s="3" t="s">
        <v>2299</v>
      </c>
      <c r="C548" s="3" t="s">
        <v>16</v>
      </c>
      <c r="D548" s="6" t="s">
        <v>1578</v>
      </c>
      <c r="E548" s="6" t="s">
        <v>1782</v>
      </c>
      <c r="F548" s="3" t="str">
        <f>IFERROR( VLOOKUP(A548,#REF!,2,0),"")</f>
        <v/>
      </c>
      <c r="G548" s="3" t="str">
        <f t="array" ref="G548">_xlfn.XLOOKUP(I548,Base_Datos!D:D,Base_Datos!B:B,"")</f>
        <v>GAC</v>
      </c>
      <c r="H548" s="3" t="str">
        <f t="array" ref="H548">IF(I548="","",IFERROR(_xlfn.XLOOKUP(I548,Base_Datos!$D$2:$D3876,Base_Datos!$C$2:$C3876),""))</f>
        <v>Serie GS</v>
      </c>
      <c r="I548" s="3" t="s">
        <v>1487</v>
      </c>
      <c r="J548" s="3" t="str">
        <f>IF(I548="","",IFERROR(VLOOKUP(I548,Base_Datos!$D$2:$E$72,2,0),""))</f>
        <v>(2.0L)</v>
      </c>
      <c r="K548" s="3" t="s">
        <v>1782</v>
      </c>
      <c r="L548" s="3"/>
      <c r="M548" s="7">
        <v>2</v>
      </c>
      <c r="N548" s="7">
        <v>0</v>
      </c>
    </row>
    <row r="549" spans="1:14" ht="14.25" x14ac:dyDescent="0.2">
      <c r="A549" s="3">
        <v>67093</v>
      </c>
      <c r="B549" s="3" t="s">
        <v>2048</v>
      </c>
      <c r="C549" s="3" t="s">
        <v>16</v>
      </c>
      <c r="D549" s="6" t="s">
        <v>1579</v>
      </c>
      <c r="E549" s="6" t="s">
        <v>1782</v>
      </c>
      <c r="F549" s="3" t="str">
        <f>IFERROR( VLOOKUP(A549,#REF!,2,0),"")</f>
        <v/>
      </c>
      <c r="G549" s="3" t="str">
        <f t="array" ref="G549">_xlfn.XLOOKUP(I549,Base_Datos!D:D,Base_Datos!B:B,"")</f>
        <v>GAC</v>
      </c>
      <c r="H549" s="3" t="str">
        <f t="array" ref="H549">IF(I549="","",IFERROR(_xlfn.XLOOKUP(I549,Base_Datos!$D$2:$D3876,Base_Datos!$C$2:$C3876),""))</f>
        <v>Serie GS</v>
      </c>
      <c r="I549" s="3" t="s">
        <v>1487</v>
      </c>
      <c r="J549" s="3" t="str">
        <f>IF(I549="","",IFERROR(VLOOKUP(I549,Base_Datos!$D$2:$E$72,2,0),""))</f>
        <v>(2.0L)</v>
      </c>
      <c r="K549" s="3" t="s">
        <v>1782</v>
      </c>
      <c r="L549" s="3"/>
      <c r="M549" s="7">
        <v>2</v>
      </c>
      <c r="N549" s="7">
        <v>0</v>
      </c>
    </row>
    <row r="550" spans="1:14" ht="14.25" x14ac:dyDescent="0.2">
      <c r="A550" s="3">
        <v>67094</v>
      </c>
      <c r="B550" s="3" t="s">
        <v>2051</v>
      </c>
      <c r="C550" s="3" t="s">
        <v>16</v>
      </c>
      <c r="D550" s="6" t="s">
        <v>1580</v>
      </c>
      <c r="E550" s="6" t="s">
        <v>1782</v>
      </c>
      <c r="F550" s="3" t="str">
        <f>IFERROR( VLOOKUP(A550,#REF!,2,0),"")</f>
        <v/>
      </c>
      <c r="G550" s="3" t="str">
        <f t="array" ref="G550">_xlfn.XLOOKUP(I550,Base_Datos!D:D,Base_Datos!B:B,"")</f>
        <v>GAC</v>
      </c>
      <c r="H550" s="3" t="str">
        <f t="array" ref="H550">IF(I550="","",IFERROR(_xlfn.XLOOKUP(I550,Base_Datos!$D$2:$D3876,Base_Datos!$C$2:$C3876),""))</f>
        <v>Serie GS</v>
      </c>
      <c r="I550" s="3" t="s">
        <v>1487</v>
      </c>
      <c r="J550" s="3" t="str">
        <f>IF(I550="","",IFERROR(VLOOKUP(I550,Base_Datos!$D$2:$E$72,2,0),""))</f>
        <v>(2.0L)</v>
      </c>
      <c r="K550" s="3" t="s">
        <v>1782</v>
      </c>
      <c r="L550" s="3"/>
      <c r="M550" s="7">
        <v>2</v>
      </c>
      <c r="N550" s="7">
        <v>0</v>
      </c>
    </row>
    <row r="551" spans="1:14" ht="14.25" x14ac:dyDescent="0.2">
      <c r="A551" s="3">
        <v>67095</v>
      </c>
      <c r="B551" s="3" t="s">
        <v>2052</v>
      </c>
      <c r="C551" s="3" t="s">
        <v>16</v>
      </c>
      <c r="D551" s="6" t="s">
        <v>1581</v>
      </c>
      <c r="E551" s="6" t="s">
        <v>1782</v>
      </c>
      <c r="F551" s="3" t="str">
        <f>IFERROR( VLOOKUP(A551,#REF!,2,0),"")</f>
        <v/>
      </c>
      <c r="G551" s="3" t="str">
        <f t="array" ref="G551">_xlfn.XLOOKUP(I551,Base_Datos!D:D,Base_Datos!B:B,"")</f>
        <v>GAC</v>
      </c>
      <c r="H551" s="3" t="str">
        <f t="array" ref="H551">IF(I551="","",IFERROR(_xlfn.XLOOKUP(I551,Base_Datos!$D$2:$D3876,Base_Datos!$C$2:$C3876),""))</f>
        <v>Serie GS</v>
      </c>
      <c r="I551" s="3" t="s">
        <v>1487</v>
      </c>
      <c r="J551" s="3" t="str">
        <f>IF(I551="","",IFERROR(VLOOKUP(I551,Base_Datos!$D$2:$E$72,2,0),""))</f>
        <v>(2.0L)</v>
      </c>
      <c r="K551" s="3" t="s">
        <v>1782</v>
      </c>
      <c r="L551" s="3"/>
      <c r="M551" s="7">
        <v>2</v>
      </c>
      <c r="N551" s="7">
        <v>0</v>
      </c>
    </row>
    <row r="552" spans="1:14" ht="14.25" x14ac:dyDescent="0.2">
      <c r="A552" s="3">
        <v>67096</v>
      </c>
      <c r="B552" s="3" t="s">
        <v>2054</v>
      </c>
      <c r="C552" s="3" t="s">
        <v>16</v>
      </c>
      <c r="D552" s="6" t="s">
        <v>1582</v>
      </c>
      <c r="E552" s="6" t="s">
        <v>1782</v>
      </c>
      <c r="F552" s="3" t="str">
        <f>IFERROR( VLOOKUP(A552,#REF!,2,0),"")</f>
        <v/>
      </c>
      <c r="G552" s="3" t="str">
        <f t="array" ref="G552">_xlfn.XLOOKUP(I552,Base_Datos!D:D,Base_Datos!B:B,"")</f>
        <v>GAC</v>
      </c>
      <c r="H552" s="3" t="str">
        <f t="array" ref="H552">IF(I552="","",IFERROR(_xlfn.XLOOKUP(I552,Base_Datos!$D$2:$D3876,Base_Datos!$C$2:$C3876),""))</f>
        <v>Serie GS</v>
      </c>
      <c r="I552" s="3" t="s">
        <v>1487</v>
      </c>
      <c r="J552" s="3" t="str">
        <f>IF(I552="","",IFERROR(VLOOKUP(I552,Base_Datos!$D$2:$E$72,2,0),""))</f>
        <v>(2.0L)</v>
      </c>
      <c r="K552" s="3" t="s">
        <v>1782</v>
      </c>
      <c r="L552" s="3"/>
      <c r="M552" s="7">
        <v>2</v>
      </c>
      <c r="N552" s="7">
        <v>0</v>
      </c>
    </row>
    <row r="553" spans="1:14" ht="14.25" x14ac:dyDescent="0.2">
      <c r="A553" s="3">
        <v>67097</v>
      </c>
      <c r="B553" s="3" t="s">
        <v>2057</v>
      </c>
      <c r="C553" s="3" t="s">
        <v>16</v>
      </c>
      <c r="D553" s="6" t="s">
        <v>1583</v>
      </c>
      <c r="E553" s="6" t="s">
        <v>1782</v>
      </c>
      <c r="F553" s="3" t="str">
        <f>IFERROR( VLOOKUP(A553,#REF!,2,0),"")</f>
        <v/>
      </c>
      <c r="G553" s="3" t="str">
        <f t="array" ref="G553">_xlfn.XLOOKUP(I553,Base_Datos!D:D,Base_Datos!B:B,"")</f>
        <v>GAC</v>
      </c>
      <c r="H553" s="3" t="str">
        <f t="array" ref="H553">IF(I553="","",IFERROR(_xlfn.XLOOKUP(I553,Base_Datos!$D$2:$D3876,Base_Datos!$C$2:$C3876),""))</f>
        <v>Serie GS</v>
      </c>
      <c r="I553" s="3" t="s">
        <v>1487</v>
      </c>
      <c r="J553" s="3" t="str">
        <f>IF(I553="","",IFERROR(VLOOKUP(I553,Base_Datos!$D$2:$E$72,2,0),""))</f>
        <v>(2.0L)</v>
      </c>
      <c r="K553" s="3" t="s">
        <v>1782</v>
      </c>
      <c r="L553" s="3"/>
      <c r="M553" s="7">
        <v>2</v>
      </c>
      <c r="N553" s="7">
        <v>0</v>
      </c>
    </row>
    <row r="554" spans="1:14" ht="14.25" x14ac:dyDescent="0.2">
      <c r="A554" s="3">
        <v>67098</v>
      </c>
      <c r="B554" s="3" t="s">
        <v>2058</v>
      </c>
      <c r="C554" s="3" t="s">
        <v>16</v>
      </c>
      <c r="D554" s="6" t="s">
        <v>1584</v>
      </c>
      <c r="E554" s="6" t="s">
        <v>1584</v>
      </c>
      <c r="F554" s="3" t="str">
        <f>IFERROR( VLOOKUP(A554,#REF!,2,0),"")</f>
        <v/>
      </c>
      <c r="G554" s="3" t="str">
        <f t="array" ref="G554">_xlfn.XLOOKUP(I554,Base_Datos!D:D,Base_Datos!B:B,"")</f>
        <v>GAC</v>
      </c>
      <c r="H554" s="3" t="str">
        <f t="array" ref="H554">IF(I554="","",IFERROR(_xlfn.XLOOKUP(I554,Base_Datos!$D$2:$D3876,Base_Datos!$C$2:$C3876),""))</f>
        <v>Serie GS</v>
      </c>
      <c r="I554" s="3" t="s">
        <v>1487</v>
      </c>
      <c r="J554" s="3" t="str">
        <f>IF(I554="","",IFERROR(VLOOKUP(I554,Base_Datos!$D$2:$E$72,2,0),""))</f>
        <v>(2.0L)</v>
      </c>
      <c r="K554" s="3" t="s">
        <v>1782</v>
      </c>
      <c r="L554" s="3"/>
      <c r="M554" s="7">
        <v>2</v>
      </c>
      <c r="N554" s="7">
        <v>0</v>
      </c>
    </row>
    <row r="555" spans="1:14" ht="14.25" x14ac:dyDescent="0.2">
      <c r="A555" s="3">
        <v>67099</v>
      </c>
      <c r="B555" s="3" t="s">
        <v>2300</v>
      </c>
      <c r="C555" s="3" t="s">
        <v>16</v>
      </c>
      <c r="D555" s="6" t="s">
        <v>1585</v>
      </c>
      <c r="E555" s="6" t="s">
        <v>1782</v>
      </c>
      <c r="F555" s="3" t="str">
        <f>IFERROR( VLOOKUP(A555,#REF!,2,0),"")</f>
        <v/>
      </c>
      <c r="G555" s="3" t="str">
        <f t="array" ref="G555">_xlfn.XLOOKUP(I555,Base_Datos!D:D,Base_Datos!B:B,"")</f>
        <v>GAC</v>
      </c>
      <c r="H555" s="3" t="str">
        <f t="array" ref="H555">IF(I555="","",IFERROR(_xlfn.XLOOKUP(I555,Base_Datos!$D$2:$D3876,Base_Datos!$C$2:$C3876),""))</f>
        <v>Serie GS</v>
      </c>
      <c r="I555" s="3" t="s">
        <v>1487</v>
      </c>
      <c r="J555" s="3" t="str">
        <f>IF(I555="","",IFERROR(VLOOKUP(I555,Base_Datos!$D$2:$E$72,2,0),""))</f>
        <v>(2.0L)</v>
      </c>
      <c r="K555" s="3" t="s">
        <v>1782</v>
      </c>
      <c r="L555" s="3"/>
      <c r="M555" s="7">
        <v>2</v>
      </c>
      <c r="N555" s="7">
        <v>0</v>
      </c>
    </row>
    <row r="556" spans="1:14" ht="14.25" x14ac:dyDescent="0.2">
      <c r="A556" s="3">
        <v>67100</v>
      </c>
      <c r="B556" s="3" t="s">
        <v>2059</v>
      </c>
      <c r="C556" s="3" t="s">
        <v>16</v>
      </c>
      <c r="D556" s="6" t="s">
        <v>1586</v>
      </c>
      <c r="E556" s="6" t="s">
        <v>1782</v>
      </c>
      <c r="F556" s="3" t="str">
        <f>IFERROR( VLOOKUP(A556,#REF!,2,0),"")</f>
        <v/>
      </c>
      <c r="G556" s="3" t="str">
        <f t="array" ref="G556">_xlfn.XLOOKUP(I556,Base_Datos!D:D,Base_Datos!B:B,"")</f>
        <v>GAC</v>
      </c>
      <c r="H556" s="3" t="str">
        <f t="array" ref="H556">IF(I556="","",IFERROR(_xlfn.XLOOKUP(I556,Base_Datos!$D$2:$D3876,Base_Datos!$C$2:$C3876),""))</f>
        <v>Serie GS</v>
      </c>
      <c r="I556" s="3" t="s">
        <v>1487</v>
      </c>
      <c r="J556" s="3" t="str">
        <f>IF(I556="","",IFERROR(VLOOKUP(I556,Base_Datos!$D$2:$E$72,2,0),""))</f>
        <v>(2.0L)</v>
      </c>
      <c r="K556" s="3" t="s">
        <v>1782</v>
      </c>
      <c r="L556" s="3"/>
      <c r="M556" s="7">
        <v>2</v>
      </c>
      <c r="N556" s="7">
        <v>0</v>
      </c>
    </row>
    <row r="557" spans="1:14" ht="14.25" x14ac:dyDescent="0.2">
      <c r="A557" s="3">
        <v>67101</v>
      </c>
      <c r="B557" s="3" t="s">
        <v>2059</v>
      </c>
      <c r="C557" s="3" t="s">
        <v>16</v>
      </c>
      <c r="D557" s="6" t="s">
        <v>1587</v>
      </c>
      <c r="E557" s="6" t="s">
        <v>1782</v>
      </c>
      <c r="F557" s="3" t="str">
        <f>IFERROR( VLOOKUP(A557,#REF!,2,0),"")</f>
        <v/>
      </c>
      <c r="G557" s="3" t="str">
        <f t="array" ref="G557">_xlfn.XLOOKUP(I557,Base_Datos!D:D,Base_Datos!B:B,"")</f>
        <v>GAC</v>
      </c>
      <c r="H557" s="3" t="str">
        <f t="array" ref="H557">IF(I557="","",IFERROR(_xlfn.XLOOKUP(I557,Base_Datos!$D$2:$D3876,Base_Datos!$C$2:$C3876),""))</f>
        <v>Serie GS</v>
      </c>
      <c r="I557" s="3" t="s">
        <v>1487</v>
      </c>
      <c r="J557" s="3" t="str">
        <f>IF(I557="","",IFERROR(VLOOKUP(I557,Base_Datos!$D$2:$E$72,2,0),""))</f>
        <v>(2.0L)</v>
      </c>
      <c r="K557" s="3" t="s">
        <v>1782</v>
      </c>
      <c r="L557" s="3"/>
      <c r="M557" s="7">
        <v>2</v>
      </c>
      <c r="N557" s="7">
        <v>0</v>
      </c>
    </row>
    <row r="558" spans="1:14" ht="14.25" x14ac:dyDescent="0.2">
      <c r="A558" s="3">
        <v>67102</v>
      </c>
      <c r="B558" s="3" t="s">
        <v>2063</v>
      </c>
      <c r="C558" s="3" t="s">
        <v>16</v>
      </c>
      <c r="D558" s="6" t="s">
        <v>1588</v>
      </c>
      <c r="E558" s="6" t="s">
        <v>1782</v>
      </c>
      <c r="F558" s="3" t="str">
        <f>IFERROR( VLOOKUP(A558,#REF!,2,0),"")</f>
        <v/>
      </c>
      <c r="G558" s="3" t="str">
        <f t="array" ref="G558">_xlfn.XLOOKUP(I558,Base_Datos!D:D,Base_Datos!B:B,"")</f>
        <v>GAC</v>
      </c>
      <c r="H558" s="3" t="str">
        <f t="array" ref="H558">IF(I558="","",IFERROR(_xlfn.XLOOKUP(I558,Base_Datos!$D$2:$D3876,Base_Datos!$C$2:$C3876),""))</f>
        <v>Serie GS</v>
      </c>
      <c r="I558" s="3" t="s">
        <v>1487</v>
      </c>
      <c r="J558" s="3" t="str">
        <f>IF(I558="","",IFERROR(VLOOKUP(I558,Base_Datos!$D$2:$E$72,2,0),""))</f>
        <v>(2.0L)</v>
      </c>
      <c r="K558" s="3" t="s">
        <v>1782</v>
      </c>
      <c r="L558" s="3"/>
      <c r="M558" s="7">
        <v>2</v>
      </c>
      <c r="N558" s="7">
        <v>0</v>
      </c>
    </row>
    <row r="559" spans="1:14" ht="14.25" x14ac:dyDescent="0.2">
      <c r="A559" s="3">
        <v>67103</v>
      </c>
      <c r="B559" s="3" t="s">
        <v>2064</v>
      </c>
      <c r="C559" s="3" t="s">
        <v>16</v>
      </c>
      <c r="D559" s="6" t="s">
        <v>1589</v>
      </c>
      <c r="E559" s="6" t="s">
        <v>1782</v>
      </c>
      <c r="F559" s="3" t="str">
        <f>IFERROR( VLOOKUP(A559,#REF!,2,0),"")</f>
        <v/>
      </c>
      <c r="G559" s="3" t="str">
        <f t="array" ref="G559">_xlfn.XLOOKUP(I559,Base_Datos!D:D,Base_Datos!B:B,"")</f>
        <v>GAC</v>
      </c>
      <c r="H559" s="3" t="str">
        <f t="array" ref="H559">IF(I559="","",IFERROR(_xlfn.XLOOKUP(I559,Base_Datos!$D$2:$D3876,Base_Datos!$C$2:$C3876),""))</f>
        <v>Serie GS</v>
      </c>
      <c r="I559" s="3" t="s">
        <v>1487</v>
      </c>
      <c r="J559" s="3" t="str">
        <f>IF(I559="","",IFERROR(VLOOKUP(I559,Base_Datos!$D$2:$E$72,2,0),""))</f>
        <v>(2.0L)</v>
      </c>
      <c r="K559" s="3" t="s">
        <v>1782</v>
      </c>
      <c r="L559" s="3"/>
      <c r="M559" s="7">
        <v>2</v>
      </c>
      <c r="N559" s="7">
        <v>0</v>
      </c>
    </row>
    <row r="560" spans="1:14" ht="14.25" x14ac:dyDescent="0.2">
      <c r="A560" s="3">
        <v>67104</v>
      </c>
      <c r="B560" s="3" t="s">
        <v>2065</v>
      </c>
      <c r="C560" s="3" t="s">
        <v>16</v>
      </c>
      <c r="D560" s="6" t="s">
        <v>1590</v>
      </c>
      <c r="E560" s="6" t="s">
        <v>1782</v>
      </c>
      <c r="F560" s="3" t="str">
        <f>IFERROR( VLOOKUP(A560,#REF!,2,0),"")</f>
        <v/>
      </c>
      <c r="G560" s="3" t="str">
        <f t="array" ref="G560">_xlfn.XLOOKUP(I560,Base_Datos!D:D,Base_Datos!B:B,"")</f>
        <v>GAC</v>
      </c>
      <c r="H560" s="3" t="str">
        <f t="array" ref="H560">IF(I560="","",IFERROR(_xlfn.XLOOKUP(I560,Base_Datos!$D$2:$D3876,Base_Datos!$C$2:$C3876),""))</f>
        <v>Serie GS</v>
      </c>
      <c r="I560" s="3" t="s">
        <v>1487</v>
      </c>
      <c r="J560" s="3" t="str">
        <f>IF(I560="","",IFERROR(VLOOKUP(I560,Base_Datos!$D$2:$E$72,2,0),""))</f>
        <v>(2.0L)</v>
      </c>
      <c r="K560" s="3" t="s">
        <v>1782</v>
      </c>
      <c r="L560" s="3"/>
      <c r="M560" s="7">
        <v>2</v>
      </c>
      <c r="N560" s="7">
        <v>0</v>
      </c>
    </row>
    <row r="561" spans="1:14" ht="14.25" x14ac:dyDescent="0.2">
      <c r="A561" s="3">
        <v>67105</v>
      </c>
      <c r="B561" s="3" t="s">
        <v>2065</v>
      </c>
      <c r="C561" s="3" t="s">
        <v>16</v>
      </c>
      <c r="D561" s="6" t="s">
        <v>1591</v>
      </c>
      <c r="E561" s="6" t="s">
        <v>1782</v>
      </c>
      <c r="F561" s="3" t="str">
        <f>IFERROR( VLOOKUP(A561,#REF!,2,0),"")</f>
        <v/>
      </c>
      <c r="G561" s="3" t="str">
        <f t="array" ref="G561">_xlfn.XLOOKUP(I561,Base_Datos!D:D,Base_Datos!B:B,"")</f>
        <v>GAC</v>
      </c>
      <c r="H561" s="3" t="str">
        <f t="array" ref="H561">IF(I561="","",IFERROR(_xlfn.XLOOKUP(I561,Base_Datos!$D$2:$D3876,Base_Datos!$C$2:$C3876),""))</f>
        <v>Serie GS</v>
      </c>
      <c r="I561" s="3" t="s">
        <v>1487</v>
      </c>
      <c r="J561" s="3" t="str">
        <f>IF(I561="","",IFERROR(VLOOKUP(I561,Base_Datos!$D$2:$E$72,2,0),""))</f>
        <v>(2.0L)</v>
      </c>
      <c r="K561" s="3" t="s">
        <v>1782</v>
      </c>
      <c r="L561" s="3"/>
      <c r="M561" s="7">
        <v>2</v>
      </c>
      <c r="N561" s="7">
        <v>0</v>
      </c>
    </row>
    <row r="562" spans="1:14" ht="14.25" x14ac:dyDescent="0.2">
      <c r="A562" s="3">
        <v>67106</v>
      </c>
      <c r="B562" s="3" t="s">
        <v>2301</v>
      </c>
      <c r="C562" s="3" t="s">
        <v>16</v>
      </c>
      <c r="D562" s="6" t="s">
        <v>1592</v>
      </c>
      <c r="E562" s="6" t="s">
        <v>1782</v>
      </c>
      <c r="F562" s="3" t="str">
        <f>IFERROR( VLOOKUP(A562,#REF!,2,0),"")</f>
        <v/>
      </c>
      <c r="G562" s="3" t="str">
        <f t="array" ref="G562">_xlfn.XLOOKUP(I562,Base_Datos!D:D,Base_Datos!B:B,"")</f>
        <v>GAC</v>
      </c>
      <c r="H562" s="3" t="str">
        <f t="array" ref="H562">IF(I562="","",IFERROR(_xlfn.XLOOKUP(I562,Base_Datos!$D$2:$D3876,Base_Datos!$C$2:$C3876),""))</f>
        <v>Serie GS</v>
      </c>
      <c r="I562" s="3" t="s">
        <v>1487</v>
      </c>
      <c r="J562" s="3" t="str">
        <f>IF(I562="","",IFERROR(VLOOKUP(I562,Base_Datos!$D$2:$E$72,2,0),""))</f>
        <v>(2.0L)</v>
      </c>
      <c r="K562" s="3" t="s">
        <v>1782</v>
      </c>
      <c r="L562" s="3"/>
      <c r="M562" s="7">
        <v>2</v>
      </c>
      <c r="N562" s="7">
        <v>0</v>
      </c>
    </row>
    <row r="563" spans="1:14" ht="14.25" x14ac:dyDescent="0.2">
      <c r="A563" s="3">
        <v>67107</v>
      </c>
      <c r="B563" s="3" t="s">
        <v>2061</v>
      </c>
      <c r="C563" s="3" t="s">
        <v>16</v>
      </c>
      <c r="D563" s="6" t="s">
        <v>1593</v>
      </c>
      <c r="E563" s="6" t="s">
        <v>1782</v>
      </c>
      <c r="F563" s="3" t="str">
        <f>IFERROR( VLOOKUP(A563,#REF!,2,0),"")</f>
        <v/>
      </c>
      <c r="G563" s="3" t="str">
        <f t="array" ref="G563">_xlfn.XLOOKUP(I563,Base_Datos!D:D,Base_Datos!B:B,"")</f>
        <v>GAC</v>
      </c>
      <c r="H563" s="3" t="str">
        <f t="array" ref="H563">IF(I563="","",IFERROR(_xlfn.XLOOKUP(I563,Base_Datos!$D$2:$D3876,Base_Datos!$C$2:$C3876),""))</f>
        <v>Serie GS</v>
      </c>
      <c r="I563" s="3" t="s">
        <v>1487</v>
      </c>
      <c r="J563" s="3" t="str">
        <f>IF(I563="","",IFERROR(VLOOKUP(I563,Base_Datos!$D$2:$E$72,2,0),""))</f>
        <v>(2.0L)</v>
      </c>
      <c r="K563" s="3" t="s">
        <v>1782</v>
      </c>
      <c r="L563" s="3"/>
      <c r="M563" s="7">
        <v>2</v>
      </c>
      <c r="N563" s="7">
        <v>0</v>
      </c>
    </row>
    <row r="564" spans="1:14" ht="14.25" x14ac:dyDescent="0.2">
      <c r="A564" s="3">
        <v>67108</v>
      </c>
      <c r="B564" s="3" t="s">
        <v>2074</v>
      </c>
      <c r="C564" s="3" t="s">
        <v>16</v>
      </c>
      <c r="D564" s="6" t="s">
        <v>1594</v>
      </c>
      <c r="E564" s="6" t="s">
        <v>1594</v>
      </c>
      <c r="F564" s="3" t="str">
        <f>IFERROR( VLOOKUP(A564,#REF!,2,0),"")</f>
        <v/>
      </c>
      <c r="G564" s="3" t="str">
        <f t="array" ref="G564">_xlfn.XLOOKUP(I564,Base_Datos!D:D,Base_Datos!B:B,"")</f>
        <v>GAC</v>
      </c>
      <c r="H564" s="3" t="str">
        <f t="array" ref="H564">IF(I564="","",IFERROR(_xlfn.XLOOKUP(I564,Base_Datos!$D$2:$D3876,Base_Datos!$C$2:$C3876),""))</f>
        <v>Serie GS</v>
      </c>
      <c r="I564" s="3" t="s">
        <v>1487</v>
      </c>
      <c r="J564" s="3" t="str">
        <f>IF(I564="","",IFERROR(VLOOKUP(I564,Base_Datos!$D$2:$E$72,2,0),""))</f>
        <v>(2.0L)</v>
      </c>
      <c r="K564" s="3" t="s">
        <v>1782</v>
      </c>
      <c r="L564" s="3"/>
      <c r="M564" s="7">
        <v>2</v>
      </c>
      <c r="N564" s="7">
        <v>0</v>
      </c>
    </row>
    <row r="565" spans="1:14" ht="14.25" x14ac:dyDescent="0.2">
      <c r="A565" s="3">
        <v>67109</v>
      </c>
      <c r="B565" s="3" t="s">
        <v>2071</v>
      </c>
      <c r="C565" s="3" t="s">
        <v>16</v>
      </c>
      <c r="D565" s="6" t="s">
        <v>1595</v>
      </c>
      <c r="E565" s="6" t="s">
        <v>1782</v>
      </c>
      <c r="F565" s="3" t="str">
        <f>IFERROR( VLOOKUP(A565,#REF!,2,0),"")</f>
        <v/>
      </c>
      <c r="G565" s="3" t="str">
        <f t="array" ref="G565">_xlfn.XLOOKUP(I565,Base_Datos!D:D,Base_Datos!B:B,"")</f>
        <v>GAC</v>
      </c>
      <c r="H565" s="3" t="str">
        <f t="array" ref="H565">IF(I565="","",IFERROR(_xlfn.XLOOKUP(I565,Base_Datos!$D$2:$D3876,Base_Datos!$C$2:$C3876),""))</f>
        <v>Serie GS</v>
      </c>
      <c r="I565" s="3" t="s">
        <v>1487</v>
      </c>
      <c r="J565" s="3" t="str">
        <f>IF(I565="","",IFERROR(VLOOKUP(I565,Base_Datos!$D$2:$E$72,2,0),""))</f>
        <v>(2.0L)</v>
      </c>
      <c r="K565" s="3" t="s">
        <v>1782</v>
      </c>
      <c r="L565" s="3"/>
      <c r="M565" s="7">
        <v>2</v>
      </c>
      <c r="N565" s="7">
        <v>0</v>
      </c>
    </row>
    <row r="566" spans="1:14" ht="14.25" x14ac:dyDescent="0.2">
      <c r="A566" s="3">
        <v>67110</v>
      </c>
      <c r="B566" s="3" t="s">
        <v>2072</v>
      </c>
      <c r="C566" s="3" t="s">
        <v>16</v>
      </c>
      <c r="D566" s="6" t="s">
        <v>1596</v>
      </c>
      <c r="E566" s="6" t="s">
        <v>1782</v>
      </c>
      <c r="F566" s="3" t="str">
        <f>IFERROR( VLOOKUP(A566,#REF!,2,0),"")</f>
        <v/>
      </c>
      <c r="G566" s="3" t="str">
        <f t="array" ref="G566">_xlfn.XLOOKUP(I566,Base_Datos!D:D,Base_Datos!B:B,"")</f>
        <v>GAC</v>
      </c>
      <c r="H566" s="3" t="str">
        <f t="array" ref="H566">IF(I566="","",IFERROR(_xlfn.XLOOKUP(I566,Base_Datos!$D$2:$D3876,Base_Datos!$C$2:$C3876),""))</f>
        <v>Serie GS</v>
      </c>
      <c r="I566" s="3" t="s">
        <v>1487</v>
      </c>
      <c r="J566" s="3" t="str">
        <f>IF(I566="","",IFERROR(VLOOKUP(I566,Base_Datos!$D$2:$E$72,2,0),""))</f>
        <v>(2.0L)</v>
      </c>
      <c r="K566" s="3" t="s">
        <v>1782</v>
      </c>
      <c r="L566" s="3"/>
      <c r="M566" s="7">
        <v>2</v>
      </c>
      <c r="N566" s="7">
        <v>0</v>
      </c>
    </row>
    <row r="567" spans="1:14" ht="14.25" x14ac:dyDescent="0.2">
      <c r="A567" s="3">
        <v>67111</v>
      </c>
      <c r="B567" s="3" t="s">
        <v>2302</v>
      </c>
      <c r="C567" s="3" t="s">
        <v>16</v>
      </c>
      <c r="D567" s="6" t="s">
        <v>1597</v>
      </c>
      <c r="E567" s="6" t="s">
        <v>1782</v>
      </c>
      <c r="F567" s="3" t="str">
        <f>IFERROR( VLOOKUP(A567,#REF!,2,0),"")</f>
        <v/>
      </c>
      <c r="G567" s="3" t="str">
        <f t="array" ref="G567">_xlfn.XLOOKUP(I567,Base_Datos!D:D,Base_Datos!B:B,"")</f>
        <v>GAC</v>
      </c>
      <c r="H567" s="3" t="str">
        <f t="array" ref="H567">IF(I567="","",IFERROR(_xlfn.XLOOKUP(I567,Base_Datos!$D$2:$D3876,Base_Datos!$C$2:$C3876),""))</f>
        <v>Serie GS</v>
      </c>
      <c r="I567" s="3" t="s">
        <v>1487</v>
      </c>
      <c r="J567" s="3" t="str">
        <f>IF(I567="","",IFERROR(VLOOKUP(I567,Base_Datos!$D$2:$E$72,2,0),""))</f>
        <v>(2.0L)</v>
      </c>
      <c r="K567" s="3" t="s">
        <v>1782</v>
      </c>
      <c r="L567" s="3"/>
      <c r="M567" s="7">
        <v>2</v>
      </c>
      <c r="N567" s="7">
        <v>0</v>
      </c>
    </row>
    <row r="568" spans="1:14" ht="14.25" x14ac:dyDescent="0.2">
      <c r="A568" s="3">
        <v>67112</v>
      </c>
      <c r="B568" s="3" t="s">
        <v>2303</v>
      </c>
      <c r="C568" s="3" t="s">
        <v>16</v>
      </c>
      <c r="D568" s="6" t="s">
        <v>1598</v>
      </c>
      <c r="E568" s="6" t="s">
        <v>1782</v>
      </c>
      <c r="F568" s="3" t="str">
        <f>IFERROR( VLOOKUP(A568,#REF!,2,0),"")</f>
        <v/>
      </c>
      <c r="G568" s="3" t="str">
        <f t="array" ref="G568">_xlfn.XLOOKUP(I568,Base_Datos!D:D,Base_Datos!B:B,"")</f>
        <v>GAC</v>
      </c>
      <c r="H568" s="3" t="str">
        <f t="array" ref="H568">IF(I568="","",IFERROR(_xlfn.XLOOKUP(I568,Base_Datos!$D$2:$D3876,Base_Datos!$C$2:$C3876),""))</f>
        <v>Serie GS</v>
      </c>
      <c r="I568" s="3" t="s">
        <v>1487</v>
      </c>
      <c r="J568" s="3" t="str">
        <f>IF(I568="","",IFERROR(VLOOKUP(I568,Base_Datos!$D$2:$E$72,2,0),""))</f>
        <v>(2.0L)</v>
      </c>
      <c r="K568" s="3" t="s">
        <v>1782</v>
      </c>
      <c r="L568" s="3"/>
      <c r="M568" s="7">
        <v>2</v>
      </c>
      <c r="N568" s="7">
        <v>0</v>
      </c>
    </row>
    <row r="569" spans="1:14" ht="14.25" x14ac:dyDescent="0.2">
      <c r="A569" s="3">
        <v>67113</v>
      </c>
      <c r="B569" s="3" t="s">
        <v>2304</v>
      </c>
      <c r="C569" s="3" t="s">
        <v>16</v>
      </c>
      <c r="D569" s="6" t="s">
        <v>1599</v>
      </c>
      <c r="E569" s="6" t="s">
        <v>1782</v>
      </c>
      <c r="F569" s="3" t="str">
        <f>IFERROR( VLOOKUP(A569,#REF!,2,0),"")</f>
        <v/>
      </c>
      <c r="G569" s="3" t="str">
        <f t="array" ref="G569">_xlfn.XLOOKUP(I569,Base_Datos!D:D,Base_Datos!B:B,"")</f>
        <v>GAC</v>
      </c>
      <c r="H569" s="3" t="str">
        <f t="array" ref="H569">IF(I569="","",IFERROR(_xlfn.XLOOKUP(I569,Base_Datos!$D$2:$D3876,Base_Datos!$C$2:$C3876),""))</f>
        <v>Serie GS</v>
      </c>
      <c r="I569" s="3" t="s">
        <v>1487</v>
      </c>
      <c r="J569" s="3" t="str">
        <f>IF(I569="","",IFERROR(VLOOKUP(I569,Base_Datos!$D$2:$E$72,2,0),""))</f>
        <v>(2.0L)</v>
      </c>
      <c r="K569" s="3" t="s">
        <v>1782</v>
      </c>
      <c r="L569" s="3"/>
      <c r="M569" s="7">
        <v>2</v>
      </c>
      <c r="N569" s="7">
        <v>0</v>
      </c>
    </row>
    <row r="570" spans="1:14" ht="14.25" x14ac:dyDescent="0.2">
      <c r="A570" s="3">
        <v>67114</v>
      </c>
      <c r="B570" s="3" t="s">
        <v>2305</v>
      </c>
      <c r="C570" s="3" t="s">
        <v>16</v>
      </c>
      <c r="D570" s="6" t="s">
        <v>1600</v>
      </c>
      <c r="E570" s="6" t="s">
        <v>1782</v>
      </c>
      <c r="F570" s="3" t="str">
        <f>IFERROR( VLOOKUP(A570,#REF!,2,0),"")</f>
        <v/>
      </c>
      <c r="G570" s="3" t="str">
        <f t="array" ref="G570">_xlfn.XLOOKUP(I570,Base_Datos!D:D,Base_Datos!B:B,"")</f>
        <v>GAC</v>
      </c>
      <c r="H570" s="3" t="str">
        <f t="array" ref="H570">IF(I570="","",IFERROR(_xlfn.XLOOKUP(I570,Base_Datos!$D$2:$D3876,Base_Datos!$C$2:$C3876),""))</f>
        <v>Serie GS</v>
      </c>
      <c r="I570" s="3" t="s">
        <v>1487</v>
      </c>
      <c r="J570" s="3" t="str">
        <f>IF(I570="","",IFERROR(VLOOKUP(I570,Base_Datos!$D$2:$E$72,2,0),""))</f>
        <v>(2.0L)</v>
      </c>
      <c r="K570" s="3" t="s">
        <v>1782</v>
      </c>
      <c r="L570" s="3"/>
      <c r="M570" s="7">
        <v>2</v>
      </c>
      <c r="N570" s="7">
        <v>0</v>
      </c>
    </row>
    <row r="571" spans="1:14" ht="14.25" x14ac:dyDescent="0.2">
      <c r="A571" s="3">
        <v>67115</v>
      </c>
      <c r="B571" s="3" t="s">
        <v>2073</v>
      </c>
      <c r="C571" s="3" t="s">
        <v>16</v>
      </c>
      <c r="D571" s="6" t="s">
        <v>1601</v>
      </c>
      <c r="E571" s="6" t="s">
        <v>1782</v>
      </c>
      <c r="F571" s="3" t="str">
        <f>IFERROR( VLOOKUP(A571,#REF!,2,0),"")</f>
        <v/>
      </c>
      <c r="G571" s="3" t="str">
        <f t="array" ref="G571">_xlfn.XLOOKUP(I571,Base_Datos!D:D,Base_Datos!B:B,"")</f>
        <v>GAC</v>
      </c>
      <c r="H571" s="3" t="str">
        <f t="array" ref="H571">IF(I571="","",IFERROR(_xlfn.XLOOKUP(I571,Base_Datos!$D$2:$D3876,Base_Datos!$C$2:$C3876),""))</f>
        <v>Serie GS</v>
      </c>
      <c r="I571" s="3" t="s">
        <v>1487</v>
      </c>
      <c r="J571" s="3" t="str">
        <f>IF(I571="","",IFERROR(VLOOKUP(I571,Base_Datos!$D$2:$E$72,2,0),""))</f>
        <v>(2.0L)</v>
      </c>
      <c r="K571" s="3" t="s">
        <v>1782</v>
      </c>
      <c r="L571" s="3"/>
      <c r="M571" s="7">
        <v>2</v>
      </c>
      <c r="N571" s="7">
        <v>0</v>
      </c>
    </row>
    <row r="572" spans="1:14" ht="14.25" x14ac:dyDescent="0.2">
      <c r="A572" s="3">
        <v>67116</v>
      </c>
      <c r="B572" s="3" t="s">
        <v>2070</v>
      </c>
      <c r="C572" s="3" t="s">
        <v>16</v>
      </c>
      <c r="D572" s="6" t="s">
        <v>1602</v>
      </c>
      <c r="E572" s="6" t="s">
        <v>1782</v>
      </c>
      <c r="F572" s="3" t="str">
        <f>IFERROR( VLOOKUP(A572,#REF!,2,0),"")</f>
        <v/>
      </c>
      <c r="G572" s="3" t="str">
        <f t="array" ref="G572">_xlfn.XLOOKUP(I572,Base_Datos!D:D,Base_Datos!B:B,"")</f>
        <v>GAC</v>
      </c>
      <c r="H572" s="3" t="str">
        <f t="array" ref="H572">IF(I572="","",IFERROR(_xlfn.XLOOKUP(I572,Base_Datos!$D$2:$D3876,Base_Datos!$C$2:$C3876),""))</f>
        <v>Serie GS</v>
      </c>
      <c r="I572" s="3" t="s">
        <v>1487</v>
      </c>
      <c r="J572" s="3" t="str">
        <f>IF(I572="","",IFERROR(VLOOKUP(I572,Base_Datos!$D$2:$E$72,2,0),""))</f>
        <v>(2.0L)</v>
      </c>
      <c r="K572" s="3" t="s">
        <v>1782</v>
      </c>
      <c r="L572" s="3"/>
      <c r="M572" s="7">
        <v>2</v>
      </c>
      <c r="N572" s="7">
        <v>0</v>
      </c>
    </row>
    <row r="573" spans="1:14" ht="14.25" x14ac:dyDescent="0.2">
      <c r="A573" s="3">
        <v>67117</v>
      </c>
      <c r="B573" s="3" t="s">
        <v>2306</v>
      </c>
      <c r="C573" s="3" t="s">
        <v>16</v>
      </c>
      <c r="D573" s="6" t="s">
        <v>1603</v>
      </c>
      <c r="E573" s="6" t="s">
        <v>1782</v>
      </c>
      <c r="F573" s="3" t="str">
        <f>IFERROR( VLOOKUP(A573,#REF!,2,0),"")</f>
        <v/>
      </c>
      <c r="G573" s="3" t="str">
        <f t="array" ref="G573">_xlfn.XLOOKUP(I573,Base_Datos!D:D,Base_Datos!B:B,"")</f>
        <v>GAC</v>
      </c>
      <c r="H573" s="3" t="str">
        <f t="array" ref="H573">IF(I573="","",IFERROR(_xlfn.XLOOKUP(I573,Base_Datos!$D$2:$D3876,Base_Datos!$C$2:$C3876),""))</f>
        <v>Serie GS</v>
      </c>
      <c r="I573" s="3" t="s">
        <v>1487</v>
      </c>
      <c r="J573" s="3" t="str">
        <f>IF(I573="","",IFERROR(VLOOKUP(I573,Base_Datos!$D$2:$E$72,2,0),""))</f>
        <v>(2.0L)</v>
      </c>
      <c r="K573" s="3" t="s">
        <v>1782</v>
      </c>
      <c r="L573" s="3"/>
      <c r="M573" s="7">
        <v>2</v>
      </c>
      <c r="N573" s="7">
        <v>0</v>
      </c>
    </row>
    <row r="574" spans="1:14" ht="14.25" x14ac:dyDescent="0.2">
      <c r="A574" s="3">
        <v>67118</v>
      </c>
      <c r="B574" s="3" t="s">
        <v>2075</v>
      </c>
      <c r="C574" s="3" t="s">
        <v>16</v>
      </c>
      <c r="D574" s="6" t="s">
        <v>1604</v>
      </c>
      <c r="E574" s="6" t="s">
        <v>1782</v>
      </c>
      <c r="F574" s="3" t="str">
        <f>IFERROR( VLOOKUP(A574,#REF!,2,0),"")</f>
        <v/>
      </c>
      <c r="G574" s="3" t="str">
        <f t="array" ref="G574">_xlfn.XLOOKUP(I574,Base_Datos!D:D,Base_Datos!B:B,"")</f>
        <v>GAC</v>
      </c>
      <c r="H574" s="3" t="str">
        <f t="array" ref="H574">IF(I574="","",IFERROR(_xlfn.XLOOKUP(I574,Base_Datos!$D$2:$D3876,Base_Datos!$C$2:$C3876),""))</f>
        <v>Serie GS</v>
      </c>
      <c r="I574" s="3" t="s">
        <v>1487</v>
      </c>
      <c r="J574" s="3" t="str">
        <f>IF(I574="","",IFERROR(VLOOKUP(I574,Base_Datos!$D$2:$E$72,2,0),""))</f>
        <v>(2.0L)</v>
      </c>
      <c r="K574" s="3" t="s">
        <v>1782</v>
      </c>
      <c r="L574" s="3"/>
      <c r="M574" s="7">
        <v>1</v>
      </c>
      <c r="N574" s="7">
        <v>0</v>
      </c>
    </row>
    <row r="575" spans="1:14" ht="14.25" x14ac:dyDescent="0.2">
      <c r="A575" s="3">
        <v>67119</v>
      </c>
      <c r="B575" s="3" t="s">
        <v>2307</v>
      </c>
      <c r="C575" s="3" t="s">
        <v>16</v>
      </c>
      <c r="D575" s="6" t="s">
        <v>1605</v>
      </c>
      <c r="E575" s="6" t="s">
        <v>1782</v>
      </c>
      <c r="F575" s="3" t="str">
        <f>IFERROR( VLOOKUP(A575,#REF!,2,0),"")</f>
        <v/>
      </c>
      <c r="G575" s="3" t="str">
        <f t="array" ref="G575">_xlfn.XLOOKUP(I575,Base_Datos!D:D,Base_Datos!B:B,"")</f>
        <v>GAC</v>
      </c>
      <c r="H575" s="3" t="str">
        <f t="array" ref="H575">IF(I575="","",IFERROR(_xlfn.XLOOKUP(I575,Base_Datos!$D$2:$D3876,Base_Datos!$C$2:$C3876),""))</f>
        <v>Serie GS</v>
      </c>
      <c r="I575" s="3" t="s">
        <v>1487</v>
      </c>
      <c r="J575" s="3" t="str">
        <f>IF(I575="","",IFERROR(VLOOKUP(I575,Base_Datos!$D$2:$E$72,2,0),""))</f>
        <v>(2.0L)</v>
      </c>
      <c r="K575" s="3" t="s">
        <v>1782</v>
      </c>
      <c r="L575" s="3"/>
      <c r="M575" s="7">
        <v>2</v>
      </c>
      <c r="N575" s="7">
        <v>0</v>
      </c>
    </row>
    <row r="576" spans="1:14" ht="14.25" x14ac:dyDescent="0.2">
      <c r="A576" s="3">
        <v>67120</v>
      </c>
      <c r="B576" s="3" t="s">
        <v>2308</v>
      </c>
      <c r="C576" s="3" t="s">
        <v>16</v>
      </c>
      <c r="D576" s="6" t="s">
        <v>1606</v>
      </c>
      <c r="E576" s="6" t="s">
        <v>1606</v>
      </c>
      <c r="F576" s="3" t="str">
        <f>IFERROR( VLOOKUP(A576,#REF!,2,0),"")</f>
        <v/>
      </c>
      <c r="G576" s="3" t="str">
        <f t="array" ref="G576">_xlfn.XLOOKUP(I576,Base_Datos!D:D,Base_Datos!B:B,"")</f>
        <v>GAC</v>
      </c>
      <c r="H576" s="3" t="str">
        <f t="array" ref="H576">IF(I576="","",IFERROR(_xlfn.XLOOKUP(I576,Base_Datos!$D$2:$D3876,Base_Datos!$C$2:$C3876),""))</f>
        <v>Serie GS</v>
      </c>
      <c r="I576" s="3" t="s">
        <v>1487</v>
      </c>
      <c r="J576" s="3" t="str">
        <f>IF(I576="","",IFERROR(VLOOKUP(I576,Base_Datos!$D$2:$E$72,2,0),""))</f>
        <v>(2.0L)</v>
      </c>
      <c r="K576" s="3" t="s">
        <v>1782</v>
      </c>
      <c r="L576" s="3"/>
      <c r="M576" s="7">
        <v>2</v>
      </c>
      <c r="N576" s="7">
        <v>0</v>
      </c>
    </row>
    <row r="577" spans="1:14" ht="14.25" x14ac:dyDescent="0.2">
      <c r="A577" s="3">
        <v>67121</v>
      </c>
      <c r="B577" s="3" t="s">
        <v>2309</v>
      </c>
      <c r="C577" s="3" t="s">
        <v>16</v>
      </c>
      <c r="D577" s="6" t="s">
        <v>1607</v>
      </c>
      <c r="E577" s="6" t="s">
        <v>1607</v>
      </c>
      <c r="F577" s="3" t="str">
        <f>IFERROR( VLOOKUP(A577,#REF!,2,0),"")</f>
        <v/>
      </c>
      <c r="G577" s="3" t="str">
        <f t="array" ref="G577">_xlfn.XLOOKUP(I577,Base_Datos!D:D,Base_Datos!B:B,"")</f>
        <v>GAC</v>
      </c>
      <c r="H577" s="3" t="str">
        <f t="array" ref="H577">IF(I577="","",IFERROR(_xlfn.XLOOKUP(I577,Base_Datos!$D$2:$D3876,Base_Datos!$C$2:$C3876),""))</f>
        <v>Serie GS</v>
      </c>
      <c r="I577" s="3" t="s">
        <v>1487</v>
      </c>
      <c r="J577" s="3" t="str">
        <f>IF(I577="","",IFERROR(VLOOKUP(I577,Base_Datos!$D$2:$E$72,2,0),""))</f>
        <v>(2.0L)</v>
      </c>
      <c r="K577" s="3" t="s">
        <v>1782</v>
      </c>
      <c r="L577" s="3"/>
      <c r="M577" s="7">
        <v>2</v>
      </c>
      <c r="N577" s="7">
        <v>0</v>
      </c>
    </row>
    <row r="578" spans="1:14" ht="14.25" x14ac:dyDescent="0.2">
      <c r="A578" s="3">
        <v>67122</v>
      </c>
      <c r="B578" s="3" t="s">
        <v>2080</v>
      </c>
      <c r="C578" s="3" t="s">
        <v>16</v>
      </c>
      <c r="D578" s="6" t="s">
        <v>1608</v>
      </c>
      <c r="E578" s="6" t="s">
        <v>1782</v>
      </c>
      <c r="F578" s="3" t="str">
        <f>IFERROR( VLOOKUP(A578,#REF!,2,0),"")</f>
        <v/>
      </c>
      <c r="G578" s="3" t="str">
        <f t="array" ref="G578">_xlfn.XLOOKUP(I578,Base_Datos!D:D,Base_Datos!B:B,"")</f>
        <v>GAC</v>
      </c>
      <c r="H578" s="3" t="str">
        <f t="array" ref="H578">IF(I578="","",IFERROR(_xlfn.XLOOKUP(I578,Base_Datos!$D$2:$D3876,Base_Datos!$C$2:$C3876),""))</f>
        <v>Serie GS</v>
      </c>
      <c r="I578" s="3" t="s">
        <v>1487</v>
      </c>
      <c r="J578" s="3" t="str">
        <f>IF(I578="","",IFERROR(VLOOKUP(I578,Base_Datos!$D$2:$E$72,2,0),""))</f>
        <v>(2.0L)</v>
      </c>
      <c r="K578" s="3" t="s">
        <v>1782</v>
      </c>
      <c r="L578" s="3"/>
      <c r="M578" s="7">
        <v>1</v>
      </c>
      <c r="N578" s="7">
        <v>0</v>
      </c>
    </row>
    <row r="579" spans="1:14" ht="14.25" x14ac:dyDescent="0.2">
      <c r="A579" s="3">
        <v>67123</v>
      </c>
      <c r="B579" s="3" t="s">
        <v>2081</v>
      </c>
      <c r="C579" s="3" t="s">
        <v>16</v>
      </c>
      <c r="D579" s="6" t="s">
        <v>1609</v>
      </c>
      <c r="E579" s="6" t="s">
        <v>1782</v>
      </c>
      <c r="F579" s="3" t="str">
        <f>IFERROR( VLOOKUP(A579,#REF!,2,0),"")</f>
        <v/>
      </c>
      <c r="G579" s="3" t="str">
        <f t="array" ref="G579">_xlfn.XLOOKUP(I579,Base_Datos!D:D,Base_Datos!B:B,"")</f>
        <v>GAC</v>
      </c>
      <c r="H579" s="3" t="str">
        <f t="array" ref="H579">IF(I579="","",IFERROR(_xlfn.XLOOKUP(I579,Base_Datos!$D$2:$D3876,Base_Datos!$C$2:$C3876),""))</f>
        <v>Serie GS</v>
      </c>
      <c r="I579" s="3" t="s">
        <v>1487</v>
      </c>
      <c r="J579" s="3" t="str">
        <f>IF(I579="","",IFERROR(VLOOKUP(I579,Base_Datos!$D$2:$E$72,2,0),""))</f>
        <v>(2.0L)</v>
      </c>
      <c r="K579" s="3" t="s">
        <v>1782</v>
      </c>
      <c r="L579" s="3"/>
      <c r="M579" s="7">
        <v>1</v>
      </c>
      <c r="N579" s="7">
        <v>0</v>
      </c>
    </row>
    <row r="580" spans="1:14" ht="14.25" x14ac:dyDescent="0.2">
      <c r="A580" s="3">
        <v>67124</v>
      </c>
      <c r="B580" s="3" t="s">
        <v>2082</v>
      </c>
      <c r="C580" s="3" t="s">
        <v>16</v>
      </c>
      <c r="D580" s="6" t="s">
        <v>1610</v>
      </c>
      <c r="E580" s="6" t="s">
        <v>1782</v>
      </c>
      <c r="F580" s="3" t="str">
        <f>IFERROR( VLOOKUP(A580,#REF!,2,0),"")</f>
        <v/>
      </c>
      <c r="G580" s="3" t="str">
        <f t="array" ref="G580">_xlfn.XLOOKUP(I580,Base_Datos!D:D,Base_Datos!B:B,"")</f>
        <v>GAC</v>
      </c>
      <c r="H580" s="3" t="str">
        <f t="array" ref="H580">IF(I580="","",IFERROR(_xlfn.XLOOKUP(I580,Base_Datos!$D$2:$D3876,Base_Datos!$C$2:$C3876),""))</f>
        <v>Serie GS</v>
      </c>
      <c r="I580" s="3" t="s">
        <v>1487</v>
      </c>
      <c r="J580" s="3" t="str">
        <f>IF(I580="","",IFERROR(VLOOKUP(I580,Base_Datos!$D$2:$E$72,2,0),""))</f>
        <v>(2.0L)</v>
      </c>
      <c r="K580" s="3" t="s">
        <v>1782</v>
      </c>
      <c r="L580" s="3"/>
      <c r="M580" s="7">
        <v>1</v>
      </c>
      <c r="N580" s="7">
        <v>0</v>
      </c>
    </row>
    <row r="581" spans="1:14" ht="14.25" x14ac:dyDescent="0.2">
      <c r="A581" s="3">
        <v>67125</v>
      </c>
      <c r="B581" s="3" t="s">
        <v>2083</v>
      </c>
      <c r="C581" s="3" t="s">
        <v>16</v>
      </c>
      <c r="D581" s="6" t="s">
        <v>1611</v>
      </c>
      <c r="E581" s="6" t="s">
        <v>1782</v>
      </c>
      <c r="F581" s="3" t="str">
        <f>IFERROR( VLOOKUP(A581,#REF!,2,0),"")</f>
        <v/>
      </c>
      <c r="G581" s="3" t="str">
        <f t="array" ref="G581">_xlfn.XLOOKUP(I581,Base_Datos!D:D,Base_Datos!B:B,"")</f>
        <v>GAC</v>
      </c>
      <c r="H581" s="3" t="str">
        <f t="array" ref="H581">IF(I581="","",IFERROR(_xlfn.XLOOKUP(I581,Base_Datos!$D$2:$D3876,Base_Datos!$C$2:$C3876),""))</f>
        <v>Serie GS</v>
      </c>
      <c r="I581" s="3" t="s">
        <v>1487</v>
      </c>
      <c r="J581" s="3" t="str">
        <f>IF(I581="","",IFERROR(VLOOKUP(I581,Base_Datos!$D$2:$E$72,2,0),""))</f>
        <v>(2.0L)</v>
      </c>
      <c r="K581" s="3" t="s">
        <v>1782</v>
      </c>
      <c r="L581" s="3"/>
      <c r="M581" s="7">
        <v>1</v>
      </c>
      <c r="N581" s="7">
        <v>0</v>
      </c>
    </row>
    <row r="582" spans="1:14" ht="14.25" x14ac:dyDescent="0.2">
      <c r="A582" s="3">
        <v>67126</v>
      </c>
      <c r="B582" s="3" t="s">
        <v>2310</v>
      </c>
      <c r="C582" s="3" t="s">
        <v>16</v>
      </c>
      <c r="D582" s="6" t="s">
        <v>1612</v>
      </c>
      <c r="E582" s="6" t="s">
        <v>1782</v>
      </c>
      <c r="F582" s="3" t="str">
        <f>IFERROR( VLOOKUP(A582,#REF!,2,0),"")</f>
        <v/>
      </c>
      <c r="G582" s="3" t="str">
        <f t="array" ref="G582">_xlfn.XLOOKUP(I582,Base_Datos!D:D,Base_Datos!B:B,"")</f>
        <v>GAC</v>
      </c>
      <c r="H582" s="3" t="str">
        <f t="array" ref="H582">IF(I582="","",IFERROR(_xlfn.XLOOKUP(I582,Base_Datos!$D$2:$D3876,Base_Datos!$C$2:$C3876),""))</f>
        <v>Serie GS</v>
      </c>
      <c r="I582" s="3" t="s">
        <v>1487</v>
      </c>
      <c r="J582" s="3" t="str">
        <f>IF(I582="","",IFERROR(VLOOKUP(I582,Base_Datos!$D$2:$E$72,2,0),""))</f>
        <v>(2.0L)</v>
      </c>
      <c r="K582" s="3" t="s">
        <v>1782</v>
      </c>
      <c r="L582" s="3"/>
      <c r="M582" s="7">
        <v>1</v>
      </c>
      <c r="N582" s="7">
        <v>0</v>
      </c>
    </row>
    <row r="583" spans="1:14" ht="14.25" x14ac:dyDescent="0.2">
      <c r="A583" s="3">
        <v>67127</v>
      </c>
      <c r="B583" s="3" t="s">
        <v>2085</v>
      </c>
      <c r="C583" s="3" t="s">
        <v>16</v>
      </c>
      <c r="D583" s="6" t="s">
        <v>1613</v>
      </c>
      <c r="E583" s="6" t="s">
        <v>1782</v>
      </c>
      <c r="F583" s="3" t="str">
        <f>IFERROR( VLOOKUP(A583,#REF!,2,0),"")</f>
        <v/>
      </c>
      <c r="G583" s="3" t="str">
        <f t="array" ref="G583">_xlfn.XLOOKUP(I583,Base_Datos!D:D,Base_Datos!B:B,"")</f>
        <v>GAC</v>
      </c>
      <c r="H583" s="3" t="str">
        <f t="array" ref="H583">IF(I583="","",IFERROR(_xlfn.XLOOKUP(I583,Base_Datos!$D$2:$D3876,Base_Datos!$C$2:$C3876),""))</f>
        <v>Serie GS</v>
      </c>
      <c r="I583" s="3" t="s">
        <v>1487</v>
      </c>
      <c r="J583" s="3" t="str">
        <f>IF(I583="","",IFERROR(VLOOKUP(I583,Base_Datos!$D$2:$E$72,2,0),""))</f>
        <v>(2.0L)</v>
      </c>
      <c r="K583" s="3" t="s">
        <v>1782</v>
      </c>
      <c r="L583" s="3"/>
      <c r="M583" s="7">
        <v>2</v>
      </c>
      <c r="N583" s="7">
        <v>0</v>
      </c>
    </row>
    <row r="584" spans="1:14" ht="14.25" x14ac:dyDescent="0.2">
      <c r="A584" s="3">
        <v>67128</v>
      </c>
      <c r="B584" s="3" t="s">
        <v>2086</v>
      </c>
      <c r="C584" s="3" t="s">
        <v>16</v>
      </c>
      <c r="D584" s="6" t="s">
        <v>1614</v>
      </c>
      <c r="E584" s="6" t="s">
        <v>1782</v>
      </c>
      <c r="F584" s="3" t="str">
        <f>IFERROR( VLOOKUP(A584,#REF!,2,0),"")</f>
        <v/>
      </c>
      <c r="G584" s="3" t="str">
        <f t="array" ref="G584">_xlfn.XLOOKUP(I584,Base_Datos!D:D,Base_Datos!B:B,"")</f>
        <v>GAC</v>
      </c>
      <c r="H584" s="3" t="str">
        <f t="array" ref="H584">IF(I584="","",IFERROR(_xlfn.XLOOKUP(I584,Base_Datos!$D$2:$D3876,Base_Datos!$C$2:$C3876),""))</f>
        <v>Serie GS</v>
      </c>
      <c r="I584" s="3" t="s">
        <v>1487</v>
      </c>
      <c r="J584" s="3" t="str">
        <f>IF(I584="","",IFERROR(VLOOKUP(I584,Base_Datos!$D$2:$E$72,2,0),""))</f>
        <v>(2.0L)</v>
      </c>
      <c r="K584" s="3" t="s">
        <v>1782</v>
      </c>
      <c r="L584" s="3"/>
      <c r="M584" s="7">
        <v>2</v>
      </c>
      <c r="N584" s="7">
        <v>0</v>
      </c>
    </row>
    <row r="585" spans="1:14" ht="14.25" x14ac:dyDescent="0.2">
      <c r="A585" s="3">
        <v>67129</v>
      </c>
      <c r="B585" s="3" t="s">
        <v>2087</v>
      </c>
      <c r="C585" s="3" t="s">
        <v>16</v>
      </c>
      <c r="D585" s="6" t="s">
        <v>1615</v>
      </c>
      <c r="E585" s="6" t="s">
        <v>1782</v>
      </c>
      <c r="F585" s="3" t="str">
        <f>IFERROR( VLOOKUP(A585,#REF!,2,0),"")</f>
        <v/>
      </c>
      <c r="G585" s="3" t="str">
        <f t="array" ref="G585">_xlfn.XLOOKUP(I585,Base_Datos!D:D,Base_Datos!B:B,"")</f>
        <v>GAC</v>
      </c>
      <c r="H585" s="3" t="str">
        <f t="array" ref="H585">IF(I585="","",IFERROR(_xlfn.XLOOKUP(I585,Base_Datos!$D$2:$D3876,Base_Datos!$C$2:$C3876),""))</f>
        <v>Serie GS</v>
      </c>
      <c r="I585" s="3" t="s">
        <v>1487</v>
      </c>
      <c r="J585" s="3" t="str">
        <f>IF(I585="","",IFERROR(VLOOKUP(I585,Base_Datos!$D$2:$E$72,2,0),""))</f>
        <v>(2.0L)</v>
      </c>
      <c r="K585" s="3" t="s">
        <v>1782</v>
      </c>
      <c r="L585" s="3"/>
      <c r="M585" s="7">
        <v>2</v>
      </c>
      <c r="N585" s="7">
        <v>0</v>
      </c>
    </row>
    <row r="586" spans="1:14" ht="14.25" x14ac:dyDescent="0.2">
      <c r="A586" s="3">
        <v>67130</v>
      </c>
      <c r="B586" s="3" t="s">
        <v>2088</v>
      </c>
      <c r="C586" s="3" t="s">
        <v>16</v>
      </c>
      <c r="D586" s="6" t="s">
        <v>1616</v>
      </c>
      <c r="E586" s="6" t="s">
        <v>1782</v>
      </c>
      <c r="F586" s="3" t="str">
        <f>IFERROR( VLOOKUP(A586,#REF!,2,0),"")</f>
        <v/>
      </c>
      <c r="G586" s="3" t="str">
        <f t="array" ref="G586">_xlfn.XLOOKUP(I586,Base_Datos!D:D,Base_Datos!B:B,"")</f>
        <v>GAC</v>
      </c>
      <c r="H586" s="3" t="str">
        <f t="array" ref="H586">IF(I586="","",IFERROR(_xlfn.XLOOKUP(I586,Base_Datos!$D$2:$D3876,Base_Datos!$C$2:$C3876),""))</f>
        <v>Serie GS</v>
      </c>
      <c r="I586" s="3" t="s">
        <v>1487</v>
      </c>
      <c r="J586" s="3" t="str">
        <f>IF(I586="","",IFERROR(VLOOKUP(I586,Base_Datos!$D$2:$E$72,2,0),""))</f>
        <v>(2.0L)</v>
      </c>
      <c r="K586" s="3" t="s">
        <v>1782</v>
      </c>
      <c r="L586" s="3"/>
      <c r="M586" s="7">
        <v>2</v>
      </c>
      <c r="N586" s="7">
        <v>0</v>
      </c>
    </row>
    <row r="587" spans="1:14" ht="14.25" x14ac:dyDescent="0.2">
      <c r="A587" s="3">
        <v>67131</v>
      </c>
      <c r="B587" s="3" t="s">
        <v>2089</v>
      </c>
      <c r="C587" s="3" t="s">
        <v>16</v>
      </c>
      <c r="D587" s="6" t="s">
        <v>1617</v>
      </c>
      <c r="E587" s="6" t="s">
        <v>1782</v>
      </c>
      <c r="F587" s="3" t="str">
        <f>IFERROR( VLOOKUP(A587,#REF!,2,0),"")</f>
        <v/>
      </c>
      <c r="G587" s="3" t="str">
        <f t="array" ref="G587">_xlfn.XLOOKUP(I587,Base_Datos!D:D,Base_Datos!B:B,"")</f>
        <v>GAC</v>
      </c>
      <c r="H587" s="3" t="str">
        <f t="array" ref="H587">IF(I587="","",IFERROR(_xlfn.XLOOKUP(I587,Base_Datos!$D$2:$D3876,Base_Datos!$C$2:$C3876),""))</f>
        <v>Serie GS</v>
      </c>
      <c r="I587" s="3" t="s">
        <v>1487</v>
      </c>
      <c r="J587" s="3" t="str">
        <f>IF(I587="","",IFERROR(VLOOKUP(I587,Base_Datos!$D$2:$E$72,2,0),""))</f>
        <v>(2.0L)</v>
      </c>
      <c r="K587" s="3" t="s">
        <v>1782</v>
      </c>
      <c r="L587" s="3"/>
      <c r="M587" s="7">
        <v>2</v>
      </c>
      <c r="N587" s="7">
        <v>0</v>
      </c>
    </row>
    <row r="588" spans="1:14" ht="14.25" x14ac:dyDescent="0.2">
      <c r="A588" s="3">
        <v>67132</v>
      </c>
      <c r="B588" s="3" t="s">
        <v>2090</v>
      </c>
      <c r="C588" s="3" t="s">
        <v>16</v>
      </c>
      <c r="D588" s="6" t="s">
        <v>1618</v>
      </c>
      <c r="E588" s="6" t="s">
        <v>1782</v>
      </c>
      <c r="F588" s="3" t="str">
        <f>IFERROR( VLOOKUP(A588,#REF!,2,0),"")</f>
        <v/>
      </c>
      <c r="G588" s="3" t="str">
        <f t="array" ref="G588">_xlfn.XLOOKUP(I588,Base_Datos!D:D,Base_Datos!B:B,"")</f>
        <v>GAC</v>
      </c>
      <c r="H588" s="3" t="str">
        <f t="array" ref="H588">IF(I588="","",IFERROR(_xlfn.XLOOKUP(I588,Base_Datos!$D$2:$D3876,Base_Datos!$C$2:$C3876),""))</f>
        <v>Serie GS</v>
      </c>
      <c r="I588" s="3" t="s">
        <v>1487</v>
      </c>
      <c r="J588" s="3" t="str">
        <f>IF(I588="","",IFERROR(VLOOKUP(I588,Base_Datos!$D$2:$E$72,2,0),""))</f>
        <v>(2.0L)</v>
      </c>
      <c r="K588" s="3" t="s">
        <v>1782</v>
      </c>
      <c r="L588" s="3"/>
      <c r="M588" s="7">
        <v>2</v>
      </c>
      <c r="N588" s="7">
        <v>0</v>
      </c>
    </row>
    <row r="589" spans="1:14" ht="14.25" x14ac:dyDescent="0.2">
      <c r="A589" s="3">
        <v>67133</v>
      </c>
      <c r="B589" s="3" t="s">
        <v>2091</v>
      </c>
      <c r="C589" s="3" t="s">
        <v>16</v>
      </c>
      <c r="D589" s="6" t="s">
        <v>1619</v>
      </c>
      <c r="E589" s="6" t="s">
        <v>1782</v>
      </c>
      <c r="F589" s="3" t="str">
        <f>IFERROR( VLOOKUP(A589,#REF!,2,0),"")</f>
        <v/>
      </c>
      <c r="G589" s="3" t="str">
        <f t="array" ref="G589">_xlfn.XLOOKUP(I589,Base_Datos!D:D,Base_Datos!B:B,"")</f>
        <v>GAC</v>
      </c>
      <c r="H589" s="3" t="str">
        <f t="array" ref="H589">IF(I589="","",IFERROR(_xlfn.XLOOKUP(I589,Base_Datos!$D$2:$D3876,Base_Datos!$C$2:$C3876),""))</f>
        <v>Serie GS</v>
      </c>
      <c r="I589" s="3" t="s">
        <v>1487</v>
      </c>
      <c r="J589" s="3" t="str">
        <f>IF(I589="","",IFERROR(VLOOKUP(I589,Base_Datos!$D$2:$E$72,2,0),""))</f>
        <v>(2.0L)</v>
      </c>
      <c r="K589" s="3" t="s">
        <v>1782</v>
      </c>
      <c r="L589" s="3"/>
      <c r="M589" s="7">
        <v>2</v>
      </c>
      <c r="N589" s="7">
        <v>0</v>
      </c>
    </row>
    <row r="590" spans="1:14" ht="14.25" x14ac:dyDescent="0.2">
      <c r="A590" s="3">
        <v>67134</v>
      </c>
      <c r="B590" s="3" t="s">
        <v>2092</v>
      </c>
      <c r="C590" s="3" t="s">
        <v>16</v>
      </c>
      <c r="D590" s="6" t="s">
        <v>1620</v>
      </c>
      <c r="E590" s="6" t="s">
        <v>1782</v>
      </c>
      <c r="F590" s="3" t="str">
        <f>IFERROR( VLOOKUP(A590,#REF!,2,0),"")</f>
        <v/>
      </c>
      <c r="G590" s="3" t="str">
        <f t="array" ref="G590">_xlfn.XLOOKUP(I590,Base_Datos!D:D,Base_Datos!B:B,"")</f>
        <v>GAC</v>
      </c>
      <c r="H590" s="3" t="str">
        <f t="array" ref="H590">IF(I590="","",IFERROR(_xlfn.XLOOKUP(I590,Base_Datos!$D$2:$D3876,Base_Datos!$C$2:$C3876),""))</f>
        <v>Serie GS</v>
      </c>
      <c r="I590" s="3" t="s">
        <v>1487</v>
      </c>
      <c r="J590" s="3" t="str">
        <f>IF(I590="","",IFERROR(VLOOKUP(I590,Base_Datos!$D$2:$E$72,2,0),""))</f>
        <v>(2.0L)</v>
      </c>
      <c r="K590" s="3" t="s">
        <v>1782</v>
      </c>
      <c r="L590" s="3"/>
      <c r="M590" s="7">
        <v>2</v>
      </c>
      <c r="N590" s="7">
        <v>0</v>
      </c>
    </row>
    <row r="591" spans="1:14" ht="14.25" x14ac:dyDescent="0.2">
      <c r="A591" s="3">
        <v>67135</v>
      </c>
      <c r="B591" s="3" t="s">
        <v>2093</v>
      </c>
      <c r="C591" s="3" t="s">
        <v>16</v>
      </c>
      <c r="D591" s="6" t="s">
        <v>1621</v>
      </c>
      <c r="E591" s="6" t="s">
        <v>1782</v>
      </c>
      <c r="F591" s="3" t="str">
        <f>IFERROR( VLOOKUP(A591,#REF!,2,0),"")</f>
        <v/>
      </c>
      <c r="G591" s="3" t="str">
        <f t="array" ref="G591">_xlfn.XLOOKUP(I591,Base_Datos!D:D,Base_Datos!B:B,"")</f>
        <v>GAC</v>
      </c>
      <c r="H591" s="3" t="str">
        <f t="array" ref="H591">IF(I591="","",IFERROR(_xlfn.XLOOKUP(I591,Base_Datos!$D$2:$D3876,Base_Datos!$C$2:$C3876),""))</f>
        <v>Serie GS</v>
      </c>
      <c r="I591" s="3" t="s">
        <v>1487</v>
      </c>
      <c r="J591" s="3" t="str">
        <f>IF(I591="","",IFERROR(VLOOKUP(I591,Base_Datos!$D$2:$E$72,2,0),""))</f>
        <v>(2.0L)</v>
      </c>
      <c r="K591" s="3" t="s">
        <v>1782</v>
      </c>
      <c r="L591" s="3"/>
      <c r="M591" s="7">
        <v>2</v>
      </c>
      <c r="N591" s="7">
        <v>0</v>
      </c>
    </row>
    <row r="592" spans="1:14" ht="14.25" x14ac:dyDescent="0.2">
      <c r="A592" s="3">
        <v>67136</v>
      </c>
      <c r="B592" s="3" t="s">
        <v>1950</v>
      </c>
      <c r="C592" s="3" t="s">
        <v>16</v>
      </c>
      <c r="D592" s="6" t="s">
        <v>1622</v>
      </c>
      <c r="E592" s="6" t="s">
        <v>1782</v>
      </c>
      <c r="F592" s="3" t="str">
        <f>IFERROR( VLOOKUP(A592,#REF!,2,0),"")</f>
        <v/>
      </c>
      <c r="G592" s="3" t="str">
        <f t="array" ref="G592">_xlfn.XLOOKUP(I592,Base_Datos!D:D,Base_Datos!B:B,"")</f>
        <v>GAC</v>
      </c>
      <c r="H592" s="3" t="str">
        <f t="array" ref="H592">IF(I592="","",IFERROR(_xlfn.XLOOKUP(I592,Base_Datos!$D$2:$D3876,Base_Datos!$C$2:$C3876),""))</f>
        <v>Serie GS</v>
      </c>
      <c r="I592" s="3" t="s">
        <v>1487</v>
      </c>
      <c r="J592" s="3" t="str">
        <f>IF(I592="","",IFERROR(VLOOKUP(I592,Base_Datos!$D$2:$E$72,2,0),""))</f>
        <v>(2.0L)</v>
      </c>
      <c r="K592" s="3" t="s">
        <v>1782</v>
      </c>
      <c r="L592" s="3"/>
      <c r="M592" s="7">
        <v>0</v>
      </c>
      <c r="N592" s="7">
        <v>0</v>
      </c>
    </row>
    <row r="593" spans="1:14" ht="14.25" x14ac:dyDescent="0.2">
      <c r="A593" s="3">
        <v>67137</v>
      </c>
      <c r="B593" s="3" t="s">
        <v>2094</v>
      </c>
      <c r="C593" s="3" t="s">
        <v>16</v>
      </c>
      <c r="D593" s="6" t="s">
        <v>1623</v>
      </c>
      <c r="E593" s="6" t="s">
        <v>2311</v>
      </c>
      <c r="F593" s="3" t="str">
        <f>IFERROR( VLOOKUP(A593,#REF!,2,0),"")</f>
        <v/>
      </c>
      <c r="G593" s="3" t="str">
        <f t="array" ref="G593">_xlfn.XLOOKUP(I593,Base_Datos!D:D,Base_Datos!B:B,"")</f>
        <v>GAC</v>
      </c>
      <c r="H593" s="3" t="str">
        <f t="array" ref="H593">IF(I593="","",IFERROR(_xlfn.XLOOKUP(I593,Base_Datos!$D$2:$D3876,Base_Datos!$C$2:$C3876),""))</f>
        <v>Serie GS</v>
      </c>
      <c r="I593" s="3" t="s">
        <v>1487</v>
      </c>
      <c r="J593" s="3" t="str">
        <f>IF(I593="","",IFERROR(VLOOKUP(I593,Base_Datos!$D$2:$E$72,2,0),""))</f>
        <v>(2.0L)</v>
      </c>
      <c r="K593" s="3" t="s">
        <v>1782</v>
      </c>
      <c r="L593" s="3"/>
      <c r="M593" s="7">
        <v>2</v>
      </c>
      <c r="N593" s="7">
        <v>0</v>
      </c>
    </row>
    <row r="594" spans="1:14" ht="14.25" x14ac:dyDescent="0.2">
      <c r="A594" s="3">
        <v>67138</v>
      </c>
      <c r="B594" s="3" t="s">
        <v>2312</v>
      </c>
      <c r="C594" s="3" t="s">
        <v>16</v>
      </c>
      <c r="D594" s="6" t="s">
        <v>1624</v>
      </c>
      <c r="E594" s="6" t="s">
        <v>1624</v>
      </c>
      <c r="F594" s="3" t="str">
        <f>IFERROR( VLOOKUP(A594,#REF!,2,0),"")</f>
        <v/>
      </c>
      <c r="G594" s="3" t="str">
        <f t="array" ref="G594">_xlfn.XLOOKUP(I594,Base_Datos!D:D,Base_Datos!B:B,"")</f>
        <v>GAC</v>
      </c>
      <c r="H594" s="3" t="str">
        <f t="array" ref="H594">IF(I594="","",IFERROR(_xlfn.XLOOKUP(I594,Base_Datos!$D$2:$D3876,Base_Datos!$C$2:$C3876),""))</f>
        <v>Serie GS</v>
      </c>
      <c r="I594" s="3" t="s">
        <v>1487</v>
      </c>
      <c r="J594" s="3" t="str">
        <f>IF(I594="","",IFERROR(VLOOKUP(I594,Base_Datos!$D$2:$E$72,2,0),""))</f>
        <v>(2.0L)</v>
      </c>
      <c r="K594" s="3" t="s">
        <v>1782</v>
      </c>
      <c r="L594" s="3"/>
      <c r="M594" s="7">
        <v>2</v>
      </c>
      <c r="N594" s="7">
        <v>0</v>
      </c>
    </row>
    <row r="595" spans="1:14" ht="14.25" x14ac:dyDescent="0.2">
      <c r="A595" s="3">
        <v>67139</v>
      </c>
      <c r="B595" s="3" t="s">
        <v>2095</v>
      </c>
      <c r="C595" s="3" t="s">
        <v>16</v>
      </c>
      <c r="D595" s="6" t="s">
        <v>1625</v>
      </c>
      <c r="E595" s="6" t="s">
        <v>1782</v>
      </c>
      <c r="F595" s="3" t="str">
        <f>IFERROR( VLOOKUP(A595,#REF!,2,0),"")</f>
        <v/>
      </c>
      <c r="G595" s="3" t="str">
        <f t="array" ref="G595">_xlfn.XLOOKUP(I595,Base_Datos!D:D,Base_Datos!B:B,"")</f>
        <v>GAC</v>
      </c>
      <c r="H595" s="3" t="str">
        <f t="array" ref="H595">IF(I595="","",IFERROR(_xlfn.XLOOKUP(I595,Base_Datos!$D$2:$D3876,Base_Datos!$C$2:$C3876),""))</f>
        <v>Serie GS</v>
      </c>
      <c r="I595" s="3" t="s">
        <v>1487</v>
      </c>
      <c r="J595" s="3" t="str">
        <f>IF(I595="","",IFERROR(VLOOKUP(I595,Base_Datos!$D$2:$E$72,2,0),""))</f>
        <v>(2.0L)</v>
      </c>
      <c r="K595" s="3" t="s">
        <v>1782</v>
      </c>
      <c r="L595" s="3"/>
      <c r="M595" s="7">
        <v>2</v>
      </c>
      <c r="N595" s="7">
        <v>0</v>
      </c>
    </row>
    <row r="596" spans="1:14" ht="14.25" x14ac:dyDescent="0.2">
      <c r="A596" s="3">
        <v>67140</v>
      </c>
      <c r="B596" s="3" t="s">
        <v>2313</v>
      </c>
      <c r="C596" s="3" t="s">
        <v>16</v>
      </c>
      <c r="D596" s="6" t="s">
        <v>1626</v>
      </c>
      <c r="E596" s="6" t="s">
        <v>1782</v>
      </c>
      <c r="F596" s="3" t="str">
        <f>IFERROR( VLOOKUP(A596,#REF!,2,0),"")</f>
        <v/>
      </c>
      <c r="G596" s="3" t="str">
        <f t="array" ref="G596">_xlfn.XLOOKUP(I596,Base_Datos!D:D,Base_Datos!B:B,"")</f>
        <v>GAC</v>
      </c>
      <c r="H596" s="3" t="str">
        <f t="array" ref="H596">IF(I596="","",IFERROR(_xlfn.XLOOKUP(I596,Base_Datos!$D$2:$D3876,Base_Datos!$C$2:$C3876),""))</f>
        <v>Serie GS</v>
      </c>
      <c r="I596" s="3" t="s">
        <v>1487</v>
      </c>
      <c r="J596" s="3" t="str">
        <f>IF(I596="","",IFERROR(VLOOKUP(I596,Base_Datos!$D$2:$E$72,2,0),""))</f>
        <v>(2.0L)</v>
      </c>
      <c r="K596" s="3" t="s">
        <v>1782</v>
      </c>
      <c r="L596" s="3"/>
      <c r="M596" s="7">
        <v>2</v>
      </c>
      <c r="N596" s="7">
        <v>0</v>
      </c>
    </row>
    <row r="597" spans="1:14" ht="14.25" x14ac:dyDescent="0.2">
      <c r="A597" s="3">
        <v>67141</v>
      </c>
      <c r="B597" s="3" t="s">
        <v>2314</v>
      </c>
      <c r="C597" s="3" t="s">
        <v>16</v>
      </c>
      <c r="D597" s="6" t="s">
        <v>1627</v>
      </c>
      <c r="E597" s="6" t="s">
        <v>1627</v>
      </c>
      <c r="F597" s="3" t="str">
        <f>IFERROR( VLOOKUP(A597,#REF!,2,0),"")</f>
        <v/>
      </c>
      <c r="G597" s="3" t="str">
        <f t="array" ref="G597">_xlfn.XLOOKUP(I597,Base_Datos!D:D,Base_Datos!B:B,"")</f>
        <v>GAC</v>
      </c>
      <c r="H597" s="3" t="str">
        <f t="array" ref="H597">IF(I597="","",IFERROR(_xlfn.XLOOKUP(I597,Base_Datos!$D$2:$D3876,Base_Datos!$C$2:$C3876),""))</f>
        <v>Serie GS</v>
      </c>
      <c r="I597" s="3" t="s">
        <v>1487</v>
      </c>
      <c r="J597" s="3" t="str">
        <f>IF(I597="","",IFERROR(VLOOKUP(I597,Base_Datos!$D$2:$E$72,2,0),""))</f>
        <v>(2.0L)</v>
      </c>
      <c r="K597" s="3" t="s">
        <v>1782</v>
      </c>
      <c r="L597" s="3"/>
      <c r="M597" s="7">
        <v>2</v>
      </c>
      <c r="N597" s="7">
        <v>0</v>
      </c>
    </row>
    <row r="598" spans="1:14" ht="14.25" x14ac:dyDescent="0.2">
      <c r="A598" s="3">
        <v>67142</v>
      </c>
      <c r="B598" s="3" t="s">
        <v>2096</v>
      </c>
      <c r="C598" s="3" t="s">
        <v>16</v>
      </c>
      <c r="D598" s="6" t="s">
        <v>1628</v>
      </c>
      <c r="E598" s="6" t="s">
        <v>1782</v>
      </c>
      <c r="F598" s="3" t="str">
        <f>IFERROR( VLOOKUP(A598,#REF!,2,0),"")</f>
        <v/>
      </c>
      <c r="G598" s="3" t="str">
        <f t="array" ref="G598">_xlfn.XLOOKUP(I598,Base_Datos!D:D,Base_Datos!B:B,"")</f>
        <v>GAC</v>
      </c>
      <c r="H598" s="3" t="str">
        <f t="array" ref="H598">IF(I598="","",IFERROR(_xlfn.XLOOKUP(I598,Base_Datos!$D$2:$D3876,Base_Datos!$C$2:$C3876),""))</f>
        <v>Serie GS</v>
      </c>
      <c r="I598" s="3" t="s">
        <v>1487</v>
      </c>
      <c r="J598" s="3" t="str">
        <f>IF(I598="","",IFERROR(VLOOKUP(I598,Base_Datos!$D$2:$E$72,2,0),""))</f>
        <v>(2.0L)</v>
      </c>
      <c r="K598" s="3" t="s">
        <v>1782</v>
      </c>
      <c r="L598" s="3"/>
      <c r="M598" s="7">
        <v>2</v>
      </c>
      <c r="N598" s="7">
        <v>0</v>
      </c>
    </row>
    <row r="599" spans="1:14" ht="14.25" x14ac:dyDescent="0.2">
      <c r="A599" s="3">
        <v>67143</v>
      </c>
      <c r="B599" s="3" t="s">
        <v>2097</v>
      </c>
      <c r="C599" s="3" t="s">
        <v>16</v>
      </c>
      <c r="D599" s="6" t="s">
        <v>1629</v>
      </c>
      <c r="E599" s="6" t="s">
        <v>1782</v>
      </c>
      <c r="F599" s="3" t="str">
        <f>IFERROR( VLOOKUP(A599,#REF!,2,0),"")</f>
        <v/>
      </c>
      <c r="G599" s="3" t="str">
        <f t="array" ref="G599">_xlfn.XLOOKUP(I599,Base_Datos!D:D,Base_Datos!B:B,"")</f>
        <v>GAC</v>
      </c>
      <c r="H599" s="3" t="str">
        <f t="array" ref="H599">IF(I599="","",IFERROR(_xlfn.XLOOKUP(I599,Base_Datos!$D$2:$D3876,Base_Datos!$C$2:$C3876),""))</f>
        <v>Serie GS</v>
      </c>
      <c r="I599" s="3" t="s">
        <v>1487</v>
      </c>
      <c r="J599" s="3" t="str">
        <f>IF(I599="","",IFERROR(VLOOKUP(I599,Base_Datos!$D$2:$E$72,2,0),""))</f>
        <v>(2.0L)</v>
      </c>
      <c r="K599" s="3" t="s">
        <v>1782</v>
      </c>
      <c r="L599" s="3"/>
      <c r="M599" s="7">
        <v>2</v>
      </c>
      <c r="N599" s="7">
        <v>0</v>
      </c>
    </row>
    <row r="600" spans="1:14" ht="14.25" x14ac:dyDescent="0.2">
      <c r="A600" s="3">
        <v>67144</v>
      </c>
      <c r="B600" s="3" t="s">
        <v>2315</v>
      </c>
      <c r="C600" s="3" t="s">
        <v>16</v>
      </c>
      <c r="D600" s="6" t="s">
        <v>1630</v>
      </c>
      <c r="E600" s="6" t="s">
        <v>1782</v>
      </c>
      <c r="F600" s="3" t="str">
        <f>IFERROR( VLOOKUP(A600,#REF!,2,0),"")</f>
        <v/>
      </c>
      <c r="G600" s="3" t="str">
        <f t="array" ref="G600">_xlfn.XLOOKUP(I600,Base_Datos!D:D,Base_Datos!B:B,"")</f>
        <v>GAC</v>
      </c>
      <c r="H600" s="3" t="str">
        <f t="array" ref="H600">IF(I600="","",IFERROR(_xlfn.XLOOKUP(I600,Base_Datos!$D$2:$D3876,Base_Datos!$C$2:$C3876),""))</f>
        <v>Serie GS</v>
      </c>
      <c r="I600" s="3" t="s">
        <v>1487</v>
      </c>
      <c r="J600" s="3" t="str">
        <f>IF(I600="","",IFERROR(VLOOKUP(I600,Base_Datos!$D$2:$E$72,2,0),""))</f>
        <v>(2.0L)</v>
      </c>
      <c r="K600" s="3" t="s">
        <v>1782</v>
      </c>
      <c r="L600" s="3"/>
      <c r="M600" s="7">
        <v>2</v>
      </c>
      <c r="N600" s="7">
        <v>0</v>
      </c>
    </row>
    <row r="601" spans="1:14" ht="14.25" x14ac:dyDescent="0.2">
      <c r="A601" s="3">
        <v>67145</v>
      </c>
      <c r="B601" s="3" t="s">
        <v>2099</v>
      </c>
      <c r="C601" s="3" t="s">
        <v>16</v>
      </c>
      <c r="D601" s="6" t="s">
        <v>1631</v>
      </c>
      <c r="E601" s="6" t="s">
        <v>1782</v>
      </c>
      <c r="F601" s="3" t="str">
        <f>IFERROR( VLOOKUP(A601,#REF!,2,0),"")</f>
        <v/>
      </c>
      <c r="G601" s="3" t="str">
        <f t="array" ref="G601">_xlfn.XLOOKUP(I601,Base_Datos!D:D,Base_Datos!B:B,"")</f>
        <v>GAC</v>
      </c>
      <c r="H601" s="3" t="str">
        <f t="array" ref="H601">IF(I601="","",IFERROR(_xlfn.XLOOKUP(I601,Base_Datos!$D$2:$D3876,Base_Datos!$C$2:$C3876),""))</f>
        <v>Serie GS</v>
      </c>
      <c r="I601" s="3" t="s">
        <v>1487</v>
      </c>
      <c r="J601" s="3" t="str">
        <f>IF(I601="","",IFERROR(VLOOKUP(I601,Base_Datos!$D$2:$E$72,2,0),""))</f>
        <v>(2.0L)</v>
      </c>
      <c r="K601" s="3" t="s">
        <v>1782</v>
      </c>
      <c r="L601" s="3"/>
      <c r="M601" s="7">
        <v>2</v>
      </c>
      <c r="N601" s="7">
        <v>0</v>
      </c>
    </row>
    <row r="602" spans="1:14" ht="14.25" x14ac:dyDescent="0.2">
      <c r="A602" s="3">
        <v>67146</v>
      </c>
      <c r="B602" s="3" t="s">
        <v>2100</v>
      </c>
      <c r="C602" s="3" t="s">
        <v>16</v>
      </c>
      <c r="D602" s="6" t="s">
        <v>1632</v>
      </c>
      <c r="E602" s="6" t="s">
        <v>1782</v>
      </c>
      <c r="F602" s="3" t="str">
        <f>IFERROR( VLOOKUP(A602,#REF!,2,0),"")</f>
        <v/>
      </c>
      <c r="G602" s="3" t="str">
        <f t="array" ref="G602">_xlfn.XLOOKUP(I602,Base_Datos!D:D,Base_Datos!B:B,"")</f>
        <v>GAC</v>
      </c>
      <c r="H602" s="3" t="str">
        <f t="array" ref="H602">IF(I602="","",IFERROR(_xlfn.XLOOKUP(I602,Base_Datos!$D$2:$D3876,Base_Datos!$C$2:$C3876),""))</f>
        <v>Serie GS</v>
      </c>
      <c r="I602" s="3" t="s">
        <v>1487</v>
      </c>
      <c r="J602" s="3" t="str">
        <f>IF(I602="","",IFERROR(VLOOKUP(I602,Base_Datos!$D$2:$E$72,2,0),""))</f>
        <v>(2.0L)</v>
      </c>
      <c r="K602" s="3" t="s">
        <v>1782</v>
      </c>
      <c r="L602" s="3"/>
      <c r="M602" s="7">
        <v>2</v>
      </c>
      <c r="N602" s="7">
        <v>0</v>
      </c>
    </row>
    <row r="603" spans="1:14" ht="14.25" x14ac:dyDescent="0.2">
      <c r="A603" s="3">
        <v>67147</v>
      </c>
      <c r="B603" s="3" t="s">
        <v>2316</v>
      </c>
      <c r="C603" s="3" t="s">
        <v>16</v>
      </c>
      <c r="D603" s="6" t="s">
        <v>1633</v>
      </c>
      <c r="E603" s="6" t="s">
        <v>1782</v>
      </c>
      <c r="F603" s="3" t="str">
        <f>IFERROR( VLOOKUP(A603,#REF!,2,0),"")</f>
        <v/>
      </c>
      <c r="G603" s="3" t="str">
        <f t="array" ref="G603">_xlfn.XLOOKUP(I603,Base_Datos!D:D,Base_Datos!B:B,"")</f>
        <v>GAC</v>
      </c>
      <c r="H603" s="3" t="str">
        <f t="array" ref="H603">IF(I603="","",IFERROR(_xlfn.XLOOKUP(I603,Base_Datos!$D$2:$D3876,Base_Datos!$C$2:$C3876),""))</f>
        <v>Serie GS</v>
      </c>
      <c r="I603" s="3" t="s">
        <v>1487</v>
      </c>
      <c r="J603" s="3" t="str">
        <f>IF(I603="","",IFERROR(VLOOKUP(I603,Base_Datos!$D$2:$E$72,2,0),""))</f>
        <v>(2.0L)</v>
      </c>
      <c r="K603" s="3" t="s">
        <v>1782</v>
      </c>
      <c r="L603" s="3"/>
      <c r="M603" s="7">
        <v>2</v>
      </c>
      <c r="N603" s="7">
        <v>0</v>
      </c>
    </row>
    <row r="604" spans="1:14" ht="14.25" x14ac:dyDescent="0.2">
      <c r="A604" s="3">
        <v>67148</v>
      </c>
      <c r="B604" s="3" t="s">
        <v>2316</v>
      </c>
      <c r="C604" s="3" t="s">
        <v>16</v>
      </c>
      <c r="D604" s="6" t="s">
        <v>1634</v>
      </c>
      <c r="E604" s="6" t="s">
        <v>1782</v>
      </c>
      <c r="F604" s="3" t="str">
        <f>IFERROR( VLOOKUP(A604,#REF!,2,0),"")</f>
        <v/>
      </c>
      <c r="G604" s="3" t="str">
        <f t="array" ref="G604">_xlfn.XLOOKUP(I604,Base_Datos!D:D,Base_Datos!B:B,"")</f>
        <v>GAC</v>
      </c>
      <c r="H604" s="3" t="str">
        <f t="array" ref="H604">IF(I604="","",IFERROR(_xlfn.XLOOKUP(I604,Base_Datos!$D$2:$D3876,Base_Datos!$C$2:$C3876),""))</f>
        <v>Serie GS</v>
      </c>
      <c r="I604" s="3" t="s">
        <v>1487</v>
      </c>
      <c r="J604" s="3" t="str">
        <f>IF(I604="","",IFERROR(VLOOKUP(I604,Base_Datos!$D$2:$E$72,2,0),""))</f>
        <v>(2.0L)</v>
      </c>
      <c r="K604" s="3" t="s">
        <v>1782</v>
      </c>
      <c r="L604" s="3"/>
      <c r="M604" s="7">
        <v>2</v>
      </c>
      <c r="N604" s="7">
        <v>0</v>
      </c>
    </row>
    <row r="605" spans="1:14" ht="14.25" x14ac:dyDescent="0.2">
      <c r="A605" s="3">
        <v>67149</v>
      </c>
      <c r="B605" s="3" t="s">
        <v>2316</v>
      </c>
      <c r="C605" s="3" t="s">
        <v>16</v>
      </c>
      <c r="D605" s="6" t="s">
        <v>1635</v>
      </c>
      <c r="E605" s="6" t="s">
        <v>1782</v>
      </c>
      <c r="F605" s="3" t="str">
        <f>IFERROR( VLOOKUP(A605,#REF!,2,0),"")</f>
        <v/>
      </c>
      <c r="G605" s="3" t="str">
        <f t="array" ref="G605">_xlfn.XLOOKUP(I605,Base_Datos!D:D,Base_Datos!B:B,"")</f>
        <v>GAC</v>
      </c>
      <c r="H605" s="3" t="str">
        <f t="array" ref="H605">IF(I605="","",IFERROR(_xlfn.XLOOKUP(I605,Base_Datos!$D$2:$D3876,Base_Datos!$C$2:$C3876),""))</f>
        <v>Serie GS</v>
      </c>
      <c r="I605" s="3" t="s">
        <v>1487</v>
      </c>
      <c r="J605" s="3" t="str">
        <f>IF(I605="","",IFERROR(VLOOKUP(I605,Base_Datos!$D$2:$E$72,2,0),""))</f>
        <v>(2.0L)</v>
      </c>
      <c r="K605" s="3" t="s">
        <v>1782</v>
      </c>
      <c r="L605" s="3"/>
      <c r="M605" s="7">
        <v>2</v>
      </c>
      <c r="N605" s="7">
        <v>0</v>
      </c>
    </row>
    <row r="606" spans="1:14" ht="14.25" x14ac:dyDescent="0.2">
      <c r="A606" s="3">
        <v>67150</v>
      </c>
      <c r="B606" s="3" t="s">
        <v>2316</v>
      </c>
      <c r="C606" s="3" t="s">
        <v>16</v>
      </c>
      <c r="D606" s="6" t="s">
        <v>1636</v>
      </c>
      <c r="E606" s="6" t="s">
        <v>1782</v>
      </c>
      <c r="F606" s="3" t="str">
        <f>IFERROR( VLOOKUP(A606,#REF!,2,0),"")</f>
        <v/>
      </c>
      <c r="G606" s="3" t="str">
        <f t="array" ref="G606">_xlfn.XLOOKUP(I606,Base_Datos!D:D,Base_Datos!B:B,"")</f>
        <v>GAC</v>
      </c>
      <c r="H606" s="3" t="str">
        <f t="array" ref="H606">IF(I606="","",IFERROR(_xlfn.XLOOKUP(I606,Base_Datos!$D$2:$D3876,Base_Datos!$C$2:$C3876),""))</f>
        <v>Serie GS</v>
      </c>
      <c r="I606" s="3" t="s">
        <v>1487</v>
      </c>
      <c r="J606" s="3" t="str">
        <f>IF(I606="","",IFERROR(VLOOKUP(I606,Base_Datos!$D$2:$E$72,2,0),""))</f>
        <v>(2.0L)</v>
      </c>
      <c r="K606" s="3" t="s">
        <v>1782</v>
      </c>
      <c r="L606" s="3"/>
      <c r="M606" s="7">
        <v>2</v>
      </c>
      <c r="N606" s="7">
        <v>0</v>
      </c>
    </row>
    <row r="607" spans="1:14" ht="14.25" x14ac:dyDescent="0.2">
      <c r="A607" s="3">
        <v>67151</v>
      </c>
      <c r="B607" s="3" t="s">
        <v>2316</v>
      </c>
      <c r="C607" s="3" t="s">
        <v>16</v>
      </c>
      <c r="D607" s="6" t="s">
        <v>1637</v>
      </c>
      <c r="E607" s="6" t="s">
        <v>1637</v>
      </c>
      <c r="F607" s="3" t="str">
        <f>IFERROR( VLOOKUP(A607,#REF!,2,0),"")</f>
        <v/>
      </c>
      <c r="G607" s="3" t="str">
        <f t="array" ref="G607">_xlfn.XLOOKUP(I607,Base_Datos!D:D,Base_Datos!B:B,"")</f>
        <v>GAC</v>
      </c>
      <c r="H607" s="3" t="str">
        <f t="array" ref="H607">IF(I607="","",IFERROR(_xlfn.XLOOKUP(I607,Base_Datos!$D$2:$D3876,Base_Datos!$C$2:$C3876),""))</f>
        <v>Serie GS</v>
      </c>
      <c r="I607" s="3" t="s">
        <v>1487</v>
      </c>
      <c r="J607" s="3" t="str">
        <f>IF(I607="","",IFERROR(VLOOKUP(I607,Base_Datos!$D$2:$E$72,2,0),""))</f>
        <v>(2.0L)</v>
      </c>
      <c r="K607" s="3" t="s">
        <v>1782</v>
      </c>
      <c r="L607" s="3"/>
      <c r="M607" s="7">
        <v>2</v>
      </c>
      <c r="N607" s="7">
        <v>0</v>
      </c>
    </row>
    <row r="608" spans="1:14" ht="14.25" x14ac:dyDescent="0.2">
      <c r="A608" s="3">
        <v>67152</v>
      </c>
      <c r="B608" s="3" t="s">
        <v>2107</v>
      </c>
      <c r="C608" s="3" t="s">
        <v>16</v>
      </c>
      <c r="D608" s="6" t="s">
        <v>1638</v>
      </c>
      <c r="E608" s="6" t="s">
        <v>1782</v>
      </c>
      <c r="F608" s="3" t="str">
        <f>IFERROR( VLOOKUP(A608,#REF!,2,0),"")</f>
        <v/>
      </c>
      <c r="G608" s="3" t="str">
        <f t="array" ref="G608">_xlfn.XLOOKUP(I608,Base_Datos!D:D,Base_Datos!B:B,"")</f>
        <v>GAC</v>
      </c>
      <c r="H608" s="3" t="str">
        <f t="array" ref="H608">IF(I608="","",IFERROR(_xlfn.XLOOKUP(I608,Base_Datos!$D$2:$D3876,Base_Datos!$C$2:$C3876),""))</f>
        <v>Serie GS</v>
      </c>
      <c r="I608" s="3" t="s">
        <v>1487</v>
      </c>
      <c r="J608" s="3" t="str">
        <f>IF(I608="","",IFERROR(VLOOKUP(I608,Base_Datos!$D$2:$E$72,2,0),""))</f>
        <v>(2.0L)</v>
      </c>
      <c r="K608" s="3" t="s">
        <v>1782</v>
      </c>
      <c r="L608" s="3"/>
      <c r="M608" s="7">
        <v>2</v>
      </c>
      <c r="N608" s="7">
        <v>0</v>
      </c>
    </row>
    <row r="609" spans="1:14" ht="14.25" x14ac:dyDescent="0.2">
      <c r="A609" s="3">
        <v>67153</v>
      </c>
      <c r="B609" s="3" t="s">
        <v>2317</v>
      </c>
      <c r="C609" s="3" t="s">
        <v>16</v>
      </c>
      <c r="D609" s="6" t="s">
        <v>1639</v>
      </c>
      <c r="E609" s="6" t="s">
        <v>1782</v>
      </c>
      <c r="F609" s="3" t="str">
        <f>IFERROR( VLOOKUP(A609,#REF!,2,0),"")</f>
        <v/>
      </c>
      <c r="G609" s="3" t="str">
        <f t="array" ref="G609">_xlfn.XLOOKUP(I609,Base_Datos!D:D,Base_Datos!B:B,"")</f>
        <v>GAC</v>
      </c>
      <c r="H609" s="3" t="str">
        <f t="array" ref="H609">IF(I609="","",IFERROR(_xlfn.XLOOKUP(I609,Base_Datos!$D$2:$D3876,Base_Datos!$C$2:$C3876),""))</f>
        <v>Serie GS</v>
      </c>
      <c r="I609" s="3" t="s">
        <v>1487</v>
      </c>
      <c r="J609" s="3" t="str">
        <f>IF(I609="","",IFERROR(VLOOKUP(I609,Base_Datos!$D$2:$E$72,2,0),""))</f>
        <v>(2.0L)</v>
      </c>
      <c r="K609" s="3" t="s">
        <v>1782</v>
      </c>
      <c r="L609" s="3"/>
      <c r="M609" s="7">
        <v>2</v>
      </c>
      <c r="N609" s="7">
        <v>0</v>
      </c>
    </row>
    <row r="610" spans="1:14" ht="14.25" x14ac:dyDescent="0.2">
      <c r="A610" s="3">
        <v>67154</v>
      </c>
      <c r="B610" s="3" t="s">
        <v>2317</v>
      </c>
      <c r="C610" s="3" t="s">
        <v>16</v>
      </c>
      <c r="D610" s="6" t="s">
        <v>1640</v>
      </c>
      <c r="E610" s="6" t="s">
        <v>1782</v>
      </c>
      <c r="F610" s="3" t="str">
        <f>IFERROR( VLOOKUP(A610,#REF!,2,0),"")</f>
        <v/>
      </c>
      <c r="G610" s="3" t="str">
        <f t="array" ref="G610">_xlfn.XLOOKUP(I610,Base_Datos!D:D,Base_Datos!B:B,"")</f>
        <v>GAC</v>
      </c>
      <c r="H610" s="3" t="str">
        <f t="array" ref="H610">IF(I610="","",IFERROR(_xlfn.XLOOKUP(I610,Base_Datos!$D$2:$D3876,Base_Datos!$C$2:$C3876),""))</f>
        <v>Serie GS</v>
      </c>
      <c r="I610" s="3" t="s">
        <v>1487</v>
      </c>
      <c r="J610" s="3" t="str">
        <f>IF(I610="","",IFERROR(VLOOKUP(I610,Base_Datos!$D$2:$E$72,2,0),""))</f>
        <v>(2.0L)</v>
      </c>
      <c r="K610" s="3" t="s">
        <v>1782</v>
      </c>
      <c r="L610" s="3"/>
      <c r="M610" s="7">
        <v>2</v>
      </c>
      <c r="N610" s="7">
        <v>0</v>
      </c>
    </row>
    <row r="611" spans="1:14" ht="14.25" x14ac:dyDescent="0.2">
      <c r="A611" s="3">
        <v>67155</v>
      </c>
      <c r="B611" s="3" t="s">
        <v>2109</v>
      </c>
      <c r="C611" s="3" t="s">
        <v>16</v>
      </c>
      <c r="D611" s="6" t="s">
        <v>1641</v>
      </c>
      <c r="E611" s="6" t="s">
        <v>1782</v>
      </c>
      <c r="F611" s="3" t="str">
        <f>IFERROR( VLOOKUP(A611,#REF!,2,0),"")</f>
        <v/>
      </c>
      <c r="G611" s="3" t="str">
        <f t="array" ref="G611">_xlfn.XLOOKUP(I611,Base_Datos!D:D,Base_Datos!B:B,"")</f>
        <v>GAC</v>
      </c>
      <c r="H611" s="3" t="str">
        <f t="array" ref="H611">IF(I611="","",IFERROR(_xlfn.XLOOKUP(I611,Base_Datos!$D$2:$D3876,Base_Datos!$C$2:$C3876),""))</f>
        <v>Serie GS</v>
      </c>
      <c r="I611" s="3" t="s">
        <v>1487</v>
      </c>
      <c r="J611" s="3" t="str">
        <f>IF(I611="","",IFERROR(VLOOKUP(I611,Base_Datos!$D$2:$E$72,2,0),""))</f>
        <v>(2.0L)</v>
      </c>
      <c r="K611" s="3" t="s">
        <v>1782</v>
      </c>
      <c r="L611" s="3"/>
      <c r="M611" s="7">
        <v>2</v>
      </c>
      <c r="N611" s="7">
        <v>0</v>
      </c>
    </row>
    <row r="612" spans="1:14" ht="14.25" x14ac:dyDescent="0.2">
      <c r="A612" s="3">
        <v>67156</v>
      </c>
      <c r="B612" s="3" t="s">
        <v>2110</v>
      </c>
      <c r="C612" s="3" t="s">
        <v>16</v>
      </c>
      <c r="D612" s="6" t="s">
        <v>1642</v>
      </c>
      <c r="E612" s="6" t="s">
        <v>1782</v>
      </c>
      <c r="F612" s="3" t="str">
        <f>IFERROR( VLOOKUP(A612,#REF!,2,0),"")</f>
        <v/>
      </c>
      <c r="G612" s="3" t="str">
        <f t="array" ref="G612">_xlfn.XLOOKUP(I612,Base_Datos!D:D,Base_Datos!B:B,"")</f>
        <v>GAC</v>
      </c>
      <c r="H612" s="3" t="str">
        <f t="array" ref="H612">IF(I612="","",IFERROR(_xlfn.XLOOKUP(I612,Base_Datos!$D$2:$D3876,Base_Datos!$C$2:$C3876),""))</f>
        <v>Serie GS</v>
      </c>
      <c r="I612" s="3" t="s">
        <v>1487</v>
      </c>
      <c r="J612" s="3" t="str">
        <f>IF(I612="","",IFERROR(VLOOKUP(I612,Base_Datos!$D$2:$E$72,2,0),""))</f>
        <v>(2.0L)</v>
      </c>
      <c r="K612" s="3" t="s">
        <v>1782</v>
      </c>
      <c r="L612" s="3"/>
      <c r="M612" s="7">
        <v>2</v>
      </c>
      <c r="N612" s="7">
        <v>0</v>
      </c>
    </row>
    <row r="613" spans="1:14" ht="14.25" x14ac:dyDescent="0.2">
      <c r="A613" s="3">
        <v>67157</v>
      </c>
      <c r="B613" s="3" t="s">
        <v>2111</v>
      </c>
      <c r="C613" s="3" t="s">
        <v>16</v>
      </c>
      <c r="D613" s="6" t="s">
        <v>1643</v>
      </c>
      <c r="E613" s="6" t="s">
        <v>1643</v>
      </c>
      <c r="F613" s="3" t="str">
        <f>IFERROR( VLOOKUP(A613,#REF!,2,0),"")</f>
        <v/>
      </c>
      <c r="G613" s="3" t="str">
        <f t="array" ref="G613">_xlfn.XLOOKUP(I613,Base_Datos!D:D,Base_Datos!B:B,"")</f>
        <v>GAC</v>
      </c>
      <c r="H613" s="3" t="str">
        <f t="array" ref="H613">IF(I613="","",IFERROR(_xlfn.XLOOKUP(I613,Base_Datos!$D$2:$D3876,Base_Datos!$C$2:$C3876),""))</f>
        <v>Serie GS</v>
      </c>
      <c r="I613" s="3" t="s">
        <v>1487</v>
      </c>
      <c r="J613" s="3" t="str">
        <f>IF(I613="","",IFERROR(VLOOKUP(I613,Base_Datos!$D$2:$E$72,2,0),""))</f>
        <v>(2.0L)</v>
      </c>
      <c r="K613" s="3" t="s">
        <v>1782</v>
      </c>
      <c r="L613" s="3"/>
      <c r="M613" s="7">
        <v>2</v>
      </c>
      <c r="N613" s="7">
        <v>0</v>
      </c>
    </row>
    <row r="614" spans="1:14" ht="14.25" x14ac:dyDescent="0.2">
      <c r="A614" s="3">
        <v>67158</v>
      </c>
      <c r="B614" s="3" t="s">
        <v>2112</v>
      </c>
      <c r="C614" s="3" t="s">
        <v>16</v>
      </c>
      <c r="D614" s="6" t="s">
        <v>1644</v>
      </c>
      <c r="E614" s="6" t="s">
        <v>1782</v>
      </c>
      <c r="F614" s="3" t="str">
        <f>IFERROR( VLOOKUP(A614,#REF!,2,0),"")</f>
        <v/>
      </c>
      <c r="G614" s="3" t="str">
        <f t="array" ref="G614">_xlfn.XLOOKUP(I614,Base_Datos!D:D,Base_Datos!B:B,"")</f>
        <v>GAC</v>
      </c>
      <c r="H614" s="3" t="str">
        <f t="array" ref="H614">IF(I614="","",IFERROR(_xlfn.XLOOKUP(I614,Base_Datos!$D$2:$D3876,Base_Datos!$C$2:$C3876),""))</f>
        <v>Serie GS</v>
      </c>
      <c r="I614" s="3" t="s">
        <v>1487</v>
      </c>
      <c r="J614" s="3" t="str">
        <f>IF(I614="","",IFERROR(VLOOKUP(I614,Base_Datos!$D$2:$E$72,2,0),""))</f>
        <v>(2.0L)</v>
      </c>
      <c r="K614" s="3" t="s">
        <v>1782</v>
      </c>
      <c r="L614" s="3"/>
      <c r="M614" s="7">
        <v>2</v>
      </c>
      <c r="N614" s="7">
        <v>0</v>
      </c>
    </row>
    <row r="615" spans="1:14" ht="14.25" x14ac:dyDescent="0.2">
      <c r="A615" s="3">
        <v>67159</v>
      </c>
      <c r="B615" s="3" t="s">
        <v>2113</v>
      </c>
      <c r="C615" s="3" t="s">
        <v>16</v>
      </c>
      <c r="D615" s="6" t="s">
        <v>1645</v>
      </c>
      <c r="E615" s="6" t="s">
        <v>1782</v>
      </c>
      <c r="F615" s="3" t="str">
        <f>IFERROR( VLOOKUP(A615,#REF!,2,0),"")</f>
        <v/>
      </c>
      <c r="G615" s="3" t="str">
        <f t="array" ref="G615">_xlfn.XLOOKUP(I615,Base_Datos!D:D,Base_Datos!B:B,"")</f>
        <v>GAC</v>
      </c>
      <c r="H615" s="3" t="str">
        <f t="array" ref="H615">IF(I615="","",IFERROR(_xlfn.XLOOKUP(I615,Base_Datos!$D$2:$D3876,Base_Datos!$C$2:$C3876),""))</f>
        <v>Serie GS</v>
      </c>
      <c r="I615" s="3" t="s">
        <v>1487</v>
      </c>
      <c r="J615" s="3" t="str">
        <f>IF(I615="","",IFERROR(VLOOKUP(I615,Base_Datos!$D$2:$E$72,2,0),""))</f>
        <v>(2.0L)</v>
      </c>
      <c r="K615" s="3" t="s">
        <v>1782</v>
      </c>
      <c r="L615" s="3"/>
      <c r="M615" s="7">
        <v>2</v>
      </c>
      <c r="N615" s="7">
        <v>0</v>
      </c>
    </row>
    <row r="616" spans="1:14" ht="14.25" x14ac:dyDescent="0.2">
      <c r="A616" s="3">
        <v>67160</v>
      </c>
      <c r="B616" s="3" t="s">
        <v>2114</v>
      </c>
      <c r="C616" s="3" t="s">
        <v>16</v>
      </c>
      <c r="D616" s="6" t="s">
        <v>1646</v>
      </c>
      <c r="E616" s="6" t="s">
        <v>1782</v>
      </c>
      <c r="F616" s="3" t="str">
        <f>IFERROR( VLOOKUP(A616,#REF!,2,0),"")</f>
        <v/>
      </c>
      <c r="G616" s="3" t="str">
        <f t="array" ref="G616">_xlfn.XLOOKUP(I616,Base_Datos!D:D,Base_Datos!B:B,"")</f>
        <v>GAC</v>
      </c>
      <c r="H616" s="3" t="str">
        <f t="array" ref="H616">IF(I616="","",IFERROR(_xlfn.XLOOKUP(I616,Base_Datos!$D$2:$D3876,Base_Datos!$C$2:$C3876),""))</f>
        <v>Serie GS</v>
      </c>
      <c r="I616" s="3" t="s">
        <v>1487</v>
      </c>
      <c r="J616" s="3" t="str">
        <f>IF(I616="","",IFERROR(VLOOKUP(I616,Base_Datos!$D$2:$E$72,2,0),""))</f>
        <v>(2.0L)</v>
      </c>
      <c r="K616" s="3" t="s">
        <v>1782</v>
      </c>
      <c r="L616" s="3"/>
      <c r="M616" s="7">
        <v>2</v>
      </c>
      <c r="N616" s="7">
        <v>0</v>
      </c>
    </row>
    <row r="617" spans="1:14" ht="14.25" x14ac:dyDescent="0.2">
      <c r="A617" s="3">
        <v>67161</v>
      </c>
      <c r="B617" s="3" t="s">
        <v>2115</v>
      </c>
      <c r="C617" s="3" t="s">
        <v>16</v>
      </c>
      <c r="D617" s="6" t="s">
        <v>1647</v>
      </c>
      <c r="E617" s="6" t="s">
        <v>1782</v>
      </c>
      <c r="F617" s="3" t="str">
        <f>IFERROR( VLOOKUP(A617,#REF!,2,0),"")</f>
        <v/>
      </c>
      <c r="G617" s="3" t="str">
        <f t="array" ref="G617">_xlfn.XLOOKUP(I617,Base_Datos!D:D,Base_Datos!B:B,"")</f>
        <v>GAC</v>
      </c>
      <c r="H617" s="3" t="str">
        <f t="array" ref="H617">IF(I617="","",IFERROR(_xlfn.XLOOKUP(I617,Base_Datos!$D$2:$D3876,Base_Datos!$C$2:$C3876),""))</f>
        <v>Serie GS</v>
      </c>
      <c r="I617" s="3" t="s">
        <v>1487</v>
      </c>
      <c r="J617" s="3" t="str">
        <f>IF(I617="","",IFERROR(VLOOKUP(I617,Base_Datos!$D$2:$E$72,2,0),""))</f>
        <v>(2.0L)</v>
      </c>
      <c r="K617" s="3" t="s">
        <v>1782</v>
      </c>
      <c r="L617" s="3"/>
      <c r="M617" s="7">
        <v>2</v>
      </c>
      <c r="N617" s="7">
        <v>0</v>
      </c>
    </row>
    <row r="618" spans="1:14" ht="14.25" x14ac:dyDescent="0.2">
      <c r="A618" s="3">
        <v>67162</v>
      </c>
      <c r="B618" s="3" t="s">
        <v>2318</v>
      </c>
      <c r="C618" s="3" t="s">
        <v>16</v>
      </c>
      <c r="D618" s="6" t="s">
        <v>1648</v>
      </c>
      <c r="E618" s="6" t="s">
        <v>1782</v>
      </c>
      <c r="F618" s="3" t="str">
        <f>IFERROR( VLOOKUP(A618,#REF!,2,0),"")</f>
        <v/>
      </c>
      <c r="G618" s="3" t="str">
        <f t="array" ref="G618">_xlfn.XLOOKUP(I618,Base_Datos!D:D,Base_Datos!B:B,"")</f>
        <v>GAC</v>
      </c>
      <c r="H618" s="3" t="str">
        <f t="array" ref="H618">IF(I618="","",IFERROR(_xlfn.XLOOKUP(I618,Base_Datos!$D$2:$D3876,Base_Datos!$C$2:$C3876),""))</f>
        <v>Serie GS</v>
      </c>
      <c r="I618" s="3" t="s">
        <v>1487</v>
      </c>
      <c r="J618" s="3" t="str">
        <f>IF(I618="","",IFERROR(VLOOKUP(I618,Base_Datos!$D$2:$E$72,2,0),""))</f>
        <v>(2.0L)</v>
      </c>
      <c r="K618" s="3" t="s">
        <v>1782</v>
      </c>
      <c r="L618" s="3"/>
      <c r="M618" s="7">
        <v>2</v>
      </c>
      <c r="N618" s="7">
        <v>0</v>
      </c>
    </row>
    <row r="619" spans="1:14" ht="14.25" x14ac:dyDescent="0.2">
      <c r="A619" s="3">
        <v>67163</v>
      </c>
      <c r="B619" s="3" t="s">
        <v>2117</v>
      </c>
      <c r="C619" s="3" t="s">
        <v>16</v>
      </c>
      <c r="D619" s="6" t="s">
        <v>1649</v>
      </c>
      <c r="E619" s="6" t="s">
        <v>1782</v>
      </c>
      <c r="F619" s="3" t="str">
        <f>IFERROR( VLOOKUP(A619,#REF!,2,0),"")</f>
        <v/>
      </c>
      <c r="G619" s="3" t="str">
        <f t="array" ref="G619">_xlfn.XLOOKUP(I619,Base_Datos!D:D,Base_Datos!B:B,"")</f>
        <v>GAC</v>
      </c>
      <c r="H619" s="3" t="str">
        <f t="array" ref="H619">IF(I619="","",IFERROR(_xlfn.XLOOKUP(I619,Base_Datos!$D$2:$D3876,Base_Datos!$C$2:$C3876),""))</f>
        <v>Serie GS</v>
      </c>
      <c r="I619" s="3" t="s">
        <v>1487</v>
      </c>
      <c r="J619" s="3" t="str">
        <f>IF(I619="","",IFERROR(VLOOKUP(I619,Base_Datos!$D$2:$E$72,2,0),""))</f>
        <v>(2.0L)</v>
      </c>
      <c r="K619" s="3" t="s">
        <v>1782</v>
      </c>
      <c r="L619" s="3"/>
      <c r="M619" s="7">
        <v>2</v>
      </c>
      <c r="N619" s="7">
        <v>0</v>
      </c>
    </row>
    <row r="620" spans="1:14" ht="14.25" x14ac:dyDescent="0.2">
      <c r="A620" s="3">
        <v>67164</v>
      </c>
      <c r="B620" s="3" t="s">
        <v>2318</v>
      </c>
      <c r="C620" s="3" t="s">
        <v>16</v>
      </c>
      <c r="D620" s="6" t="s">
        <v>1650</v>
      </c>
      <c r="E620" s="6" t="s">
        <v>1782</v>
      </c>
      <c r="F620" s="3" t="str">
        <f>IFERROR( VLOOKUP(A620,#REF!,2,0),"")</f>
        <v/>
      </c>
      <c r="G620" s="3" t="str">
        <f t="array" ref="G620">_xlfn.XLOOKUP(I620,Base_Datos!D:D,Base_Datos!B:B,"")</f>
        <v>GAC</v>
      </c>
      <c r="H620" s="3" t="str">
        <f t="array" ref="H620">IF(I620="","",IFERROR(_xlfn.XLOOKUP(I620,Base_Datos!$D$2:$D3876,Base_Datos!$C$2:$C3876),""))</f>
        <v>Serie GS</v>
      </c>
      <c r="I620" s="3" t="s">
        <v>1487</v>
      </c>
      <c r="J620" s="3" t="str">
        <f>IF(I620="","",IFERROR(VLOOKUP(I620,Base_Datos!$D$2:$E$72,2,0),""))</f>
        <v>(2.0L)</v>
      </c>
      <c r="K620" s="3" t="s">
        <v>1782</v>
      </c>
      <c r="L620" s="3"/>
      <c r="M620" s="7">
        <v>2</v>
      </c>
      <c r="N620" s="7">
        <v>0</v>
      </c>
    </row>
    <row r="621" spans="1:14" ht="14.25" x14ac:dyDescent="0.2">
      <c r="A621" s="3">
        <v>67165</v>
      </c>
      <c r="B621" s="3" t="s">
        <v>2319</v>
      </c>
      <c r="C621" s="3" t="s">
        <v>16</v>
      </c>
      <c r="D621" s="6" t="s">
        <v>1651</v>
      </c>
      <c r="E621" s="6" t="s">
        <v>1782</v>
      </c>
      <c r="F621" s="3" t="str">
        <f>IFERROR( VLOOKUP(A621,#REF!,2,0),"")</f>
        <v/>
      </c>
      <c r="G621" s="3" t="str">
        <f t="array" ref="G621">_xlfn.XLOOKUP(I621,Base_Datos!D:D,Base_Datos!B:B,"")</f>
        <v>GAC</v>
      </c>
      <c r="H621" s="3" t="str">
        <f t="array" ref="H621">IF(I621="","",IFERROR(_xlfn.XLOOKUP(I621,Base_Datos!$D$2:$D3876,Base_Datos!$C$2:$C3876),""))</f>
        <v>Serie GS</v>
      </c>
      <c r="I621" s="3" t="s">
        <v>1487</v>
      </c>
      <c r="J621" s="3" t="str">
        <f>IF(I621="","",IFERROR(VLOOKUP(I621,Base_Datos!$D$2:$E$72,2,0),""))</f>
        <v>(2.0L)</v>
      </c>
      <c r="K621" s="3" t="s">
        <v>1782</v>
      </c>
      <c r="L621" s="3"/>
      <c r="M621" s="7">
        <v>2</v>
      </c>
      <c r="N621" s="7">
        <v>0</v>
      </c>
    </row>
    <row r="622" spans="1:14" ht="14.25" x14ac:dyDescent="0.2">
      <c r="A622" s="3">
        <v>67166</v>
      </c>
      <c r="B622" s="3" t="s">
        <v>1968</v>
      </c>
      <c r="C622" s="3" t="s">
        <v>16</v>
      </c>
      <c r="D622" s="6" t="s">
        <v>1652</v>
      </c>
      <c r="E622" s="6" t="s">
        <v>1782</v>
      </c>
      <c r="F622" s="3" t="str">
        <f>IFERROR( VLOOKUP(A622,#REF!,2,0),"")</f>
        <v/>
      </c>
      <c r="G622" s="3" t="str">
        <f t="array" ref="G622">_xlfn.XLOOKUP(I622,Base_Datos!D:D,Base_Datos!B:B,"")</f>
        <v>GAC</v>
      </c>
      <c r="H622" s="3" t="str">
        <f t="array" ref="H622">IF(I622="","",IFERROR(_xlfn.XLOOKUP(I622,Base_Datos!$D$2:$D3876,Base_Datos!$C$2:$C3876),""))</f>
        <v>Serie GS</v>
      </c>
      <c r="I622" s="3" t="s">
        <v>1487</v>
      </c>
      <c r="J622" s="3" t="str">
        <f>IF(I622="","",IFERROR(VLOOKUP(I622,Base_Datos!$D$2:$E$72,2,0),""))</f>
        <v>(2.0L)</v>
      </c>
      <c r="K622" s="3" t="s">
        <v>1782</v>
      </c>
      <c r="L622" s="3"/>
      <c r="M622" s="7">
        <v>1</v>
      </c>
      <c r="N622" s="7">
        <v>0</v>
      </c>
    </row>
    <row r="623" spans="1:14" ht="14.25" x14ac:dyDescent="0.2">
      <c r="A623" s="3">
        <v>67167</v>
      </c>
      <c r="B623" s="3" t="s">
        <v>1968</v>
      </c>
      <c r="C623" s="3" t="s">
        <v>16</v>
      </c>
      <c r="D623" s="6" t="s">
        <v>1653</v>
      </c>
      <c r="E623" s="6" t="s">
        <v>1782</v>
      </c>
      <c r="F623" s="3" t="str">
        <f>IFERROR( VLOOKUP(A623,#REF!,2,0),"")</f>
        <v/>
      </c>
      <c r="G623" s="3" t="str">
        <f t="array" ref="G623">_xlfn.XLOOKUP(I623,Base_Datos!D:D,Base_Datos!B:B,"")</f>
        <v>GAC</v>
      </c>
      <c r="H623" s="3" t="str">
        <f t="array" ref="H623">IF(I623="","",IFERROR(_xlfn.XLOOKUP(I623,Base_Datos!$D$2:$D3876,Base_Datos!$C$2:$C3876),""))</f>
        <v>Serie GS</v>
      </c>
      <c r="I623" s="3" t="s">
        <v>1487</v>
      </c>
      <c r="J623" s="3" t="str">
        <f>IF(I623="","",IFERROR(VLOOKUP(I623,Base_Datos!$D$2:$E$72,2,0),""))</f>
        <v>(2.0L)</v>
      </c>
      <c r="K623" s="3" t="s">
        <v>1782</v>
      </c>
      <c r="L623" s="3"/>
      <c r="M623" s="7">
        <v>1</v>
      </c>
      <c r="N623" s="7">
        <v>0</v>
      </c>
    </row>
    <row r="624" spans="1:14" ht="14.25" x14ac:dyDescent="0.2">
      <c r="A624" s="3">
        <v>67168</v>
      </c>
      <c r="B624" s="3" t="s">
        <v>2320</v>
      </c>
      <c r="C624" s="3" t="s">
        <v>16</v>
      </c>
      <c r="D624" s="6" t="s">
        <v>1654</v>
      </c>
      <c r="E624" s="6" t="s">
        <v>1782</v>
      </c>
      <c r="F624" s="3" t="str">
        <f>IFERROR( VLOOKUP(A624,#REF!,2,0),"")</f>
        <v/>
      </c>
      <c r="G624" s="3" t="str">
        <f t="array" ref="G624">_xlfn.XLOOKUP(I624,Base_Datos!D:D,Base_Datos!B:B,"")</f>
        <v>GAC</v>
      </c>
      <c r="H624" s="3" t="str">
        <f t="array" ref="H624">IF(I624="","",IFERROR(_xlfn.XLOOKUP(I624,Base_Datos!$D$2:$D3876,Base_Datos!$C$2:$C3876),""))</f>
        <v>Serie GS</v>
      </c>
      <c r="I624" s="3" t="s">
        <v>1487</v>
      </c>
      <c r="J624" s="3" t="str">
        <f>IF(I624="","",IFERROR(VLOOKUP(I624,Base_Datos!$D$2:$E$72,2,0),""))</f>
        <v>(2.0L)</v>
      </c>
      <c r="K624" s="3" t="s">
        <v>1782</v>
      </c>
      <c r="L624" s="3"/>
      <c r="M624" s="7">
        <v>0</v>
      </c>
      <c r="N624" s="7">
        <v>0</v>
      </c>
    </row>
    <row r="625" spans="1:14" ht="14.25" x14ac:dyDescent="0.2">
      <c r="A625" s="3">
        <v>67169</v>
      </c>
      <c r="B625" s="3" t="s">
        <v>2321</v>
      </c>
      <c r="C625" s="3" t="s">
        <v>16</v>
      </c>
      <c r="D625" s="6" t="s">
        <v>1655</v>
      </c>
      <c r="E625" s="6" t="s">
        <v>1782</v>
      </c>
      <c r="F625" s="3" t="str">
        <f>IFERROR( VLOOKUP(A625,#REF!,2,0),"")</f>
        <v/>
      </c>
      <c r="G625" s="3" t="str">
        <f t="array" ref="G625">_xlfn.XLOOKUP(I625,Base_Datos!D:D,Base_Datos!B:B,"")</f>
        <v>GAC</v>
      </c>
      <c r="H625" s="3" t="str">
        <f t="array" ref="H625">IF(I625="","",IFERROR(_xlfn.XLOOKUP(I625,Base_Datos!$D$2:$D3876,Base_Datos!$C$2:$C3876),""))</f>
        <v>Serie GS</v>
      </c>
      <c r="I625" s="3" t="s">
        <v>1487</v>
      </c>
      <c r="J625" s="3" t="str">
        <f>IF(I625="","",IFERROR(VLOOKUP(I625,Base_Datos!$D$2:$E$72,2,0),""))</f>
        <v>(2.0L)</v>
      </c>
      <c r="K625" s="3" t="s">
        <v>1782</v>
      </c>
      <c r="L625" s="3"/>
      <c r="M625" s="7">
        <v>2</v>
      </c>
      <c r="N625" s="7">
        <v>0</v>
      </c>
    </row>
    <row r="626" spans="1:14" ht="14.25" x14ac:dyDescent="0.2">
      <c r="A626" s="3">
        <v>67170</v>
      </c>
      <c r="B626" s="3" t="s">
        <v>2322</v>
      </c>
      <c r="C626" s="3" t="s">
        <v>16</v>
      </c>
      <c r="D626" s="6" t="s">
        <v>1656</v>
      </c>
      <c r="E626" s="6" t="s">
        <v>1656</v>
      </c>
      <c r="F626" s="3" t="str">
        <f>IFERROR( VLOOKUP(A626,#REF!,2,0),"")</f>
        <v/>
      </c>
      <c r="G626" s="3" t="str">
        <f t="array" ref="G626">_xlfn.XLOOKUP(I626,Base_Datos!D:D,Base_Datos!B:B,"")</f>
        <v>GAC</v>
      </c>
      <c r="H626" s="3" t="str">
        <f t="array" ref="H626">IF(I626="","",IFERROR(_xlfn.XLOOKUP(I626,Base_Datos!$D$2:$D3876,Base_Datos!$C$2:$C3876),""))</f>
        <v>Serie GS</v>
      </c>
      <c r="I626" s="3" t="s">
        <v>1487</v>
      </c>
      <c r="J626" s="3" t="str">
        <f>IF(I626="","",IFERROR(VLOOKUP(I626,Base_Datos!$D$2:$E$72,2,0),""))</f>
        <v>(2.0L)</v>
      </c>
      <c r="K626" s="3" t="s">
        <v>1782</v>
      </c>
      <c r="L626" s="3"/>
      <c r="M626" s="7">
        <v>2</v>
      </c>
      <c r="N626" s="7">
        <v>0</v>
      </c>
    </row>
    <row r="627" spans="1:14" ht="14.25" x14ac:dyDescent="0.2">
      <c r="A627" s="3">
        <v>67171</v>
      </c>
      <c r="B627" s="3" t="s">
        <v>2323</v>
      </c>
      <c r="C627" s="3" t="s">
        <v>16</v>
      </c>
      <c r="D627" s="6" t="s">
        <v>1657</v>
      </c>
      <c r="E627" s="6" t="s">
        <v>1782</v>
      </c>
      <c r="F627" s="3" t="str">
        <f>IFERROR( VLOOKUP(A627,#REF!,2,0),"")</f>
        <v/>
      </c>
      <c r="G627" s="3" t="str">
        <f t="array" ref="G627">_xlfn.XLOOKUP(I627,Base_Datos!D:D,Base_Datos!B:B,"")</f>
        <v>GAC</v>
      </c>
      <c r="H627" s="3" t="str">
        <f t="array" ref="H627">IF(I627="","",IFERROR(_xlfn.XLOOKUP(I627,Base_Datos!$D$2:$D3876,Base_Datos!$C$2:$C3876),""))</f>
        <v>Serie GS</v>
      </c>
      <c r="I627" s="3" t="s">
        <v>1487</v>
      </c>
      <c r="J627" s="3" t="str">
        <f>IF(I627="","",IFERROR(VLOOKUP(I627,Base_Datos!$D$2:$E$72,2,0),""))</f>
        <v>(2.0L)</v>
      </c>
      <c r="K627" s="3" t="s">
        <v>1782</v>
      </c>
      <c r="L627" s="3"/>
      <c r="M627" s="7">
        <v>2</v>
      </c>
      <c r="N627" s="7">
        <v>0</v>
      </c>
    </row>
    <row r="628" spans="1:14" ht="14.25" x14ac:dyDescent="0.2">
      <c r="A628" s="3">
        <v>67172</v>
      </c>
      <c r="B628" s="3" t="s">
        <v>2324</v>
      </c>
      <c r="C628" s="3" t="s">
        <v>16</v>
      </c>
      <c r="D628" s="6" t="s">
        <v>1658</v>
      </c>
      <c r="E628" s="6" t="s">
        <v>1782</v>
      </c>
      <c r="F628" s="3" t="str">
        <f>IFERROR( VLOOKUP(A628,#REF!,2,0),"")</f>
        <v/>
      </c>
      <c r="G628" s="3" t="str">
        <f t="array" ref="G628">_xlfn.XLOOKUP(I628,Base_Datos!D:D,Base_Datos!B:B,"")</f>
        <v>GAC</v>
      </c>
      <c r="H628" s="3" t="str">
        <f t="array" ref="H628">IF(I628="","",IFERROR(_xlfn.XLOOKUP(I628,Base_Datos!$D$2:$D3876,Base_Datos!$C$2:$C3876),""))</f>
        <v>Serie GS</v>
      </c>
      <c r="I628" s="3" t="s">
        <v>1487</v>
      </c>
      <c r="J628" s="3" t="str">
        <f>IF(I628="","",IFERROR(VLOOKUP(I628,Base_Datos!$D$2:$E$72,2,0),""))</f>
        <v>(2.0L)</v>
      </c>
      <c r="K628" s="3" t="s">
        <v>1782</v>
      </c>
      <c r="L628" s="3"/>
      <c r="M628" s="7">
        <v>1</v>
      </c>
      <c r="N628" s="7">
        <v>0</v>
      </c>
    </row>
    <row r="629" spans="1:14" ht="14.25" x14ac:dyDescent="0.2">
      <c r="A629" s="3">
        <v>67173</v>
      </c>
      <c r="B629" s="3" t="s">
        <v>2325</v>
      </c>
      <c r="C629" s="3" t="s">
        <v>16</v>
      </c>
      <c r="D629" s="6" t="s">
        <v>1659</v>
      </c>
      <c r="E629" s="6" t="s">
        <v>1782</v>
      </c>
      <c r="F629" s="3" t="str">
        <f>IFERROR( VLOOKUP(A629,#REF!,2,0),"")</f>
        <v/>
      </c>
      <c r="G629" s="3" t="str">
        <f t="array" ref="G629">_xlfn.XLOOKUP(I629,Base_Datos!D:D,Base_Datos!B:B,"")</f>
        <v>GAC</v>
      </c>
      <c r="H629" s="3" t="str">
        <f t="array" ref="H629">IF(I629="","",IFERROR(_xlfn.XLOOKUP(I629,Base_Datos!$D$2:$D3876,Base_Datos!$C$2:$C3876),""))</f>
        <v>Serie GS</v>
      </c>
      <c r="I629" s="3" t="s">
        <v>1487</v>
      </c>
      <c r="J629" s="3" t="str">
        <f>IF(I629="","",IFERROR(VLOOKUP(I629,Base_Datos!$D$2:$E$72,2,0),""))</f>
        <v>(2.0L)</v>
      </c>
      <c r="K629" s="3" t="s">
        <v>1782</v>
      </c>
      <c r="L629" s="3"/>
      <c r="M629" s="7">
        <v>2</v>
      </c>
      <c r="N629" s="7">
        <v>0</v>
      </c>
    </row>
    <row r="630" spans="1:14" ht="14.25" x14ac:dyDescent="0.2">
      <c r="A630" s="3">
        <v>67174</v>
      </c>
      <c r="B630" s="3" t="s">
        <v>2326</v>
      </c>
      <c r="C630" s="3" t="s">
        <v>16</v>
      </c>
      <c r="D630" s="6" t="s">
        <v>1660</v>
      </c>
      <c r="E630" s="6" t="s">
        <v>1782</v>
      </c>
      <c r="F630" s="3" t="str">
        <f>IFERROR( VLOOKUP(A630,#REF!,2,0),"")</f>
        <v/>
      </c>
      <c r="G630" s="3" t="str">
        <f t="array" ref="G630">_xlfn.XLOOKUP(I630,Base_Datos!D:D,Base_Datos!B:B,"")</f>
        <v>GAC</v>
      </c>
      <c r="H630" s="3" t="str">
        <f t="array" ref="H630">IF(I630="","",IFERROR(_xlfn.XLOOKUP(I630,Base_Datos!$D$2:$D3876,Base_Datos!$C$2:$C3876),""))</f>
        <v>Serie GS</v>
      </c>
      <c r="I630" s="3" t="s">
        <v>1487</v>
      </c>
      <c r="J630" s="3" t="str">
        <f>IF(I630="","",IFERROR(VLOOKUP(I630,Base_Datos!$D$2:$E$72,2,0),""))</f>
        <v>(2.0L)</v>
      </c>
      <c r="K630" s="3" t="s">
        <v>1782</v>
      </c>
      <c r="L630" s="3"/>
      <c r="M630" s="7">
        <v>2</v>
      </c>
      <c r="N630" s="7">
        <v>0</v>
      </c>
    </row>
    <row r="631" spans="1:14" ht="14.25" x14ac:dyDescent="0.2">
      <c r="A631" s="3">
        <v>67175</v>
      </c>
      <c r="B631" s="3" t="s">
        <v>2327</v>
      </c>
      <c r="C631" s="3" t="s">
        <v>16</v>
      </c>
      <c r="D631" s="6" t="s">
        <v>1661</v>
      </c>
      <c r="E631" s="6" t="s">
        <v>1782</v>
      </c>
      <c r="F631" s="3" t="str">
        <f>IFERROR( VLOOKUP(A631,#REF!,2,0),"")</f>
        <v/>
      </c>
      <c r="G631" s="3" t="str">
        <f t="array" ref="G631">_xlfn.XLOOKUP(I631,Base_Datos!D:D,Base_Datos!B:B,"")</f>
        <v>GAC</v>
      </c>
      <c r="H631" s="3" t="str">
        <f t="array" ref="H631">IF(I631="","",IFERROR(_xlfn.XLOOKUP(I631,Base_Datos!$D$2:$D3876,Base_Datos!$C$2:$C3876),""))</f>
        <v>Serie GS</v>
      </c>
      <c r="I631" s="3" t="s">
        <v>1487</v>
      </c>
      <c r="J631" s="3" t="str">
        <f>IF(I631="","",IFERROR(VLOOKUP(I631,Base_Datos!$D$2:$E$72,2,0),""))</f>
        <v>(2.0L)</v>
      </c>
      <c r="K631" s="3" t="s">
        <v>1782</v>
      </c>
      <c r="L631" s="3"/>
      <c r="M631" s="7">
        <v>2</v>
      </c>
      <c r="N631" s="7">
        <v>0</v>
      </c>
    </row>
    <row r="632" spans="1:14" ht="14.25" x14ac:dyDescent="0.2">
      <c r="A632" s="3">
        <v>67176</v>
      </c>
      <c r="B632" s="3" t="s">
        <v>2328</v>
      </c>
      <c r="C632" s="3" t="s">
        <v>16</v>
      </c>
      <c r="D632" s="6" t="s">
        <v>1662</v>
      </c>
      <c r="E632" s="6" t="s">
        <v>1782</v>
      </c>
      <c r="F632" s="3" t="str">
        <f>IFERROR( VLOOKUP(A632,#REF!,2,0),"")</f>
        <v/>
      </c>
      <c r="G632" s="3" t="str">
        <f t="array" ref="G632">_xlfn.XLOOKUP(I632,Base_Datos!D:D,Base_Datos!B:B,"")</f>
        <v>GAC</v>
      </c>
      <c r="H632" s="3" t="str">
        <f t="array" ref="H632">IF(I632="","",IFERROR(_xlfn.XLOOKUP(I632,Base_Datos!$D$2:$D3876,Base_Datos!$C$2:$C3876),""))</f>
        <v>Serie GS</v>
      </c>
      <c r="I632" s="3" t="s">
        <v>1487</v>
      </c>
      <c r="J632" s="3" t="str">
        <f>IF(I632="","",IFERROR(VLOOKUP(I632,Base_Datos!$D$2:$E$72,2,0),""))</f>
        <v>(2.0L)</v>
      </c>
      <c r="K632" s="3" t="s">
        <v>1782</v>
      </c>
      <c r="L632" s="3"/>
      <c r="M632" s="7">
        <v>2</v>
      </c>
      <c r="N632" s="7">
        <v>0</v>
      </c>
    </row>
    <row r="633" spans="1:14" ht="14.25" x14ac:dyDescent="0.2">
      <c r="A633" s="3">
        <v>67177</v>
      </c>
      <c r="B633" s="3" t="s">
        <v>2329</v>
      </c>
      <c r="C633" s="3" t="s">
        <v>16</v>
      </c>
      <c r="D633" s="6" t="s">
        <v>1663</v>
      </c>
      <c r="E633" s="6" t="s">
        <v>1782</v>
      </c>
      <c r="F633" s="3" t="str">
        <f>IFERROR( VLOOKUP(A633,#REF!,2,0),"")</f>
        <v/>
      </c>
      <c r="G633" s="3" t="str">
        <f t="array" ref="G633">_xlfn.XLOOKUP(I633,Base_Datos!D:D,Base_Datos!B:B,"")</f>
        <v>GAC</v>
      </c>
      <c r="H633" s="3" t="str">
        <f t="array" ref="H633">IF(I633="","",IFERROR(_xlfn.XLOOKUP(I633,Base_Datos!$D$2:$D3876,Base_Datos!$C$2:$C3876),""))</f>
        <v>Serie GS</v>
      </c>
      <c r="I633" s="3" t="s">
        <v>1487</v>
      </c>
      <c r="J633" s="3" t="str">
        <f>IF(I633="","",IFERROR(VLOOKUP(I633,Base_Datos!$D$2:$E$72,2,0),""))</f>
        <v>(2.0L)</v>
      </c>
      <c r="K633" s="3" t="s">
        <v>1782</v>
      </c>
      <c r="L633" s="3"/>
      <c r="M633" s="7">
        <v>2</v>
      </c>
      <c r="N633" s="7">
        <v>0</v>
      </c>
    </row>
    <row r="634" spans="1:14" ht="14.25" x14ac:dyDescent="0.2">
      <c r="A634" s="3">
        <v>67178</v>
      </c>
      <c r="B634" s="3" t="s">
        <v>2330</v>
      </c>
      <c r="C634" s="3" t="s">
        <v>16</v>
      </c>
      <c r="D634" s="6" t="s">
        <v>1664</v>
      </c>
      <c r="E634" s="6" t="s">
        <v>1664</v>
      </c>
      <c r="F634" s="3" t="str">
        <f>IFERROR( VLOOKUP(A634,#REF!,2,0),"")</f>
        <v/>
      </c>
      <c r="G634" s="3" t="str">
        <f t="array" ref="G634">_xlfn.XLOOKUP(I634,Base_Datos!D:D,Base_Datos!B:B,"")</f>
        <v>GAC</v>
      </c>
      <c r="H634" s="3" t="str">
        <f t="array" ref="H634">IF(I634="","",IFERROR(_xlfn.XLOOKUP(I634,Base_Datos!$D$2:$D3876,Base_Datos!$C$2:$C3876),""))</f>
        <v>Serie GS</v>
      </c>
      <c r="I634" s="3" t="s">
        <v>1487</v>
      </c>
      <c r="J634" s="3" t="str">
        <f>IF(I634="","",IFERROR(VLOOKUP(I634,Base_Datos!$D$2:$E$72,2,0),""))</f>
        <v>(2.0L)</v>
      </c>
      <c r="K634" s="3" t="s">
        <v>1782</v>
      </c>
      <c r="L634" s="3"/>
      <c r="M634" s="7">
        <v>2</v>
      </c>
      <c r="N634" s="7">
        <v>0</v>
      </c>
    </row>
    <row r="635" spans="1:14" ht="14.25" x14ac:dyDescent="0.2">
      <c r="A635" s="3">
        <v>67179</v>
      </c>
      <c r="B635" s="3" t="s">
        <v>2331</v>
      </c>
      <c r="C635" s="3" t="s">
        <v>16</v>
      </c>
      <c r="D635" s="6" t="s">
        <v>1665</v>
      </c>
      <c r="E635" s="6" t="s">
        <v>1782</v>
      </c>
      <c r="F635" s="3" t="str">
        <f>IFERROR( VLOOKUP(A635,#REF!,2,0),"")</f>
        <v/>
      </c>
      <c r="G635" s="3" t="str">
        <f t="array" ref="G635">_xlfn.XLOOKUP(I635,Base_Datos!D:D,Base_Datos!B:B,"")</f>
        <v>GAC</v>
      </c>
      <c r="H635" s="3" t="str">
        <f t="array" ref="H635">IF(I635="","",IFERROR(_xlfn.XLOOKUP(I635,Base_Datos!$D$2:$D3876,Base_Datos!$C$2:$C3876),""))</f>
        <v>Serie GS</v>
      </c>
      <c r="I635" s="3" t="s">
        <v>1487</v>
      </c>
      <c r="J635" s="3" t="str">
        <f>IF(I635="","",IFERROR(VLOOKUP(I635,Base_Datos!$D$2:$E$72,2,0),""))</f>
        <v>(2.0L)</v>
      </c>
      <c r="K635" s="3" t="s">
        <v>1782</v>
      </c>
      <c r="L635" s="3"/>
      <c r="M635" s="7">
        <v>1</v>
      </c>
      <c r="N635" s="7">
        <v>0</v>
      </c>
    </row>
    <row r="636" spans="1:14" ht="14.25" x14ac:dyDescent="0.2">
      <c r="A636" s="3">
        <v>67180</v>
      </c>
      <c r="B636" s="3" t="s">
        <v>2331</v>
      </c>
      <c r="C636" s="3" t="s">
        <v>16</v>
      </c>
      <c r="D636" s="6" t="s">
        <v>1666</v>
      </c>
      <c r="E636" s="6" t="s">
        <v>1782</v>
      </c>
      <c r="F636" s="3" t="str">
        <f>IFERROR( VLOOKUP(A636,#REF!,2,0),"")</f>
        <v/>
      </c>
      <c r="G636" s="3" t="str">
        <f t="array" ref="G636">_xlfn.XLOOKUP(I636,Base_Datos!D:D,Base_Datos!B:B,"")</f>
        <v>GAC</v>
      </c>
      <c r="H636" s="3" t="str">
        <f t="array" ref="H636">IF(I636="","",IFERROR(_xlfn.XLOOKUP(I636,Base_Datos!$D$2:$D3876,Base_Datos!$C$2:$C3876),""))</f>
        <v>Serie GS</v>
      </c>
      <c r="I636" s="3" t="s">
        <v>1487</v>
      </c>
      <c r="J636" s="3" t="str">
        <f>IF(I636="","",IFERROR(VLOOKUP(I636,Base_Datos!$D$2:$E$72,2,0),""))</f>
        <v>(2.0L)</v>
      </c>
      <c r="K636" s="3" t="s">
        <v>1782</v>
      </c>
      <c r="L636" s="3"/>
      <c r="M636" s="7">
        <v>1</v>
      </c>
      <c r="N636" s="7">
        <v>0</v>
      </c>
    </row>
    <row r="637" spans="1:14" ht="14.25" x14ac:dyDescent="0.2">
      <c r="A637" s="3">
        <v>67181</v>
      </c>
      <c r="B637" s="3" t="s">
        <v>2332</v>
      </c>
      <c r="C637" s="3" t="s">
        <v>16</v>
      </c>
      <c r="D637" s="6" t="s">
        <v>1667</v>
      </c>
      <c r="E637" s="6" t="s">
        <v>1782</v>
      </c>
      <c r="F637" s="3" t="str">
        <f>IFERROR( VLOOKUP(A637,#REF!,2,0),"")</f>
        <v/>
      </c>
      <c r="G637" s="3" t="str">
        <f t="array" ref="G637">_xlfn.XLOOKUP(I637,Base_Datos!D:D,Base_Datos!B:B,"")</f>
        <v>GAC</v>
      </c>
      <c r="H637" s="3" t="str">
        <f t="array" ref="H637">IF(I637="","",IFERROR(_xlfn.XLOOKUP(I637,Base_Datos!$D$2:$D3876,Base_Datos!$C$2:$C3876),""))</f>
        <v>Serie GS</v>
      </c>
      <c r="I637" s="3" t="s">
        <v>1487</v>
      </c>
      <c r="J637" s="3" t="str">
        <f>IF(I637="","",IFERROR(VLOOKUP(I637,Base_Datos!$D$2:$E$72,2,0),""))</f>
        <v>(2.0L)</v>
      </c>
      <c r="K637" s="3" t="s">
        <v>1782</v>
      </c>
      <c r="L637" s="3"/>
      <c r="M637" s="7">
        <v>2</v>
      </c>
      <c r="N637" s="7">
        <v>0</v>
      </c>
    </row>
    <row r="638" spans="1:14" ht="14.25" x14ac:dyDescent="0.2">
      <c r="A638" s="3">
        <v>67182</v>
      </c>
      <c r="B638" s="3" t="s">
        <v>2127</v>
      </c>
      <c r="C638" s="3" t="s">
        <v>16</v>
      </c>
      <c r="D638" s="6" t="s">
        <v>1668</v>
      </c>
      <c r="E638" s="6" t="s">
        <v>1782</v>
      </c>
      <c r="F638" s="3" t="str">
        <f>IFERROR( VLOOKUP(A638,#REF!,2,0),"")</f>
        <v/>
      </c>
      <c r="G638" s="3" t="str">
        <f t="array" ref="G638">_xlfn.XLOOKUP(I638,Base_Datos!D:D,Base_Datos!B:B,"")</f>
        <v>GAC</v>
      </c>
      <c r="H638" s="3" t="str">
        <f t="array" ref="H638">IF(I638="","",IFERROR(_xlfn.XLOOKUP(I638,Base_Datos!$D$2:$D3876,Base_Datos!$C$2:$C3876),""))</f>
        <v>Serie GS</v>
      </c>
      <c r="I638" s="3" t="s">
        <v>1487</v>
      </c>
      <c r="J638" s="3" t="str">
        <f>IF(I638="","",IFERROR(VLOOKUP(I638,Base_Datos!$D$2:$E$72,2,0),""))</f>
        <v>(2.0L)</v>
      </c>
      <c r="K638" s="3" t="s">
        <v>1782</v>
      </c>
      <c r="L638" s="3"/>
      <c r="M638" s="7">
        <v>2</v>
      </c>
      <c r="N638" s="7">
        <v>0</v>
      </c>
    </row>
    <row r="639" spans="1:14" ht="14.25" x14ac:dyDescent="0.2">
      <c r="A639" s="3">
        <v>67183</v>
      </c>
      <c r="B639" s="3" t="s">
        <v>2128</v>
      </c>
      <c r="C639" s="3" t="s">
        <v>16</v>
      </c>
      <c r="D639" s="6" t="s">
        <v>1782</v>
      </c>
      <c r="E639" s="6" t="s">
        <v>1782</v>
      </c>
      <c r="F639" s="3" t="str">
        <f>IFERROR( VLOOKUP(A639,#REF!,2,0),"")</f>
        <v/>
      </c>
      <c r="G639" s="3" t="str">
        <f t="array" ref="G639">_xlfn.XLOOKUP(I639,Base_Datos!D:D,Base_Datos!B:B,"")</f>
        <v>GAC</v>
      </c>
      <c r="H639" s="3" t="str">
        <f t="array" ref="H639">IF(I639="","",IFERROR(_xlfn.XLOOKUP(I639,Base_Datos!$D$2:$D3876,Base_Datos!$C$2:$C3876),""))</f>
        <v>Serie GS</v>
      </c>
      <c r="I639" s="3" t="s">
        <v>1487</v>
      </c>
      <c r="J639" s="3" t="str">
        <f>IF(I639="","",IFERROR(VLOOKUP(I639,Base_Datos!$D$2:$E$72,2,0),""))</f>
        <v>(2.0L)</v>
      </c>
      <c r="K639" s="3" t="s">
        <v>1782</v>
      </c>
      <c r="L639" s="3"/>
      <c r="M639" s="7">
        <v>2</v>
      </c>
      <c r="N639" s="7">
        <v>0</v>
      </c>
    </row>
    <row r="640" spans="1:14" ht="14.25" x14ac:dyDescent="0.2">
      <c r="A640" s="3">
        <v>67184</v>
      </c>
      <c r="B640" s="3" t="s">
        <v>2129</v>
      </c>
      <c r="C640" s="3" t="s">
        <v>16</v>
      </c>
      <c r="D640" s="6" t="s">
        <v>1670</v>
      </c>
      <c r="E640" s="6" t="s">
        <v>1782</v>
      </c>
      <c r="F640" s="3" t="str">
        <f>IFERROR( VLOOKUP(A640,#REF!,2,0),"")</f>
        <v/>
      </c>
      <c r="G640" s="3" t="str">
        <f t="array" ref="G640">_xlfn.XLOOKUP(I640,Base_Datos!D:D,Base_Datos!B:B,"")</f>
        <v>GAC</v>
      </c>
      <c r="H640" s="3" t="str">
        <f t="array" ref="H640">IF(I640="","",IFERROR(_xlfn.XLOOKUP(I640,Base_Datos!$D$2:$D3876,Base_Datos!$C$2:$C3876),""))</f>
        <v>Serie GS</v>
      </c>
      <c r="I640" s="3" t="s">
        <v>1487</v>
      </c>
      <c r="J640" s="3" t="str">
        <f>IF(I640="","",IFERROR(VLOOKUP(I640,Base_Datos!$D$2:$E$72,2,0),""))</f>
        <v>(2.0L)</v>
      </c>
      <c r="K640" s="3" t="s">
        <v>1782</v>
      </c>
      <c r="L640" s="3"/>
      <c r="M640" s="7">
        <v>2</v>
      </c>
      <c r="N640" s="7">
        <v>0</v>
      </c>
    </row>
    <row r="641" spans="1:14" ht="14.25" x14ac:dyDescent="0.2">
      <c r="A641" s="3">
        <v>67185</v>
      </c>
      <c r="B641" s="3" t="s">
        <v>2130</v>
      </c>
      <c r="C641" s="3" t="s">
        <v>16</v>
      </c>
      <c r="D641" s="6" t="s">
        <v>1671</v>
      </c>
      <c r="E641" s="6" t="s">
        <v>1782</v>
      </c>
      <c r="F641" s="3" t="str">
        <f>IFERROR( VLOOKUP(A641,#REF!,2,0),"")</f>
        <v/>
      </c>
      <c r="G641" s="3" t="str">
        <f t="array" ref="G641">_xlfn.XLOOKUP(I641,Base_Datos!D:D,Base_Datos!B:B,"")</f>
        <v>GAC</v>
      </c>
      <c r="H641" s="3" t="str">
        <f t="array" ref="H641">IF(I641="","",IFERROR(_xlfn.XLOOKUP(I641,Base_Datos!$D$2:$D3876,Base_Datos!$C$2:$C3876),""))</f>
        <v>Serie GS</v>
      </c>
      <c r="I641" s="3" t="s">
        <v>1487</v>
      </c>
      <c r="J641" s="3" t="str">
        <f>IF(I641="","",IFERROR(VLOOKUP(I641,Base_Datos!$D$2:$E$72,2,0),""))</f>
        <v>(2.0L)</v>
      </c>
      <c r="K641" s="3" t="s">
        <v>1782</v>
      </c>
      <c r="L641" s="3"/>
      <c r="M641" s="7">
        <v>2</v>
      </c>
      <c r="N641" s="7">
        <v>0</v>
      </c>
    </row>
    <row r="642" spans="1:14" ht="14.25" x14ac:dyDescent="0.2">
      <c r="A642" s="3">
        <v>67186</v>
      </c>
      <c r="B642" s="3" t="s">
        <v>2333</v>
      </c>
      <c r="C642" s="3" t="s">
        <v>16</v>
      </c>
      <c r="D642" s="6" t="s">
        <v>1672</v>
      </c>
      <c r="E642" s="6" t="s">
        <v>1782</v>
      </c>
      <c r="F642" s="3" t="str">
        <f>IFERROR( VLOOKUP(A642,#REF!,2,0),"")</f>
        <v/>
      </c>
      <c r="G642" s="3" t="str">
        <f t="array" ref="G642">_xlfn.XLOOKUP(I642,Base_Datos!D:D,Base_Datos!B:B,"")</f>
        <v>GAC</v>
      </c>
      <c r="H642" s="3" t="str">
        <f t="array" ref="H642">IF(I642="","",IFERROR(_xlfn.XLOOKUP(I642,Base_Datos!$D$2:$D3876,Base_Datos!$C$2:$C3876),""))</f>
        <v>Serie GS</v>
      </c>
      <c r="I642" s="3" t="s">
        <v>1487</v>
      </c>
      <c r="J642" s="3" t="str">
        <f>IF(I642="","",IFERROR(VLOOKUP(I642,Base_Datos!$D$2:$E$72,2,0),""))</f>
        <v>(2.0L)</v>
      </c>
      <c r="K642" s="3" t="s">
        <v>1782</v>
      </c>
      <c r="L642" s="3"/>
      <c r="M642" s="7">
        <v>2</v>
      </c>
      <c r="N642" s="7">
        <v>0</v>
      </c>
    </row>
    <row r="643" spans="1:14" ht="14.25" x14ac:dyDescent="0.2">
      <c r="A643" s="3">
        <v>67187</v>
      </c>
      <c r="B643" s="3" t="s">
        <v>2334</v>
      </c>
      <c r="C643" s="3" t="s">
        <v>16</v>
      </c>
      <c r="D643" s="6" t="s">
        <v>1673</v>
      </c>
      <c r="E643" s="6" t="s">
        <v>1782</v>
      </c>
      <c r="F643" s="3" t="str">
        <f>IFERROR( VLOOKUP(A643,#REF!,2,0),"")</f>
        <v/>
      </c>
      <c r="G643" s="3" t="str">
        <f t="array" ref="G643">_xlfn.XLOOKUP(I643,Base_Datos!D:D,Base_Datos!B:B,"")</f>
        <v>GAC</v>
      </c>
      <c r="H643" s="3" t="str">
        <f t="array" ref="H643">IF(I643="","",IFERROR(_xlfn.XLOOKUP(I643,Base_Datos!$D$2:$D3876,Base_Datos!$C$2:$C3876),""))</f>
        <v>Serie GS</v>
      </c>
      <c r="I643" s="3" t="s">
        <v>1487</v>
      </c>
      <c r="J643" s="3" t="str">
        <f>IF(I643="","",IFERROR(VLOOKUP(I643,Base_Datos!$D$2:$E$72,2,0),""))</f>
        <v>(2.0L)</v>
      </c>
      <c r="K643" s="3" t="s">
        <v>1782</v>
      </c>
      <c r="L643" s="3"/>
      <c r="M643" s="7">
        <v>2</v>
      </c>
      <c r="N643" s="7">
        <v>0</v>
      </c>
    </row>
    <row r="644" spans="1:14" ht="14.25" x14ac:dyDescent="0.2">
      <c r="A644" s="3">
        <v>67188</v>
      </c>
      <c r="B644" s="3" t="s">
        <v>2335</v>
      </c>
      <c r="C644" s="3" t="s">
        <v>16</v>
      </c>
      <c r="D644" s="6" t="s">
        <v>1674</v>
      </c>
      <c r="E644" s="6" t="s">
        <v>1782</v>
      </c>
      <c r="F644" s="3" t="str">
        <f>IFERROR( VLOOKUP(A644,#REF!,2,0),"")</f>
        <v/>
      </c>
      <c r="G644" s="3" t="str">
        <f t="array" ref="G644">_xlfn.XLOOKUP(I644,Base_Datos!D:D,Base_Datos!B:B,"")</f>
        <v>GAC</v>
      </c>
      <c r="H644" s="3" t="str">
        <f t="array" ref="H644">IF(I644="","",IFERROR(_xlfn.XLOOKUP(I644,Base_Datos!$D$2:$D3876,Base_Datos!$C$2:$C3876),""))</f>
        <v>Serie GS</v>
      </c>
      <c r="I644" s="3" t="s">
        <v>1487</v>
      </c>
      <c r="J644" s="3" t="str">
        <f>IF(I644="","",IFERROR(VLOOKUP(I644,Base_Datos!$D$2:$E$72,2,0),""))</f>
        <v>(2.0L)</v>
      </c>
      <c r="K644" s="3" t="s">
        <v>1782</v>
      </c>
      <c r="L644" s="3"/>
      <c r="M644" s="7">
        <v>2</v>
      </c>
      <c r="N644" s="7">
        <v>0</v>
      </c>
    </row>
    <row r="645" spans="1:14" ht="14.25" x14ac:dyDescent="0.2">
      <c r="A645" s="3">
        <v>67189</v>
      </c>
      <c r="B645" s="3" t="s">
        <v>2336</v>
      </c>
      <c r="C645" s="3" t="s">
        <v>16</v>
      </c>
      <c r="D645" s="6" t="s">
        <v>1669</v>
      </c>
      <c r="E645" s="6" t="s">
        <v>1782</v>
      </c>
      <c r="F645" s="3" t="str">
        <f>IFERROR( VLOOKUP(A645,#REF!,2,0),"")</f>
        <v/>
      </c>
      <c r="G645" s="3" t="str">
        <f t="array" ref="G645">_xlfn.XLOOKUP(I645,Base_Datos!D:D,Base_Datos!B:B,"")</f>
        <v>GAC</v>
      </c>
      <c r="H645" s="3" t="str">
        <f t="array" ref="H645">IF(I645="","",IFERROR(_xlfn.XLOOKUP(I645,Base_Datos!$D$2:$D3876,Base_Datos!$C$2:$C3876),""))</f>
        <v>Serie GS</v>
      </c>
      <c r="I645" s="3" t="s">
        <v>1487</v>
      </c>
      <c r="J645" s="3" t="str">
        <f>IF(I645="","",IFERROR(VLOOKUP(I645,Base_Datos!$D$2:$E$72,2,0),""))</f>
        <v>(2.0L)</v>
      </c>
      <c r="K645" s="3" t="s">
        <v>1782</v>
      </c>
      <c r="L645" s="3"/>
      <c r="M645" s="7">
        <v>2</v>
      </c>
      <c r="N645" s="7">
        <v>0</v>
      </c>
    </row>
    <row r="646" spans="1:14" ht="14.25" x14ac:dyDescent="0.2">
      <c r="A646" s="3">
        <v>67190</v>
      </c>
      <c r="B646" s="3" t="s">
        <v>2132</v>
      </c>
      <c r="C646" s="3" t="s">
        <v>16</v>
      </c>
      <c r="D646" s="6" t="s">
        <v>1675</v>
      </c>
      <c r="E646" s="6" t="s">
        <v>1782</v>
      </c>
      <c r="F646" s="3" t="str">
        <f>IFERROR( VLOOKUP(A646,#REF!,2,0),"")</f>
        <v/>
      </c>
      <c r="G646" s="3" t="str">
        <f t="array" ref="G646">_xlfn.XLOOKUP(I646,Base_Datos!D:D,Base_Datos!B:B,"")</f>
        <v>GAC</v>
      </c>
      <c r="H646" s="3" t="str">
        <f t="array" ref="H646">IF(I646="","",IFERROR(_xlfn.XLOOKUP(I646,Base_Datos!$D$2:$D3876,Base_Datos!$C$2:$C3876),""))</f>
        <v>Serie GS</v>
      </c>
      <c r="I646" s="3" t="s">
        <v>1487</v>
      </c>
      <c r="J646" s="3" t="str">
        <f>IF(I646="","",IFERROR(VLOOKUP(I646,Base_Datos!$D$2:$E$72,2,0),""))</f>
        <v>(2.0L)</v>
      </c>
      <c r="K646" s="3" t="s">
        <v>1782</v>
      </c>
      <c r="L646" s="3"/>
      <c r="M646" s="7">
        <v>6</v>
      </c>
      <c r="N646" s="7">
        <v>0</v>
      </c>
    </row>
    <row r="647" spans="1:14" ht="14.25" x14ac:dyDescent="0.2">
      <c r="A647" s="3">
        <v>67191</v>
      </c>
      <c r="B647" s="3" t="s">
        <v>2337</v>
      </c>
      <c r="C647" s="3" t="s">
        <v>16</v>
      </c>
      <c r="D647" s="6" t="s">
        <v>1676</v>
      </c>
      <c r="E647" s="6" t="s">
        <v>1782</v>
      </c>
      <c r="F647" s="3" t="str">
        <f>IFERROR( VLOOKUP(A647,#REF!,2,0),"")</f>
        <v/>
      </c>
      <c r="G647" s="3" t="str">
        <f t="array" ref="G647">_xlfn.XLOOKUP(I647,Base_Datos!D:D,Base_Datos!B:B,"")</f>
        <v>GAC</v>
      </c>
      <c r="H647" s="3" t="str">
        <f t="array" ref="H647">IF(I647="","",IFERROR(_xlfn.XLOOKUP(I647,Base_Datos!$D$2:$D3876,Base_Datos!$C$2:$C3876),""))</f>
        <v>Serie GS</v>
      </c>
      <c r="I647" s="3" t="s">
        <v>1487</v>
      </c>
      <c r="J647" s="3" t="str">
        <f>IF(I647="","",IFERROR(VLOOKUP(I647,Base_Datos!$D$2:$E$72,2,0),""))</f>
        <v>(2.0L)</v>
      </c>
      <c r="K647" s="3" t="s">
        <v>1782</v>
      </c>
      <c r="L647" s="3"/>
      <c r="M647" s="7">
        <v>2</v>
      </c>
      <c r="N647" s="7">
        <v>0</v>
      </c>
    </row>
    <row r="648" spans="1:14" ht="14.25" x14ac:dyDescent="0.2">
      <c r="A648" s="3">
        <v>67192</v>
      </c>
      <c r="B648" s="3" t="s">
        <v>2338</v>
      </c>
      <c r="C648" s="3" t="s">
        <v>16</v>
      </c>
      <c r="D648" s="6" t="s">
        <v>1677</v>
      </c>
      <c r="E648" s="6" t="s">
        <v>1782</v>
      </c>
      <c r="F648" s="3" t="str">
        <f>IFERROR( VLOOKUP(A648,#REF!,2,0),"")</f>
        <v/>
      </c>
      <c r="G648" s="3" t="str">
        <f t="array" ref="G648">_xlfn.XLOOKUP(I648,Base_Datos!D:D,Base_Datos!B:B,"")</f>
        <v>GAC</v>
      </c>
      <c r="H648" s="3" t="str">
        <f t="array" ref="H648">IF(I648="","",IFERROR(_xlfn.XLOOKUP(I648,Base_Datos!$D$2:$D3876,Base_Datos!$C$2:$C3876),""))</f>
        <v>Serie GS</v>
      </c>
      <c r="I648" s="3" t="s">
        <v>1487</v>
      </c>
      <c r="J648" s="3" t="str">
        <f>IF(I648="","",IFERROR(VLOOKUP(I648,Base_Datos!$D$2:$E$72,2,0),""))</f>
        <v>(2.0L)</v>
      </c>
      <c r="K648" s="3" t="s">
        <v>1782</v>
      </c>
      <c r="L648" s="3"/>
      <c r="M648" s="7">
        <v>2</v>
      </c>
      <c r="N648" s="7">
        <v>0</v>
      </c>
    </row>
    <row r="649" spans="1:14" ht="14.25" x14ac:dyDescent="0.2">
      <c r="A649" s="3">
        <v>67193</v>
      </c>
      <c r="B649" s="3" t="s">
        <v>2339</v>
      </c>
      <c r="C649" s="3" t="s">
        <v>16</v>
      </c>
      <c r="D649" s="6" t="s">
        <v>1678</v>
      </c>
      <c r="E649" s="6" t="s">
        <v>1782</v>
      </c>
      <c r="F649" s="3" t="str">
        <f>IFERROR( VLOOKUP(A649,#REF!,2,0),"")</f>
        <v/>
      </c>
      <c r="G649" s="3" t="str">
        <f t="array" ref="G649">_xlfn.XLOOKUP(I649,Base_Datos!D:D,Base_Datos!B:B,"")</f>
        <v>GAC</v>
      </c>
      <c r="H649" s="3" t="str">
        <f t="array" ref="H649">IF(I649="","",IFERROR(_xlfn.XLOOKUP(I649,Base_Datos!$D$2:$D3876,Base_Datos!$C$2:$C3876),""))</f>
        <v>Serie GS</v>
      </c>
      <c r="I649" s="3" t="s">
        <v>1487</v>
      </c>
      <c r="J649" s="3" t="str">
        <f>IF(I649="","",IFERROR(VLOOKUP(I649,Base_Datos!$D$2:$E$72,2,0),""))</f>
        <v>(2.0L)</v>
      </c>
      <c r="K649" s="3" t="s">
        <v>1782</v>
      </c>
      <c r="L649" s="3"/>
      <c r="M649" s="7">
        <v>1</v>
      </c>
      <c r="N649" s="7">
        <v>0</v>
      </c>
    </row>
    <row r="650" spans="1:14" ht="14.25" x14ac:dyDescent="0.2">
      <c r="A650" s="3">
        <v>67194</v>
      </c>
      <c r="B650" s="3" t="s">
        <v>2340</v>
      </c>
      <c r="C650" s="3" t="s">
        <v>16</v>
      </c>
      <c r="D650" s="6" t="s">
        <v>1679</v>
      </c>
      <c r="E650" s="6" t="s">
        <v>1782</v>
      </c>
      <c r="F650" s="3" t="str">
        <f>IFERROR( VLOOKUP(A650,#REF!,2,0),"")</f>
        <v/>
      </c>
      <c r="G650" s="3" t="str">
        <f t="array" ref="G650">_xlfn.XLOOKUP(I650,Base_Datos!D:D,Base_Datos!B:B,"")</f>
        <v>GAC</v>
      </c>
      <c r="H650" s="3" t="str">
        <f t="array" ref="H650">IF(I650="","",IFERROR(_xlfn.XLOOKUP(I650,Base_Datos!$D$2:$D3876,Base_Datos!$C$2:$C3876),""))</f>
        <v>Serie GS</v>
      </c>
      <c r="I650" s="3" t="s">
        <v>1487</v>
      </c>
      <c r="J650" s="3" t="str">
        <f>IF(I650="","",IFERROR(VLOOKUP(I650,Base_Datos!$D$2:$E$72,2,0),""))</f>
        <v>(2.0L)</v>
      </c>
      <c r="K650" s="3" t="s">
        <v>1782</v>
      </c>
      <c r="L650" s="3"/>
      <c r="M650" s="7">
        <v>2</v>
      </c>
      <c r="N650" s="7">
        <v>0</v>
      </c>
    </row>
    <row r="651" spans="1:14" ht="14.25" x14ac:dyDescent="0.2">
      <c r="A651" s="3">
        <v>67195</v>
      </c>
      <c r="B651" s="3" t="s">
        <v>2341</v>
      </c>
      <c r="C651" s="3" t="s">
        <v>16</v>
      </c>
      <c r="D651" s="6" t="s">
        <v>1680</v>
      </c>
      <c r="E651" s="6" t="s">
        <v>1782</v>
      </c>
      <c r="F651" s="3" t="str">
        <f>IFERROR( VLOOKUP(A651,#REF!,2,0),"")</f>
        <v/>
      </c>
      <c r="G651" s="3" t="str">
        <f t="array" ref="G651">_xlfn.XLOOKUP(I651,Base_Datos!D:D,Base_Datos!B:B,"")</f>
        <v>GAC</v>
      </c>
      <c r="H651" s="3" t="str">
        <f t="array" ref="H651">IF(I651="","",IFERROR(_xlfn.XLOOKUP(I651,Base_Datos!$D$2:$D3876,Base_Datos!$C$2:$C3876),""))</f>
        <v>Serie GS</v>
      </c>
      <c r="I651" s="3" t="s">
        <v>1487</v>
      </c>
      <c r="J651" s="3" t="str">
        <f>IF(I651="","",IFERROR(VLOOKUP(I651,Base_Datos!$D$2:$E$72,2,0),""))</f>
        <v>(2.0L)</v>
      </c>
      <c r="K651" s="3" t="s">
        <v>1782</v>
      </c>
      <c r="L651" s="3"/>
      <c r="M651" s="7">
        <v>2</v>
      </c>
      <c r="N651" s="7">
        <v>0</v>
      </c>
    </row>
    <row r="652" spans="1:14" ht="14.25" x14ac:dyDescent="0.2">
      <c r="A652" s="3">
        <v>67196</v>
      </c>
      <c r="B652" s="3" t="s">
        <v>2341</v>
      </c>
      <c r="C652" s="3" t="s">
        <v>16</v>
      </c>
      <c r="D652" s="6" t="s">
        <v>1681</v>
      </c>
      <c r="E652" s="6" t="s">
        <v>1782</v>
      </c>
      <c r="F652" s="3" t="str">
        <f>IFERROR( VLOOKUP(A652,#REF!,2,0),"")</f>
        <v/>
      </c>
      <c r="G652" s="3" t="str">
        <f t="array" ref="G652">_xlfn.XLOOKUP(I652,Base_Datos!D:D,Base_Datos!B:B,"")</f>
        <v>GAC</v>
      </c>
      <c r="H652" s="3" t="str">
        <f t="array" ref="H652">IF(I652="","",IFERROR(_xlfn.XLOOKUP(I652,Base_Datos!$D$2:$D3876,Base_Datos!$C$2:$C3876),""))</f>
        <v>Serie GS</v>
      </c>
      <c r="I652" s="3" t="s">
        <v>1487</v>
      </c>
      <c r="J652" s="3" t="str">
        <f>IF(I652="","",IFERROR(VLOOKUP(I652,Base_Datos!$D$2:$E$72,2,0),""))</f>
        <v>(2.0L)</v>
      </c>
      <c r="K652" s="3" t="s">
        <v>1782</v>
      </c>
      <c r="L652" s="3"/>
      <c r="M652" s="7">
        <v>2</v>
      </c>
      <c r="N652" s="7">
        <v>0</v>
      </c>
    </row>
    <row r="653" spans="1:14" ht="14.25" x14ac:dyDescent="0.2">
      <c r="A653" s="3">
        <v>67197</v>
      </c>
      <c r="B653" s="3" t="s">
        <v>2342</v>
      </c>
      <c r="C653" s="3" t="s">
        <v>16</v>
      </c>
      <c r="D653" s="6" t="s">
        <v>1682</v>
      </c>
      <c r="E653" s="6" t="s">
        <v>1782</v>
      </c>
      <c r="F653" s="3" t="str">
        <f>IFERROR( VLOOKUP(A653,#REF!,2,0),"")</f>
        <v/>
      </c>
      <c r="G653" s="3" t="str">
        <f t="array" ref="G653">_xlfn.XLOOKUP(I653,Base_Datos!D:D,Base_Datos!B:B,"")</f>
        <v>GAC</v>
      </c>
      <c r="H653" s="3" t="str">
        <f t="array" ref="H653">IF(I653="","",IFERROR(_xlfn.XLOOKUP(I653,Base_Datos!$D$2:$D3876,Base_Datos!$C$2:$C3876),""))</f>
        <v>Serie GS</v>
      </c>
      <c r="I653" s="3" t="s">
        <v>1487</v>
      </c>
      <c r="J653" s="3" t="str">
        <f>IF(I653="","",IFERROR(VLOOKUP(I653,Base_Datos!$D$2:$E$72,2,0),""))</f>
        <v>(2.0L)</v>
      </c>
      <c r="K653" s="3" t="s">
        <v>1782</v>
      </c>
      <c r="L653" s="3"/>
      <c r="M653" s="7">
        <v>2</v>
      </c>
      <c r="N653" s="7">
        <v>0</v>
      </c>
    </row>
    <row r="654" spans="1:14" ht="14.25" x14ac:dyDescent="0.2">
      <c r="A654" s="3">
        <v>67198</v>
      </c>
      <c r="B654" s="3" t="s">
        <v>2343</v>
      </c>
      <c r="C654" s="3" t="s">
        <v>16</v>
      </c>
      <c r="D654" s="6" t="s">
        <v>1683</v>
      </c>
      <c r="E654" s="6" t="s">
        <v>1782</v>
      </c>
      <c r="F654" s="3" t="str">
        <f>IFERROR( VLOOKUP(A654,#REF!,2,0),"")</f>
        <v/>
      </c>
      <c r="G654" s="3" t="str">
        <f t="array" ref="G654">_xlfn.XLOOKUP(I654,Base_Datos!D:D,Base_Datos!B:B,"")</f>
        <v>GAC</v>
      </c>
      <c r="H654" s="3" t="str">
        <f t="array" ref="H654">IF(I654="","",IFERROR(_xlfn.XLOOKUP(I654,Base_Datos!$D$2:$D3876,Base_Datos!$C$2:$C3876),""))</f>
        <v>Serie GS</v>
      </c>
      <c r="I654" s="3" t="s">
        <v>1487</v>
      </c>
      <c r="J654" s="3" t="str">
        <f>IF(I654="","",IFERROR(VLOOKUP(I654,Base_Datos!$D$2:$E$72,2,0),""))</f>
        <v>(2.0L)</v>
      </c>
      <c r="K654" s="3" t="s">
        <v>1782</v>
      </c>
      <c r="L654" s="3"/>
      <c r="M654" s="7">
        <v>0</v>
      </c>
      <c r="N654" s="7">
        <v>0</v>
      </c>
    </row>
    <row r="655" spans="1:14" ht="14.25" x14ac:dyDescent="0.2">
      <c r="A655" s="3">
        <v>67199</v>
      </c>
      <c r="B655" s="3" t="s">
        <v>2344</v>
      </c>
      <c r="C655" s="3" t="s">
        <v>16</v>
      </c>
      <c r="D655" s="6" t="s">
        <v>1684</v>
      </c>
      <c r="E655" s="6" t="s">
        <v>1782</v>
      </c>
      <c r="F655" s="3" t="str">
        <f>IFERROR( VLOOKUP(A655,#REF!,2,0),"")</f>
        <v/>
      </c>
      <c r="G655" s="3" t="str">
        <f t="array" ref="G655">_xlfn.XLOOKUP(I655,Base_Datos!D:D,Base_Datos!B:B,"")</f>
        <v>GAC</v>
      </c>
      <c r="H655" s="3" t="str">
        <f t="array" ref="H655">IF(I655="","",IFERROR(_xlfn.XLOOKUP(I655,Base_Datos!$D$2:$D3876,Base_Datos!$C$2:$C3876),""))</f>
        <v>Serie GS</v>
      </c>
      <c r="I655" s="3" t="s">
        <v>1487</v>
      </c>
      <c r="J655" s="3" t="str">
        <f>IF(I655="","",IFERROR(VLOOKUP(I655,Base_Datos!$D$2:$E$72,2,0),""))</f>
        <v>(2.0L)</v>
      </c>
      <c r="K655" s="3" t="s">
        <v>1782</v>
      </c>
      <c r="L655" s="3"/>
      <c r="M655" s="7">
        <v>2</v>
      </c>
      <c r="N655" s="7">
        <v>0</v>
      </c>
    </row>
    <row r="656" spans="1:14" ht="14.25" x14ac:dyDescent="0.2">
      <c r="A656" s="3">
        <v>67200</v>
      </c>
      <c r="B656" s="3" t="s">
        <v>2345</v>
      </c>
      <c r="C656" s="3" t="s">
        <v>16</v>
      </c>
      <c r="D656" s="6" t="s">
        <v>1685</v>
      </c>
      <c r="E656" s="6" t="s">
        <v>1782</v>
      </c>
      <c r="F656" s="3" t="str">
        <f>IFERROR( VLOOKUP(A656,#REF!,2,0),"")</f>
        <v/>
      </c>
      <c r="G656" s="3" t="str">
        <f t="array" ref="G656">_xlfn.XLOOKUP(I656,Base_Datos!D:D,Base_Datos!B:B,"")</f>
        <v>GAC</v>
      </c>
      <c r="H656" s="3" t="str">
        <f t="array" ref="H656">IF(I656="","",IFERROR(_xlfn.XLOOKUP(I656,Base_Datos!$D$2:$D3876,Base_Datos!$C$2:$C3876),""))</f>
        <v>Serie GS</v>
      </c>
      <c r="I656" s="3" t="s">
        <v>1487</v>
      </c>
      <c r="J656" s="3" t="str">
        <f>IF(I656="","",IFERROR(VLOOKUP(I656,Base_Datos!$D$2:$E$72,2,0),""))</f>
        <v>(2.0L)</v>
      </c>
      <c r="K656" s="3" t="s">
        <v>1782</v>
      </c>
      <c r="L656" s="3"/>
      <c r="M656" s="7">
        <v>1</v>
      </c>
      <c r="N656" s="7">
        <v>0</v>
      </c>
    </row>
    <row r="657" spans="1:14" ht="14.25" x14ac:dyDescent="0.2">
      <c r="A657" s="3">
        <v>67201</v>
      </c>
      <c r="B657" s="3" t="s">
        <v>1830</v>
      </c>
      <c r="C657" s="3" t="s">
        <v>16</v>
      </c>
      <c r="D657" s="6" t="s">
        <v>1686</v>
      </c>
      <c r="E657" s="6" t="s">
        <v>1782</v>
      </c>
      <c r="F657" s="3" t="str">
        <f>IFERROR( VLOOKUP(A657,#REF!,2,0),"")</f>
        <v/>
      </c>
      <c r="G657" s="3" t="str">
        <f t="array" ref="G657">_xlfn.XLOOKUP(I657,Base_Datos!D:D,Base_Datos!B:B,"")</f>
        <v>GAC</v>
      </c>
      <c r="H657" s="3" t="str">
        <f t="array" ref="H657">IF(I657="","",IFERROR(_xlfn.XLOOKUP(I657,Base_Datos!$D$2:$D3876,Base_Datos!$C$2:$C3876),""))</f>
        <v>Serie GS</v>
      </c>
      <c r="I657" s="3" t="s">
        <v>1487</v>
      </c>
      <c r="J657" s="3" t="str">
        <f>IF(I657="","",IFERROR(VLOOKUP(I657,Base_Datos!$D$2:$E$72,2,0),""))</f>
        <v>(2.0L)</v>
      </c>
      <c r="K657" s="3" t="s">
        <v>1782</v>
      </c>
      <c r="L657" s="3"/>
      <c r="M657" s="7">
        <v>1</v>
      </c>
      <c r="N657" s="7">
        <v>0</v>
      </c>
    </row>
    <row r="658" spans="1:14" ht="14.25" x14ac:dyDescent="0.2">
      <c r="A658" s="3">
        <v>67202</v>
      </c>
      <c r="B658" s="3" t="s">
        <v>1830</v>
      </c>
      <c r="C658" s="3" t="s">
        <v>16</v>
      </c>
      <c r="D658" s="6" t="s">
        <v>1687</v>
      </c>
      <c r="E658" s="6" t="s">
        <v>1782</v>
      </c>
      <c r="F658" s="3" t="str">
        <f>IFERROR( VLOOKUP(A658,#REF!,2,0),"")</f>
        <v/>
      </c>
      <c r="G658" s="3" t="str">
        <f t="array" ref="G658">_xlfn.XLOOKUP(I658,Base_Datos!D:D,Base_Datos!B:B,"")</f>
        <v>GAC</v>
      </c>
      <c r="H658" s="3" t="str">
        <f t="array" ref="H658">IF(I658="","",IFERROR(_xlfn.XLOOKUP(I658,Base_Datos!$D$2:$D3876,Base_Datos!$C$2:$C3876),""))</f>
        <v>Serie GS</v>
      </c>
      <c r="I658" s="3" t="s">
        <v>1487</v>
      </c>
      <c r="J658" s="3" t="str">
        <f>IF(I658="","",IFERROR(VLOOKUP(I658,Base_Datos!$D$2:$E$72,2,0),""))</f>
        <v>(2.0L)</v>
      </c>
      <c r="K658" s="3" t="s">
        <v>1782</v>
      </c>
      <c r="L658" s="3"/>
      <c r="M658" s="7">
        <v>1</v>
      </c>
      <c r="N658" s="7">
        <v>0</v>
      </c>
    </row>
    <row r="659" spans="1:14" ht="14.25" x14ac:dyDescent="0.2">
      <c r="A659" s="3">
        <v>67203</v>
      </c>
      <c r="B659" s="3" t="s">
        <v>1870</v>
      </c>
      <c r="C659" s="3" t="s">
        <v>16</v>
      </c>
      <c r="D659" s="6" t="s">
        <v>1688</v>
      </c>
      <c r="E659" s="6" t="s">
        <v>1782</v>
      </c>
      <c r="F659" s="3" t="str">
        <f>IFERROR( VLOOKUP(A659,#REF!,2,0),"")</f>
        <v/>
      </c>
      <c r="G659" s="3" t="str">
        <f t="array" ref="G659">_xlfn.XLOOKUP(I659,Base_Datos!D:D,Base_Datos!B:B,"")</f>
        <v>GAC</v>
      </c>
      <c r="H659" s="3" t="str">
        <f t="array" ref="H659">IF(I659="","",IFERROR(_xlfn.XLOOKUP(I659,Base_Datos!$D$2:$D3876,Base_Datos!$C$2:$C3876),""))</f>
        <v>Serie GS</v>
      </c>
      <c r="I659" s="3" t="s">
        <v>1487</v>
      </c>
      <c r="J659" s="3" t="str">
        <f>IF(I659="","",IFERROR(VLOOKUP(I659,Base_Datos!$D$2:$E$72,2,0),""))</f>
        <v>(2.0L)</v>
      </c>
      <c r="K659" s="3" t="s">
        <v>1782</v>
      </c>
      <c r="L659" s="3"/>
      <c r="M659" s="7">
        <v>0</v>
      </c>
      <c r="N659" s="7">
        <v>0</v>
      </c>
    </row>
    <row r="660" spans="1:14" ht="14.25" x14ac:dyDescent="0.2">
      <c r="A660" s="3">
        <v>67204</v>
      </c>
      <c r="B660" s="3" t="s">
        <v>1870</v>
      </c>
      <c r="C660" s="3" t="s">
        <v>16</v>
      </c>
      <c r="D660" s="6" t="s">
        <v>1689</v>
      </c>
      <c r="E660" s="6" t="s">
        <v>1782</v>
      </c>
      <c r="F660" s="3" t="str">
        <f>IFERROR( VLOOKUP(A660,#REF!,2,0),"")</f>
        <v/>
      </c>
      <c r="G660" s="3" t="str">
        <f t="array" ref="G660">_xlfn.XLOOKUP(I660,Base_Datos!D:D,Base_Datos!B:B,"")</f>
        <v>GAC</v>
      </c>
      <c r="H660" s="3" t="str">
        <f t="array" ref="H660">IF(I660="","",IFERROR(_xlfn.XLOOKUP(I660,Base_Datos!$D$2:$D3876,Base_Datos!$C$2:$C3876),""))</f>
        <v>Serie GS</v>
      </c>
      <c r="I660" s="3" t="s">
        <v>1487</v>
      </c>
      <c r="J660" s="3" t="str">
        <f>IF(I660="","",IFERROR(VLOOKUP(I660,Base_Datos!$D$2:$E$72,2,0),""))</f>
        <v>(2.0L)</v>
      </c>
      <c r="K660" s="3" t="s">
        <v>1782</v>
      </c>
      <c r="L660" s="3"/>
      <c r="M660" s="7">
        <v>0</v>
      </c>
      <c r="N660" s="7">
        <v>0</v>
      </c>
    </row>
    <row r="661" spans="1:14" ht="14.25" x14ac:dyDescent="0.2">
      <c r="A661" s="3">
        <v>67205</v>
      </c>
      <c r="B661" s="3" t="s">
        <v>2151</v>
      </c>
      <c r="C661" s="3" t="s">
        <v>16</v>
      </c>
      <c r="D661" s="6" t="s">
        <v>1690</v>
      </c>
      <c r="E661" s="6" t="s">
        <v>1782</v>
      </c>
      <c r="F661" s="3" t="str">
        <f>IFERROR( VLOOKUP(A661,#REF!,2,0),"")</f>
        <v/>
      </c>
      <c r="G661" s="3" t="str">
        <f t="array" ref="G661">_xlfn.XLOOKUP(I661,Base_Datos!D:D,Base_Datos!B:B,"")</f>
        <v>GAC</v>
      </c>
      <c r="H661" s="3" t="str">
        <f t="array" ref="H661">IF(I661="","",IFERROR(_xlfn.XLOOKUP(I661,Base_Datos!$D$2:$D3876,Base_Datos!$C$2:$C3876),""))</f>
        <v>Serie GS</v>
      </c>
      <c r="I661" s="3" t="s">
        <v>1487</v>
      </c>
      <c r="J661" s="3" t="str">
        <f>IF(I661="","",IFERROR(VLOOKUP(I661,Base_Datos!$D$2:$E$72,2,0),""))</f>
        <v>(2.0L)</v>
      </c>
      <c r="K661" s="3" t="s">
        <v>1782</v>
      </c>
      <c r="L661" s="3"/>
      <c r="M661" s="7">
        <v>1</v>
      </c>
      <c r="N661" s="7">
        <v>0</v>
      </c>
    </row>
    <row r="662" spans="1:14" ht="14.25" x14ac:dyDescent="0.2">
      <c r="A662" s="3">
        <v>67206</v>
      </c>
      <c r="B662" s="3" t="s">
        <v>2152</v>
      </c>
      <c r="C662" s="3" t="s">
        <v>16</v>
      </c>
      <c r="D662" s="6" t="s">
        <v>1691</v>
      </c>
      <c r="E662" s="6" t="s">
        <v>1782</v>
      </c>
      <c r="F662" s="3" t="str">
        <f>IFERROR( VLOOKUP(A662,#REF!,2,0),"")</f>
        <v/>
      </c>
      <c r="G662" s="3" t="str">
        <f t="array" ref="G662">_xlfn.XLOOKUP(I662,Base_Datos!D:D,Base_Datos!B:B,"")</f>
        <v>GAC</v>
      </c>
      <c r="H662" s="3" t="str">
        <f t="array" ref="H662">IF(I662="","",IFERROR(_xlfn.XLOOKUP(I662,Base_Datos!$D$2:$D3876,Base_Datos!$C$2:$C3876),""))</f>
        <v>Serie GS</v>
      </c>
      <c r="I662" s="3" t="s">
        <v>1487</v>
      </c>
      <c r="J662" s="3" t="str">
        <f>IF(I662="","",IFERROR(VLOOKUP(I662,Base_Datos!$D$2:$E$72,2,0),""))</f>
        <v>(2.0L)</v>
      </c>
      <c r="K662" s="3" t="s">
        <v>1782</v>
      </c>
      <c r="L662" s="3"/>
      <c r="M662" s="7">
        <v>0</v>
      </c>
      <c r="N662" s="7">
        <v>0</v>
      </c>
    </row>
    <row r="663" spans="1:14" ht="14.25" x14ac:dyDescent="0.2">
      <c r="A663" s="3">
        <v>67207</v>
      </c>
      <c r="B663" s="3" t="s">
        <v>2346</v>
      </c>
      <c r="C663" s="3" t="s">
        <v>16</v>
      </c>
      <c r="D663" s="6" t="s">
        <v>1692</v>
      </c>
      <c r="E663" s="6" t="s">
        <v>2347</v>
      </c>
      <c r="F663" s="3" t="str">
        <f>IFERROR( VLOOKUP(A663,#REF!,2,0),"")</f>
        <v/>
      </c>
      <c r="G663" s="3" t="str">
        <f t="array" ref="G663">_xlfn.XLOOKUP(I663,Base_Datos!D:D,Base_Datos!B:B,"")</f>
        <v>GAC</v>
      </c>
      <c r="H663" s="3" t="str">
        <f t="array" ref="H663">IF(I663="","",IFERROR(_xlfn.XLOOKUP(I663,Base_Datos!$D$2:$D3876,Base_Datos!$C$2:$C3876),""))</f>
        <v>Serie GS</v>
      </c>
      <c r="I663" s="3" t="s">
        <v>1487</v>
      </c>
      <c r="J663" s="3" t="str">
        <f>IF(I663="","",IFERROR(VLOOKUP(I663,Base_Datos!$D$2:$E$72,2,0),""))</f>
        <v>(2.0L)</v>
      </c>
      <c r="K663" s="3" t="s">
        <v>1782</v>
      </c>
      <c r="L663" s="3"/>
      <c r="M663" s="7">
        <v>2</v>
      </c>
      <c r="N663" s="7">
        <v>0</v>
      </c>
    </row>
    <row r="664" spans="1:14" ht="14.25" x14ac:dyDescent="0.2">
      <c r="A664" s="3">
        <v>67208</v>
      </c>
      <c r="B664" s="3" t="s">
        <v>2348</v>
      </c>
      <c r="C664" s="3" t="s">
        <v>16</v>
      </c>
      <c r="D664" s="6" t="s">
        <v>1693</v>
      </c>
      <c r="E664" s="6" t="s">
        <v>1693</v>
      </c>
      <c r="F664" s="3" t="str">
        <f>IFERROR( VLOOKUP(A664,#REF!,2,0),"")</f>
        <v/>
      </c>
      <c r="G664" s="3" t="str">
        <f t="array" ref="G664">_xlfn.XLOOKUP(I664,Base_Datos!D:D,Base_Datos!B:B,"")</f>
        <v>GAC</v>
      </c>
      <c r="H664" s="3" t="str">
        <f t="array" ref="H664">IF(I664="","",IFERROR(_xlfn.XLOOKUP(I664,Base_Datos!$D$2:$D3876,Base_Datos!$C$2:$C3876),""))</f>
        <v>Serie GS</v>
      </c>
      <c r="I664" s="3" t="s">
        <v>1487</v>
      </c>
      <c r="J664" s="3" t="str">
        <f>IF(I664="","",IFERROR(VLOOKUP(I664,Base_Datos!$D$2:$E$72,2,0),""))</f>
        <v>(2.0L)</v>
      </c>
      <c r="K664" s="3" t="s">
        <v>1782</v>
      </c>
      <c r="L664" s="3"/>
      <c r="M664" s="7">
        <v>2</v>
      </c>
      <c r="N664" s="7">
        <v>0</v>
      </c>
    </row>
    <row r="665" spans="1:14" ht="14.25" x14ac:dyDescent="0.2">
      <c r="A665" s="3">
        <v>67209</v>
      </c>
      <c r="B665" s="3" t="s">
        <v>2157</v>
      </c>
      <c r="C665" s="3" t="s">
        <v>16</v>
      </c>
      <c r="D665" s="6" t="s">
        <v>1694</v>
      </c>
      <c r="E665" s="6" t="s">
        <v>1782</v>
      </c>
      <c r="F665" s="3" t="str">
        <f>IFERROR( VLOOKUP(A665,#REF!,2,0),"")</f>
        <v/>
      </c>
      <c r="G665" s="3" t="str">
        <f t="array" ref="G665">_xlfn.XLOOKUP(I665,Base_Datos!D:D,Base_Datos!B:B,"")</f>
        <v>GAC</v>
      </c>
      <c r="H665" s="3" t="str">
        <f t="array" ref="H665">IF(I665="","",IFERROR(_xlfn.XLOOKUP(I665,Base_Datos!$D$2:$D3876,Base_Datos!$C$2:$C3876),""))</f>
        <v>Serie GS</v>
      </c>
      <c r="I665" s="3" t="s">
        <v>1487</v>
      </c>
      <c r="J665" s="3" t="str">
        <f>IF(I665="","",IFERROR(VLOOKUP(I665,Base_Datos!$D$2:$E$72,2,0),""))</f>
        <v>(2.0L)</v>
      </c>
      <c r="K665" s="3" t="s">
        <v>1782</v>
      </c>
      <c r="L665" s="3"/>
      <c r="M665" s="7">
        <v>2</v>
      </c>
      <c r="N665" s="7">
        <v>0</v>
      </c>
    </row>
    <row r="666" spans="1:14" ht="14.25" x14ac:dyDescent="0.2">
      <c r="A666" s="3">
        <v>67210</v>
      </c>
      <c r="B666" s="3" t="s">
        <v>2349</v>
      </c>
      <c r="C666" s="3" t="s">
        <v>16</v>
      </c>
      <c r="D666" s="6" t="s">
        <v>1695</v>
      </c>
      <c r="E666" s="6" t="s">
        <v>1695</v>
      </c>
      <c r="F666" s="3" t="str">
        <f>IFERROR( VLOOKUP(A666,#REF!,2,0),"")</f>
        <v/>
      </c>
      <c r="G666" s="3" t="str">
        <f t="array" ref="G666">_xlfn.XLOOKUP(I666,Base_Datos!D:D,Base_Datos!B:B,"")</f>
        <v>GAC</v>
      </c>
      <c r="H666" s="3" t="str">
        <f t="array" ref="H666">IF(I666="","",IFERROR(_xlfn.XLOOKUP(I666,Base_Datos!$D$2:$D3876,Base_Datos!$C$2:$C3876),""))</f>
        <v>Serie GS</v>
      </c>
      <c r="I666" s="3" t="s">
        <v>1487</v>
      </c>
      <c r="J666" s="3" t="str">
        <f>IF(I666="","",IFERROR(VLOOKUP(I666,Base_Datos!$D$2:$E$72,2,0),""))</f>
        <v>(2.0L)</v>
      </c>
      <c r="K666" s="3" t="s">
        <v>1782</v>
      </c>
      <c r="L666" s="3"/>
      <c r="M666" s="7">
        <v>2</v>
      </c>
      <c r="N666" s="7">
        <v>0</v>
      </c>
    </row>
    <row r="667" spans="1:14" ht="14.25" x14ac:dyDescent="0.2">
      <c r="A667" s="3">
        <v>67211</v>
      </c>
      <c r="B667" s="3" t="s">
        <v>2350</v>
      </c>
      <c r="C667" s="3" t="s">
        <v>16</v>
      </c>
      <c r="D667" s="6" t="s">
        <v>1696</v>
      </c>
      <c r="E667" s="6" t="s">
        <v>1782</v>
      </c>
      <c r="F667" s="3" t="str">
        <f>IFERROR( VLOOKUP(A667,#REF!,2,0),"")</f>
        <v/>
      </c>
      <c r="G667" s="3" t="str">
        <f t="array" ref="G667">_xlfn.XLOOKUP(I667,Base_Datos!D:D,Base_Datos!B:B,"")</f>
        <v>GAC</v>
      </c>
      <c r="H667" s="3" t="str">
        <f t="array" ref="H667">IF(I667="","",IFERROR(_xlfn.XLOOKUP(I667,Base_Datos!$D$2:$D3876,Base_Datos!$C$2:$C3876),""))</f>
        <v>Serie GS</v>
      </c>
      <c r="I667" s="3" t="s">
        <v>1487</v>
      </c>
      <c r="J667" s="3" t="str">
        <f>IF(I667="","",IFERROR(VLOOKUP(I667,Base_Datos!$D$2:$E$72,2,0),""))</f>
        <v>(2.0L)</v>
      </c>
      <c r="K667" s="3" t="s">
        <v>1782</v>
      </c>
      <c r="L667" s="3"/>
      <c r="M667" s="7">
        <v>10</v>
      </c>
      <c r="N667" s="7">
        <v>0</v>
      </c>
    </row>
    <row r="668" spans="1:14" ht="14.25" x14ac:dyDescent="0.2">
      <c r="A668" s="3">
        <v>67212</v>
      </c>
      <c r="B668" s="3" t="s">
        <v>2159</v>
      </c>
      <c r="C668" s="3" t="s">
        <v>16</v>
      </c>
      <c r="D668" s="6" t="s">
        <v>1697</v>
      </c>
      <c r="E668" s="6" t="s">
        <v>1782</v>
      </c>
      <c r="F668" s="3" t="str">
        <f>IFERROR( VLOOKUP(A668,#REF!,2,0),"")</f>
        <v/>
      </c>
      <c r="G668" s="3" t="str">
        <f t="array" ref="G668">_xlfn.XLOOKUP(I668,Base_Datos!D:D,Base_Datos!B:B,"")</f>
        <v>GAC</v>
      </c>
      <c r="H668" s="3" t="str">
        <f t="array" ref="H668">IF(I668="","",IFERROR(_xlfn.XLOOKUP(I668,Base_Datos!$D$2:$D3876,Base_Datos!$C$2:$C3876),""))</f>
        <v>Serie GS</v>
      </c>
      <c r="I668" s="3" t="s">
        <v>1487</v>
      </c>
      <c r="J668" s="3" t="str">
        <f>IF(I668="","",IFERROR(VLOOKUP(I668,Base_Datos!$D$2:$E$72,2,0),""))</f>
        <v>(2.0L)</v>
      </c>
      <c r="K668" s="3" t="s">
        <v>1782</v>
      </c>
      <c r="L668" s="3"/>
      <c r="M668" s="7">
        <v>10</v>
      </c>
      <c r="N668" s="7">
        <v>0</v>
      </c>
    </row>
    <row r="669" spans="1:14" ht="14.25" x14ac:dyDescent="0.2">
      <c r="A669" s="3">
        <v>67213</v>
      </c>
      <c r="B669" s="3" t="s">
        <v>2160</v>
      </c>
      <c r="C669" s="3" t="s">
        <v>16</v>
      </c>
      <c r="D669" s="6" t="s">
        <v>1698</v>
      </c>
      <c r="E669" s="6" t="s">
        <v>1782</v>
      </c>
      <c r="F669" s="3" t="str">
        <f>IFERROR( VLOOKUP(A669,#REF!,2,0),"")</f>
        <v/>
      </c>
      <c r="G669" s="3" t="str">
        <f t="array" ref="G669">_xlfn.XLOOKUP(I669,Base_Datos!D:D,Base_Datos!B:B,"")</f>
        <v>GAC</v>
      </c>
      <c r="H669" s="3" t="str">
        <f t="array" ref="H669">IF(I669="","",IFERROR(_xlfn.XLOOKUP(I669,Base_Datos!$D$2:$D3876,Base_Datos!$C$2:$C3876),""))</f>
        <v>Serie GS</v>
      </c>
      <c r="I669" s="3" t="s">
        <v>1487</v>
      </c>
      <c r="J669" s="3" t="str">
        <f>IF(I669="","",IFERROR(VLOOKUP(I669,Base_Datos!$D$2:$E$72,2,0),""))</f>
        <v>(2.0L)</v>
      </c>
      <c r="K669" s="3" t="s">
        <v>1782</v>
      </c>
      <c r="L669" s="3"/>
      <c r="M669" s="7">
        <v>10</v>
      </c>
      <c r="N669" s="7">
        <v>0</v>
      </c>
    </row>
    <row r="670" spans="1:14" ht="14.25" x14ac:dyDescent="0.2">
      <c r="A670" s="3">
        <v>67214</v>
      </c>
      <c r="B670" s="3" t="s">
        <v>2351</v>
      </c>
      <c r="C670" s="3" t="s">
        <v>16</v>
      </c>
      <c r="D670" s="6" t="s">
        <v>1699</v>
      </c>
      <c r="E670" s="6" t="s">
        <v>1782</v>
      </c>
      <c r="F670" s="3" t="str">
        <f>IFERROR( VLOOKUP(A670,#REF!,2,0),"")</f>
        <v/>
      </c>
      <c r="G670" s="3" t="str">
        <f t="array" ref="G670">_xlfn.XLOOKUP(I670,Base_Datos!D:D,Base_Datos!B:B,"")</f>
        <v>GAC</v>
      </c>
      <c r="H670" s="3" t="str">
        <f t="array" ref="H670">IF(I670="","",IFERROR(_xlfn.XLOOKUP(I670,Base_Datos!$D$2:$D3876,Base_Datos!$C$2:$C3876),""))</f>
        <v>Serie GS</v>
      </c>
      <c r="I670" s="3" t="s">
        <v>1487</v>
      </c>
      <c r="J670" s="3" t="str">
        <f>IF(I670="","",IFERROR(VLOOKUP(I670,Base_Datos!$D$2:$E$72,2,0),""))</f>
        <v>(2.0L)</v>
      </c>
      <c r="K670" s="3" t="s">
        <v>1782</v>
      </c>
      <c r="L670" s="3"/>
      <c r="M670" s="7">
        <v>2</v>
      </c>
      <c r="N670" s="7">
        <v>0</v>
      </c>
    </row>
    <row r="671" spans="1:14" ht="14.25" x14ac:dyDescent="0.2">
      <c r="A671" s="3">
        <v>67215</v>
      </c>
      <c r="B671" s="3" t="s">
        <v>2352</v>
      </c>
      <c r="C671" s="3" t="s">
        <v>16</v>
      </c>
      <c r="D671" s="6" t="s">
        <v>1700</v>
      </c>
      <c r="E671" s="6" t="s">
        <v>1700</v>
      </c>
      <c r="F671" s="3" t="str">
        <f>IFERROR( VLOOKUP(A671,#REF!,2,0),"")</f>
        <v/>
      </c>
      <c r="G671" s="3" t="str">
        <f t="array" ref="G671">_xlfn.XLOOKUP(I671,Base_Datos!D:D,Base_Datos!B:B,"")</f>
        <v>GAC</v>
      </c>
      <c r="H671" s="3" t="str">
        <f t="array" ref="H671">IF(I671="","",IFERROR(_xlfn.XLOOKUP(I671,Base_Datos!$D$2:$D3876,Base_Datos!$C$2:$C3876),""))</f>
        <v>Serie GS</v>
      </c>
      <c r="I671" s="3" t="s">
        <v>1487</v>
      </c>
      <c r="J671" s="3" t="str">
        <f>IF(I671="","",IFERROR(VLOOKUP(I671,Base_Datos!$D$2:$E$72,2,0),""))</f>
        <v>(2.0L)</v>
      </c>
      <c r="K671" s="3" t="s">
        <v>1782</v>
      </c>
      <c r="L671" s="3"/>
      <c r="M671" s="7">
        <v>2</v>
      </c>
      <c r="N671" s="7">
        <v>0</v>
      </c>
    </row>
    <row r="672" spans="1:14" ht="14.25" x14ac:dyDescent="0.2">
      <c r="A672" s="3">
        <v>67216</v>
      </c>
      <c r="B672" s="3" t="s">
        <v>2352</v>
      </c>
      <c r="C672" s="3" t="s">
        <v>16</v>
      </c>
      <c r="D672" s="6" t="s">
        <v>1701</v>
      </c>
      <c r="E672" s="6" t="s">
        <v>1701</v>
      </c>
      <c r="F672" s="3" t="str">
        <f>IFERROR( VLOOKUP(A672,#REF!,2,0),"")</f>
        <v/>
      </c>
      <c r="G672" s="3" t="str">
        <f t="array" ref="G672">_xlfn.XLOOKUP(I672,Base_Datos!D:D,Base_Datos!B:B,"")</f>
        <v>GAC</v>
      </c>
      <c r="H672" s="3" t="str">
        <f t="array" ref="H672">IF(I672="","",IFERROR(_xlfn.XLOOKUP(I672,Base_Datos!$D$2:$D3876,Base_Datos!$C$2:$C3876),""))</f>
        <v>Serie GS</v>
      </c>
      <c r="I672" s="3" t="s">
        <v>1487</v>
      </c>
      <c r="J672" s="3" t="str">
        <f>IF(I672="","",IFERROR(VLOOKUP(I672,Base_Datos!$D$2:$E$72,2,0),""))</f>
        <v>(2.0L)</v>
      </c>
      <c r="K672" s="3" t="s">
        <v>1782</v>
      </c>
      <c r="L672" s="3"/>
      <c r="M672" s="7">
        <v>1</v>
      </c>
      <c r="N672" s="7">
        <v>0</v>
      </c>
    </row>
    <row r="673" spans="1:14" ht="14.25" x14ac:dyDescent="0.2">
      <c r="A673" s="3">
        <v>67217</v>
      </c>
      <c r="B673" s="3" t="s">
        <v>2353</v>
      </c>
      <c r="C673" s="3" t="s">
        <v>16</v>
      </c>
      <c r="D673" s="6" t="s">
        <v>1702</v>
      </c>
      <c r="E673" s="6" t="s">
        <v>1702</v>
      </c>
      <c r="F673" s="3" t="str">
        <f>IFERROR( VLOOKUP(A673,#REF!,2,0),"")</f>
        <v/>
      </c>
      <c r="G673" s="3" t="str">
        <f t="array" ref="G673">_xlfn.XLOOKUP(I673,Base_Datos!D:D,Base_Datos!B:B,"")</f>
        <v>GAC</v>
      </c>
      <c r="H673" s="3" t="str">
        <f t="array" ref="H673">IF(I673="","",IFERROR(_xlfn.XLOOKUP(I673,Base_Datos!$D$2:$D3876,Base_Datos!$C$2:$C3876),""))</f>
        <v>Serie GS</v>
      </c>
      <c r="I673" s="3" t="s">
        <v>1487</v>
      </c>
      <c r="J673" s="3" t="str">
        <f>IF(I673="","",IFERROR(VLOOKUP(I673,Base_Datos!$D$2:$E$72,2,0),""))</f>
        <v>(2.0L)</v>
      </c>
      <c r="K673" s="3" t="s">
        <v>1782</v>
      </c>
      <c r="L673" s="3"/>
      <c r="M673" s="7">
        <v>2</v>
      </c>
      <c r="N673" s="7">
        <v>0</v>
      </c>
    </row>
    <row r="674" spans="1:14" ht="14.25" x14ac:dyDescent="0.2">
      <c r="A674" s="3">
        <v>67218</v>
      </c>
      <c r="B674" s="3" t="s">
        <v>2354</v>
      </c>
      <c r="C674" s="3" t="s">
        <v>16</v>
      </c>
      <c r="D674" s="6" t="s">
        <v>1703</v>
      </c>
      <c r="E674" s="6" t="s">
        <v>2355</v>
      </c>
      <c r="F674" s="3" t="str">
        <f>IFERROR( VLOOKUP(A674,#REF!,2,0),"")</f>
        <v/>
      </c>
      <c r="G674" s="3" t="str">
        <f t="array" ref="G674">_xlfn.XLOOKUP(I674,Base_Datos!D:D,Base_Datos!B:B,"")</f>
        <v>GAC</v>
      </c>
      <c r="H674" s="3" t="str">
        <f t="array" ref="H674">IF(I674="","",IFERROR(_xlfn.XLOOKUP(I674,Base_Datos!$D$2:$D3876,Base_Datos!$C$2:$C3876),""))</f>
        <v>Serie GS</v>
      </c>
      <c r="I674" s="3" t="s">
        <v>1487</v>
      </c>
      <c r="J674" s="3" t="str">
        <f>IF(I674="","",IFERROR(VLOOKUP(I674,Base_Datos!$D$2:$E$72,2,0),""))</f>
        <v>(2.0L)</v>
      </c>
      <c r="K674" s="3" t="s">
        <v>1782</v>
      </c>
      <c r="L674" s="3"/>
      <c r="M674" s="7">
        <v>1</v>
      </c>
      <c r="N674" s="7">
        <v>0</v>
      </c>
    </row>
    <row r="675" spans="1:14" ht="14.25" x14ac:dyDescent="0.2">
      <c r="A675" s="3">
        <v>67219</v>
      </c>
      <c r="B675" s="3" t="s">
        <v>2353</v>
      </c>
      <c r="C675" s="3" t="s">
        <v>16</v>
      </c>
      <c r="D675" s="6" t="s">
        <v>1704</v>
      </c>
      <c r="E675" s="6" t="s">
        <v>1704</v>
      </c>
      <c r="F675" s="3" t="str">
        <f>IFERROR( VLOOKUP(A675,#REF!,2,0),"")</f>
        <v/>
      </c>
      <c r="G675" s="3" t="str">
        <f t="array" ref="G675">_xlfn.XLOOKUP(I675,Base_Datos!D:D,Base_Datos!B:B,"")</f>
        <v>GAC</v>
      </c>
      <c r="H675" s="3" t="str">
        <f t="array" ref="H675">IF(I675="","",IFERROR(_xlfn.XLOOKUP(I675,Base_Datos!$D$2:$D3876,Base_Datos!$C$2:$C3876),""))</f>
        <v>Serie GS</v>
      </c>
      <c r="I675" s="3" t="s">
        <v>1487</v>
      </c>
      <c r="J675" s="3" t="str">
        <f>IF(I675="","",IFERROR(VLOOKUP(I675,Base_Datos!$D$2:$E$72,2,0),""))</f>
        <v>(2.0L)</v>
      </c>
      <c r="K675" s="3" t="s">
        <v>1782</v>
      </c>
      <c r="L675" s="3"/>
      <c r="M675" s="7">
        <v>2</v>
      </c>
      <c r="N675" s="7">
        <v>0</v>
      </c>
    </row>
    <row r="676" spans="1:14" ht="14.25" x14ac:dyDescent="0.2">
      <c r="A676" s="3">
        <v>67220</v>
      </c>
      <c r="B676" s="3" t="s">
        <v>2163</v>
      </c>
      <c r="C676" s="3" t="s">
        <v>16</v>
      </c>
      <c r="D676" s="6" t="s">
        <v>1705</v>
      </c>
      <c r="E676" s="6" t="s">
        <v>1782</v>
      </c>
      <c r="F676" s="3" t="str">
        <f>IFERROR( VLOOKUP(A676,#REF!,2,0),"")</f>
        <v/>
      </c>
      <c r="G676" s="3" t="str">
        <f t="array" ref="G676">_xlfn.XLOOKUP(I676,Base_Datos!D:D,Base_Datos!B:B,"")</f>
        <v>GAC</v>
      </c>
      <c r="H676" s="3" t="str">
        <f t="array" ref="H676">IF(I676="","",IFERROR(_xlfn.XLOOKUP(I676,Base_Datos!$D$2:$D3876,Base_Datos!$C$2:$C3876),""))</f>
        <v>Serie GS</v>
      </c>
      <c r="I676" s="3" t="s">
        <v>1487</v>
      </c>
      <c r="J676" s="3" t="str">
        <f>IF(I676="","",IFERROR(VLOOKUP(I676,Base_Datos!$D$2:$E$72,2,0),""))</f>
        <v>(2.0L)</v>
      </c>
      <c r="K676" s="3" t="s">
        <v>1782</v>
      </c>
      <c r="L676" s="3"/>
      <c r="M676" s="7">
        <v>2</v>
      </c>
      <c r="N676" s="7">
        <v>0</v>
      </c>
    </row>
    <row r="677" spans="1:14" ht="14.25" x14ac:dyDescent="0.2">
      <c r="A677" s="3">
        <v>67221</v>
      </c>
      <c r="B677" s="3" t="s">
        <v>2163</v>
      </c>
      <c r="C677" s="3" t="s">
        <v>16</v>
      </c>
      <c r="D677" s="6" t="s">
        <v>1706</v>
      </c>
      <c r="E677" s="6" t="s">
        <v>1782</v>
      </c>
      <c r="F677" s="3" t="str">
        <f>IFERROR( VLOOKUP(A677,#REF!,2,0),"")</f>
        <v/>
      </c>
      <c r="G677" s="3" t="str">
        <f t="array" ref="G677">_xlfn.XLOOKUP(I677,Base_Datos!D:D,Base_Datos!B:B,"")</f>
        <v>GAC</v>
      </c>
      <c r="H677" s="3" t="str">
        <f t="array" ref="H677">IF(I677="","",IFERROR(_xlfn.XLOOKUP(I677,Base_Datos!$D$2:$D3876,Base_Datos!$C$2:$C3876),""))</f>
        <v>Serie GS</v>
      </c>
      <c r="I677" s="3" t="s">
        <v>1487</v>
      </c>
      <c r="J677" s="3" t="str">
        <f>IF(I677="","",IFERROR(VLOOKUP(I677,Base_Datos!$D$2:$E$72,2,0),""))</f>
        <v>(2.0L)</v>
      </c>
      <c r="K677" s="3" t="s">
        <v>1782</v>
      </c>
      <c r="L677" s="3"/>
      <c r="M677" s="7">
        <v>2</v>
      </c>
      <c r="N677" s="7">
        <v>0</v>
      </c>
    </row>
    <row r="678" spans="1:14" ht="14.25" x14ac:dyDescent="0.2">
      <c r="A678" s="3">
        <v>67222</v>
      </c>
      <c r="B678" s="3" t="s">
        <v>2164</v>
      </c>
      <c r="C678" s="3" t="s">
        <v>16</v>
      </c>
      <c r="D678" s="6" t="s">
        <v>1707</v>
      </c>
      <c r="E678" s="6" t="s">
        <v>1707</v>
      </c>
      <c r="F678" s="3" t="str">
        <f>IFERROR( VLOOKUP(A678,#REF!,2,0),"")</f>
        <v/>
      </c>
      <c r="G678" s="3" t="str">
        <f t="array" ref="G678">_xlfn.XLOOKUP(I678,Base_Datos!D:D,Base_Datos!B:B,"")</f>
        <v>GAC</v>
      </c>
      <c r="H678" s="3" t="str">
        <f t="array" ref="H678">IF(I678="","",IFERROR(_xlfn.XLOOKUP(I678,Base_Datos!$D$2:$D3876,Base_Datos!$C$2:$C3876),""))</f>
        <v>Serie GS</v>
      </c>
      <c r="I678" s="3" t="s">
        <v>1487</v>
      </c>
      <c r="J678" s="3" t="str">
        <f>IF(I678="","",IFERROR(VLOOKUP(I678,Base_Datos!$D$2:$E$72,2,0),""))</f>
        <v>(2.0L)</v>
      </c>
      <c r="K678" s="3" t="s">
        <v>1782</v>
      </c>
      <c r="L678" s="3"/>
      <c r="M678" s="7">
        <v>2</v>
      </c>
      <c r="N678" s="7">
        <v>0</v>
      </c>
    </row>
    <row r="679" spans="1:14" ht="14.25" x14ac:dyDescent="0.2">
      <c r="A679" s="3">
        <v>67223</v>
      </c>
      <c r="B679" s="3" t="s">
        <v>2164</v>
      </c>
      <c r="C679" s="3" t="s">
        <v>16</v>
      </c>
      <c r="D679" s="6" t="s">
        <v>1708</v>
      </c>
      <c r="E679" s="6" t="s">
        <v>1782</v>
      </c>
      <c r="F679" s="3" t="str">
        <f>IFERROR( VLOOKUP(A679,#REF!,2,0),"")</f>
        <v/>
      </c>
      <c r="G679" s="3" t="str">
        <f t="array" ref="G679">_xlfn.XLOOKUP(I679,Base_Datos!D:D,Base_Datos!B:B,"")</f>
        <v>GAC</v>
      </c>
      <c r="H679" s="3" t="str">
        <f t="array" ref="H679">IF(I679="","",IFERROR(_xlfn.XLOOKUP(I679,Base_Datos!$D$2:$D3876,Base_Datos!$C$2:$C3876),""))</f>
        <v>Serie GS</v>
      </c>
      <c r="I679" s="3" t="s">
        <v>1487</v>
      </c>
      <c r="J679" s="3" t="str">
        <f>IF(I679="","",IFERROR(VLOOKUP(I679,Base_Datos!$D$2:$E$72,2,0),""))</f>
        <v>(2.0L)</v>
      </c>
      <c r="K679" s="3" t="s">
        <v>1782</v>
      </c>
      <c r="L679" s="3"/>
      <c r="M679" s="7">
        <v>2</v>
      </c>
      <c r="N679" s="7">
        <v>0</v>
      </c>
    </row>
    <row r="680" spans="1:14" ht="14.25" x14ac:dyDescent="0.2">
      <c r="A680" s="3">
        <v>67224</v>
      </c>
      <c r="B680" s="3" t="s">
        <v>2165</v>
      </c>
      <c r="C680" s="3" t="s">
        <v>16</v>
      </c>
      <c r="D680" s="6" t="s">
        <v>1709</v>
      </c>
      <c r="E680" s="6" t="s">
        <v>1782</v>
      </c>
      <c r="F680" s="3" t="str">
        <f>IFERROR( VLOOKUP(A680,#REF!,2,0),"")</f>
        <v/>
      </c>
      <c r="G680" s="3" t="str">
        <f t="array" ref="G680">_xlfn.XLOOKUP(I680,Base_Datos!D:D,Base_Datos!B:B,"")</f>
        <v>GAC</v>
      </c>
      <c r="H680" s="3" t="str">
        <f t="array" ref="H680">IF(I680="","",IFERROR(_xlfn.XLOOKUP(I680,Base_Datos!$D$2:$D3876,Base_Datos!$C$2:$C3876),""))</f>
        <v>Serie GS</v>
      </c>
      <c r="I680" s="3" t="s">
        <v>1487</v>
      </c>
      <c r="J680" s="3" t="str">
        <f>IF(I680="","",IFERROR(VLOOKUP(I680,Base_Datos!$D$2:$E$72,2,0),""))</f>
        <v>(2.0L)</v>
      </c>
      <c r="K680" s="3" t="s">
        <v>1782</v>
      </c>
      <c r="L680" s="3"/>
      <c r="M680" s="7">
        <v>2</v>
      </c>
      <c r="N680" s="7">
        <v>0</v>
      </c>
    </row>
    <row r="681" spans="1:14" ht="14.25" x14ac:dyDescent="0.2">
      <c r="A681" s="3">
        <v>67225</v>
      </c>
      <c r="B681" s="3" t="s">
        <v>2356</v>
      </c>
      <c r="C681" s="3" t="s">
        <v>16</v>
      </c>
      <c r="D681" s="6" t="s">
        <v>1710</v>
      </c>
      <c r="E681" s="6" t="s">
        <v>1782</v>
      </c>
      <c r="F681" s="3" t="str">
        <f>IFERROR( VLOOKUP(A681,#REF!,2,0),"")</f>
        <v/>
      </c>
      <c r="G681" s="3" t="str">
        <f t="array" ref="G681">_xlfn.XLOOKUP(I681,Base_Datos!D:D,Base_Datos!B:B,"")</f>
        <v>GAC</v>
      </c>
      <c r="H681" s="3" t="str">
        <f t="array" ref="H681">IF(I681="","",IFERROR(_xlfn.XLOOKUP(I681,Base_Datos!$D$2:$D3876,Base_Datos!$C$2:$C3876),""))</f>
        <v>Serie GS</v>
      </c>
      <c r="I681" s="3" t="s">
        <v>1487</v>
      </c>
      <c r="J681" s="3" t="str">
        <f>IF(I681="","",IFERROR(VLOOKUP(I681,Base_Datos!$D$2:$E$72,2,0),""))</f>
        <v>(2.0L)</v>
      </c>
      <c r="K681" s="3" t="s">
        <v>1782</v>
      </c>
      <c r="L681" s="3"/>
      <c r="M681" s="7">
        <v>2</v>
      </c>
      <c r="N681" s="7">
        <v>0</v>
      </c>
    </row>
    <row r="682" spans="1:14" ht="14.25" x14ac:dyDescent="0.2">
      <c r="A682" s="3">
        <v>67226</v>
      </c>
      <c r="B682" s="3" t="s">
        <v>2166</v>
      </c>
      <c r="C682" s="3" t="s">
        <v>16</v>
      </c>
      <c r="D682" s="6" t="s">
        <v>1711</v>
      </c>
      <c r="E682" s="6" t="s">
        <v>1782</v>
      </c>
      <c r="F682" s="3" t="str">
        <f>IFERROR( VLOOKUP(A682,#REF!,2,0),"")</f>
        <v/>
      </c>
      <c r="G682" s="3" t="str">
        <f t="array" ref="G682">_xlfn.XLOOKUP(I682,Base_Datos!D:D,Base_Datos!B:B,"")</f>
        <v>GAC</v>
      </c>
      <c r="H682" s="3" t="str">
        <f t="array" ref="H682">IF(I682="","",IFERROR(_xlfn.XLOOKUP(I682,Base_Datos!$D$2:$D3876,Base_Datos!$C$2:$C3876),""))</f>
        <v>Serie GS</v>
      </c>
      <c r="I682" s="3" t="s">
        <v>1487</v>
      </c>
      <c r="J682" s="3" t="str">
        <f>IF(I682="","",IFERROR(VLOOKUP(I682,Base_Datos!$D$2:$E$72,2,0),""))</f>
        <v>(2.0L)</v>
      </c>
      <c r="K682" s="3" t="s">
        <v>1782</v>
      </c>
      <c r="L682" s="3"/>
      <c r="M682" s="7">
        <v>1</v>
      </c>
      <c r="N682" s="7">
        <v>0</v>
      </c>
    </row>
    <row r="683" spans="1:14" ht="14.25" x14ac:dyDescent="0.2">
      <c r="A683" s="3">
        <v>67227</v>
      </c>
      <c r="B683" s="3" t="s">
        <v>2357</v>
      </c>
      <c r="C683" s="3" t="s">
        <v>16</v>
      </c>
      <c r="D683" s="6" t="s">
        <v>1712</v>
      </c>
      <c r="E683" s="6" t="s">
        <v>1782</v>
      </c>
      <c r="F683" s="3" t="str">
        <f>IFERROR( VLOOKUP(A683,#REF!,2,0),"")</f>
        <v/>
      </c>
      <c r="G683" s="3" t="str">
        <f t="array" ref="G683">_xlfn.XLOOKUP(I683,Base_Datos!D:D,Base_Datos!B:B,"")</f>
        <v>GAC</v>
      </c>
      <c r="H683" s="3" t="str">
        <f t="array" ref="H683">IF(I683="","",IFERROR(_xlfn.XLOOKUP(I683,Base_Datos!$D$2:$D3876,Base_Datos!$C$2:$C3876),""))</f>
        <v>Serie GS</v>
      </c>
      <c r="I683" s="3" t="s">
        <v>1487</v>
      </c>
      <c r="J683" s="3" t="str">
        <f>IF(I683="","",IFERROR(VLOOKUP(I683,Base_Datos!$D$2:$E$72,2,0),""))</f>
        <v>(2.0L)</v>
      </c>
      <c r="K683" s="3" t="s">
        <v>1782</v>
      </c>
      <c r="L683" s="3"/>
      <c r="M683" s="7">
        <v>2</v>
      </c>
      <c r="N683" s="7">
        <v>0</v>
      </c>
    </row>
    <row r="684" spans="1:14" ht="14.25" x14ac:dyDescent="0.2">
      <c r="A684" s="3">
        <v>67228</v>
      </c>
      <c r="B684" s="3" t="s">
        <v>2358</v>
      </c>
      <c r="C684" s="3" t="s">
        <v>16</v>
      </c>
      <c r="D684" s="6" t="s">
        <v>1713</v>
      </c>
      <c r="E684" s="6" t="s">
        <v>1782</v>
      </c>
      <c r="F684" s="3" t="str">
        <f>IFERROR( VLOOKUP(A684,#REF!,2,0),"")</f>
        <v/>
      </c>
      <c r="G684" s="3" t="str">
        <f t="array" ref="G684">_xlfn.XLOOKUP(I684,Base_Datos!D:D,Base_Datos!B:B,"")</f>
        <v>GAC</v>
      </c>
      <c r="H684" s="3" t="str">
        <f t="array" ref="H684">IF(I684="","",IFERROR(_xlfn.XLOOKUP(I684,Base_Datos!$D$2:$D3876,Base_Datos!$C$2:$C3876),""))</f>
        <v>Serie GS</v>
      </c>
      <c r="I684" s="3" t="s">
        <v>1487</v>
      </c>
      <c r="J684" s="3" t="str">
        <f>IF(I684="","",IFERROR(VLOOKUP(I684,Base_Datos!$D$2:$E$72,2,0),""))</f>
        <v>(2.0L)</v>
      </c>
      <c r="K684" s="3" t="s">
        <v>1782</v>
      </c>
      <c r="L684" s="3"/>
      <c r="M684" s="7">
        <v>2</v>
      </c>
      <c r="N684" s="7">
        <v>0</v>
      </c>
    </row>
    <row r="685" spans="1:14" ht="14.25" x14ac:dyDescent="0.2">
      <c r="A685" s="3">
        <v>67229</v>
      </c>
      <c r="B685" s="3" t="s">
        <v>2359</v>
      </c>
      <c r="C685" s="3" t="s">
        <v>16</v>
      </c>
      <c r="D685" s="6" t="s">
        <v>1714</v>
      </c>
      <c r="E685" s="6" t="s">
        <v>1782</v>
      </c>
      <c r="F685" s="3" t="str">
        <f>IFERROR( VLOOKUP(A685,#REF!,2,0),"")</f>
        <v/>
      </c>
      <c r="G685" s="3" t="str">
        <f t="array" ref="G685">_xlfn.XLOOKUP(I685,Base_Datos!D:D,Base_Datos!B:B,"")</f>
        <v>GAC</v>
      </c>
      <c r="H685" s="3" t="str">
        <f t="array" ref="H685">IF(I685="","",IFERROR(_xlfn.XLOOKUP(I685,Base_Datos!$D$2:$D3876,Base_Datos!$C$2:$C3876),""))</f>
        <v>Serie GS</v>
      </c>
      <c r="I685" s="3" t="s">
        <v>1487</v>
      </c>
      <c r="J685" s="3" t="str">
        <f>IF(I685="","",IFERROR(VLOOKUP(I685,Base_Datos!$D$2:$E$72,2,0),""))</f>
        <v>(2.0L)</v>
      </c>
      <c r="K685" s="3" t="s">
        <v>1782</v>
      </c>
      <c r="L685" s="3"/>
      <c r="M685" s="7">
        <v>2</v>
      </c>
      <c r="N685" s="7">
        <v>0</v>
      </c>
    </row>
    <row r="686" spans="1:14" ht="14.25" x14ac:dyDescent="0.2">
      <c r="A686" s="3">
        <v>67230</v>
      </c>
      <c r="B686" s="3" t="s">
        <v>2170</v>
      </c>
      <c r="C686" s="3" t="s">
        <v>16</v>
      </c>
      <c r="D686" s="6" t="s">
        <v>1715</v>
      </c>
      <c r="E686" s="6" t="s">
        <v>1782</v>
      </c>
      <c r="F686" s="3" t="str">
        <f>IFERROR( VLOOKUP(A686,#REF!,2,0),"")</f>
        <v/>
      </c>
      <c r="G686" s="3" t="str">
        <f t="array" ref="G686">_xlfn.XLOOKUP(I686,Base_Datos!D:D,Base_Datos!B:B,"")</f>
        <v>GAC</v>
      </c>
      <c r="H686" s="3" t="str">
        <f t="array" ref="H686">IF(I686="","",IFERROR(_xlfn.XLOOKUP(I686,Base_Datos!$D$2:$D3876,Base_Datos!$C$2:$C3876),""))</f>
        <v>Serie GS</v>
      </c>
      <c r="I686" s="3" t="s">
        <v>1487</v>
      </c>
      <c r="J686" s="3" t="str">
        <f>IF(I686="","",IFERROR(VLOOKUP(I686,Base_Datos!$D$2:$E$72,2,0),""))</f>
        <v>(2.0L)</v>
      </c>
      <c r="K686" s="3" t="s">
        <v>1782</v>
      </c>
      <c r="L686" s="3"/>
      <c r="M686" s="7">
        <v>2</v>
      </c>
      <c r="N686" s="7">
        <v>0</v>
      </c>
    </row>
    <row r="687" spans="1:14" ht="14.25" x14ac:dyDescent="0.2">
      <c r="A687" s="3">
        <v>67231</v>
      </c>
      <c r="B687" s="3" t="s">
        <v>2360</v>
      </c>
      <c r="C687" s="3" t="s">
        <v>16</v>
      </c>
      <c r="D687" s="6" t="s">
        <v>1716</v>
      </c>
      <c r="E687" s="6" t="s">
        <v>1782</v>
      </c>
      <c r="F687" s="3" t="str">
        <f>IFERROR( VLOOKUP(A687,#REF!,2,0),"")</f>
        <v/>
      </c>
      <c r="G687" s="3" t="str">
        <f t="array" ref="G687">_xlfn.XLOOKUP(I687,Base_Datos!D:D,Base_Datos!B:B,"")</f>
        <v>GAC</v>
      </c>
      <c r="H687" s="3" t="str">
        <f t="array" ref="H687">IF(I687="","",IFERROR(_xlfn.XLOOKUP(I687,Base_Datos!$D$2:$D3876,Base_Datos!$C$2:$C3876),""))</f>
        <v>Serie GS</v>
      </c>
      <c r="I687" s="3" t="s">
        <v>1487</v>
      </c>
      <c r="J687" s="3" t="str">
        <f>IF(I687="","",IFERROR(VLOOKUP(I687,Base_Datos!$D$2:$E$72,2,0),""))</f>
        <v>(2.0L)</v>
      </c>
      <c r="K687" s="3" t="s">
        <v>1782</v>
      </c>
      <c r="L687" s="3"/>
      <c r="M687" s="7">
        <v>2</v>
      </c>
      <c r="N687" s="7">
        <v>0</v>
      </c>
    </row>
    <row r="688" spans="1:14" ht="14.25" x14ac:dyDescent="0.2">
      <c r="A688" s="3">
        <v>67232</v>
      </c>
      <c r="B688" s="3" t="s">
        <v>2361</v>
      </c>
      <c r="C688" s="3" t="s">
        <v>16</v>
      </c>
      <c r="D688" s="6" t="s">
        <v>1717</v>
      </c>
      <c r="E688" s="6" t="s">
        <v>1782</v>
      </c>
      <c r="F688" s="3" t="str">
        <f>IFERROR( VLOOKUP(A688,#REF!,2,0),"")</f>
        <v/>
      </c>
      <c r="G688" s="3" t="str">
        <f t="array" ref="G688">_xlfn.XLOOKUP(I688,Base_Datos!D:D,Base_Datos!B:B,"")</f>
        <v>GAC</v>
      </c>
      <c r="H688" s="3" t="str">
        <f t="array" ref="H688">IF(I688="","",IFERROR(_xlfn.XLOOKUP(I688,Base_Datos!$D$2:$D3876,Base_Datos!$C$2:$C3876),""))</f>
        <v>Serie GS</v>
      </c>
      <c r="I688" s="3" t="s">
        <v>1487</v>
      </c>
      <c r="J688" s="3" t="str">
        <f>IF(I688="","",IFERROR(VLOOKUP(I688,Base_Datos!$D$2:$E$72,2,0),""))</f>
        <v>(2.0L)</v>
      </c>
      <c r="K688" s="3" t="s">
        <v>1782</v>
      </c>
      <c r="L688" s="3"/>
      <c r="M688" s="7">
        <v>2</v>
      </c>
      <c r="N688" s="7">
        <v>0</v>
      </c>
    </row>
    <row r="689" spans="1:14" ht="14.25" x14ac:dyDescent="0.2">
      <c r="A689" s="3">
        <v>67233</v>
      </c>
      <c r="B689" s="3" t="s">
        <v>2362</v>
      </c>
      <c r="C689" s="3" t="s">
        <v>16</v>
      </c>
      <c r="D689" s="6" t="s">
        <v>1718</v>
      </c>
      <c r="E689" s="6" t="s">
        <v>1782</v>
      </c>
      <c r="F689" s="3" t="str">
        <f>IFERROR( VLOOKUP(A689,#REF!,2,0),"")</f>
        <v/>
      </c>
      <c r="G689" s="3" t="str">
        <f t="array" ref="G689">_xlfn.XLOOKUP(I689,Base_Datos!D:D,Base_Datos!B:B,"")</f>
        <v>GAC</v>
      </c>
      <c r="H689" s="3" t="str">
        <f t="array" ref="H689">IF(I689="","",IFERROR(_xlfn.XLOOKUP(I689,Base_Datos!$D$2:$D3876,Base_Datos!$C$2:$C3876),""))</f>
        <v>Serie GS</v>
      </c>
      <c r="I689" s="3" t="s">
        <v>1487</v>
      </c>
      <c r="J689" s="3" t="str">
        <f>IF(I689="","",IFERROR(VLOOKUP(I689,Base_Datos!$D$2:$E$72,2,0),""))</f>
        <v>(2.0L)</v>
      </c>
      <c r="K689" s="3" t="s">
        <v>1782</v>
      </c>
      <c r="L689" s="3"/>
      <c r="M689" s="7">
        <v>2</v>
      </c>
      <c r="N689" s="7">
        <v>0</v>
      </c>
    </row>
    <row r="690" spans="1:14" ht="14.25" x14ac:dyDescent="0.2">
      <c r="A690" s="3">
        <v>67234</v>
      </c>
      <c r="B690" s="3" t="s">
        <v>2363</v>
      </c>
      <c r="C690" s="3" t="s">
        <v>16</v>
      </c>
      <c r="D690" s="6" t="s">
        <v>1719</v>
      </c>
      <c r="E690" s="6" t="s">
        <v>1782</v>
      </c>
      <c r="F690" s="3" t="str">
        <f>IFERROR( VLOOKUP(A690,#REF!,2,0),"")</f>
        <v/>
      </c>
      <c r="G690" s="3" t="str">
        <f t="array" ref="G690">_xlfn.XLOOKUP(I690,Base_Datos!D:D,Base_Datos!B:B,"")</f>
        <v>GAC</v>
      </c>
      <c r="H690" s="3" t="str">
        <f t="array" ref="H690">IF(I690="","",IFERROR(_xlfn.XLOOKUP(I690,Base_Datos!$D$2:$D3876,Base_Datos!$C$2:$C3876),""))</f>
        <v>Serie GS</v>
      </c>
      <c r="I690" s="3" t="s">
        <v>1487</v>
      </c>
      <c r="J690" s="3" t="str">
        <f>IF(I690="","",IFERROR(VLOOKUP(I690,Base_Datos!$D$2:$E$72,2,0),""))</f>
        <v>(2.0L)</v>
      </c>
      <c r="K690" s="3" t="s">
        <v>1782</v>
      </c>
      <c r="L690" s="3"/>
      <c r="M690" s="7">
        <v>2</v>
      </c>
      <c r="N690" s="7">
        <v>0</v>
      </c>
    </row>
    <row r="691" spans="1:14" ht="14.25" x14ac:dyDescent="0.2">
      <c r="A691" s="3">
        <v>67235</v>
      </c>
      <c r="B691" s="3" t="s">
        <v>2364</v>
      </c>
      <c r="C691" s="3" t="s">
        <v>16</v>
      </c>
      <c r="D691" s="6" t="s">
        <v>1720</v>
      </c>
      <c r="E691" s="6" t="s">
        <v>1782</v>
      </c>
      <c r="F691" s="3" t="str">
        <f>IFERROR( VLOOKUP(A691,#REF!,2,0),"")</f>
        <v/>
      </c>
      <c r="G691" s="3" t="str">
        <f t="array" ref="G691">_xlfn.XLOOKUP(I691,Base_Datos!D:D,Base_Datos!B:B,"")</f>
        <v>GAC</v>
      </c>
      <c r="H691" s="3" t="str">
        <f t="array" ref="H691">IF(I691="","",IFERROR(_xlfn.XLOOKUP(I691,Base_Datos!$D$2:$D3876,Base_Datos!$C$2:$C3876),""))</f>
        <v>Serie GS</v>
      </c>
      <c r="I691" s="3" t="s">
        <v>1487</v>
      </c>
      <c r="J691" s="3" t="str">
        <f>IF(I691="","",IFERROR(VLOOKUP(I691,Base_Datos!$D$2:$E$72,2,0),""))</f>
        <v>(2.0L)</v>
      </c>
      <c r="K691" s="3" t="s">
        <v>1782</v>
      </c>
      <c r="L691" s="3"/>
      <c r="M691" s="7">
        <v>2</v>
      </c>
      <c r="N691" s="7">
        <v>0</v>
      </c>
    </row>
    <row r="692" spans="1:14" ht="14.25" x14ac:dyDescent="0.2">
      <c r="A692" s="3">
        <v>67236</v>
      </c>
      <c r="B692" s="3" t="s">
        <v>2365</v>
      </c>
      <c r="C692" s="3" t="s">
        <v>16</v>
      </c>
      <c r="D692" s="6" t="s">
        <v>1721</v>
      </c>
      <c r="E692" s="6" t="s">
        <v>1782</v>
      </c>
      <c r="F692" s="3" t="str">
        <f>IFERROR( VLOOKUP(A692,#REF!,2,0),"")</f>
        <v/>
      </c>
      <c r="G692" s="3" t="str">
        <f t="array" ref="G692">_xlfn.XLOOKUP(I692,Base_Datos!D:D,Base_Datos!B:B,"")</f>
        <v>GAC</v>
      </c>
      <c r="H692" s="3" t="str">
        <f t="array" ref="H692">IF(I692="","",IFERROR(_xlfn.XLOOKUP(I692,Base_Datos!$D$2:$D3876,Base_Datos!$C$2:$C3876),""))</f>
        <v>Serie GS</v>
      </c>
      <c r="I692" s="3" t="s">
        <v>1487</v>
      </c>
      <c r="J692" s="3" t="str">
        <f>IF(I692="","",IFERROR(VLOOKUP(I692,Base_Datos!$D$2:$E$72,2,0),""))</f>
        <v>(2.0L)</v>
      </c>
      <c r="K692" s="3" t="s">
        <v>1782</v>
      </c>
      <c r="L692" s="3"/>
      <c r="M692" s="7">
        <v>2</v>
      </c>
      <c r="N692" s="7">
        <v>0</v>
      </c>
    </row>
    <row r="693" spans="1:14" ht="14.25" x14ac:dyDescent="0.2">
      <c r="A693" s="3">
        <v>67237</v>
      </c>
      <c r="B693" s="3" t="s">
        <v>2366</v>
      </c>
      <c r="C693" s="3" t="s">
        <v>16</v>
      </c>
      <c r="D693" s="6" t="s">
        <v>1722</v>
      </c>
      <c r="E693" s="6" t="s">
        <v>1782</v>
      </c>
      <c r="F693" s="3" t="str">
        <f>IFERROR( VLOOKUP(A693,#REF!,2,0),"")</f>
        <v/>
      </c>
      <c r="G693" s="3" t="str">
        <f t="array" ref="G693">_xlfn.XLOOKUP(I693,Base_Datos!D:D,Base_Datos!B:B,"")</f>
        <v>GAC</v>
      </c>
      <c r="H693" s="3" t="str">
        <f t="array" ref="H693">IF(I693="","",IFERROR(_xlfn.XLOOKUP(I693,Base_Datos!$D$2:$D3876,Base_Datos!$C$2:$C3876),""))</f>
        <v>Serie GS</v>
      </c>
      <c r="I693" s="3" t="s">
        <v>1487</v>
      </c>
      <c r="J693" s="3" t="str">
        <f>IF(I693="","",IFERROR(VLOOKUP(I693,Base_Datos!$D$2:$E$72,2,0),""))</f>
        <v>(2.0L)</v>
      </c>
      <c r="K693" s="3" t="s">
        <v>1782</v>
      </c>
      <c r="L693" s="3"/>
      <c r="M693" s="7">
        <v>2</v>
      </c>
      <c r="N693" s="7">
        <v>0</v>
      </c>
    </row>
    <row r="694" spans="1:14" ht="14.25" x14ac:dyDescent="0.2">
      <c r="A694" s="3">
        <v>67238</v>
      </c>
      <c r="B694" s="3" t="s">
        <v>2367</v>
      </c>
      <c r="C694" s="3" t="s">
        <v>16</v>
      </c>
      <c r="D694" s="6" t="s">
        <v>1723</v>
      </c>
      <c r="E694" s="6" t="s">
        <v>1782</v>
      </c>
      <c r="F694" s="3" t="str">
        <f>IFERROR( VLOOKUP(A694,#REF!,2,0),"")</f>
        <v/>
      </c>
      <c r="G694" s="3" t="str">
        <f t="array" ref="G694">_xlfn.XLOOKUP(I694,Base_Datos!D:D,Base_Datos!B:B,"")</f>
        <v>GAC</v>
      </c>
      <c r="H694" s="3" t="str">
        <f t="array" ref="H694">IF(I694="","",IFERROR(_xlfn.XLOOKUP(I694,Base_Datos!$D$2:$D3876,Base_Datos!$C$2:$C3876),""))</f>
        <v>Serie GS</v>
      </c>
      <c r="I694" s="3" t="s">
        <v>1487</v>
      </c>
      <c r="J694" s="3" t="str">
        <f>IF(I694="","",IFERROR(VLOOKUP(I694,Base_Datos!$D$2:$E$72,2,0),""))</f>
        <v>(2.0L)</v>
      </c>
      <c r="K694" s="3" t="s">
        <v>1782</v>
      </c>
      <c r="L694" s="3"/>
      <c r="M694" s="7">
        <v>2</v>
      </c>
      <c r="N694" s="7">
        <v>0</v>
      </c>
    </row>
    <row r="695" spans="1:14" ht="14.25" x14ac:dyDescent="0.2">
      <c r="A695" s="3">
        <v>67239</v>
      </c>
      <c r="B695" s="3" t="s">
        <v>1787</v>
      </c>
      <c r="C695" s="3" t="s">
        <v>16</v>
      </c>
      <c r="D695" s="6" t="s">
        <v>1724</v>
      </c>
      <c r="E695" s="6" t="s">
        <v>1782</v>
      </c>
      <c r="F695" s="3" t="str">
        <f>IFERROR( VLOOKUP(A695,#REF!,2,0),"")</f>
        <v/>
      </c>
      <c r="G695" s="3" t="str">
        <f t="array" ref="G695">_xlfn.XLOOKUP(I695,Base_Datos!D:D,Base_Datos!B:B,"")</f>
        <v>GAC</v>
      </c>
      <c r="H695" s="3" t="str">
        <f t="array" ref="H695">IF(I695="","",IFERROR(_xlfn.XLOOKUP(I695,Base_Datos!$D$2:$D3876,Base_Datos!$C$2:$C3876),""))</f>
        <v>Serie GS</v>
      </c>
      <c r="I695" s="3" t="s">
        <v>1487</v>
      </c>
      <c r="J695" s="3" t="str">
        <f>IF(I695="","",IFERROR(VLOOKUP(I695,Base_Datos!$D$2:$E$72,2,0),""))</f>
        <v>(2.0L)</v>
      </c>
      <c r="K695" s="3" t="s">
        <v>1782</v>
      </c>
      <c r="L695" s="3"/>
      <c r="M695" s="7">
        <v>1</v>
      </c>
      <c r="N695" s="7">
        <v>0</v>
      </c>
    </row>
    <row r="696" spans="1:14" ht="14.25" x14ac:dyDescent="0.2">
      <c r="A696" s="3">
        <v>67240</v>
      </c>
      <c r="B696" s="3" t="s">
        <v>2181</v>
      </c>
      <c r="C696" s="3" t="s">
        <v>16</v>
      </c>
      <c r="D696" s="6" t="s">
        <v>1725</v>
      </c>
      <c r="E696" s="6" t="s">
        <v>1782</v>
      </c>
      <c r="F696" s="3" t="str">
        <f>IFERROR( VLOOKUP(A696,#REF!,2,0),"")</f>
        <v/>
      </c>
      <c r="G696" s="3" t="str">
        <f t="array" ref="G696">_xlfn.XLOOKUP(I696,Base_Datos!D:D,Base_Datos!B:B,"")</f>
        <v>GAC</v>
      </c>
      <c r="H696" s="3" t="str">
        <f t="array" ref="H696">IF(I696="","",IFERROR(_xlfn.XLOOKUP(I696,Base_Datos!$D$2:$D3876,Base_Datos!$C$2:$C3876),""))</f>
        <v>Serie GS</v>
      </c>
      <c r="I696" s="3" t="s">
        <v>1487</v>
      </c>
      <c r="J696" s="3" t="str">
        <f>IF(I696="","",IFERROR(VLOOKUP(I696,Base_Datos!$D$2:$E$72,2,0),""))</f>
        <v>(2.0L)</v>
      </c>
      <c r="K696" s="3" t="s">
        <v>1782</v>
      </c>
      <c r="L696" s="3"/>
      <c r="M696" s="7">
        <v>2</v>
      </c>
      <c r="N696" s="7">
        <v>0</v>
      </c>
    </row>
    <row r="697" spans="1:14" ht="14.25" x14ac:dyDescent="0.2">
      <c r="A697" s="3">
        <v>67241</v>
      </c>
      <c r="B697" s="3" t="s">
        <v>2182</v>
      </c>
      <c r="C697" s="3" t="s">
        <v>16</v>
      </c>
      <c r="D697" s="6" t="s">
        <v>1726</v>
      </c>
      <c r="E697" s="6" t="s">
        <v>1782</v>
      </c>
      <c r="F697" s="3" t="str">
        <f>IFERROR( VLOOKUP(A697,#REF!,2,0),"")</f>
        <v/>
      </c>
      <c r="G697" s="3" t="str">
        <f t="array" ref="G697">_xlfn.XLOOKUP(I697,Base_Datos!D:D,Base_Datos!B:B,"")</f>
        <v>GAC</v>
      </c>
      <c r="H697" s="3" t="str">
        <f t="array" ref="H697">IF(I697="","",IFERROR(_xlfn.XLOOKUP(I697,Base_Datos!$D$2:$D3876,Base_Datos!$C$2:$C3876),""))</f>
        <v>Serie GS</v>
      </c>
      <c r="I697" s="3" t="s">
        <v>1487</v>
      </c>
      <c r="J697" s="3" t="str">
        <f>IF(I697="","",IFERROR(VLOOKUP(I697,Base_Datos!$D$2:$E$72,2,0),""))</f>
        <v>(2.0L)</v>
      </c>
      <c r="K697" s="3" t="s">
        <v>1782</v>
      </c>
      <c r="L697" s="3"/>
      <c r="M697" s="7">
        <v>2</v>
      </c>
      <c r="N697" s="7">
        <v>0</v>
      </c>
    </row>
    <row r="698" spans="1:14" ht="14.25" x14ac:dyDescent="0.2">
      <c r="A698" s="3">
        <v>67242</v>
      </c>
      <c r="B698" s="3" t="s">
        <v>2184</v>
      </c>
      <c r="C698" s="3" t="s">
        <v>16</v>
      </c>
      <c r="D698" s="6" t="s">
        <v>1727</v>
      </c>
      <c r="E698" s="6" t="s">
        <v>1782</v>
      </c>
      <c r="F698" s="3" t="str">
        <f>IFERROR( VLOOKUP(A698,#REF!,2,0),"")</f>
        <v/>
      </c>
      <c r="G698" s="3" t="str">
        <f t="array" ref="G698">_xlfn.XLOOKUP(I698,Base_Datos!D:D,Base_Datos!B:B,"")</f>
        <v>GAC</v>
      </c>
      <c r="H698" s="3" t="str">
        <f t="array" ref="H698">IF(I698="","",IFERROR(_xlfn.XLOOKUP(I698,Base_Datos!$D$2:$D3876,Base_Datos!$C$2:$C3876),""))</f>
        <v>Serie GS</v>
      </c>
      <c r="I698" s="3" t="s">
        <v>1487</v>
      </c>
      <c r="J698" s="3" t="str">
        <f>IF(I698="","",IFERROR(VLOOKUP(I698,Base_Datos!$D$2:$E$72,2,0),""))</f>
        <v>(2.0L)</v>
      </c>
      <c r="K698" s="3" t="s">
        <v>1782</v>
      </c>
      <c r="L698" s="3"/>
      <c r="M698" s="7">
        <v>0</v>
      </c>
      <c r="N698" s="7">
        <v>0</v>
      </c>
    </row>
    <row r="699" spans="1:14" ht="14.25" x14ac:dyDescent="0.2">
      <c r="A699" s="3">
        <v>67243</v>
      </c>
      <c r="B699" s="3" t="s">
        <v>2368</v>
      </c>
      <c r="C699" s="3" t="s">
        <v>16</v>
      </c>
      <c r="D699" s="6" t="s">
        <v>1728</v>
      </c>
      <c r="E699" s="6" t="s">
        <v>1728</v>
      </c>
      <c r="F699" s="3" t="str">
        <f>IFERROR( VLOOKUP(A699,#REF!,2,0),"")</f>
        <v/>
      </c>
      <c r="G699" s="3" t="str">
        <f t="array" ref="G699">_xlfn.XLOOKUP(I699,Base_Datos!D:D,Base_Datos!B:B,"")</f>
        <v>GAC</v>
      </c>
      <c r="H699" s="3" t="str">
        <f t="array" ref="H699">IF(I699="","",IFERROR(_xlfn.XLOOKUP(I699,Base_Datos!$D$2:$D3876,Base_Datos!$C$2:$C3876),""))</f>
        <v>Serie GS</v>
      </c>
      <c r="I699" s="3" t="s">
        <v>1487</v>
      </c>
      <c r="J699" s="3" t="str">
        <f>IF(I699="","",IFERROR(VLOOKUP(I699,Base_Datos!$D$2:$E$72,2,0),""))</f>
        <v>(2.0L)</v>
      </c>
      <c r="K699" s="3" t="s">
        <v>1782</v>
      </c>
      <c r="L699" s="3"/>
      <c r="M699" s="7">
        <v>1</v>
      </c>
      <c r="N699" s="7">
        <v>0</v>
      </c>
    </row>
    <row r="700" spans="1:14" ht="14.25" x14ac:dyDescent="0.2">
      <c r="A700" s="3">
        <v>67244</v>
      </c>
      <c r="B700" s="3" t="s">
        <v>2185</v>
      </c>
      <c r="C700" s="3" t="s">
        <v>16</v>
      </c>
      <c r="D700" s="6" t="s">
        <v>1729</v>
      </c>
      <c r="E700" s="6" t="s">
        <v>1782</v>
      </c>
      <c r="F700" s="3" t="str">
        <f>IFERROR( VLOOKUP(A700,#REF!,2,0),"")</f>
        <v/>
      </c>
      <c r="G700" s="3" t="str">
        <f t="array" ref="G700">_xlfn.XLOOKUP(I700,Base_Datos!D:D,Base_Datos!B:B,"")</f>
        <v>GAC</v>
      </c>
      <c r="H700" s="3" t="str">
        <f t="array" ref="H700">IF(I700="","",IFERROR(_xlfn.XLOOKUP(I700,Base_Datos!$D$2:$D3876,Base_Datos!$C$2:$C3876),""))</f>
        <v>Serie GS</v>
      </c>
      <c r="I700" s="3" t="s">
        <v>1487</v>
      </c>
      <c r="J700" s="3" t="str">
        <f>IF(I700="","",IFERROR(VLOOKUP(I700,Base_Datos!$D$2:$E$72,2,0),""))</f>
        <v>(2.0L)</v>
      </c>
      <c r="K700" s="3" t="s">
        <v>1782</v>
      </c>
      <c r="L700" s="3"/>
      <c r="M700" s="7">
        <v>2</v>
      </c>
      <c r="N700" s="7">
        <v>0</v>
      </c>
    </row>
    <row r="701" spans="1:14" ht="14.25" x14ac:dyDescent="0.2">
      <c r="A701" s="3">
        <v>67245</v>
      </c>
      <c r="B701" s="3" t="s">
        <v>2186</v>
      </c>
      <c r="C701" s="3" t="s">
        <v>16</v>
      </c>
      <c r="D701" s="6" t="s">
        <v>1730</v>
      </c>
      <c r="E701" s="6" t="s">
        <v>1782</v>
      </c>
      <c r="F701" s="3" t="str">
        <f>IFERROR( VLOOKUP(A701,#REF!,2,0),"")</f>
        <v/>
      </c>
      <c r="G701" s="3" t="str">
        <f t="array" ref="G701">_xlfn.XLOOKUP(I701,Base_Datos!D:D,Base_Datos!B:B,"")</f>
        <v>GAC</v>
      </c>
      <c r="H701" s="3" t="str">
        <f t="array" ref="H701">IF(I701="","",IFERROR(_xlfn.XLOOKUP(I701,Base_Datos!$D$2:$D3876,Base_Datos!$C$2:$C3876),""))</f>
        <v>Serie GS</v>
      </c>
      <c r="I701" s="3" t="s">
        <v>1487</v>
      </c>
      <c r="J701" s="3" t="str">
        <f>IF(I701="","",IFERROR(VLOOKUP(I701,Base_Datos!$D$2:$E$72,2,0),""))</f>
        <v>(2.0L)</v>
      </c>
      <c r="K701" s="3" t="s">
        <v>1782</v>
      </c>
      <c r="L701" s="3"/>
      <c r="M701" s="7">
        <v>2</v>
      </c>
      <c r="N701" s="7">
        <v>0</v>
      </c>
    </row>
    <row r="702" spans="1:14" ht="14.25" x14ac:dyDescent="0.2">
      <c r="A702" s="3">
        <v>67246</v>
      </c>
      <c r="B702" s="3" t="s">
        <v>2187</v>
      </c>
      <c r="C702" s="3" t="s">
        <v>16</v>
      </c>
      <c r="D702" s="6" t="s">
        <v>1731</v>
      </c>
      <c r="E702" s="6" t="s">
        <v>1782</v>
      </c>
      <c r="F702" s="3" t="str">
        <f>IFERROR( VLOOKUP(A702,#REF!,2,0),"")</f>
        <v/>
      </c>
      <c r="G702" s="3" t="str">
        <f t="array" ref="G702">_xlfn.XLOOKUP(I702,Base_Datos!D:D,Base_Datos!B:B,"")</f>
        <v>GAC</v>
      </c>
      <c r="H702" s="3" t="str">
        <f t="array" ref="H702">IF(I702="","",IFERROR(_xlfn.XLOOKUP(I702,Base_Datos!$D$2:$D3876,Base_Datos!$C$2:$C3876),""))</f>
        <v>Serie GS</v>
      </c>
      <c r="I702" s="3" t="s">
        <v>1487</v>
      </c>
      <c r="J702" s="3" t="str">
        <f>IF(I702="","",IFERROR(VLOOKUP(I702,Base_Datos!$D$2:$E$72,2,0),""))</f>
        <v>(2.0L)</v>
      </c>
      <c r="K702" s="3" t="s">
        <v>1782</v>
      </c>
      <c r="L702" s="3"/>
      <c r="M702" s="7">
        <v>2</v>
      </c>
      <c r="N702" s="7">
        <v>0</v>
      </c>
    </row>
    <row r="703" spans="1:14" ht="14.25" x14ac:dyDescent="0.2">
      <c r="A703" s="3">
        <v>67247</v>
      </c>
      <c r="B703" s="3" t="s">
        <v>2369</v>
      </c>
      <c r="C703" s="3" t="s">
        <v>16</v>
      </c>
      <c r="D703" s="6" t="s">
        <v>1732</v>
      </c>
      <c r="E703" s="6" t="s">
        <v>1782</v>
      </c>
      <c r="F703" s="3" t="str">
        <f>IFERROR( VLOOKUP(A703,#REF!,2,0),"")</f>
        <v/>
      </c>
      <c r="G703" s="3" t="str">
        <f t="array" ref="G703">_xlfn.XLOOKUP(I703,Base_Datos!D:D,Base_Datos!B:B,"")</f>
        <v>GAC</v>
      </c>
      <c r="H703" s="3" t="str">
        <f t="array" ref="H703">IF(I703="","",IFERROR(_xlfn.XLOOKUP(I703,Base_Datos!$D$2:$D3876,Base_Datos!$C$2:$C3876),""))</f>
        <v>Serie GS</v>
      </c>
      <c r="I703" s="3" t="s">
        <v>1487</v>
      </c>
      <c r="J703" s="3" t="str">
        <f>IF(I703="","",IFERROR(VLOOKUP(I703,Base_Datos!$D$2:$E$72,2,0),""))</f>
        <v>(2.0L)</v>
      </c>
      <c r="K703" s="3" t="s">
        <v>1782</v>
      </c>
      <c r="L703" s="3"/>
      <c r="M703" s="7">
        <v>2</v>
      </c>
      <c r="N703" s="7">
        <v>0</v>
      </c>
    </row>
    <row r="704" spans="1:14" ht="14.25" x14ac:dyDescent="0.2">
      <c r="A704" s="3">
        <v>67248</v>
      </c>
      <c r="B704" s="3" t="s">
        <v>2369</v>
      </c>
      <c r="C704" s="3" t="s">
        <v>16</v>
      </c>
      <c r="D704" s="6" t="s">
        <v>1733</v>
      </c>
      <c r="E704" s="6" t="s">
        <v>1782</v>
      </c>
      <c r="F704" s="3" t="str">
        <f>IFERROR( VLOOKUP(A704,#REF!,2,0),"")</f>
        <v/>
      </c>
      <c r="G704" s="3" t="str">
        <f t="array" ref="G704">_xlfn.XLOOKUP(I704,Base_Datos!D:D,Base_Datos!B:B,"")</f>
        <v>GAC</v>
      </c>
      <c r="H704" s="3" t="str">
        <f t="array" ref="H704">IF(I704="","",IFERROR(_xlfn.XLOOKUP(I704,Base_Datos!$D$2:$D3876,Base_Datos!$C$2:$C3876),""))</f>
        <v>Serie GS</v>
      </c>
      <c r="I704" s="3" t="s">
        <v>1487</v>
      </c>
      <c r="J704" s="3" t="str">
        <f>IF(I704="","",IFERROR(VLOOKUP(I704,Base_Datos!$D$2:$E$72,2,0),""))</f>
        <v>(2.0L)</v>
      </c>
      <c r="K704" s="3" t="s">
        <v>1782</v>
      </c>
      <c r="L704" s="3"/>
      <c r="M704" s="7">
        <v>2</v>
      </c>
      <c r="N704" s="7">
        <v>0</v>
      </c>
    </row>
    <row r="705" spans="1:14" ht="14.25" x14ac:dyDescent="0.2">
      <c r="A705" s="3">
        <v>67249</v>
      </c>
      <c r="B705" s="3" t="s">
        <v>2370</v>
      </c>
      <c r="C705" s="3" t="s">
        <v>16</v>
      </c>
      <c r="D705" s="6" t="s">
        <v>1734</v>
      </c>
      <c r="E705" s="6" t="s">
        <v>1782</v>
      </c>
      <c r="F705" s="3" t="str">
        <f>IFERROR( VLOOKUP(A705,#REF!,2,0),"")</f>
        <v/>
      </c>
      <c r="G705" s="3" t="str">
        <f t="array" ref="G705">_xlfn.XLOOKUP(I705,Base_Datos!D:D,Base_Datos!B:B,"")</f>
        <v>GAC</v>
      </c>
      <c r="H705" s="3" t="str">
        <f t="array" ref="H705">IF(I705="","",IFERROR(_xlfn.XLOOKUP(I705,Base_Datos!$D$2:$D3876,Base_Datos!$C$2:$C3876),""))</f>
        <v>Serie GS</v>
      </c>
      <c r="I705" s="3" t="s">
        <v>1487</v>
      </c>
      <c r="J705" s="3" t="str">
        <f>IF(I705="","",IFERROR(VLOOKUP(I705,Base_Datos!$D$2:$E$72,2,0),""))</f>
        <v>(2.0L)</v>
      </c>
      <c r="K705" s="3" t="s">
        <v>1782</v>
      </c>
      <c r="L705" s="3"/>
      <c r="M705" s="7">
        <v>2</v>
      </c>
      <c r="N705" s="7">
        <v>0</v>
      </c>
    </row>
    <row r="706" spans="1:14" ht="14.25" x14ac:dyDescent="0.2">
      <c r="A706" s="3">
        <v>67250</v>
      </c>
      <c r="B706" s="3" t="s">
        <v>2371</v>
      </c>
      <c r="C706" s="3" t="s">
        <v>16</v>
      </c>
      <c r="D706" s="6" t="s">
        <v>1735</v>
      </c>
      <c r="E706" s="6" t="s">
        <v>1782</v>
      </c>
      <c r="F706" s="3" t="str">
        <f>IFERROR( VLOOKUP(A706,#REF!,2,0),"")</f>
        <v/>
      </c>
      <c r="G706" s="3" t="str">
        <f t="array" ref="G706">_xlfn.XLOOKUP(I706,Base_Datos!D:D,Base_Datos!B:B,"")</f>
        <v>GAC</v>
      </c>
      <c r="H706" s="3" t="str">
        <f t="array" ref="H706">IF(I706="","",IFERROR(_xlfn.XLOOKUP(I706,Base_Datos!$D$2:$D3876,Base_Datos!$C$2:$C3876),""))</f>
        <v>Serie GS</v>
      </c>
      <c r="I706" s="3" t="s">
        <v>1487</v>
      </c>
      <c r="J706" s="3" t="str">
        <f>IF(I706="","",IFERROR(VLOOKUP(I706,Base_Datos!$D$2:$E$72,2,0),""))</f>
        <v>(2.0L)</v>
      </c>
      <c r="K706" s="3" t="s">
        <v>1782</v>
      </c>
      <c r="L706" s="3"/>
      <c r="M706" s="7">
        <v>2</v>
      </c>
      <c r="N706" s="7">
        <v>0</v>
      </c>
    </row>
    <row r="707" spans="1:14" ht="14.25" x14ac:dyDescent="0.2">
      <c r="A707" s="3">
        <v>67251</v>
      </c>
      <c r="B707" s="3" t="s">
        <v>2372</v>
      </c>
      <c r="C707" s="3" t="s">
        <v>16</v>
      </c>
      <c r="D707" s="6" t="s">
        <v>1736</v>
      </c>
      <c r="E707" s="6" t="s">
        <v>1782</v>
      </c>
      <c r="F707" s="3" t="str">
        <f>IFERROR( VLOOKUP(A707,#REF!,2,0),"")</f>
        <v/>
      </c>
      <c r="G707" s="3" t="str">
        <f t="array" ref="G707">_xlfn.XLOOKUP(I707,Base_Datos!D:D,Base_Datos!B:B,"")</f>
        <v>GAC</v>
      </c>
      <c r="H707" s="3" t="str">
        <f t="array" ref="H707">IF(I707="","",IFERROR(_xlfn.XLOOKUP(I707,Base_Datos!$D$2:$D3876,Base_Datos!$C$2:$C3876),""))</f>
        <v>Serie GS</v>
      </c>
      <c r="I707" s="3" t="s">
        <v>1487</v>
      </c>
      <c r="J707" s="3" t="str">
        <f>IF(I707="","",IFERROR(VLOOKUP(I707,Base_Datos!$D$2:$E$72,2,0),""))</f>
        <v>(2.0L)</v>
      </c>
      <c r="K707" s="3" t="s">
        <v>1782</v>
      </c>
      <c r="L707" s="3"/>
      <c r="M707" s="7">
        <v>2</v>
      </c>
      <c r="N707" s="7">
        <v>0</v>
      </c>
    </row>
    <row r="708" spans="1:14" ht="14.25" x14ac:dyDescent="0.2">
      <c r="A708" s="3">
        <v>67252</v>
      </c>
      <c r="B708" s="3" t="s">
        <v>2373</v>
      </c>
      <c r="C708" s="3" t="s">
        <v>16</v>
      </c>
      <c r="D708" s="6" t="s">
        <v>1737</v>
      </c>
      <c r="E708" s="6" t="s">
        <v>1782</v>
      </c>
      <c r="F708" s="3" t="str">
        <f>IFERROR( VLOOKUP(A708,#REF!,2,0),"")</f>
        <v/>
      </c>
      <c r="G708" s="3" t="str">
        <f t="array" ref="G708">_xlfn.XLOOKUP(I708,Base_Datos!D:D,Base_Datos!B:B,"")</f>
        <v>GAC</v>
      </c>
      <c r="H708" s="3" t="str">
        <f t="array" ref="H708">IF(I708="","",IFERROR(_xlfn.XLOOKUP(I708,Base_Datos!$D$2:$D3876,Base_Datos!$C$2:$C3876),""))</f>
        <v>Serie GS</v>
      </c>
      <c r="I708" s="3" t="s">
        <v>1487</v>
      </c>
      <c r="J708" s="3" t="str">
        <f>IF(I708="","",IFERROR(VLOOKUP(I708,Base_Datos!$D$2:$E$72,2,0),""))</f>
        <v>(2.0L)</v>
      </c>
      <c r="K708" s="3" t="s">
        <v>1782</v>
      </c>
      <c r="L708" s="3"/>
      <c r="M708" s="7">
        <v>2</v>
      </c>
      <c r="N708" s="7">
        <v>0</v>
      </c>
    </row>
    <row r="709" spans="1:14" ht="14.25" x14ac:dyDescent="0.2">
      <c r="A709" s="3">
        <v>67253</v>
      </c>
      <c r="B709" s="3" t="s">
        <v>2374</v>
      </c>
      <c r="C709" s="3" t="s">
        <v>16</v>
      </c>
      <c r="D709" s="6" t="s">
        <v>1738</v>
      </c>
      <c r="E709" s="6" t="s">
        <v>1782</v>
      </c>
      <c r="F709" s="3" t="str">
        <f>IFERROR( VLOOKUP(A709,#REF!,2,0),"")</f>
        <v/>
      </c>
      <c r="G709" s="3" t="str">
        <f t="array" ref="G709">_xlfn.XLOOKUP(I709,Base_Datos!D:D,Base_Datos!B:B,"")</f>
        <v>GAC</v>
      </c>
      <c r="H709" s="3" t="str">
        <f t="array" ref="H709">IF(I709="","",IFERROR(_xlfn.XLOOKUP(I709,Base_Datos!$D$2:$D3876,Base_Datos!$C$2:$C3876),""))</f>
        <v>Serie GS</v>
      </c>
      <c r="I709" s="3" t="s">
        <v>1487</v>
      </c>
      <c r="J709" s="3" t="str">
        <f>IF(I709="","",IFERROR(VLOOKUP(I709,Base_Datos!$D$2:$E$72,2,0),""))</f>
        <v>(2.0L)</v>
      </c>
      <c r="K709" s="3" t="s">
        <v>1782</v>
      </c>
      <c r="L709" s="3"/>
      <c r="M709" s="7">
        <v>10</v>
      </c>
      <c r="N709" s="7">
        <v>0</v>
      </c>
    </row>
    <row r="710" spans="1:14" ht="14.25" x14ac:dyDescent="0.2">
      <c r="A710" s="3">
        <v>67254</v>
      </c>
      <c r="B710" s="3" t="s">
        <v>2375</v>
      </c>
      <c r="C710" s="3" t="s">
        <v>16</v>
      </c>
      <c r="D710" s="6" t="s">
        <v>1739</v>
      </c>
      <c r="E710" s="6" t="s">
        <v>1782</v>
      </c>
      <c r="F710" s="3" t="str">
        <f>IFERROR( VLOOKUP(A710,#REF!,2,0),"")</f>
        <v/>
      </c>
      <c r="G710" s="3" t="str">
        <f t="array" ref="G710">_xlfn.XLOOKUP(I710,Base_Datos!D:D,Base_Datos!B:B,"")</f>
        <v>GAC</v>
      </c>
      <c r="H710" s="3" t="str">
        <f t="array" ref="H710">IF(I710="","",IFERROR(_xlfn.XLOOKUP(I710,Base_Datos!$D$2:$D3876,Base_Datos!$C$2:$C3876),""))</f>
        <v>Serie GS</v>
      </c>
      <c r="I710" s="3" t="s">
        <v>1487</v>
      </c>
      <c r="J710" s="3" t="str">
        <f>IF(I710="","",IFERROR(VLOOKUP(I710,Base_Datos!$D$2:$E$72,2,0),""))</f>
        <v>(2.0L)</v>
      </c>
      <c r="K710" s="3" t="s">
        <v>1782</v>
      </c>
      <c r="L710" s="3"/>
      <c r="M710" s="7">
        <v>2</v>
      </c>
      <c r="N710" s="7">
        <v>0</v>
      </c>
    </row>
    <row r="711" spans="1:14" ht="14.25" x14ac:dyDescent="0.2">
      <c r="A711" s="3">
        <v>67255</v>
      </c>
      <c r="B711" s="3" t="s">
        <v>1945</v>
      </c>
      <c r="C711" s="3" t="s">
        <v>16</v>
      </c>
      <c r="D711" s="6" t="s">
        <v>1740</v>
      </c>
      <c r="E711" s="6" t="s">
        <v>1740</v>
      </c>
      <c r="F711" s="3" t="str">
        <f>IFERROR( VLOOKUP(A711,#REF!,2,0),"")</f>
        <v/>
      </c>
      <c r="G711" s="3" t="str">
        <f t="array" ref="G711">_xlfn.XLOOKUP(I711,Base_Datos!D:D,Base_Datos!B:B,"")</f>
        <v>GAC</v>
      </c>
      <c r="H711" s="3" t="str">
        <f t="array" ref="H711">IF(I711="","",IFERROR(_xlfn.XLOOKUP(I711,Base_Datos!$D$2:$D3876,Base_Datos!$C$2:$C3876),""))</f>
        <v>Serie GS</v>
      </c>
      <c r="I711" s="3" t="s">
        <v>1487</v>
      </c>
      <c r="J711" s="3" t="str">
        <f>IF(I711="","",IFERROR(VLOOKUP(I711,Base_Datos!$D$2:$E$72,2,0),""))</f>
        <v>(2.0L)</v>
      </c>
      <c r="K711" s="3" t="s">
        <v>1782</v>
      </c>
      <c r="L711" s="3"/>
      <c r="M711" s="7">
        <v>2</v>
      </c>
      <c r="N711" s="7">
        <v>0</v>
      </c>
    </row>
    <row r="712" spans="1:14" ht="14.25" x14ac:dyDescent="0.2">
      <c r="A712" s="3">
        <v>67256</v>
      </c>
      <c r="B712" s="3" t="s">
        <v>2376</v>
      </c>
      <c r="C712" s="3" t="s">
        <v>16</v>
      </c>
      <c r="D712" s="6" t="s">
        <v>1741</v>
      </c>
      <c r="E712" s="6" t="s">
        <v>1782</v>
      </c>
      <c r="F712" s="3" t="str">
        <f>IFERROR( VLOOKUP(A712,#REF!,2,0),"")</f>
        <v/>
      </c>
      <c r="G712" s="3" t="str">
        <f t="array" ref="G712">_xlfn.XLOOKUP(I712,Base_Datos!D:D,Base_Datos!B:B,"")</f>
        <v>GAC</v>
      </c>
      <c r="H712" s="3" t="str">
        <f t="array" ref="H712">IF(I712="","",IFERROR(_xlfn.XLOOKUP(I712,Base_Datos!$D$2:$D3876,Base_Datos!$C$2:$C3876),""))</f>
        <v>Serie GS</v>
      </c>
      <c r="I712" s="3" t="s">
        <v>1487</v>
      </c>
      <c r="J712" s="3" t="str">
        <f>IF(I712="","",IFERROR(VLOOKUP(I712,Base_Datos!$D$2:$E$72,2,0),""))</f>
        <v>(2.0L)</v>
      </c>
      <c r="K712" s="3" t="s">
        <v>1782</v>
      </c>
      <c r="L712" s="3"/>
      <c r="M712" s="7">
        <v>1</v>
      </c>
      <c r="N712" s="7">
        <v>0</v>
      </c>
    </row>
    <row r="713" spans="1:14" ht="14.25" x14ac:dyDescent="0.2">
      <c r="A713" s="3">
        <v>67257</v>
      </c>
      <c r="B713" s="3" t="s">
        <v>2377</v>
      </c>
      <c r="C713" s="3" t="s">
        <v>16</v>
      </c>
      <c r="D713" s="6" t="s">
        <v>1742</v>
      </c>
      <c r="E713" s="6" t="s">
        <v>1782</v>
      </c>
      <c r="F713" s="3" t="str">
        <f>IFERROR( VLOOKUP(A713,#REF!,2,0),"")</f>
        <v/>
      </c>
      <c r="G713" s="3" t="str">
        <f t="array" ref="G713">_xlfn.XLOOKUP(I713,Base_Datos!D:D,Base_Datos!B:B,"")</f>
        <v>GAC</v>
      </c>
      <c r="H713" s="3" t="str">
        <f t="array" ref="H713">IF(I713="","",IFERROR(_xlfn.XLOOKUP(I713,Base_Datos!$D$2:$D3876,Base_Datos!$C$2:$C3876),""))</f>
        <v>Serie GS</v>
      </c>
      <c r="I713" s="3" t="s">
        <v>1487</v>
      </c>
      <c r="J713" s="3" t="str">
        <f>IF(I713="","",IFERROR(VLOOKUP(I713,Base_Datos!$D$2:$E$72,2,0),""))</f>
        <v>(2.0L)</v>
      </c>
      <c r="K713" s="3" t="s">
        <v>1782</v>
      </c>
      <c r="L713" s="3"/>
      <c r="M713" s="7">
        <v>0</v>
      </c>
      <c r="N713" s="7">
        <v>0</v>
      </c>
    </row>
    <row r="714" spans="1:14" ht="14.25" x14ac:dyDescent="0.2">
      <c r="A714" s="3">
        <v>67258</v>
      </c>
      <c r="B714" s="3" t="s">
        <v>2378</v>
      </c>
      <c r="C714" s="3" t="s">
        <v>16</v>
      </c>
      <c r="D714" s="6" t="s">
        <v>1743</v>
      </c>
      <c r="E714" s="6" t="s">
        <v>1782</v>
      </c>
      <c r="F714" s="3" t="str">
        <f>IFERROR( VLOOKUP(A714,#REF!,2,0),"")</f>
        <v/>
      </c>
      <c r="G714" s="3" t="str">
        <f t="array" ref="G714">_xlfn.XLOOKUP(I714,Base_Datos!D:D,Base_Datos!B:B,"")</f>
        <v>GAC</v>
      </c>
      <c r="H714" s="3" t="str">
        <f t="array" ref="H714">IF(I714="","",IFERROR(_xlfn.XLOOKUP(I714,Base_Datos!$D$2:$D3876,Base_Datos!$C$2:$C3876),""))</f>
        <v>Serie GS</v>
      </c>
      <c r="I714" s="3" t="s">
        <v>1487</v>
      </c>
      <c r="J714" s="3" t="str">
        <f>IF(I714="","",IFERROR(VLOOKUP(I714,Base_Datos!$D$2:$E$72,2,0),""))</f>
        <v>(2.0L)</v>
      </c>
      <c r="K714" s="3" t="s">
        <v>1782</v>
      </c>
      <c r="L714" s="3"/>
      <c r="M714" s="7">
        <v>0</v>
      </c>
      <c r="N714" s="7">
        <v>0</v>
      </c>
    </row>
    <row r="715" spans="1:14" ht="14.25" x14ac:dyDescent="0.2">
      <c r="A715" s="3">
        <v>67259</v>
      </c>
      <c r="B715" s="3" t="s">
        <v>2379</v>
      </c>
      <c r="C715" s="3" t="s">
        <v>16</v>
      </c>
      <c r="D715" s="6" t="s">
        <v>1744</v>
      </c>
      <c r="E715" s="6" t="s">
        <v>1782</v>
      </c>
      <c r="F715" s="3" t="str">
        <f>IFERROR( VLOOKUP(A715,#REF!,2,0),"")</f>
        <v/>
      </c>
      <c r="G715" s="3" t="str">
        <f t="array" ref="G715">_xlfn.XLOOKUP(I715,Base_Datos!D:D,Base_Datos!B:B,"")</f>
        <v>GAC</v>
      </c>
      <c r="H715" s="3" t="str">
        <f t="array" ref="H715">IF(I715="","",IFERROR(_xlfn.XLOOKUP(I715,Base_Datos!$D$2:$D3876,Base_Datos!$C$2:$C3876),""))</f>
        <v>Serie GS</v>
      </c>
      <c r="I715" s="3" t="s">
        <v>1487</v>
      </c>
      <c r="J715" s="3" t="str">
        <f>IF(I715="","",IFERROR(VLOOKUP(I715,Base_Datos!$D$2:$E$72,2,0),""))</f>
        <v>(2.0L)</v>
      </c>
      <c r="K715" s="3" t="s">
        <v>1782</v>
      </c>
      <c r="L715" s="3"/>
      <c r="M715" s="7">
        <v>1</v>
      </c>
      <c r="N715" s="7">
        <v>0</v>
      </c>
    </row>
    <row r="716" spans="1:14" ht="14.25" x14ac:dyDescent="0.2">
      <c r="A716" s="3">
        <v>67260</v>
      </c>
      <c r="B716" s="3" t="s">
        <v>2380</v>
      </c>
      <c r="C716" s="3" t="s">
        <v>16</v>
      </c>
      <c r="D716" s="6" t="s">
        <v>1745</v>
      </c>
      <c r="E716" s="6" t="s">
        <v>1782</v>
      </c>
      <c r="F716" s="3" t="str">
        <f>IFERROR( VLOOKUP(A716,#REF!,2,0),"")</f>
        <v/>
      </c>
      <c r="G716" s="3" t="str">
        <f t="array" ref="G716">_xlfn.XLOOKUP(I716,Base_Datos!D:D,Base_Datos!B:B,"")</f>
        <v>GAC</v>
      </c>
      <c r="H716" s="3" t="str">
        <f t="array" ref="H716">IF(I716="","",IFERROR(_xlfn.XLOOKUP(I716,Base_Datos!$D$2:$D3876,Base_Datos!$C$2:$C3876),""))</f>
        <v>Serie GS</v>
      </c>
      <c r="I716" s="3" t="s">
        <v>1487</v>
      </c>
      <c r="J716" s="3" t="str">
        <f>IF(I716="","",IFERROR(VLOOKUP(I716,Base_Datos!$D$2:$E$72,2,0),""))</f>
        <v>(2.0L)</v>
      </c>
      <c r="K716" s="3" t="s">
        <v>1782</v>
      </c>
      <c r="L716" s="3"/>
      <c r="M716" s="7">
        <v>0</v>
      </c>
      <c r="N716" s="7">
        <v>0</v>
      </c>
    </row>
    <row r="717" spans="1:14" ht="14.25" x14ac:dyDescent="0.2">
      <c r="A717" s="3">
        <v>67261</v>
      </c>
      <c r="B717" s="9" t="s">
        <v>2381</v>
      </c>
      <c r="C717" s="3" t="s">
        <v>16</v>
      </c>
      <c r="D717" s="6" t="s">
        <v>1746</v>
      </c>
      <c r="E717" s="6" t="s">
        <v>1782</v>
      </c>
      <c r="F717" s="3" t="str">
        <f>IFERROR( VLOOKUP(A717,#REF!,2,0),"")</f>
        <v/>
      </c>
      <c r="G717" s="3" t="str">
        <f t="array" ref="G717">_xlfn.XLOOKUP(I717,Base_Datos!D:D,Base_Datos!B:B,"")</f>
        <v>GAC</v>
      </c>
      <c r="H717" s="3" t="str">
        <f t="array" ref="H717">IF(I717="","",IFERROR(_xlfn.XLOOKUP(I717,Base_Datos!$D$2:$D3876,Base_Datos!$C$2:$C3876),""))</f>
        <v>Serie GS</v>
      </c>
      <c r="I717" s="3" t="s">
        <v>1487</v>
      </c>
      <c r="J717" s="3" t="str">
        <f>IF(I717="","",IFERROR(VLOOKUP(I717,Base_Datos!$D$2:$E$72,2,0),""))</f>
        <v>(2.0L)</v>
      </c>
      <c r="K717" s="3" t="s">
        <v>1782</v>
      </c>
      <c r="L717" s="3"/>
      <c r="M717" s="7">
        <v>0</v>
      </c>
      <c r="N717" s="7">
        <v>0</v>
      </c>
    </row>
    <row r="718" spans="1:14" ht="14.25" x14ac:dyDescent="0.2">
      <c r="A718" s="3">
        <v>67262</v>
      </c>
      <c r="B718" s="3" t="s">
        <v>2382</v>
      </c>
      <c r="C718" s="3" t="s">
        <v>16</v>
      </c>
      <c r="D718" s="6" t="s">
        <v>1747</v>
      </c>
      <c r="E718" s="6" t="s">
        <v>1782</v>
      </c>
      <c r="F718" s="3" t="str">
        <f>IFERROR( VLOOKUP(A718,#REF!,2,0),"")</f>
        <v/>
      </c>
      <c r="G718" s="3" t="str">
        <f t="array" ref="G718">_xlfn.XLOOKUP(I718,Base_Datos!D:D,Base_Datos!B:B,"")</f>
        <v>GAC</v>
      </c>
      <c r="H718" s="3" t="str">
        <f t="array" ref="H718">IF(I718="","",IFERROR(_xlfn.XLOOKUP(I718,Base_Datos!$D$2:$D3876,Base_Datos!$C$2:$C3876),""))</f>
        <v>Serie GS</v>
      </c>
      <c r="I718" s="3" t="s">
        <v>1487</v>
      </c>
      <c r="J718" s="3" t="str">
        <f>IF(I718="","",IFERROR(VLOOKUP(I718,Base_Datos!$D$2:$E$72,2,0),""))</f>
        <v>(2.0L)</v>
      </c>
      <c r="K718" s="3" t="s">
        <v>1782</v>
      </c>
      <c r="L718" s="3"/>
      <c r="M718" s="7">
        <v>1</v>
      </c>
      <c r="N718" s="7">
        <v>0</v>
      </c>
    </row>
    <row r="719" spans="1:14" ht="14.25" x14ac:dyDescent="0.2">
      <c r="A719" s="3">
        <v>67263</v>
      </c>
      <c r="B719" s="3" t="s">
        <v>2383</v>
      </c>
      <c r="C719" s="3" t="s">
        <v>16</v>
      </c>
      <c r="D719" s="6" t="s">
        <v>1748</v>
      </c>
      <c r="E719" s="6" t="s">
        <v>1782</v>
      </c>
      <c r="F719" s="3" t="str">
        <f>IFERROR( VLOOKUP(A719,#REF!,2,0),"")</f>
        <v/>
      </c>
      <c r="G719" s="3" t="str">
        <f t="array" ref="G719">_xlfn.XLOOKUP(I719,Base_Datos!D:D,Base_Datos!B:B,"")</f>
        <v>GAC</v>
      </c>
      <c r="H719" s="3" t="str">
        <f t="array" ref="H719">IF(I719="","",IFERROR(_xlfn.XLOOKUP(I719,Base_Datos!$D$2:$D3876,Base_Datos!$C$2:$C3876),""))</f>
        <v>Serie GS</v>
      </c>
      <c r="I719" s="3" t="s">
        <v>1487</v>
      </c>
      <c r="J719" s="3" t="str">
        <f>IF(I719="","",IFERROR(VLOOKUP(I719,Base_Datos!$D$2:$E$72,2,0),""))</f>
        <v>(2.0L)</v>
      </c>
      <c r="K719" s="3" t="s">
        <v>1782</v>
      </c>
      <c r="L719" s="3"/>
      <c r="M719" s="7">
        <v>1</v>
      </c>
      <c r="N719" s="7">
        <v>0</v>
      </c>
    </row>
    <row r="720" spans="1:14" ht="14.25" x14ac:dyDescent="0.2">
      <c r="A720" s="3">
        <v>67264</v>
      </c>
      <c r="B720" s="3" t="s">
        <v>2384</v>
      </c>
      <c r="C720" s="3" t="s">
        <v>16</v>
      </c>
      <c r="D720" s="6" t="s">
        <v>1749</v>
      </c>
      <c r="E720" s="6" t="s">
        <v>1782</v>
      </c>
      <c r="F720" s="3" t="str">
        <f>IFERROR( VLOOKUP(A720,#REF!,2,0),"")</f>
        <v/>
      </c>
      <c r="G720" s="3" t="str">
        <f t="array" ref="G720">_xlfn.XLOOKUP(I720,Base_Datos!D:D,Base_Datos!B:B,"")</f>
        <v>GAC</v>
      </c>
      <c r="H720" s="3" t="str">
        <f t="array" ref="H720">IF(I720="","",IFERROR(_xlfn.XLOOKUP(I720,Base_Datos!$D$2:$D3876,Base_Datos!$C$2:$C3876),""))</f>
        <v>Serie GS</v>
      </c>
      <c r="I720" s="3" t="s">
        <v>1487</v>
      </c>
      <c r="J720" s="3" t="str">
        <f>IF(I720="","",IFERROR(VLOOKUP(I720,Base_Datos!$D$2:$E$72,2,0),""))</f>
        <v>(2.0L)</v>
      </c>
      <c r="K720" s="3" t="s">
        <v>1782</v>
      </c>
      <c r="L720" s="3"/>
      <c r="M720" s="7">
        <v>5</v>
      </c>
      <c r="N720" s="7">
        <v>0</v>
      </c>
    </row>
    <row r="721" spans="1:14" ht="14.25" x14ac:dyDescent="0.2">
      <c r="A721" s="3">
        <v>67265</v>
      </c>
      <c r="B721" s="3" t="s">
        <v>2385</v>
      </c>
      <c r="C721" s="3" t="s">
        <v>16</v>
      </c>
      <c r="D721" s="6" t="s">
        <v>1750</v>
      </c>
      <c r="E721" s="6" t="s">
        <v>1782</v>
      </c>
      <c r="F721" s="3" t="str">
        <f>IFERROR( VLOOKUP(A721,#REF!,2,0),"")</f>
        <v/>
      </c>
      <c r="G721" s="3" t="str">
        <f t="array" ref="G721">_xlfn.XLOOKUP(I721,Base_Datos!D:D,Base_Datos!B:B,"")</f>
        <v>GAC</v>
      </c>
      <c r="H721" s="3" t="str">
        <f t="array" ref="H721">IF(I721="","",IFERROR(_xlfn.XLOOKUP(I721,Base_Datos!$D$2:$D3876,Base_Datos!$C$2:$C3876),""))</f>
        <v>Serie GS</v>
      </c>
      <c r="I721" s="3" t="s">
        <v>1487</v>
      </c>
      <c r="J721" s="3" t="str">
        <f>IF(I721="","",IFERROR(VLOOKUP(I721,Base_Datos!$D$2:$E$72,2,0),""))</f>
        <v>(2.0L)</v>
      </c>
      <c r="K721" s="3" t="s">
        <v>1782</v>
      </c>
      <c r="L721" s="3"/>
      <c r="M721" s="7">
        <v>1</v>
      </c>
      <c r="N721" s="7">
        <v>0</v>
      </c>
    </row>
    <row r="722" spans="1:14" ht="14.25" x14ac:dyDescent="0.2">
      <c r="A722" s="3">
        <v>67266</v>
      </c>
      <c r="B722" s="3" t="s">
        <v>2386</v>
      </c>
      <c r="C722" s="3" t="s">
        <v>16</v>
      </c>
      <c r="D722" s="6" t="s">
        <v>1751</v>
      </c>
      <c r="E722" s="6" t="s">
        <v>1782</v>
      </c>
      <c r="F722" s="3" t="str">
        <f>IFERROR( VLOOKUP(A722,#REF!,2,0),"")</f>
        <v/>
      </c>
      <c r="G722" s="3" t="str">
        <f t="array" ref="G722">_xlfn.XLOOKUP(I722,Base_Datos!D:D,Base_Datos!B:B,"")</f>
        <v>GAC</v>
      </c>
      <c r="H722" s="3" t="str">
        <f t="array" ref="H722">IF(I722="","",IFERROR(_xlfn.XLOOKUP(I722,Base_Datos!$D$2:$D3876,Base_Datos!$C$2:$C3876),""))</f>
        <v>Serie GS</v>
      </c>
      <c r="I722" s="3" t="s">
        <v>1487</v>
      </c>
      <c r="J722" s="3" t="str">
        <f>IF(I722="","",IFERROR(VLOOKUP(I722,Base_Datos!$D$2:$E$72,2,0),""))</f>
        <v>(2.0L)</v>
      </c>
      <c r="K722" s="3" t="s">
        <v>1782</v>
      </c>
      <c r="L722" s="3"/>
      <c r="M722" s="7">
        <v>1</v>
      </c>
      <c r="N722" s="7">
        <v>0</v>
      </c>
    </row>
    <row r="723" spans="1:14" ht="14.25" x14ac:dyDescent="0.2">
      <c r="A723" s="3">
        <v>67267</v>
      </c>
      <c r="B723" s="3" t="s">
        <v>2295</v>
      </c>
      <c r="C723" s="3" t="s">
        <v>16</v>
      </c>
      <c r="D723" s="6" t="s">
        <v>1752</v>
      </c>
      <c r="E723" s="6" t="s">
        <v>1752</v>
      </c>
      <c r="F723" s="3" t="str">
        <f>IFERROR( VLOOKUP(A723,#REF!,2,0),"")</f>
        <v/>
      </c>
      <c r="G723" s="3" t="str">
        <f t="array" ref="G723">_xlfn.XLOOKUP(I723,Base_Datos!D:D,Base_Datos!B:B,"")</f>
        <v>GAC</v>
      </c>
      <c r="H723" s="3" t="str">
        <f t="array" ref="H723">IF(I723="","",IFERROR(_xlfn.XLOOKUP(I723,Base_Datos!$D$2:$D3876,Base_Datos!$C$2:$C3876),""))</f>
        <v>Serie GS</v>
      </c>
      <c r="I723" s="3" t="s">
        <v>1487</v>
      </c>
      <c r="J723" s="3" t="str">
        <f>IF(I723="","",IFERROR(VLOOKUP(I723,Base_Datos!$D$2:$E$72,2,0),""))</f>
        <v>(2.0L)</v>
      </c>
      <c r="K723" s="3" t="s">
        <v>1782</v>
      </c>
      <c r="L723" s="3"/>
      <c r="M723" s="7">
        <v>4</v>
      </c>
      <c r="N723" s="7">
        <v>0</v>
      </c>
    </row>
    <row r="724" spans="1:14" ht="14.25" x14ac:dyDescent="0.2">
      <c r="A724" s="3">
        <v>67268</v>
      </c>
      <c r="B724" s="3" t="s">
        <v>2387</v>
      </c>
      <c r="C724" s="3" t="s">
        <v>16</v>
      </c>
      <c r="D724" s="6" t="s">
        <v>1753</v>
      </c>
      <c r="E724" s="6" t="s">
        <v>1782</v>
      </c>
      <c r="F724" s="3" t="str">
        <f>IFERROR( VLOOKUP(A724,#REF!,2,0),"")</f>
        <v/>
      </c>
      <c r="G724" s="3" t="str">
        <f t="array" ref="G724">_xlfn.XLOOKUP(I724,Base_Datos!D:D,Base_Datos!B:B,"")</f>
        <v>GAC</v>
      </c>
      <c r="H724" s="3" t="str">
        <f t="array" ref="H724">IF(I724="","",IFERROR(_xlfn.XLOOKUP(I724,Base_Datos!$D$2:$D3876,Base_Datos!$C$2:$C3876),""))</f>
        <v>Serie GS</v>
      </c>
      <c r="I724" s="3" t="s">
        <v>1487</v>
      </c>
      <c r="J724" s="3" t="str">
        <f>IF(I724="","",IFERROR(VLOOKUP(I724,Base_Datos!$D$2:$E$72,2,0),""))</f>
        <v>(2.0L)</v>
      </c>
      <c r="K724" s="3" t="s">
        <v>1782</v>
      </c>
      <c r="L724" s="3"/>
      <c r="M724" s="7">
        <v>5</v>
      </c>
      <c r="N724" s="7">
        <v>0</v>
      </c>
    </row>
    <row r="725" spans="1:14" ht="14.25" x14ac:dyDescent="0.2">
      <c r="A725" s="3">
        <v>67269</v>
      </c>
      <c r="B725" s="3" t="s">
        <v>2388</v>
      </c>
      <c r="C725" s="3" t="s">
        <v>16</v>
      </c>
      <c r="D725" s="6" t="s">
        <v>1782</v>
      </c>
      <c r="E725" s="6" t="s">
        <v>1782</v>
      </c>
      <c r="F725" s="3" t="str">
        <f>IFERROR( VLOOKUP(A725,#REF!,2,0),"")</f>
        <v/>
      </c>
      <c r="G725" s="3">
        <f t="array" ref="G725">_xlfn.XLOOKUP(I725,Base_Datos!D:D,Base_Datos!B:B,"")</f>
        <v>0</v>
      </c>
      <c r="H725" s="3" t="str">
        <f t="array" ref="H725">IF(I725="","",IFERROR(_xlfn.XLOOKUP(I725,Base_Datos!$D$2:$D3876,Base_Datos!$C$2:$C3876),""))</f>
        <v/>
      </c>
      <c r="I725" s="3"/>
      <c r="J725" s="3" t="str">
        <f>IF(I725="","",IFERROR(VLOOKUP(I725,Base_Datos!$D$2:$E$72,2,0),""))</f>
        <v/>
      </c>
      <c r="K725" s="3" t="s">
        <v>1782</v>
      </c>
      <c r="L725" s="3"/>
      <c r="M725" s="7">
        <v>2</v>
      </c>
      <c r="N725" s="7">
        <v>0</v>
      </c>
    </row>
    <row r="726" spans="1:14" ht="14.25" x14ac:dyDescent="0.2">
      <c r="A726" s="3">
        <v>67270</v>
      </c>
      <c r="B726" s="3" t="s">
        <v>2389</v>
      </c>
      <c r="C726" s="3" t="s">
        <v>16</v>
      </c>
      <c r="D726" s="6" t="s">
        <v>1782</v>
      </c>
      <c r="E726" s="6" t="s">
        <v>1782</v>
      </c>
      <c r="F726" s="3" t="str">
        <f>IFERROR( VLOOKUP(A726,#REF!,2,0),"")</f>
        <v/>
      </c>
      <c r="G726" s="3">
        <f t="array" ref="G726">_xlfn.XLOOKUP(I726,Base_Datos!D:D,Base_Datos!B:B,"")</f>
        <v>0</v>
      </c>
      <c r="H726" s="3" t="str">
        <f t="array" ref="H726">IF(I726="","",IFERROR(_xlfn.XLOOKUP(I726,Base_Datos!$D$2:$D3876,Base_Datos!$C$2:$C3876),""))</f>
        <v/>
      </c>
      <c r="I726" s="3"/>
      <c r="J726" s="3" t="str">
        <f>IF(I726="","",IFERROR(VLOOKUP(I726,Base_Datos!$D$2:$E$72,2,0),""))</f>
        <v/>
      </c>
      <c r="K726" s="3" t="s">
        <v>1782</v>
      </c>
      <c r="L726" s="3"/>
      <c r="M726" s="7">
        <v>2</v>
      </c>
      <c r="N726" s="7">
        <v>0</v>
      </c>
    </row>
    <row r="727" spans="1:14" ht="14.25" x14ac:dyDescent="0.2">
      <c r="A727" s="3">
        <v>67271</v>
      </c>
      <c r="B727" s="3" t="s">
        <v>2059</v>
      </c>
      <c r="C727" s="3" t="s">
        <v>16</v>
      </c>
      <c r="D727" s="6" t="s">
        <v>1782</v>
      </c>
      <c r="E727" s="6" t="s">
        <v>1782</v>
      </c>
      <c r="F727" s="3" t="str">
        <f>IFERROR( VLOOKUP(A727,#REF!,2,0),"")</f>
        <v/>
      </c>
      <c r="G727" s="3" t="str">
        <f t="array" ref="G727">_xlfn.XLOOKUP(I727,Base_Datos!D:D,Base_Datos!B:B,"")</f>
        <v>GAC</v>
      </c>
      <c r="H727" s="3" t="str">
        <f t="array" ref="H727">IF(I727="","",IFERROR(_xlfn.XLOOKUP(I727,Base_Datos!$D$2:$D3876,Base_Datos!$C$2:$C3876),""))</f>
        <v>Serie GS</v>
      </c>
      <c r="I727" s="3" t="s">
        <v>1487</v>
      </c>
      <c r="J727" s="3" t="str">
        <f>IF(I727="","",IFERROR(VLOOKUP(I727,Base_Datos!$D$2:$E$72,2,0),""))</f>
        <v>(2.0L)</v>
      </c>
      <c r="K727" s="3" t="s">
        <v>1782</v>
      </c>
      <c r="L727" s="3"/>
      <c r="M727" s="7">
        <v>2</v>
      </c>
      <c r="N727" s="7">
        <v>0</v>
      </c>
    </row>
    <row r="728" spans="1:14" ht="14.25" x14ac:dyDescent="0.2">
      <c r="A728" s="3">
        <v>67272</v>
      </c>
      <c r="B728" s="3" t="s">
        <v>2236</v>
      </c>
      <c r="C728" s="3" t="s">
        <v>16</v>
      </c>
      <c r="D728" s="6" t="s">
        <v>1782</v>
      </c>
      <c r="E728" s="6" t="s">
        <v>1782</v>
      </c>
      <c r="F728" s="3" t="str">
        <f>IFERROR( VLOOKUP(A728,#REF!,2,0),"")</f>
        <v/>
      </c>
      <c r="G728" s="3">
        <f t="array" ref="G728">_xlfn.XLOOKUP(I728,Base_Datos!D:D,Base_Datos!B:B,"")</f>
        <v>0</v>
      </c>
      <c r="H728" s="3" t="str">
        <f t="array" ref="H728">IF(I728="","",IFERROR(_xlfn.XLOOKUP(I728,Base_Datos!$D$2:$D3876,Base_Datos!$C$2:$C3876),""))</f>
        <v/>
      </c>
      <c r="I728" s="3"/>
      <c r="J728" s="3" t="str">
        <f>IF(I728="","",IFERROR(VLOOKUP(I728,Base_Datos!$D$2:$E$72,2,0),""))</f>
        <v/>
      </c>
      <c r="K728" s="3" t="s">
        <v>1782</v>
      </c>
      <c r="L728" s="3"/>
      <c r="M728" s="7">
        <v>1</v>
      </c>
      <c r="N728" s="7">
        <v>0</v>
      </c>
    </row>
    <row r="729" spans="1:14" ht="14.25" x14ac:dyDescent="0.2">
      <c r="A729" s="3">
        <v>67273</v>
      </c>
      <c r="B729" s="3" t="s">
        <v>2237</v>
      </c>
      <c r="C729" s="3" t="s">
        <v>16</v>
      </c>
      <c r="D729" s="6" t="s">
        <v>1782</v>
      </c>
      <c r="E729" s="6" t="s">
        <v>1782</v>
      </c>
      <c r="F729" s="3" t="str">
        <f>IFERROR( VLOOKUP(A729,#REF!,2,0),"")</f>
        <v/>
      </c>
      <c r="G729" s="3">
        <f t="array" ref="G729">_xlfn.XLOOKUP(I729,Base_Datos!D:D,Base_Datos!B:B,"")</f>
        <v>0</v>
      </c>
      <c r="H729" s="3" t="str">
        <f t="array" ref="H729">IF(I729="","",IFERROR(_xlfn.XLOOKUP(I729,Base_Datos!$D$2:$D3876,Base_Datos!$C$2:$C3876),""))</f>
        <v/>
      </c>
      <c r="I729" s="3"/>
      <c r="J729" s="3" t="str">
        <f>IF(I729="","",IFERROR(VLOOKUP(I729,Base_Datos!$D$2:$E$72,2,0),""))</f>
        <v/>
      </c>
      <c r="K729" s="3" t="s">
        <v>1782</v>
      </c>
      <c r="L729" s="3"/>
      <c r="M729" s="7">
        <v>1</v>
      </c>
      <c r="N729" s="7">
        <v>0</v>
      </c>
    </row>
    <row r="730" spans="1:14" ht="14.25" x14ac:dyDescent="0.2">
      <c r="A730" s="3">
        <v>67274</v>
      </c>
      <c r="B730" s="3" t="s">
        <v>2238</v>
      </c>
      <c r="C730" s="3" t="s">
        <v>16</v>
      </c>
      <c r="D730" s="6" t="s">
        <v>1782</v>
      </c>
      <c r="E730" s="6" t="s">
        <v>1782</v>
      </c>
      <c r="F730" s="3" t="str">
        <f>IFERROR( VLOOKUP(A730,#REF!,2,0),"")</f>
        <v/>
      </c>
      <c r="G730" s="3">
        <f t="array" ref="G730">_xlfn.XLOOKUP(I730,Base_Datos!D:D,Base_Datos!B:B,"")</f>
        <v>0</v>
      </c>
      <c r="H730" s="3" t="str">
        <f t="array" ref="H730">IF(I730="","",IFERROR(_xlfn.XLOOKUP(I730,Base_Datos!$D$2:$D3876,Base_Datos!$C$2:$C3876),""))</f>
        <v/>
      </c>
      <c r="I730" s="3"/>
      <c r="J730" s="3" t="str">
        <f>IF(I730="","",IFERROR(VLOOKUP(I730,Base_Datos!$D$2:$E$72,2,0),""))</f>
        <v/>
      </c>
      <c r="K730" s="3" t="s">
        <v>1782</v>
      </c>
      <c r="L730" s="3"/>
      <c r="M730" s="7">
        <v>2</v>
      </c>
      <c r="N730" s="7">
        <v>0</v>
      </c>
    </row>
    <row r="731" spans="1:14" ht="14.25" x14ac:dyDescent="0.2">
      <c r="A731" s="3">
        <v>67275</v>
      </c>
      <c r="B731" s="3" t="s">
        <v>2239</v>
      </c>
      <c r="C731" s="3" t="s">
        <v>16</v>
      </c>
      <c r="D731" s="6" t="s">
        <v>1782</v>
      </c>
      <c r="E731" s="6" t="s">
        <v>1782</v>
      </c>
      <c r="F731" s="3" t="str">
        <f>IFERROR( VLOOKUP(A731,#REF!,2,0),"")</f>
        <v/>
      </c>
      <c r="G731" s="3">
        <f t="array" ref="G731">_xlfn.XLOOKUP(I731,Base_Datos!D:D,Base_Datos!B:B,"")</f>
        <v>0</v>
      </c>
      <c r="H731" s="3" t="str">
        <f t="array" ref="H731">IF(I731="","",IFERROR(_xlfn.XLOOKUP(I731,Base_Datos!$D$2:$D3876,Base_Datos!$C$2:$C3876),""))</f>
        <v/>
      </c>
      <c r="I731" s="3"/>
      <c r="J731" s="3" t="str">
        <f>IF(I731="","",IFERROR(VLOOKUP(I731,Base_Datos!$D$2:$E$72,2,0),""))</f>
        <v/>
      </c>
      <c r="K731" s="3" t="s">
        <v>1782</v>
      </c>
      <c r="L731" s="3"/>
      <c r="M731" s="7">
        <v>1</v>
      </c>
      <c r="N731" s="7">
        <v>0</v>
      </c>
    </row>
    <row r="732" spans="1:14" ht="14.25" x14ac:dyDescent="0.2">
      <c r="A732" s="3">
        <v>67276</v>
      </c>
      <c r="B732" s="3" t="s">
        <v>2240</v>
      </c>
      <c r="C732" s="3" t="s">
        <v>16</v>
      </c>
      <c r="D732" s="6" t="s">
        <v>1782</v>
      </c>
      <c r="E732" s="6" t="s">
        <v>1782</v>
      </c>
      <c r="F732" s="3" t="str">
        <f>IFERROR( VLOOKUP(A732,#REF!,2,0),"")</f>
        <v/>
      </c>
      <c r="G732" s="3">
        <f t="array" ref="G732">_xlfn.XLOOKUP(I732,Base_Datos!D:D,Base_Datos!B:B,"")</f>
        <v>0</v>
      </c>
      <c r="H732" s="3" t="str">
        <f t="array" ref="H732">IF(I732="","",IFERROR(_xlfn.XLOOKUP(I732,Base_Datos!$D$2:$D3876,Base_Datos!$C$2:$C3876),""))</f>
        <v/>
      </c>
      <c r="I732" s="3"/>
      <c r="J732" s="3" t="str">
        <f>IF(I732="","",IFERROR(VLOOKUP(I732,Base_Datos!$D$2:$E$72,2,0),""))</f>
        <v/>
      </c>
      <c r="K732" s="3" t="s">
        <v>1782</v>
      </c>
      <c r="L732" s="3"/>
      <c r="M732" s="7">
        <v>2</v>
      </c>
      <c r="N732" s="7">
        <v>0</v>
      </c>
    </row>
    <row r="733" spans="1:14" ht="14.25" x14ac:dyDescent="0.2">
      <c r="A733" s="3">
        <v>67277</v>
      </c>
      <c r="B733" s="3" t="s">
        <v>1866</v>
      </c>
      <c r="C733" s="3" t="s">
        <v>16</v>
      </c>
      <c r="D733" s="6" t="s">
        <v>1782</v>
      </c>
      <c r="E733" s="6" t="s">
        <v>1782</v>
      </c>
      <c r="F733" s="3" t="str">
        <f>IFERROR( VLOOKUP(A733,#REF!,2,0),"")</f>
        <v/>
      </c>
      <c r="G733" s="3">
        <f t="array" ref="G733">_xlfn.XLOOKUP(I733,Base_Datos!D:D,Base_Datos!B:B,"")</f>
        <v>0</v>
      </c>
      <c r="H733" s="3" t="str">
        <f t="array" ref="H733">IF(I733="","",IFERROR(_xlfn.XLOOKUP(I733,Base_Datos!$D$2:$D3876,Base_Datos!$C$2:$C3876),""))</f>
        <v/>
      </c>
      <c r="I733" s="3"/>
      <c r="J733" s="3" t="str">
        <f>IF(I733="","",IFERROR(VLOOKUP(I733,Base_Datos!$D$2:$E$72,2,0),""))</f>
        <v/>
      </c>
      <c r="K733" s="3" t="s">
        <v>1782</v>
      </c>
      <c r="L733" s="3"/>
      <c r="M733" s="7">
        <v>2</v>
      </c>
      <c r="N733" s="7">
        <v>0</v>
      </c>
    </row>
    <row r="734" spans="1:14" ht="14.25" x14ac:dyDescent="0.2">
      <c r="A734" s="3">
        <v>69000</v>
      </c>
      <c r="B734" s="3" t="s">
        <v>2390</v>
      </c>
      <c r="C734" s="3" t="s">
        <v>18</v>
      </c>
      <c r="D734" s="6" t="s">
        <v>211</v>
      </c>
      <c r="E734" s="6" t="s">
        <v>211</v>
      </c>
      <c r="F734" s="3" t="str">
        <f>IFERROR( VLOOKUP(A734,#REF!,2,0),"")</f>
        <v/>
      </c>
      <c r="G734" s="3" t="str">
        <f t="array" ref="G734">_xlfn.XLOOKUP(I734,Base_Datos!D:D,Base_Datos!B:B,"")</f>
        <v>DFSK</v>
      </c>
      <c r="H734" s="3" t="str">
        <f t="array" ref="H734">IF(I734="","",IFERROR(_xlfn.XLOOKUP(I734,Base_Datos!$D$2:$D3876,Base_Datos!$C$2:$C3876),""))</f>
        <v>Serie C</v>
      </c>
      <c r="I734" s="3" t="s">
        <v>343</v>
      </c>
      <c r="J734" s="3" t="str">
        <f>IF(I734="","",IFERROR(VLOOKUP(I734,Base_Datos!$D$2:$E$72,2,0),""))</f>
        <v>(1.5L)</v>
      </c>
      <c r="K734" s="3" t="s">
        <v>2391</v>
      </c>
      <c r="L734" s="3"/>
      <c r="M734" s="7">
        <v>5</v>
      </c>
      <c r="N734" s="7">
        <v>0</v>
      </c>
    </row>
    <row r="735" spans="1:14" ht="14.25" x14ac:dyDescent="0.2">
      <c r="A735" s="3">
        <v>69001</v>
      </c>
      <c r="B735" s="3" t="s">
        <v>2392</v>
      </c>
      <c r="C735" s="3" t="s">
        <v>18</v>
      </c>
      <c r="D735" s="6" t="s">
        <v>213</v>
      </c>
      <c r="E735" s="6" t="s">
        <v>213</v>
      </c>
      <c r="F735" s="3" t="str">
        <f>IFERROR( VLOOKUP(A735,#REF!,2,0),"")</f>
        <v/>
      </c>
      <c r="G735" s="3" t="str">
        <f t="array" ref="G735">_xlfn.XLOOKUP(I735,Base_Datos!D:D,Base_Datos!B:B,"")</f>
        <v>DFSK</v>
      </c>
      <c r="H735" s="3" t="str">
        <f t="array" ref="H735">IF(I735="","",IFERROR(_xlfn.XLOOKUP(I735,Base_Datos!$D$2:$D3876,Base_Datos!$C$2:$C3876),""))</f>
        <v>Serie C</v>
      </c>
      <c r="I735" s="3" t="s">
        <v>343</v>
      </c>
      <c r="J735" s="3" t="str">
        <f>IF(I735="","",IFERROR(VLOOKUP(I735,Base_Datos!$D$2:$E$72,2,0),""))</f>
        <v>(1.5L)</v>
      </c>
      <c r="K735" s="3" t="s">
        <v>2391</v>
      </c>
      <c r="L735" s="3"/>
      <c r="M735" s="7">
        <v>30</v>
      </c>
      <c r="N735" s="7">
        <v>0</v>
      </c>
    </row>
    <row r="736" spans="1:14" ht="14.25" x14ac:dyDescent="0.2">
      <c r="A736" s="3">
        <v>69002</v>
      </c>
      <c r="B736" s="3" t="s">
        <v>2393</v>
      </c>
      <c r="C736" s="3" t="s">
        <v>18</v>
      </c>
      <c r="D736" s="6" t="s">
        <v>2394</v>
      </c>
      <c r="E736" s="6" t="s">
        <v>2394</v>
      </c>
      <c r="F736" s="3" t="str">
        <f>IFERROR( VLOOKUP(A736,#REF!,2,0),"")</f>
        <v/>
      </c>
      <c r="G736" s="3" t="str">
        <f t="array" ref="G736">_xlfn.XLOOKUP(I736,Base_Datos!D:D,Base_Datos!B:B,"")</f>
        <v>DFSK</v>
      </c>
      <c r="H736" s="3" t="str">
        <f t="array" ref="H736">IF(I736="","",IFERROR(_xlfn.XLOOKUP(I736,Base_Datos!$D$2:$D3876,Base_Datos!$C$2:$C3876),""))</f>
        <v>Serie C</v>
      </c>
      <c r="I736" s="3" t="s">
        <v>343</v>
      </c>
      <c r="J736" s="3" t="str">
        <f>IF(I736="","",IFERROR(VLOOKUP(I736,Base_Datos!$D$2:$E$72,2,0),""))</f>
        <v>(1.5L)</v>
      </c>
      <c r="K736" s="3" t="s">
        <v>2395</v>
      </c>
      <c r="L736" s="3"/>
      <c r="M736" s="7">
        <v>8</v>
      </c>
      <c r="N736" s="7">
        <v>0</v>
      </c>
    </row>
    <row r="737" spans="1:14" ht="14.25" x14ac:dyDescent="0.2">
      <c r="A737" s="3">
        <v>69003</v>
      </c>
      <c r="B737" s="3" t="s">
        <v>2396</v>
      </c>
      <c r="C737" s="3" t="s">
        <v>18</v>
      </c>
      <c r="D737" s="6" t="s">
        <v>2397</v>
      </c>
      <c r="E737" s="6" t="s">
        <v>2398</v>
      </c>
      <c r="F737" s="3" t="str">
        <f>IFERROR( VLOOKUP(A737,#REF!,2,0),"")</f>
        <v/>
      </c>
      <c r="G737" s="3" t="str">
        <f t="array" ref="G737">_xlfn.XLOOKUP(I737,Base_Datos!D:D,Base_Datos!B:B,"")</f>
        <v>DFSK</v>
      </c>
      <c r="H737" s="3" t="str">
        <f t="array" ref="H737">IF(I737="","",IFERROR(_xlfn.XLOOKUP(I737,Base_Datos!$D$2:$D3876,Base_Datos!$C$2:$C3876),""))</f>
        <v>Serie C</v>
      </c>
      <c r="I737" s="3" t="s">
        <v>343</v>
      </c>
      <c r="J737" s="3" t="str">
        <f>IF(I737="","",IFERROR(VLOOKUP(I737,Base_Datos!$D$2:$E$72,2,0),""))</f>
        <v>(1.5L)</v>
      </c>
      <c r="K737" s="3" t="s">
        <v>2395</v>
      </c>
      <c r="L737" s="3"/>
      <c r="M737" s="7">
        <v>10</v>
      </c>
      <c r="N737" s="7">
        <v>0</v>
      </c>
    </row>
    <row r="738" spans="1:14" ht="14.25" x14ac:dyDescent="0.2">
      <c r="A738" s="3">
        <v>69004</v>
      </c>
      <c r="B738" s="3" t="s">
        <v>2399</v>
      </c>
      <c r="C738" s="3" t="s">
        <v>18</v>
      </c>
      <c r="D738" s="6" t="s">
        <v>2400</v>
      </c>
      <c r="E738" s="6" t="s">
        <v>909</v>
      </c>
      <c r="F738" s="3" t="str">
        <f>IFERROR( VLOOKUP(A738,#REF!,2,0),"")</f>
        <v/>
      </c>
      <c r="G738" s="3" t="str">
        <f t="array" ref="G738">_xlfn.XLOOKUP(I738,Base_Datos!D:D,Base_Datos!B:B,"")</f>
        <v>DFSK</v>
      </c>
      <c r="H738" s="3" t="str">
        <f t="array" ref="H738">IF(I738="","",IFERROR(_xlfn.XLOOKUP(I738,Base_Datos!$D$2:$D3876,Base_Datos!$C$2:$C3876),""))</f>
        <v>Serie C</v>
      </c>
      <c r="I738" s="3" t="s">
        <v>343</v>
      </c>
      <c r="J738" s="3" t="str">
        <f>IF(I738="","",IFERROR(VLOOKUP(I738,Base_Datos!$D$2:$E$72,2,0),""))</f>
        <v>(1.5L)</v>
      </c>
      <c r="K738" s="3" t="s">
        <v>2401</v>
      </c>
      <c r="L738" s="3"/>
      <c r="M738" s="7">
        <v>19</v>
      </c>
      <c r="N738" s="7">
        <v>0</v>
      </c>
    </row>
    <row r="739" spans="1:14" ht="14.25" x14ac:dyDescent="0.2">
      <c r="A739" s="3">
        <v>69005</v>
      </c>
      <c r="B739" s="3" t="s">
        <v>2402</v>
      </c>
      <c r="C739" s="3" t="s">
        <v>18</v>
      </c>
      <c r="D739" s="6" t="s">
        <v>2403</v>
      </c>
      <c r="E739" s="6" t="s">
        <v>2403</v>
      </c>
      <c r="F739" s="3" t="str">
        <f>IFERROR( VLOOKUP(A739,#REF!,2,0),"")</f>
        <v/>
      </c>
      <c r="G739" s="3" t="str">
        <f t="array" ref="G739">_xlfn.XLOOKUP(I739,Base_Datos!D:D,Base_Datos!B:B,"")</f>
        <v>DFSK</v>
      </c>
      <c r="H739" s="3" t="str">
        <f t="array" ref="H739">IF(I739="","",IFERROR(_xlfn.XLOOKUP(I739,Base_Datos!$D$2:$D3876,Base_Datos!$C$2:$C3876),""))</f>
        <v>Serie C</v>
      </c>
      <c r="I739" s="3" t="s">
        <v>343</v>
      </c>
      <c r="J739" s="3" t="str">
        <f>IF(I739="","",IFERROR(VLOOKUP(I739,Base_Datos!$D$2:$E$72,2,0),""))</f>
        <v>(1.5L)</v>
      </c>
      <c r="K739" s="3" t="s">
        <v>2395</v>
      </c>
      <c r="L739" s="3"/>
      <c r="M739" s="7">
        <v>50</v>
      </c>
      <c r="N739" s="7">
        <v>0</v>
      </c>
    </row>
    <row r="740" spans="1:14" ht="14.25" x14ac:dyDescent="0.2">
      <c r="A740" s="3">
        <v>69006</v>
      </c>
      <c r="B740" s="3" t="s">
        <v>2404</v>
      </c>
      <c r="C740" s="3" t="s">
        <v>18</v>
      </c>
      <c r="D740" s="6" t="s">
        <v>2405</v>
      </c>
      <c r="E740" s="6" t="s">
        <v>2405</v>
      </c>
      <c r="F740" s="3" t="str">
        <f>IFERROR( VLOOKUP(A740,#REF!,2,0),"")</f>
        <v/>
      </c>
      <c r="G740" s="3" t="str">
        <f t="array" ref="G740">_xlfn.XLOOKUP(I740,Base_Datos!D:D,Base_Datos!B:B,"")</f>
        <v>DFSK</v>
      </c>
      <c r="H740" s="3" t="str">
        <f t="array" ref="H740">IF(I740="","",IFERROR(_xlfn.XLOOKUP(I740,Base_Datos!$D$2:$D3876,Base_Datos!$C$2:$C3876),""))</f>
        <v>Serie C</v>
      </c>
      <c r="I740" s="3" t="s">
        <v>343</v>
      </c>
      <c r="J740" s="3" t="str">
        <f>IF(I740="","",IFERROR(VLOOKUP(I740,Base_Datos!$D$2:$E$72,2,0),""))</f>
        <v>(1.5L)</v>
      </c>
      <c r="K740" s="3" t="s">
        <v>2391</v>
      </c>
      <c r="L740" s="3"/>
      <c r="M740" s="7">
        <v>39</v>
      </c>
      <c r="N740" s="7">
        <v>0</v>
      </c>
    </row>
    <row r="741" spans="1:14" ht="14.25" x14ac:dyDescent="0.2">
      <c r="A741" s="3">
        <v>69007</v>
      </c>
      <c r="B741" s="3" t="s">
        <v>2406</v>
      </c>
      <c r="C741" s="3" t="s">
        <v>18</v>
      </c>
      <c r="D741" s="6" t="s">
        <v>2407</v>
      </c>
      <c r="E741" s="6" t="s">
        <v>2407</v>
      </c>
      <c r="F741" s="3" t="str">
        <f>IFERROR( VLOOKUP(A741,#REF!,2,0),"")</f>
        <v/>
      </c>
      <c r="G741" s="3" t="str">
        <f t="array" ref="G741">_xlfn.XLOOKUP(I741,Base_Datos!D:D,Base_Datos!B:B,"")</f>
        <v>DFSK</v>
      </c>
      <c r="H741" s="3" t="str">
        <f t="array" ref="H741">IF(I741="","",IFERROR(_xlfn.XLOOKUP(I741,Base_Datos!$D$2:$D3876,Base_Datos!$C$2:$C3876),""))</f>
        <v>Serie C</v>
      </c>
      <c r="I741" s="3" t="s">
        <v>343</v>
      </c>
      <c r="J741" s="3" t="str">
        <f>IF(I741="","",IFERROR(VLOOKUP(I741,Base_Datos!$D$2:$E$72,2,0),""))</f>
        <v>(1.5L)</v>
      </c>
      <c r="K741" s="3" t="s">
        <v>2408</v>
      </c>
      <c r="L741" s="3"/>
      <c r="M741" s="7">
        <v>3</v>
      </c>
      <c r="N741" s="7">
        <v>0</v>
      </c>
    </row>
    <row r="742" spans="1:14" ht="14.25" x14ac:dyDescent="0.2">
      <c r="A742" s="3">
        <v>69008</v>
      </c>
      <c r="B742" s="3" t="s">
        <v>2409</v>
      </c>
      <c r="C742" s="3" t="s">
        <v>18</v>
      </c>
      <c r="D742" s="6" t="s">
        <v>2410</v>
      </c>
      <c r="E742" s="6" t="s">
        <v>2410</v>
      </c>
      <c r="F742" s="3" t="str">
        <f>IFERROR( VLOOKUP(A742,#REF!,2,0),"")</f>
        <v/>
      </c>
      <c r="G742" s="3" t="str">
        <f t="array" ref="G742">_xlfn.XLOOKUP(I742,Base_Datos!D:D,Base_Datos!B:B,"")</f>
        <v>DFSK</v>
      </c>
      <c r="H742" s="3" t="str">
        <f t="array" ref="H742">IF(I742="","",IFERROR(_xlfn.XLOOKUP(I742,Base_Datos!$D$2:$D3876,Base_Datos!$C$2:$C3876),""))</f>
        <v>Serie C</v>
      </c>
      <c r="I742" s="3" t="s">
        <v>343</v>
      </c>
      <c r="J742" s="3" t="str">
        <f>IF(I742="","",IFERROR(VLOOKUP(I742,Base_Datos!$D$2:$E$72,2,0),""))</f>
        <v>(1.5L)</v>
      </c>
      <c r="K742" s="3" t="s">
        <v>2391</v>
      </c>
      <c r="L742" s="3"/>
      <c r="M742" s="7">
        <v>39</v>
      </c>
      <c r="N742" s="7">
        <v>0</v>
      </c>
    </row>
    <row r="743" spans="1:14" ht="14.25" x14ac:dyDescent="0.2">
      <c r="A743" s="3">
        <v>69009</v>
      </c>
      <c r="B743" s="3" t="s">
        <v>2411</v>
      </c>
      <c r="C743" s="3" t="s">
        <v>18</v>
      </c>
      <c r="D743" s="6" t="s">
        <v>2412</v>
      </c>
      <c r="E743" s="6" t="s">
        <v>2412</v>
      </c>
      <c r="F743" s="3" t="str">
        <f>IFERROR( VLOOKUP(A743,#REF!,2,0),"")</f>
        <v/>
      </c>
      <c r="G743" s="3" t="str">
        <f t="array" ref="G743">_xlfn.XLOOKUP(I743,Base_Datos!D:D,Base_Datos!B:B,"")</f>
        <v>DFSK</v>
      </c>
      <c r="H743" s="3" t="str">
        <f t="array" ref="H743">IF(I743="","",IFERROR(_xlfn.XLOOKUP(I743,Base_Datos!$D$2:$D3876,Base_Datos!$C$2:$C3876),""))</f>
        <v>Serie C</v>
      </c>
      <c r="I743" s="3" t="s">
        <v>343</v>
      </c>
      <c r="J743" s="3" t="str">
        <f>IF(I743="","",IFERROR(VLOOKUP(I743,Base_Datos!$D$2:$E$72,2,0),""))</f>
        <v>(1.5L)</v>
      </c>
      <c r="K743" s="3" t="s">
        <v>1782</v>
      </c>
      <c r="L743" s="3"/>
      <c r="M743" s="7">
        <v>20</v>
      </c>
      <c r="N743" s="7">
        <v>0</v>
      </c>
    </row>
    <row r="744" spans="1:14" ht="14.25" x14ac:dyDescent="0.2">
      <c r="A744" s="3">
        <v>69010</v>
      </c>
      <c r="B744" s="3" t="s">
        <v>2413</v>
      </c>
      <c r="C744" s="3" t="s">
        <v>18</v>
      </c>
      <c r="D744" s="6" t="s">
        <v>2414</v>
      </c>
      <c r="E744" s="6" t="s">
        <v>2414</v>
      </c>
      <c r="F744" s="3" t="str">
        <f>IFERROR( VLOOKUP(A744,#REF!,2,0),"")</f>
        <v/>
      </c>
      <c r="G744" s="3" t="str">
        <f t="array" ref="G744">_xlfn.XLOOKUP(I744,Base_Datos!D:D,Base_Datos!B:B,"")</f>
        <v>DFSK</v>
      </c>
      <c r="H744" s="3" t="str">
        <f t="array" ref="H744">IF(I744="","",IFERROR(_xlfn.XLOOKUP(I744,Base_Datos!$D$2:$D3876,Base_Datos!$C$2:$C3876),""))</f>
        <v>Serie C</v>
      </c>
      <c r="I744" s="3" t="s">
        <v>343</v>
      </c>
      <c r="J744" s="3" t="str">
        <f>IF(I744="","",IFERROR(VLOOKUP(I744,Base_Datos!$D$2:$E$72,2,0),""))</f>
        <v>(1.5L)</v>
      </c>
      <c r="K744" s="3" t="s">
        <v>1782</v>
      </c>
      <c r="L744" s="3"/>
      <c r="M744" s="7">
        <v>10</v>
      </c>
      <c r="N744" s="7">
        <v>0</v>
      </c>
    </row>
    <row r="745" spans="1:14" ht="14.25" x14ac:dyDescent="0.2">
      <c r="A745" s="3">
        <v>69011</v>
      </c>
      <c r="B745" s="3" t="s">
        <v>2415</v>
      </c>
      <c r="C745" s="3" t="s">
        <v>18</v>
      </c>
      <c r="D745" s="6" t="s">
        <v>2416</v>
      </c>
      <c r="E745" s="6" t="s">
        <v>2416</v>
      </c>
      <c r="F745" s="3" t="str">
        <f>IFERROR( VLOOKUP(A745,#REF!,2,0),"")</f>
        <v/>
      </c>
      <c r="G745" s="3" t="str">
        <f t="array" ref="G745">_xlfn.XLOOKUP(I745,Base_Datos!D:D,Base_Datos!B:B,"")</f>
        <v>DFSK</v>
      </c>
      <c r="H745" s="3" t="str">
        <f t="array" ref="H745">IF(I745="","",IFERROR(_xlfn.XLOOKUP(I745,Base_Datos!$D$2:$D3876,Base_Datos!$C$2:$C3876),""))</f>
        <v>Serie C</v>
      </c>
      <c r="I745" s="3" t="s">
        <v>343</v>
      </c>
      <c r="J745" s="3" t="str">
        <f>IF(I745="","",IFERROR(VLOOKUP(I745,Base_Datos!$D$2:$E$72,2,0),""))</f>
        <v>(1.5L)</v>
      </c>
      <c r="K745" s="3" t="s">
        <v>2391</v>
      </c>
      <c r="L745" s="3"/>
      <c r="M745" s="7">
        <v>14</v>
      </c>
      <c r="N745" s="7">
        <v>0</v>
      </c>
    </row>
    <row r="746" spans="1:14" ht="14.25" x14ac:dyDescent="0.2">
      <c r="A746" s="3">
        <v>69012</v>
      </c>
      <c r="B746" s="3" t="s">
        <v>2417</v>
      </c>
      <c r="C746" s="3" t="s">
        <v>18</v>
      </c>
      <c r="D746" s="6" t="s">
        <v>928</v>
      </c>
      <c r="E746" s="6" t="s">
        <v>928</v>
      </c>
      <c r="F746" s="3" t="str">
        <f>IFERROR( VLOOKUP(A746,#REF!,2,0),"")</f>
        <v/>
      </c>
      <c r="G746" s="3" t="str">
        <f t="array" ref="G746">_xlfn.XLOOKUP(I746,Base_Datos!D:D,Base_Datos!B:B,"")</f>
        <v>DFSK</v>
      </c>
      <c r="H746" s="3" t="str">
        <f t="array" ref="H746">IF(I746="","",IFERROR(_xlfn.XLOOKUP(I746,Base_Datos!$D$2:$D3876,Base_Datos!$C$2:$C3876),""))</f>
        <v>Serie K</v>
      </c>
      <c r="I746" s="3" t="s">
        <v>475</v>
      </c>
      <c r="J746" s="3" t="str">
        <f>IF(I746="","",IFERROR(VLOOKUP(I746,Base_Datos!$D$2:$E$72,2,0),""))</f>
        <v>(1.1L)</v>
      </c>
      <c r="K746" s="3" t="s">
        <v>1782</v>
      </c>
      <c r="L746" s="3"/>
      <c r="M746" s="7">
        <v>59</v>
      </c>
      <c r="N746" s="7">
        <v>0</v>
      </c>
    </row>
    <row r="747" spans="1:14" ht="14.25" x14ac:dyDescent="0.2">
      <c r="A747" s="3">
        <v>69013</v>
      </c>
      <c r="B747" s="3" t="s">
        <v>2418</v>
      </c>
      <c r="C747" s="3" t="s">
        <v>18</v>
      </c>
      <c r="D747" s="6" t="s">
        <v>2419</v>
      </c>
      <c r="E747" s="6" t="s">
        <v>2419</v>
      </c>
      <c r="F747" s="3" t="str">
        <f>IFERROR( VLOOKUP(A747,#REF!,2,0),"")</f>
        <v/>
      </c>
      <c r="G747" s="3" t="str">
        <f t="array" ref="G747">_xlfn.XLOOKUP(I747,Base_Datos!D:D,Base_Datos!B:B,"")</f>
        <v>DFSK</v>
      </c>
      <c r="H747" s="3" t="str">
        <f t="array" ref="H747">IF(I747="","",IFERROR(_xlfn.XLOOKUP(I747,Base_Datos!$D$2:$D3876,Base_Datos!$C$2:$C3876),""))</f>
        <v>Serie C</v>
      </c>
      <c r="I747" s="3" t="s">
        <v>343</v>
      </c>
      <c r="J747" s="3" t="str">
        <f>IF(I747="","",IFERROR(VLOOKUP(I747,Base_Datos!$D$2:$E$72,2,0),""))</f>
        <v>(1.5L)</v>
      </c>
      <c r="K747" s="3" t="s">
        <v>2395</v>
      </c>
      <c r="L747" s="3"/>
      <c r="M747" s="7">
        <v>30</v>
      </c>
      <c r="N747" s="7">
        <v>0</v>
      </c>
    </row>
    <row r="748" spans="1:14" ht="14.25" x14ac:dyDescent="0.2">
      <c r="A748" s="3">
        <v>69014</v>
      </c>
      <c r="B748" s="3" t="s">
        <v>2420</v>
      </c>
      <c r="C748" s="3" t="s">
        <v>18</v>
      </c>
      <c r="D748" s="6" t="s">
        <v>2421</v>
      </c>
      <c r="E748" s="6" t="s">
        <v>2421</v>
      </c>
      <c r="F748" s="3" t="str">
        <f>IFERROR( VLOOKUP(A748,#REF!,2,0),"")</f>
        <v/>
      </c>
      <c r="G748" s="3" t="str">
        <f t="array" ref="G748">_xlfn.XLOOKUP(I748,Base_Datos!D:D,Base_Datos!B:B,"")</f>
        <v>DFSK</v>
      </c>
      <c r="H748" s="3" t="str">
        <f t="array" ref="H748">IF(I748="","",IFERROR(_xlfn.XLOOKUP(I748,Base_Datos!$D$2:$D3876,Base_Datos!$C$2:$C3876),""))</f>
        <v>Serie C</v>
      </c>
      <c r="I748" s="3" t="s">
        <v>343</v>
      </c>
      <c r="J748" s="3" t="str">
        <f>IF(I748="","",IFERROR(VLOOKUP(I748,Base_Datos!$D$2:$E$72,2,0),""))</f>
        <v>(1.5L)</v>
      </c>
      <c r="K748" s="3" t="s">
        <v>2395</v>
      </c>
      <c r="L748" s="3"/>
      <c r="M748" s="7">
        <v>40</v>
      </c>
      <c r="N748" s="7">
        <v>0</v>
      </c>
    </row>
    <row r="749" spans="1:14" ht="14.25" x14ac:dyDescent="0.2">
      <c r="A749" s="3">
        <v>69015</v>
      </c>
      <c r="B749" s="3" t="s">
        <v>1847</v>
      </c>
      <c r="C749" s="3" t="s">
        <v>18</v>
      </c>
      <c r="D749" s="6" t="s">
        <v>2422</v>
      </c>
      <c r="E749" s="6" t="s">
        <v>2422</v>
      </c>
      <c r="F749" s="3" t="str">
        <f>IFERROR( VLOOKUP(A749,#REF!,2,0),"")</f>
        <v/>
      </c>
      <c r="G749" s="3" t="str">
        <f t="array" ref="G749">_xlfn.XLOOKUP(I749,Base_Datos!D:D,Base_Datos!B:B,"")</f>
        <v>DFSK</v>
      </c>
      <c r="H749" s="3" t="str">
        <f t="array" ref="H749">IF(I749="","",IFERROR(_xlfn.XLOOKUP(I749,Base_Datos!$D$2:$D3876,Base_Datos!$C$2:$C3876),""))</f>
        <v>Serie C</v>
      </c>
      <c r="I749" s="3" t="s">
        <v>343</v>
      </c>
      <c r="J749" s="3" t="str">
        <f>IF(I749="","",IFERROR(VLOOKUP(I749,Base_Datos!$D$2:$E$72,2,0),""))</f>
        <v>(1.5L)</v>
      </c>
      <c r="K749" s="3" t="s">
        <v>2395</v>
      </c>
      <c r="L749" s="3"/>
      <c r="M749" s="7">
        <v>3</v>
      </c>
      <c r="N749" s="7">
        <v>0</v>
      </c>
    </row>
    <row r="750" spans="1:14" ht="14.25" x14ac:dyDescent="0.2">
      <c r="A750" s="3">
        <v>70000</v>
      </c>
      <c r="B750" s="3" t="s">
        <v>2423</v>
      </c>
      <c r="C750" s="3" t="s">
        <v>18</v>
      </c>
      <c r="D750" s="6" t="s">
        <v>2424</v>
      </c>
      <c r="E750" s="6" t="s">
        <v>2424</v>
      </c>
      <c r="F750" s="3" t="str">
        <f>IFERROR( VLOOKUP(A750,#REF!,2,0),"")</f>
        <v/>
      </c>
      <c r="G750" s="3" t="str">
        <f t="array" ref="G750">_xlfn.XLOOKUP(I750,Base_Datos!D:D,Base_Datos!B:B,"")</f>
        <v>DFSK</v>
      </c>
      <c r="H750" s="3" t="str">
        <f t="array" ref="H750">IF(I750="","",IFERROR(_xlfn.XLOOKUP(I750,Base_Datos!$D$2:$D3876,Base_Datos!$C$2:$C3876),""))</f>
        <v>Serie C</v>
      </c>
      <c r="I750" s="3" t="s">
        <v>339</v>
      </c>
      <c r="J750" s="3" t="str">
        <f>IF(I750="","",IFERROR(VLOOKUP(I750,Base_Datos!$D$2:$E$72,2,0),""))</f>
        <v>(1.5L)</v>
      </c>
      <c r="K750" s="3" t="s">
        <v>2425</v>
      </c>
      <c r="L750" s="3"/>
      <c r="M750" s="7">
        <v>50</v>
      </c>
      <c r="N750" s="7">
        <v>0</v>
      </c>
    </row>
    <row r="751" spans="1:14" ht="14.25" x14ac:dyDescent="0.2">
      <c r="A751" s="3">
        <v>70001</v>
      </c>
      <c r="B751" s="3" t="s">
        <v>2426</v>
      </c>
      <c r="C751" s="3" t="s">
        <v>18</v>
      </c>
      <c r="D751" s="6" t="s">
        <v>2427</v>
      </c>
      <c r="E751" s="6" t="s">
        <v>2427</v>
      </c>
      <c r="F751" s="3" t="str">
        <f>IFERROR( VLOOKUP(A751,#REF!,2,0),"")</f>
        <v/>
      </c>
      <c r="G751" s="3" t="str">
        <f t="array" ref="G751">_xlfn.XLOOKUP(I751,Base_Datos!D:D,Base_Datos!B:B,"")</f>
        <v>DFSK</v>
      </c>
      <c r="H751" s="3" t="str">
        <f t="array" ref="H751">IF(I751="","",IFERROR(_xlfn.XLOOKUP(I751,Base_Datos!$D$2:$D3876,Base_Datos!$C$2:$C3876),""))</f>
        <v>Serie C</v>
      </c>
      <c r="I751" s="3" t="s">
        <v>332</v>
      </c>
      <c r="J751" s="3" t="str">
        <f>IF(I751="","",IFERROR(VLOOKUP(I751,Base_Datos!$D$2:$E$72,2,0),""))</f>
        <v>(1.5L)</v>
      </c>
      <c r="K751" s="3" t="s">
        <v>2428</v>
      </c>
      <c r="L751" s="3"/>
      <c r="M751" s="7">
        <v>0</v>
      </c>
      <c r="N751" s="7">
        <v>0</v>
      </c>
    </row>
    <row r="752" spans="1:14" ht="14.25" x14ac:dyDescent="0.2">
      <c r="A752" s="3">
        <v>70002</v>
      </c>
      <c r="B752" s="3" t="s">
        <v>2429</v>
      </c>
      <c r="C752" s="3" t="s">
        <v>18</v>
      </c>
      <c r="D752" s="6" t="s">
        <v>2430</v>
      </c>
      <c r="E752" s="6" t="s">
        <v>2430</v>
      </c>
      <c r="F752" s="3" t="str">
        <f>IFERROR( VLOOKUP(A752,#REF!,2,0),"")</f>
        <v/>
      </c>
      <c r="G752" s="3" t="str">
        <f t="array" ref="G752">_xlfn.XLOOKUP(I752,Base_Datos!D:D,Base_Datos!B:B,"")</f>
        <v>DFSK</v>
      </c>
      <c r="H752" s="3" t="str">
        <f t="array" ref="H752">IF(I752="","",IFERROR(_xlfn.XLOOKUP(I752,Base_Datos!$D$2:$D3876,Base_Datos!$C$2:$C3876),""))</f>
        <v>Serie C</v>
      </c>
      <c r="I752" s="3" t="s">
        <v>339</v>
      </c>
      <c r="J752" s="3" t="str">
        <f>IF(I752="","",IFERROR(VLOOKUP(I752,Base_Datos!$D$2:$E$72,2,0),""))</f>
        <v>(1.5L)</v>
      </c>
      <c r="K752" s="3" t="s">
        <v>1782</v>
      </c>
      <c r="L752" s="3"/>
      <c r="M752" s="7">
        <v>2</v>
      </c>
      <c r="N752" s="7">
        <v>0</v>
      </c>
    </row>
    <row r="753" spans="1:14" ht="14.25" x14ac:dyDescent="0.2">
      <c r="A753" s="3">
        <v>70003</v>
      </c>
      <c r="B753" s="3" t="s">
        <v>1884</v>
      </c>
      <c r="C753" s="3" t="s">
        <v>18</v>
      </c>
      <c r="D753" s="6" t="s">
        <v>2431</v>
      </c>
      <c r="E753" s="6" t="s">
        <v>2431</v>
      </c>
      <c r="F753" s="3" t="str">
        <f>IFERROR( VLOOKUP(A753,#REF!,2,0),"")</f>
        <v/>
      </c>
      <c r="G753" s="3" t="str">
        <f t="array" ref="G753">_xlfn.XLOOKUP(I753,Base_Datos!D:D,Base_Datos!B:B,"")</f>
        <v>DFSK</v>
      </c>
      <c r="H753" s="3" t="str">
        <f t="array" ref="H753">IF(I753="","",IFERROR(_xlfn.XLOOKUP(I753,Base_Datos!$D$2:$D3876,Base_Datos!$C$2:$C3876),""))</f>
        <v>Serie C</v>
      </c>
      <c r="I753" s="3" t="s">
        <v>339</v>
      </c>
      <c r="J753" s="3" t="str">
        <f>IF(I753="","",IFERROR(VLOOKUP(I753,Base_Datos!$D$2:$E$72,2,0),""))</f>
        <v>(1.5L)</v>
      </c>
      <c r="K753" s="3" t="s">
        <v>1782</v>
      </c>
      <c r="L753" s="3"/>
      <c r="M753" s="7">
        <v>30</v>
      </c>
      <c r="N753" s="7">
        <v>0</v>
      </c>
    </row>
    <row r="754" spans="1:14" ht="14.25" x14ac:dyDescent="0.2">
      <c r="A754" s="3">
        <v>71000</v>
      </c>
      <c r="B754" s="3" t="s">
        <v>2432</v>
      </c>
      <c r="C754" s="3" t="s">
        <v>18</v>
      </c>
      <c r="D754" s="6" t="s">
        <v>1782</v>
      </c>
      <c r="E754" s="6" t="s">
        <v>1782</v>
      </c>
      <c r="F754" s="3" t="str">
        <f>IFERROR( VLOOKUP(A754,#REF!,2,0),"")</f>
        <v/>
      </c>
      <c r="G754" s="3">
        <f t="array" ref="G754">_xlfn.XLOOKUP(I754,Base_Datos!D:D,Base_Datos!B:B,"")</f>
        <v>0</v>
      </c>
      <c r="H754" s="3" t="str">
        <f t="array" ref="H754">IF(I754="","",IFERROR(_xlfn.XLOOKUP(I754,Base_Datos!$D$2:$D3876,Base_Datos!$C$2:$C3876),""))</f>
        <v/>
      </c>
      <c r="I754" s="3"/>
      <c r="J754" s="3" t="str">
        <f>IF(I754="","",IFERROR(VLOOKUP(I754,Base_Datos!$D$2:$E$72,2,0),""))</f>
        <v/>
      </c>
      <c r="K754" s="3" t="s">
        <v>1782</v>
      </c>
      <c r="L754" s="3"/>
      <c r="M754" s="7">
        <v>0</v>
      </c>
      <c r="N754" s="7">
        <v>0</v>
      </c>
    </row>
    <row r="755" spans="1:14" ht="14.25" x14ac:dyDescent="0.2">
      <c r="A755" s="3">
        <v>71001</v>
      </c>
      <c r="B755" s="3" t="s">
        <v>2433</v>
      </c>
      <c r="C755" s="3" t="s">
        <v>18</v>
      </c>
      <c r="D755" s="6" t="s">
        <v>2434</v>
      </c>
      <c r="E755" s="6" t="s">
        <v>2434</v>
      </c>
      <c r="F755" s="3" t="str">
        <f>IFERROR( VLOOKUP(A755,#REF!,2,0),"")</f>
        <v/>
      </c>
      <c r="G755" s="3" t="str">
        <f t="array" ref="G755">_xlfn.XLOOKUP(I755,Base_Datos!D:D,Base_Datos!B:B,"")</f>
        <v>DFSK</v>
      </c>
      <c r="H755" s="3" t="str">
        <f t="array" ref="H755">IF(I755="","",IFERROR(_xlfn.XLOOKUP(I755,Base_Datos!$D$2:$D3876,Base_Datos!$C$2:$C3876),""))</f>
        <v>Serie C</v>
      </c>
      <c r="I755" s="3" t="s">
        <v>265</v>
      </c>
      <c r="J755" s="3" t="str">
        <f>IF(I755="","",IFERROR(VLOOKUP(I755,Base_Datos!$D$2:$E$72,2,0),""))</f>
        <v>(1.5L)</v>
      </c>
      <c r="K755" s="3" t="s">
        <v>2435</v>
      </c>
      <c r="L755" s="3"/>
      <c r="M755" s="7">
        <v>6</v>
      </c>
      <c r="N755" s="7">
        <v>0</v>
      </c>
    </row>
    <row r="756" spans="1:14" ht="14.25" x14ac:dyDescent="0.2">
      <c r="A756" s="3">
        <v>71002</v>
      </c>
      <c r="B756" s="3" t="s">
        <v>2436</v>
      </c>
      <c r="C756" s="3" t="s">
        <v>18</v>
      </c>
      <c r="D756" s="6" t="s">
        <v>2437</v>
      </c>
      <c r="E756" s="6" t="s">
        <v>2437</v>
      </c>
      <c r="F756" s="3" t="str">
        <f>IFERROR( VLOOKUP(A756,#REF!,2,0),"")</f>
        <v/>
      </c>
      <c r="G756" s="3" t="str">
        <f t="array" ref="G756">_xlfn.XLOOKUP(I756,Base_Datos!D:D,Base_Datos!B:B,"")</f>
        <v>DFSK</v>
      </c>
      <c r="H756" s="3" t="str">
        <f t="array" ref="H756">IF(I756="","",IFERROR(_xlfn.XLOOKUP(I756,Base_Datos!$D$2:$D3876,Base_Datos!$C$2:$C3876),""))</f>
        <v>Serie C</v>
      </c>
      <c r="I756" s="3" t="s">
        <v>332</v>
      </c>
      <c r="J756" s="3" t="str">
        <f>IF(I756="","",IFERROR(VLOOKUP(I756,Base_Datos!$D$2:$E$72,2,0),""))</f>
        <v>(1.5L)</v>
      </c>
      <c r="K756" s="3" t="s">
        <v>2438</v>
      </c>
      <c r="L756" s="3"/>
      <c r="M756" s="7">
        <v>20</v>
      </c>
      <c r="N756" s="7">
        <v>0</v>
      </c>
    </row>
    <row r="757" spans="1:14" ht="14.25" x14ac:dyDescent="0.2">
      <c r="A757" s="3">
        <v>71003</v>
      </c>
      <c r="B757" s="3" t="s">
        <v>2406</v>
      </c>
      <c r="C757" s="3" t="s">
        <v>18</v>
      </c>
      <c r="D757" s="6" t="s">
        <v>265</v>
      </c>
      <c r="E757" s="6" t="s">
        <v>265</v>
      </c>
      <c r="F757" s="3" t="str">
        <f>IFERROR( VLOOKUP(A757,#REF!,2,0),"")</f>
        <v/>
      </c>
      <c r="G757" s="3" t="str">
        <f t="array" ref="G757">_xlfn.XLOOKUP(I757,Base_Datos!D:D,Base_Datos!B:B,"")</f>
        <v>DFSK</v>
      </c>
      <c r="H757" s="3" t="str">
        <f t="array" ref="H757">IF(I757="","",IFERROR(_xlfn.XLOOKUP(I757,Base_Datos!$D$2:$D3876,Base_Datos!$C$2:$C3876),""))</f>
        <v>Serie C</v>
      </c>
      <c r="I757" s="3" t="s">
        <v>332</v>
      </c>
      <c r="J757" s="3" t="str">
        <f>IF(I757="","",IFERROR(VLOOKUP(I757,Base_Datos!$D$2:$E$72,2,0),""))</f>
        <v>(1.5L)</v>
      </c>
      <c r="K757" s="3" t="s">
        <v>2439</v>
      </c>
      <c r="L757" s="3"/>
      <c r="M757" s="7">
        <v>2</v>
      </c>
      <c r="N757" s="7">
        <v>0</v>
      </c>
    </row>
    <row r="758" spans="1:14" ht="14.25" x14ac:dyDescent="0.2">
      <c r="A758" s="3">
        <v>71004</v>
      </c>
      <c r="B758" s="3" t="s">
        <v>2440</v>
      </c>
      <c r="C758" s="3" t="s">
        <v>18</v>
      </c>
      <c r="D758" s="6" t="s">
        <v>2441</v>
      </c>
      <c r="E758" s="6" t="s">
        <v>2441</v>
      </c>
      <c r="F758" s="3" t="str">
        <f>IFERROR( VLOOKUP(A758,#REF!,2,0),"")</f>
        <v/>
      </c>
      <c r="G758" s="3" t="str">
        <f t="array" ref="G758">_xlfn.XLOOKUP(I758,Base_Datos!D:D,Base_Datos!B:B,"")</f>
        <v>DFSK</v>
      </c>
      <c r="H758" s="3" t="str">
        <f t="array" ref="H758">IF(I758="","",IFERROR(_xlfn.XLOOKUP(I758,Base_Datos!$D$2:$D3876,Base_Datos!$C$2:$C3876),""))</f>
        <v>Serie C</v>
      </c>
      <c r="I758" s="3" t="s">
        <v>332</v>
      </c>
      <c r="J758" s="3" t="str">
        <f>IF(I758="","",IFERROR(VLOOKUP(I758,Base_Datos!$D$2:$E$72,2,0),""))</f>
        <v>(1.5L)</v>
      </c>
      <c r="K758" s="3" t="s">
        <v>2439</v>
      </c>
      <c r="L758" s="3"/>
      <c r="M758" s="7">
        <v>14</v>
      </c>
      <c r="N758" s="7">
        <v>0</v>
      </c>
    </row>
    <row r="759" spans="1:14" ht="14.25" x14ac:dyDescent="0.2">
      <c r="A759" s="3">
        <v>71005</v>
      </c>
      <c r="B759" s="3" t="s">
        <v>2442</v>
      </c>
      <c r="C759" s="3" t="s">
        <v>18</v>
      </c>
      <c r="D759" s="6" t="s">
        <v>2443</v>
      </c>
      <c r="E759" s="6" t="s">
        <v>2443</v>
      </c>
      <c r="F759" s="3" t="str">
        <f>IFERROR( VLOOKUP(A759,#REF!,2,0),"")</f>
        <v/>
      </c>
      <c r="G759" s="3" t="str">
        <f t="array" ref="G759">_xlfn.XLOOKUP(I759,Base_Datos!D:D,Base_Datos!B:B,"")</f>
        <v>DFSK</v>
      </c>
      <c r="H759" s="3" t="str">
        <f t="array" ref="H759">IF(I759="","",IFERROR(_xlfn.XLOOKUP(I759,Base_Datos!$D$2:$D3876,Base_Datos!$C$2:$C3876),""))</f>
        <v>Serie C</v>
      </c>
      <c r="I759" s="3" t="s">
        <v>332</v>
      </c>
      <c r="J759" s="3" t="str">
        <f>IF(I759="","",IFERROR(VLOOKUP(I759,Base_Datos!$D$2:$E$72,2,0),""))</f>
        <v>(1.5L)</v>
      </c>
      <c r="K759" s="3" t="s">
        <v>2439</v>
      </c>
      <c r="L759" s="3"/>
      <c r="M759" s="7">
        <v>14</v>
      </c>
      <c r="N759" s="7">
        <v>0</v>
      </c>
    </row>
    <row r="760" spans="1:14" ht="14.25" x14ac:dyDescent="0.2">
      <c r="A760" s="3">
        <v>71006</v>
      </c>
      <c r="B760" s="3" t="s">
        <v>2239</v>
      </c>
      <c r="C760" s="3" t="s">
        <v>18</v>
      </c>
      <c r="D760" s="6" t="s">
        <v>2444</v>
      </c>
      <c r="E760" s="6" t="s">
        <v>2444</v>
      </c>
      <c r="F760" s="3" t="str">
        <f>IFERROR( VLOOKUP(A760,#REF!,2,0),"")</f>
        <v/>
      </c>
      <c r="G760" s="3" t="str">
        <f t="array" ref="G760">_xlfn.XLOOKUP(I760,Base_Datos!D:D,Base_Datos!B:B,"")</f>
        <v>DFSK</v>
      </c>
      <c r="H760" s="3" t="str">
        <f t="array" ref="H760">IF(I760="","",IFERROR(_xlfn.XLOOKUP(I760,Base_Datos!$D$2:$D3876,Base_Datos!$C$2:$C3876),""))</f>
        <v>Serie C</v>
      </c>
      <c r="I760" s="3" t="s">
        <v>332</v>
      </c>
      <c r="J760" s="3" t="str">
        <f>IF(I760="","",IFERROR(VLOOKUP(I760,Base_Datos!$D$2:$E$72,2,0),""))</f>
        <v>(1.5L)</v>
      </c>
      <c r="K760" s="3" t="s">
        <v>2439</v>
      </c>
      <c r="L760" s="3"/>
      <c r="M760" s="7">
        <v>10</v>
      </c>
      <c r="N760" s="7">
        <v>0</v>
      </c>
    </row>
    <row r="761" spans="1:14" ht="14.25" x14ac:dyDescent="0.2">
      <c r="A761" s="3">
        <v>71007</v>
      </c>
      <c r="B761" s="3" t="s">
        <v>2445</v>
      </c>
      <c r="C761" s="3" t="s">
        <v>18</v>
      </c>
      <c r="D761" s="6" t="s">
        <v>2446</v>
      </c>
      <c r="E761" s="6" t="s">
        <v>2446</v>
      </c>
      <c r="F761" s="3" t="str">
        <f>IFERROR( VLOOKUP(A761,#REF!,2,0),"")</f>
        <v/>
      </c>
      <c r="G761" s="3" t="str">
        <f t="array" ref="G761">_xlfn.XLOOKUP(I761,Base_Datos!D:D,Base_Datos!B:B,"")</f>
        <v>DFSK</v>
      </c>
      <c r="H761" s="3" t="str">
        <f t="array" ref="H761">IF(I761="","",IFERROR(_xlfn.XLOOKUP(I761,Base_Datos!$D$2:$D3876,Base_Datos!$C$2:$C3876),""))</f>
        <v>Serie C</v>
      </c>
      <c r="I761" s="3" t="s">
        <v>265</v>
      </c>
      <c r="J761" s="3" t="str">
        <f>IF(I761="","",IFERROR(VLOOKUP(I761,Base_Datos!$D$2:$E$72,2,0),""))</f>
        <v>(1.5L)</v>
      </c>
      <c r="K761" s="3" t="s">
        <v>1782</v>
      </c>
      <c r="L761" s="3"/>
      <c r="M761" s="7">
        <v>10</v>
      </c>
      <c r="N761" s="7">
        <v>0</v>
      </c>
    </row>
    <row r="762" spans="1:14" ht="14.25" x14ac:dyDescent="0.2">
      <c r="A762" s="3">
        <v>71008</v>
      </c>
      <c r="B762" s="3" t="s">
        <v>2447</v>
      </c>
      <c r="C762" s="3" t="s">
        <v>18</v>
      </c>
      <c r="D762" s="6" t="s">
        <v>392</v>
      </c>
      <c r="E762" s="6" t="s">
        <v>392</v>
      </c>
      <c r="F762" s="3" t="str">
        <f>IFERROR( VLOOKUP(A762,#REF!,2,0),"")</f>
        <v/>
      </c>
      <c r="G762" s="3" t="str">
        <f t="array" ref="G762">_xlfn.XLOOKUP(I762,Base_Datos!D:D,Base_Datos!B:B,"")</f>
        <v>DFSK</v>
      </c>
      <c r="H762" s="3" t="str">
        <f t="array" ref="H762">IF(I762="","",IFERROR(_xlfn.XLOOKUP(I762,Base_Datos!$D$2:$D3876,Base_Datos!$C$2:$C3876),""))</f>
        <v>Serie C</v>
      </c>
      <c r="I762" s="3" t="s">
        <v>332</v>
      </c>
      <c r="J762" s="3" t="str">
        <f>IF(I762="","",IFERROR(VLOOKUP(I762,Base_Datos!$D$2:$E$72,2,0),""))</f>
        <v>(1.5L)</v>
      </c>
      <c r="K762" s="3" t="s">
        <v>2439</v>
      </c>
      <c r="L762" s="3"/>
      <c r="M762" s="7">
        <v>20</v>
      </c>
      <c r="N762" s="7">
        <v>0</v>
      </c>
    </row>
    <row r="763" spans="1:14" ht="14.25" x14ac:dyDescent="0.2">
      <c r="A763" s="3">
        <v>71009</v>
      </c>
      <c r="B763" s="3" t="s">
        <v>2448</v>
      </c>
      <c r="C763" s="3" t="s">
        <v>18</v>
      </c>
      <c r="D763" s="6" t="s">
        <v>393</v>
      </c>
      <c r="E763" s="6" t="s">
        <v>393</v>
      </c>
      <c r="F763" s="3" t="str">
        <f>IFERROR( VLOOKUP(A763,#REF!,2,0),"")</f>
        <v/>
      </c>
      <c r="G763" s="3" t="str">
        <f t="array" ref="G763">_xlfn.XLOOKUP(I763,Base_Datos!D:D,Base_Datos!B:B,"")</f>
        <v>DFSK</v>
      </c>
      <c r="H763" s="3" t="str">
        <f t="array" ref="H763">IF(I763="","",IFERROR(_xlfn.XLOOKUP(I763,Base_Datos!$D$2:$D3876,Base_Datos!$C$2:$C3876),""))</f>
        <v>Serie C</v>
      </c>
      <c r="I763" s="3" t="s">
        <v>332</v>
      </c>
      <c r="J763" s="3" t="str">
        <f>IF(I763="","",IFERROR(VLOOKUP(I763,Base_Datos!$D$2:$E$72,2,0),""))</f>
        <v>(1.5L)</v>
      </c>
      <c r="K763" s="3" t="s">
        <v>2439</v>
      </c>
      <c r="L763" s="3"/>
      <c r="M763" s="7">
        <v>20</v>
      </c>
      <c r="N763" s="7">
        <v>0</v>
      </c>
    </row>
    <row r="764" spans="1:14" ht="14.25" x14ac:dyDescent="0.2">
      <c r="A764" s="3">
        <v>71010</v>
      </c>
      <c r="B764" s="3" t="s">
        <v>2449</v>
      </c>
      <c r="C764" s="3" t="s">
        <v>18</v>
      </c>
      <c r="D764" s="6" t="s">
        <v>2450</v>
      </c>
      <c r="E764" s="6" t="s">
        <v>2450</v>
      </c>
      <c r="F764" s="3" t="str">
        <f>IFERROR( VLOOKUP(A764,#REF!,2,0),"")</f>
        <v/>
      </c>
      <c r="G764" s="3" t="str">
        <f t="array" ref="G764">_xlfn.XLOOKUP(I764,Base_Datos!D:D,Base_Datos!B:B,"")</f>
        <v>DFSK</v>
      </c>
      <c r="H764" s="3" t="str">
        <f t="array" ref="H764">IF(I764="","",IFERROR(_xlfn.XLOOKUP(I764,Base_Datos!$D$2:$D3876,Base_Datos!$C$2:$C3876),""))</f>
        <v>Serie C</v>
      </c>
      <c r="I764" s="3" t="s">
        <v>332</v>
      </c>
      <c r="J764" s="3" t="str">
        <f>IF(I764="","",IFERROR(VLOOKUP(I764,Base_Datos!$D$2:$E$72,2,0),""))</f>
        <v>(1.5L)</v>
      </c>
      <c r="K764" s="3" t="s">
        <v>2439</v>
      </c>
      <c r="L764" s="3"/>
      <c r="M764" s="7">
        <v>6</v>
      </c>
      <c r="N764" s="7">
        <v>0</v>
      </c>
    </row>
    <row r="765" spans="1:14" ht="14.25" x14ac:dyDescent="0.2">
      <c r="A765" s="3">
        <v>71011</v>
      </c>
      <c r="B765" s="3" t="s">
        <v>2451</v>
      </c>
      <c r="C765" s="3" t="s">
        <v>18</v>
      </c>
      <c r="D765" s="6" t="s">
        <v>2452</v>
      </c>
      <c r="E765" s="6" t="s">
        <v>2452</v>
      </c>
      <c r="F765" s="3" t="str">
        <f>IFERROR( VLOOKUP(A765,#REF!,2,0),"")</f>
        <v/>
      </c>
      <c r="G765" s="3" t="str">
        <f t="array" ref="G765">_xlfn.XLOOKUP(I765,Base_Datos!D:D,Base_Datos!B:B,"")</f>
        <v>DFSK</v>
      </c>
      <c r="H765" s="3" t="str">
        <f t="array" ref="H765">IF(I765="","",IFERROR(_xlfn.XLOOKUP(I765,Base_Datos!$D$2:$D3876,Base_Datos!$C$2:$C3876),""))</f>
        <v>Serie C</v>
      </c>
      <c r="I765" s="3" t="s">
        <v>332</v>
      </c>
      <c r="J765" s="3" t="str">
        <f>IF(I765="","",IFERROR(VLOOKUP(I765,Base_Datos!$D$2:$E$72,2,0),""))</f>
        <v>(1.5L)</v>
      </c>
      <c r="K765" s="3" t="s">
        <v>1782</v>
      </c>
      <c r="L765" s="3"/>
      <c r="M765" s="7">
        <v>4</v>
      </c>
      <c r="N765" s="7">
        <v>0</v>
      </c>
    </row>
    <row r="766" spans="1:14" ht="14.25" x14ac:dyDescent="0.2">
      <c r="A766" s="3">
        <v>71012</v>
      </c>
      <c r="B766" s="3" t="s">
        <v>2453</v>
      </c>
      <c r="C766" s="3" t="s">
        <v>18</v>
      </c>
      <c r="D766" s="6" t="s">
        <v>2454</v>
      </c>
      <c r="E766" s="6" t="s">
        <v>2454</v>
      </c>
      <c r="F766" s="3" t="str">
        <f>IFERROR( VLOOKUP(A766,#REF!,2,0),"")</f>
        <v/>
      </c>
      <c r="G766" s="3" t="str">
        <f t="array" ref="G766">_xlfn.XLOOKUP(I766,Base_Datos!D:D,Base_Datos!B:B,"")</f>
        <v>DFSK</v>
      </c>
      <c r="H766" s="3" t="str">
        <f t="array" ref="H766">IF(I766="","",IFERROR(_xlfn.XLOOKUP(I766,Base_Datos!$D$2:$D3876,Base_Datos!$C$2:$C3876),""))</f>
        <v>Serie C</v>
      </c>
      <c r="I766" s="3" t="s">
        <v>332</v>
      </c>
      <c r="J766" s="3" t="str">
        <f>IF(I766="","",IFERROR(VLOOKUP(I766,Base_Datos!$D$2:$E$72,2,0),""))</f>
        <v>(1.5L)</v>
      </c>
      <c r="K766" s="3" t="s">
        <v>1782</v>
      </c>
      <c r="L766" s="3"/>
      <c r="M766" s="7">
        <v>4</v>
      </c>
      <c r="N766" s="7">
        <v>0</v>
      </c>
    </row>
    <row r="767" spans="1:14" ht="14.25" x14ac:dyDescent="0.2">
      <c r="A767" s="3">
        <v>72004</v>
      </c>
      <c r="B767" s="3" t="s">
        <v>2404</v>
      </c>
      <c r="C767" s="3" t="s">
        <v>18</v>
      </c>
      <c r="D767" s="6" t="s">
        <v>2455</v>
      </c>
      <c r="E767" s="6" t="s">
        <v>2455</v>
      </c>
      <c r="F767" s="3" t="str">
        <f>IFERROR( VLOOKUP(A767,#REF!,2,0),"")</f>
        <v/>
      </c>
      <c r="G767" s="3" t="str">
        <f t="array" ref="G767">_xlfn.XLOOKUP(I767,Base_Datos!D:D,Base_Datos!B:B,"")</f>
        <v>DFSK</v>
      </c>
      <c r="H767" s="3" t="str">
        <f t="array" ref="H767">IF(I767="","",IFERROR(_xlfn.XLOOKUP(I767,Base_Datos!$D$2:$D3876,Base_Datos!$C$2:$C3876),""))</f>
        <v>Serie D</v>
      </c>
      <c r="I767" s="3" t="s">
        <v>145</v>
      </c>
      <c r="J767" s="3" t="str">
        <f>IF(I767="","",IFERROR(VLOOKUP(I767,Base_Datos!$D$2:$E$72,2,0),""))</f>
        <v>(2.4L)</v>
      </c>
      <c r="K767" s="3" t="s">
        <v>1782</v>
      </c>
      <c r="L767" s="3"/>
      <c r="M767" s="7">
        <v>19</v>
      </c>
      <c r="N767" s="7">
        <v>0</v>
      </c>
    </row>
    <row r="768" spans="1:14" ht="14.25" x14ac:dyDescent="0.2">
      <c r="A768" s="3">
        <v>72005</v>
      </c>
      <c r="B768" s="3" t="s">
        <v>2456</v>
      </c>
      <c r="C768" s="3" t="s">
        <v>18</v>
      </c>
      <c r="D768" s="6" t="s">
        <v>2457</v>
      </c>
      <c r="E768" s="6" t="s">
        <v>2457</v>
      </c>
      <c r="F768" s="3" t="str">
        <f>IFERROR( VLOOKUP(A768,#REF!,2,0),"")</f>
        <v/>
      </c>
      <c r="G768" s="3">
        <f t="array" ref="G768">_xlfn.XLOOKUP(I768,Base_Datos!D:D,Base_Datos!B:B,"")</f>
        <v>0</v>
      </c>
      <c r="H768" s="3" t="str">
        <f t="array" ref="H768">IF(I768="","",IFERROR(_xlfn.XLOOKUP(I768,Base_Datos!$D$2:$D3876,Base_Datos!$C$2:$C3876),""))</f>
        <v/>
      </c>
      <c r="I768" s="3"/>
      <c r="J768" s="3" t="str">
        <f>IF(I768="","",IFERROR(VLOOKUP(I768,Base_Datos!$D$2:$E$72,2,0),""))</f>
        <v/>
      </c>
      <c r="K768" s="3" t="s">
        <v>1782</v>
      </c>
      <c r="L768" s="3"/>
      <c r="M768" s="7">
        <v>15</v>
      </c>
      <c r="N768" s="7">
        <v>0</v>
      </c>
    </row>
    <row r="769" spans="1:14" ht="14.25" x14ac:dyDescent="0.2">
      <c r="A769" s="3">
        <v>72008</v>
      </c>
      <c r="B769" s="3" t="s">
        <v>2458</v>
      </c>
      <c r="C769" s="3" t="s">
        <v>18</v>
      </c>
      <c r="D769" s="6" t="s">
        <v>2459</v>
      </c>
      <c r="E769" s="6" t="s">
        <v>2459</v>
      </c>
      <c r="F769" s="3" t="str">
        <f>IFERROR( VLOOKUP(A769,#REF!,2,0),"")</f>
        <v/>
      </c>
      <c r="G769" s="3">
        <f t="array" ref="G769">_xlfn.XLOOKUP(I769,Base_Datos!D:D,Base_Datos!B:B,"")</f>
        <v>0</v>
      </c>
      <c r="H769" s="3" t="str">
        <f t="array" ref="H769">IF(I769="","",IFERROR(_xlfn.XLOOKUP(I769,Base_Datos!$D$2:$D3876,Base_Datos!$C$2:$C3876),""))</f>
        <v/>
      </c>
      <c r="I769" s="3"/>
      <c r="J769" s="3" t="str">
        <f>IF(I769="","",IFERROR(VLOOKUP(I769,Base_Datos!$D$2:$E$72,2,0),""))</f>
        <v/>
      </c>
      <c r="K769" s="3" t="s">
        <v>1782</v>
      </c>
      <c r="L769" s="3"/>
      <c r="M769" s="7">
        <v>80</v>
      </c>
      <c r="N769" s="7">
        <v>0</v>
      </c>
    </row>
    <row r="770" spans="1:14" ht="14.25" x14ac:dyDescent="0.2">
      <c r="A770" s="3">
        <v>72009</v>
      </c>
      <c r="B770" s="3" t="s">
        <v>2271</v>
      </c>
      <c r="C770" s="3" t="s">
        <v>18</v>
      </c>
      <c r="D770" s="6" t="s">
        <v>1782</v>
      </c>
      <c r="E770" s="6" t="s">
        <v>1782</v>
      </c>
      <c r="F770" s="3" t="str">
        <f>IFERROR( VLOOKUP(A770,#REF!,2,0),"")</f>
        <v/>
      </c>
      <c r="G770" s="3">
        <f t="array" ref="G770">_xlfn.XLOOKUP(I770,Base_Datos!D:D,Base_Datos!B:B,"")</f>
        <v>0</v>
      </c>
      <c r="H770" s="3" t="str">
        <f t="array" ref="H770">IF(I770="","",IFERROR(_xlfn.XLOOKUP(I770,Base_Datos!$D$2:$D3876,Base_Datos!$C$2:$C3876),""))</f>
        <v/>
      </c>
      <c r="I770" s="3"/>
      <c r="J770" s="3" t="str">
        <f>IF(I770="","",IFERROR(VLOOKUP(I770,Base_Datos!$D$2:$E$72,2,0),""))</f>
        <v/>
      </c>
      <c r="K770" s="3" t="s">
        <v>1782</v>
      </c>
      <c r="L770" s="3"/>
      <c r="M770" s="7">
        <v>80</v>
      </c>
      <c r="N770" s="7">
        <v>0</v>
      </c>
    </row>
    <row r="771" spans="1:14" ht="14.25" x14ac:dyDescent="0.2">
      <c r="A771" s="3">
        <v>72010</v>
      </c>
      <c r="B771" s="3" t="s">
        <v>2460</v>
      </c>
      <c r="C771" s="3" t="s">
        <v>18</v>
      </c>
      <c r="D771" s="6" t="s">
        <v>2461</v>
      </c>
      <c r="E771" s="6" t="s">
        <v>2461</v>
      </c>
      <c r="F771" s="3" t="str">
        <f>IFERROR( VLOOKUP(A771,#REF!,2,0),"")</f>
        <v/>
      </c>
      <c r="G771" s="3">
        <f t="array" ref="G771">_xlfn.XLOOKUP(I771,Base_Datos!D:D,Base_Datos!B:B,"")</f>
        <v>0</v>
      </c>
      <c r="H771" s="3" t="str">
        <f t="array" ref="H771">IF(I771="","",IFERROR(_xlfn.XLOOKUP(I771,Base_Datos!$D$2:$D3876,Base_Datos!$C$2:$C3876),""))</f>
        <v/>
      </c>
      <c r="I771" s="3"/>
      <c r="J771" s="3" t="str">
        <f>IF(I771="","",IFERROR(VLOOKUP(I771,Base_Datos!$D$2:$E$72,2,0),""))</f>
        <v/>
      </c>
      <c r="K771" s="3" t="s">
        <v>1782</v>
      </c>
      <c r="L771" s="3"/>
      <c r="M771" s="7">
        <v>10</v>
      </c>
      <c r="N771" s="7">
        <v>0</v>
      </c>
    </row>
    <row r="772" spans="1:14" ht="14.25" x14ac:dyDescent="0.2">
      <c r="A772" s="3">
        <v>72011</v>
      </c>
      <c r="B772" s="3" t="s">
        <v>2462</v>
      </c>
      <c r="C772" s="3" t="s">
        <v>18</v>
      </c>
      <c r="D772" s="6" t="s">
        <v>1782</v>
      </c>
      <c r="E772" s="6" t="s">
        <v>1782</v>
      </c>
      <c r="F772" s="3" t="str">
        <f>IFERROR( VLOOKUP(A772,#REF!,2,0),"")</f>
        <v/>
      </c>
      <c r="G772" s="3">
        <f t="array" ref="G772">_xlfn.XLOOKUP(I772,Base_Datos!D:D,Base_Datos!B:B,"")</f>
        <v>0</v>
      </c>
      <c r="H772" s="3" t="str">
        <f t="array" ref="H772">IF(I772="","",IFERROR(_xlfn.XLOOKUP(I772,Base_Datos!$D$2:$D3876,Base_Datos!$C$2:$C3876),""))</f>
        <v/>
      </c>
      <c r="I772" s="3"/>
      <c r="J772" s="3" t="str">
        <f>IF(I772="","",IFERROR(VLOOKUP(I772,Base_Datos!$D$2:$E$72,2,0),""))</f>
        <v/>
      </c>
      <c r="K772" s="3" t="s">
        <v>1782</v>
      </c>
      <c r="L772" s="3"/>
      <c r="M772" s="7">
        <v>40</v>
      </c>
      <c r="N772" s="7">
        <v>0</v>
      </c>
    </row>
    <row r="773" spans="1:14" ht="14.25" x14ac:dyDescent="0.2">
      <c r="A773" s="3">
        <v>72012</v>
      </c>
      <c r="B773" s="3" t="s">
        <v>2463</v>
      </c>
      <c r="C773" s="3" t="s">
        <v>18</v>
      </c>
      <c r="D773" s="6" t="s">
        <v>2464</v>
      </c>
      <c r="E773" s="6" t="s">
        <v>2464</v>
      </c>
      <c r="F773" s="3" t="str">
        <f>IFERROR( VLOOKUP(A773,#REF!,2,0),"")</f>
        <v/>
      </c>
      <c r="G773" s="3" t="str">
        <f t="array" ref="G773">_xlfn.XLOOKUP(I773,Base_Datos!D:D,Base_Datos!B:B,"")</f>
        <v>DFSK</v>
      </c>
      <c r="H773" s="3" t="str">
        <f t="array" ref="H773">IF(I773="","",IFERROR(_xlfn.XLOOKUP(I773,Base_Datos!$D$2:$D3876,Base_Datos!$C$2:$C3876),""))</f>
        <v>Serie D</v>
      </c>
      <c r="I773" s="3" t="s">
        <v>145</v>
      </c>
      <c r="J773" s="3" t="str">
        <f>IF(I773="","",IFERROR(VLOOKUP(I773,Base_Datos!$D$2:$E$72,2,0),""))</f>
        <v>(2.4L)</v>
      </c>
      <c r="K773" s="3" t="s">
        <v>1782</v>
      </c>
      <c r="L773" s="3"/>
      <c r="M773" s="7">
        <v>124</v>
      </c>
      <c r="N773" s="7">
        <v>0</v>
      </c>
    </row>
    <row r="774" spans="1:14" ht="14.25" x14ac:dyDescent="0.2">
      <c r="A774" s="3">
        <v>72013</v>
      </c>
      <c r="B774" s="3" t="s">
        <v>2465</v>
      </c>
      <c r="C774" s="3" t="s">
        <v>18</v>
      </c>
      <c r="D774" s="6" t="s">
        <v>2466</v>
      </c>
      <c r="E774" s="6" t="s">
        <v>2466</v>
      </c>
      <c r="F774" s="3" t="str">
        <f>IFERROR( VLOOKUP(A774,#REF!,2,0),"")</f>
        <v/>
      </c>
      <c r="G774" s="3" t="str">
        <f t="array" ref="G774">_xlfn.XLOOKUP(I774,Base_Datos!D:D,Base_Datos!B:B,"")</f>
        <v>DFSK</v>
      </c>
      <c r="H774" s="3" t="str">
        <f t="array" ref="H774">IF(I774="","",IFERROR(_xlfn.XLOOKUP(I774,Base_Datos!$D$2:$D3876,Base_Datos!$C$2:$C3876),""))</f>
        <v>Serie D</v>
      </c>
      <c r="I774" s="3" t="s">
        <v>145</v>
      </c>
      <c r="J774" s="3" t="str">
        <f>IF(I774="","",IFERROR(VLOOKUP(I774,Base_Datos!$D$2:$E$72,2,0),""))</f>
        <v>(2.4L)</v>
      </c>
      <c r="K774" s="3" t="s">
        <v>1782</v>
      </c>
      <c r="L774" s="3"/>
      <c r="M774" s="7">
        <v>49</v>
      </c>
      <c r="N774" s="7">
        <v>0</v>
      </c>
    </row>
    <row r="775" spans="1:14" ht="14.25" x14ac:dyDescent="0.2">
      <c r="A775" s="3">
        <v>72014</v>
      </c>
      <c r="B775" s="3" t="s">
        <v>2409</v>
      </c>
      <c r="C775" s="3" t="s">
        <v>18</v>
      </c>
      <c r="D775" s="6" t="s">
        <v>2466</v>
      </c>
      <c r="E775" s="6" t="s">
        <v>2466</v>
      </c>
      <c r="F775" s="3" t="str">
        <f>IFERROR( VLOOKUP(A775,#REF!,2,0),"")</f>
        <v/>
      </c>
      <c r="G775" s="3" t="str">
        <f t="array" ref="G775">_xlfn.XLOOKUP(I775,Base_Datos!D:D,Base_Datos!B:B,"")</f>
        <v>DFSK</v>
      </c>
      <c r="H775" s="3" t="str">
        <f t="array" ref="H775">IF(I775="","",IFERROR(_xlfn.XLOOKUP(I775,Base_Datos!$D$2:$D3876,Base_Datos!$C$2:$C3876),""))</f>
        <v>Serie D</v>
      </c>
      <c r="I775" s="3" t="s">
        <v>145</v>
      </c>
      <c r="J775" s="3" t="str">
        <f>IF(I775="","",IFERROR(VLOOKUP(I775,Base_Datos!$D$2:$E$72,2,0),""))</f>
        <v>(2.4L)</v>
      </c>
      <c r="K775" s="3" t="s">
        <v>1782</v>
      </c>
      <c r="L775" s="3"/>
      <c r="M775" s="7">
        <v>7</v>
      </c>
      <c r="N775" s="7">
        <v>0</v>
      </c>
    </row>
    <row r="776" spans="1:14" ht="14.25" x14ac:dyDescent="0.2">
      <c r="A776" s="3">
        <v>72015</v>
      </c>
      <c r="B776" s="3" t="s">
        <v>2467</v>
      </c>
      <c r="C776" s="3" t="s">
        <v>18</v>
      </c>
      <c r="D776" s="6" t="s">
        <v>2466</v>
      </c>
      <c r="E776" s="6" t="s">
        <v>2468</v>
      </c>
      <c r="F776" s="3" t="str">
        <f>IFERROR( VLOOKUP(A776,#REF!,2,0),"")</f>
        <v/>
      </c>
      <c r="G776" s="3" t="str">
        <f t="array" ref="G776">_xlfn.XLOOKUP(I776,Base_Datos!D:D,Base_Datos!B:B,"")</f>
        <v>DFSK</v>
      </c>
      <c r="H776" s="3" t="str">
        <f t="array" ref="H776">IF(I776="","",IFERROR(_xlfn.XLOOKUP(I776,Base_Datos!$D$2:$D3876,Base_Datos!$C$2:$C3876),""))</f>
        <v>Serie D</v>
      </c>
      <c r="I776" s="3" t="s">
        <v>145</v>
      </c>
      <c r="J776" s="3" t="str">
        <f>IF(I776="","",IFERROR(VLOOKUP(I776,Base_Datos!$D$2:$E$72,2,0),""))</f>
        <v>(2.4L)</v>
      </c>
      <c r="K776" s="3" t="s">
        <v>1782</v>
      </c>
      <c r="L776" s="3"/>
      <c r="M776" s="7">
        <v>10</v>
      </c>
      <c r="N776" s="7">
        <v>0</v>
      </c>
    </row>
    <row r="777" spans="1:14" ht="14.25" x14ac:dyDescent="0.2">
      <c r="A777" s="3">
        <v>72016</v>
      </c>
      <c r="B777" s="3" t="s">
        <v>2469</v>
      </c>
      <c r="C777" s="3" t="s">
        <v>18</v>
      </c>
      <c r="D777" s="6" t="s">
        <v>2466</v>
      </c>
      <c r="E777" s="6" t="s">
        <v>2466</v>
      </c>
      <c r="F777" s="3" t="str">
        <f>IFERROR( VLOOKUP(A777,#REF!,2,0),"")</f>
        <v/>
      </c>
      <c r="G777" s="3" t="str">
        <f t="array" ref="G777">_xlfn.XLOOKUP(I777,Base_Datos!D:D,Base_Datos!B:B,"")</f>
        <v>DFSK</v>
      </c>
      <c r="H777" s="3" t="str">
        <f t="array" ref="H777">IF(I777="","",IFERROR(_xlfn.XLOOKUP(I777,Base_Datos!$D$2:$D3876,Base_Datos!$C$2:$C3876),""))</f>
        <v>Serie D</v>
      </c>
      <c r="I777" s="3" t="s">
        <v>145</v>
      </c>
      <c r="J777" s="3" t="str">
        <f>IF(I777="","",IFERROR(VLOOKUP(I777,Base_Datos!$D$2:$E$72,2,0),""))</f>
        <v>(2.4L)</v>
      </c>
      <c r="K777" s="3" t="s">
        <v>1782</v>
      </c>
      <c r="L777" s="3"/>
      <c r="M777" s="7">
        <v>10</v>
      </c>
      <c r="N777" s="7">
        <v>0</v>
      </c>
    </row>
    <row r="778" spans="1:14" ht="14.25" x14ac:dyDescent="0.2">
      <c r="A778" s="3">
        <v>72017</v>
      </c>
      <c r="B778" s="3" t="s">
        <v>2470</v>
      </c>
      <c r="C778" s="3" t="s">
        <v>18</v>
      </c>
      <c r="D778" s="6" t="s">
        <v>2471</v>
      </c>
      <c r="E778" s="6" t="s">
        <v>2471</v>
      </c>
      <c r="F778" s="3" t="str">
        <f>IFERROR( VLOOKUP(A778,#REF!,2,0),"")</f>
        <v/>
      </c>
      <c r="G778" s="3" t="str">
        <f t="array" ref="G778">_xlfn.XLOOKUP(I778,Base_Datos!D:D,Base_Datos!B:B,"")</f>
        <v>DFSK</v>
      </c>
      <c r="H778" s="3" t="str">
        <f t="array" ref="H778">IF(I778="","",IFERROR(_xlfn.XLOOKUP(I778,Base_Datos!$D$2:$D3876,Base_Datos!$C$2:$C3876),""))</f>
        <v>Serie D</v>
      </c>
      <c r="I778" s="3" t="s">
        <v>145</v>
      </c>
      <c r="J778" s="3" t="str">
        <f>IF(I778="","",IFERROR(VLOOKUP(I778,Base_Datos!$D$2:$E$72,2,0),""))</f>
        <v>(2.4L)</v>
      </c>
      <c r="K778" s="3" t="s">
        <v>1782</v>
      </c>
      <c r="L778" s="3"/>
      <c r="M778" s="7">
        <v>16</v>
      </c>
      <c r="N778" s="7">
        <v>0</v>
      </c>
    </row>
    <row r="779" spans="1:14" ht="14.25" x14ac:dyDescent="0.2">
      <c r="A779" s="3">
        <v>72018</v>
      </c>
      <c r="B779" s="3" t="s">
        <v>2472</v>
      </c>
      <c r="C779" s="3" t="s">
        <v>18</v>
      </c>
      <c r="D779" s="6" t="s">
        <v>2473</v>
      </c>
      <c r="E779" s="6" t="s">
        <v>2473</v>
      </c>
      <c r="F779" s="3" t="str">
        <f>IFERROR( VLOOKUP(A779,#REF!,2,0),"")</f>
        <v/>
      </c>
      <c r="G779" s="3" t="str">
        <f t="array" ref="G779">_xlfn.XLOOKUP(I779,Base_Datos!D:D,Base_Datos!B:B,"")</f>
        <v>DFSK</v>
      </c>
      <c r="H779" s="3" t="str">
        <f t="array" ref="H779">IF(I779="","",IFERROR(_xlfn.XLOOKUP(I779,Base_Datos!$D$2:$D3876,Base_Datos!$C$2:$C3876),""))</f>
        <v>Serie D</v>
      </c>
      <c r="I779" s="3" t="s">
        <v>145</v>
      </c>
      <c r="J779" s="3" t="str">
        <f>IF(I779="","",IFERROR(VLOOKUP(I779,Base_Datos!$D$2:$E$72,2,0),""))</f>
        <v>(2.4L)</v>
      </c>
      <c r="K779" s="3" t="s">
        <v>1782</v>
      </c>
      <c r="L779" s="3"/>
      <c r="M779" s="7">
        <v>10</v>
      </c>
      <c r="N779" s="7">
        <v>0</v>
      </c>
    </row>
    <row r="780" spans="1:14" ht="14.25" x14ac:dyDescent="0.2">
      <c r="A780" s="3">
        <v>72019</v>
      </c>
      <c r="B780" s="3" t="s">
        <v>2474</v>
      </c>
      <c r="C780" s="3" t="s">
        <v>18</v>
      </c>
      <c r="D780" s="6" t="s">
        <v>2475</v>
      </c>
      <c r="E780" s="6" t="s">
        <v>2475</v>
      </c>
      <c r="F780" s="3" t="str">
        <f>IFERROR( VLOOKUP(A780,#REF!,2,0),"")</f>
        <v/>
      </c>
      <c r="G780" s="3" t="str">
        <f t="array" ref="G780">_xlfn.XLOOKUP(I780,Base_Datos!D:D,Base_Datos!B:B,"")</f>
        <v>DFSK</v>
      </c>
      <c r="H780" s="3" t="str">
        <f t="array" ref="H780">IF(I780="","",IFERROR(_xlfn.XLOOKUP(I780,Base_Datos!$D$2:$D3876,Base_Datos!$C$2:$C3876),""))</f>
        <v>Serie D</v>
      </c>
      <c r="I780" s="3" t="s">
        <v>145</v>
      </c>
      <c r="J780" s="3" t="str">
        <f>IF(I780="","",IFERROR(VLOOKUP(I780,Base_Datos!$D$2:$E$72,2,0),""))</f>
        <v>(2.4L)</v>
      </c>
      <c r="K780" s="3" t="s">
        <v>1782</v>
      </c>
      <c r="L780" s="3"/>
      <c r="M780" s="7">
        <v>31</v>
      </c>
      <c r="N780" s="7">
        <v>0</v>
      </c>
    </row>
    <row r="781" spans="1:14" ht="14.25" x14ac:dyDescent="0.2">
      <c r="A781" s="3">
        <v>72020</v>
      </c>
      <c r="B781" s="3" t="s">
        <v>2476</v>
      </c>
      <c r="C781" s="3" t="s">
        <v>18</v>
      </c>
      <c r="D781" s="6" t="s">
        <v>2477</v>
      </c>
      <c r="E781" s="6" t="s">
        <v>2477</v>
      </c>
      <c r="F781" s="3" t="str">
        <f>IFERROR( VLOOKUP(A781,#REF!,2,0),"")</f>
        <v/>
      </c>
      <c r="G781" s="3" t="str">
        <f t="array" ref="G781">_xlfn.XLOOKUP(I781,Base_Datos!D:D,Base_Datos!B:B,"")</f>
        <v>DFSK</v>
      </c>
      <c r="H781" s="3" t="str">
        <f t="array" ref="H781">IF(I781="","",IFERROR(_xlfn.XLOOKUP(I781,Base_Datos!$D$2:$D3876,Base_Datos!$C$2:$C3876),""))</f>
        <v>Serie D</v>
      </c>
      <c r="I781" s="3" t="s">
        <v>145</v>
      </c>
      <c r="J781" s="3" t="str">
        <f>IF(I781="","",IFERROR(VLOOKUP(I781,Base_Datos!$D$2:$E$72,2,0),""))</f>
        <v>(2.4L)</v>
      </c>
      <c r="K781" s="3" t="s">
        <v>1782</v>
      </c>
      <c r="L781" s="3"/>
      <c r="M781" s="7">
        <v>75</v>
      </c>
      <c r="N781" s="7">
        <v>0</v>
      </c>
    </row>
    <row r="782" spans="1:14" ht="14.25" x14ac:dyDescent="0.2">
      <c r="A782" s="3">
        <v>72021</v>
      </c>
      <c r="B782" s="3" t="s">
        <v>2478</v>
      </c>
      <c r="C782" s="3" t="s">
        <v>18</v>
      </c>
      <c r="D782" s="6" t="s">
        <v>2479</v>
      </c>
      <c r="E782" s="6" t="s">
        <v>2479</v>
      </c>
      <c r="F782" s="3" t="str">
        <f>IFERROR( VLOOKUP(A782,#REF!,2,0),"")</f>
        <v/>
      </c>
      <c r="G782" s="3" t="str">
        <f t="array" ref="G782">_xlfn.XLOOKUP(I782,Base_Datos!D:D,Base_Datos!B:B,"")</f>
        <v>DFSK</v>
      </c>
      <c r="H782" s="3" t="str">
        <f t="array" ref="H782">IF(I782="","",IFERROR(_xlfn.XLOOKUP(I782,Base_Datos!$D$2:$D3876,Base_Datos!$C$2:$C3876),""))</f>
        <v>Serie D</v>
      </c>
      <c r="I782" s="3" t="s">
        <v>145</v>
      </c>
      <c r="J782" s="3" t="str">
        <f>IF(I782="","",IFERROR(VLOOKUP(I782,Base_Datos!$D$2:$E$72,2,0),""))</f>
        <v>(2.4L)</v>
      </c>
      <c r="K782" s="3" t="s">
        <v>1782</v>
      </c>
      <c r="L782" s="3"/>
      <c r="M782" s="7">
        <v>33</v>
      </c>
      <c r="N782" s="7">
        <v>0</v>
      </c>
    </row>
    <row r="783" spans="1:14" ht="14.25" x14ac:dyDescent="0.2">
      <c r="A783" s="3">
        <v>72022</v>
      </c>
      <c r="B783" s="3" t="s">
        <v>2480</v>
      </c>
      <c r="C783" s="3" t="s">
        <v>18</v>
      </c>
      <c r="D783" s="6" t="s">
        <v>2481</v>
      </c>
      <c r="E783" s="6" t="s">
        <v>2481</v>
      </c>
      <c r="F783" s="3" t="str">
        <f>IFERROR( VLOOKUP(A783,#REF!,2,0),"")</f>
        <v/>
      </c>
      <c r="G783" s="3" t="str">
        <f t="array" ref="G783">_xlfn.XLOOKUP(I783,Base_Datos!D:D,Base_Datos!B:B,"")</f>
        <v>DFSK</v>
      </c>
      <c r="H783" s="3" t="str">
        <f t="array" ref="H783">IF(I783="","",IFERROR(_xlfn.XLOOKUP(I783,Base_Datos!$D$2:$D3876,Base_Datos!$C$2:$C3876),""))</f>
        <v>Serie D</v>
      </c>
      <c r="I783" s="3" t="s">
        <v>145</v>
      </c>
      <c r="J783" s="3" t="str">
        <f>IF(I783="","",IFERROR(VLOOKUP(I783,Base_Datos!$D$2:$E$72,2,0),""))</f>
        <v>(2.4L)</v>
      </c>
      <c r="K783" s="3" t="s">
        <v>1782</v>
      </c>
      <c r="L783" s="3"/>
      <c r="M783" s="7">
        <v>3</v>
      </c>
      <c r="N783" s="7">
        <v>0</v>
      </c>
    </row>
    <row r="784" spans="1:14" ht="14.25" x14ac:dyDescent="0.2">
      <c r="A784" s="3">
        <v>72023</v>
      </c>
      <c r="B784" s="3" t="s">
        <v>2482</v>
      </c>
      <c r="C784" s="3" t="s">
        <v>18</v>
      </c>
      <c r="D784" s="6" t="s">
        <v>2483</v>
      </c>
      <c r="E784" s="6" t="s">
        <v>2483</v>
      </c>
      <c r="F784" s="3" t="str">
        <f>IFERROR( VLOOKUP(A784,#REF!,2,0),"")</f>
        <v/>
      </c>
      <c r="G784" s="3" t="str">
        <f t="array" ref="G784">_xlfn.XLOOKUP(I784,Base_Datos!D:D,Base_Datos!B:B,"")</f>
        <v>DFSK</v>
      </c>
      <c r="H784" s="3" t="str">
        <f t="array" ref="H784">IF(I784="","",IFERROR(_xlfn.XLOOKUP(I784,Base_Datos!$D$2:$D3876,Base_Datos!$C$2:$C3876),""))</f>
        <v>Serie D</v>
      </c>
      <c r="I784" s="3" t="s">
        <v>145</v>
      </c>
      <c r="J784" s="3" t="str">
        <f>IF(I784="","",IFERROR(VLOOKUP(I784,Base_Datos!$D$2:$E$72,2,0),""))</f>
        <v>(2.4L)</v>
      </c>
      <c r="K784" s="3" t="s">
        <v>1782</v>
      </c>
      <c r="L784" s="3"/>
      <c r="M784" s="7">
        <v>3</v>
      </c>
      <c r="N784" s="7">
        <v>0</v>
      </c>
    </row>
    <row r="785" spans="1:14" ht="14.25" x14ac:dyDescent="0.2">
      <c r="A785" s="3">
        <v>72024</v>
      </c>
      <c r="B785" s="3" t="s">
        <v>2484</v>
      </c>
      <c r="C785" s="3" t="s">
        <v>18</v>
      </c>
      <c r="D785" s="6" t="s">
        <v>2485</v>
      </c>
      <c r="E785" s="6" t="s">
        <v>2485</v>
      </c>
      <c r="F785" s="3" t="str">
        <f>IFERROR( VLOOKUP(A785,#REF!,2,0),"")</f>
        <v/>
      </c>
      <c r="G785" s="3" t="str">
        <f t="array" ref="G785">_xlfn.XLOOKUP(I785,Base_Datos!D:D,Base_Datos!B:B,"")</f>
        <v>DFSK</v>
      </c>
      <c r="H785" s="3" t="str">
        <f t="array" ref="H785">IF(I785="","",IFERROR(_xlfn.XLOOKUP(I785,Base_Datos!$D$2:$D3876,Base_Datos!$C$2:$C3876),""))</f>
        <v>Serie D</v>
      </c>
      <c r="I785" s="3" t="s">
        <v>145</v>
      </c>
      <c r="J785" s="3" t="str">
        <f>IF(I785="","",IFERROR(VLOOKUP(I785,Base_Datos!$D$2:$E$72,2,0),""))</f>
        <v>(2.4L)</v>
      </c>
      <c r="K785" s="3" t="s">
        <v>1782</v>
      </c>
      <c r="L785" s="3"/>
      <c r="M785" s="7">
        <v>74</v>
      </c>
      <c r="N785" s="7">
        <v>0</v>
      </c>
    </row>
    <row r="786" spans="1:14" ht="14.25" x14ac:dyDescent="0.2">
      <c r="A786" s="3">
        <v>72025</v>
      </c>
      <c r="B786" s="3" t="s">
        <v>2486</v>
      </c>
      <c r="C786" s="3" t="s">
        <v>18</v>
      </c>
      <c r="D786" s="6" t="s">
        <v>2487</v>
      </c>
      <c r="E786" s="6" t="s">
        <v>2487</v>
      </c>
      <c r="F786" s="3" t="str">
        <f>IFERROR( VLOOKUP(A786,#REF!,2,0),"")</f>
        <v/>
      </c>
      <c r="G786" s="3" t="str">
        <f t="array" ref="G786">_xlfn.XLOOKUP(I786,Base_Datos!D:D,Base_Datos!B:B,"")</f>
        <v>DFSK</v>
      </c>
      <c r="H786" s="3" t="str">
        <f t="array" ref="H786">IF(I786="","",IFERROR(_xlfn.XLOOKUP(I786,Base_Datos!$D$2:$D3876,Base_Datos!$C$2:$C3876),""))</f>
        <v>Serie D</v>
      </c>
      <c r="I786" s="3" t="s">
        <v>145</v>
      </c>
      <c r="J786" s="3" t="str">
        <f>IF(I786="","",IFERROR(VLOOKUP(I786,Base_Datos!$D$2:$E$72,2,0),""))</f>
        <v>(2.4L)</v>
      </c>
      <c r="K786" s="3" t="s">
        <v>1782</v>
      </c>
      <c r="L786" s="3"/>
      <c r="M786" s="7">
        <v>74</v>
      </c>
      <c r="N786" s="7">
        <v>0</v>
      </c>
    </row>
    <row r="787" spans="1:14" ht="14.25" x14ac:dyDescent="0.2">
      <c r="A787" s="3">
        <v>72026</v>
      </c>
      <c r="B787" s="3" t="s">
        <v>2488</v>
      </c>
      <c r="C787" s="3" t="s">
        <v>18</v>
      </c>
      <c r="D787" s="6" t="s">
        <v>211</v>
      </c>
      <c r="E787" s="6" t="s">
        <v>211</v>
      </c>
      <c r="F787" s="3" t="str">
        <f>IFERROR( VLOOKUP(A787,#REF!,2,0),"")</f>
        <v/>
      </c>
      <c r="G787" s="3" t="str">
        <f t="array" ref="G787">_xlfn.XLOOKUP(I787,Base_Datos!D:D,Base_Datos!B:B,"")</f>
        <v>DFSK</v>
      </c>
      <c r="H787" s="3" t="str">
        <f t="array" ref="H787">IF(I787="","",IFERROR(_xlfn.XLOOKUP(I787,Base_Datos!$D$2:$D3876,Base_Datos!$C$2:$C3876),""))</f>
        <v>Serie D</v>
      </c>
      <c r="I787" s="3" t="s">
        <v>145</v>
      </c>
      <c r="J787" s="3" t="str">
        <f>IF(I787="","",IFERROR(VLOOKUP(I787,Base_Datos!$D$2:$E$72,2,0),""))</f>
        <v>(2.4L)</v>
      </c>
      <c r="K787" s="3" t="s">
        <v>1782</v>
      </c>
      <c r="L787" s="3"/>
      <c r="M787" s="7">
        <v>5</v>
      </c>
      <c r="N787" s="7">
        <v>0</v>
      </c>
    </row>
    <row r="788" spans="1:14" ht="14.25" x14ac:dyDescent="0.2">
      <c r="A788" s="3">
        <v>72027</v>
      </c>
      <c r="B788" s="3" t="s">
        <v>2489</v>
      </c>
      <c r="C788" s="3" t="s">
        <v>18</v>
      </c>
      <c r="D788" s="6" t="s">
        <v>333</v>
      </c>
      <c r="E788" s="6" t="s">
        <v>333</v>
      </c>
      <c r="F788" s="3" t="str">
        <f>IFERROR( VLOOKUP(A788,#REF!,2,0),"")</f>
        <v/>
      </c>
      <c r="G788" s="3" t="str">
        <f t="array" ref="G788">_xlfn.XLOOKUP(I788,Base_Datos!D:D,Base_Datos!B:B,"")</f>
        <v>DFSK</v>
      </c>
      <c r="H788" s="3" t="str">
        <f t="array" ref="H788">IF(I788="","",IFERROR(_xlfn.XLOOKUP(I788,Base_Datos!$D$2:$D3876,Base_Datos!$C$2:$C3876),""))</f>
        <v>Serie D</v>
      </c>
      <c r="I788" s="3" t="s">
        <v>145</v>
      </c>
      <c r="J788" s="3" t="str">
        <f>IF(I788="","",IFERROR(VLOOKUP(I788,Base_Datos!$D$2:$E$72,2,0),""))</f>
        <v>(2.4L)</v>
      </c>
      <c r="K788" s="3" t="s">
        <v>1782</v>
      </c>
      <c r="L788" s="3"/>
      <c r="M788" s="7">
        <v>7</v>
      </c>
      <c r="N788" s="7">
        <v>0</v>
      </c>
    </row>
    <row r="789" spans="1:14" ht="14.25" x14ac:dyDescent="0.2">
      <c r="A789" s="3">
        <v>72028</v>
      </c>
      <c r="B789" s="3" t="s">
        <v>2490</v>
      </c>
      <c r="C789" s="3" t="s">
        <v>18</v>
      </c>
      <c r="D789" s="6" t="s">
        <v>2427</v>
      </c>
      <c r="E789" s="6" t="s">
        <v>2427</v>
      </c>
      <c r="F789" s="3" t="str">
        <f>IFERROR( VLOOKUP(A789,#REF!,2,0),"")</f>
        <v/>
      </c>
      <c r="G789" s="3" t="str">
        <f t="array" ref="G789">_xlfn.XLOOKUP(I789,Base_Datos!D:D,Base_Datos!B:B,"")</f>
        <v>DFSK</v>
      </c>
      <c r="H789" s="3" t="str">
        <f t="array" ref="H789">IF(I789="","",IFERROR(_xlfn.XLOOKUP(I789,Base_Datos!$D$2:$D3876,Base_Datos!$C$2:$C3876),""))</f>
        <v>Serie D</v>
      </c>
      <c r="I789" s="3" t="s">
        <v>145</v>
      </c>
      <c r="J789" s="3" t="str">
        <f>IF(I789="","",IFERROR(VLOOKUP(I789,Base_Datos!$D$2:$E$72,2,0),""))</f>
        <v>(2.4L)</v>
      </c>
      <c r="K789" s="3" t="s">
        <v>1782</v>
      </c>
      <c r="L789" s="3"/>
      <c r="M789" s="7">
        <v>10</v>
      </c>
      <c r="N789" s="7">
        <v>0</v>
      </c>
    </row>
    <row r="790" spans="1:14" ht="14.25" x14ac:dyDescent="0.2">
      <c r="A790" s="3">
        <v>72029</v>
      </c>
      <c r="B790" s="3" t="s">
        <v>2491</v>
      </c>
      <c r="C790" s="3" t="s">
        <v>18</v>
      </c>
      <c r="D790" s="6" t="s">
        <v>2427</v>
      </c>
      <c r="E790" s="6" t="s">
        <v>2427</v>
      </c>
      <c r="F790" s="3" t="str">
        <f>IFERROR( VLOOKUP(A790,#REF!,2,0),"")</f>
        <v/>
      </c>
      <c r="G790" s="3" t="str">
        <f t="array" ref="G790">_xlfn.XLOOKUP(I790,Base_Datos!D:D,Base_Datos!B:B,"")</f>
        <v>DFSK</v>
      </c>
      <c r="H790" s="3" t="str">
        <f t="array" ref="H790">IF(I790="","",IFERROR(_xlfn.XLOOKUP(I790,Base_Datos!$D$2:$D3876,Base_Datos!$C$2:$C3876),""))</f>
        <v>Serie D</v>
      </c>
      <c r="I790" s="3" t="s">
        <v>145</v>
      </c>
      <c r="J790" s="3" t="str">
        <f>IF(I790="","",IFERROR(VLOOKUP(I790,Base_Datos!$D$2:$E$72,2,0),""))</f>
        <v>(2.4L)</v>
      </c>
      <c r="K790" s="3" t="s">
        <v>1782</v>
      </c>
      <c r="L790" s="3"/>
      <c r="M790" s="7">
        <v>9</v>
      </c>
      <c r="N790" s="7">
        <v>0</v>
      </c>
    </row>
    <row r="791" spans="1:14" ht="14.25" x14ac:dyDescent="0.2">
      <c r="A791" s="3">
        <v>72030</v>
      </c>
      <c r="B791" s="3" t="s">
        <v>2492</v>
      </c>
      <c r="C791" s="3" t="s">
        <v>18</v>
      </c>
      <c r="D791" s="6" t="s">
        <v>2493</v>
      </c>
      <c r="E791" s="6" t="s">
        <v>2493</v>
      </c>
      <c r="F791" s="3" t="str">
        <f>IFERROR( VLOOKUP(A791,#REF!,2,0),"")</f>
        <v/>
      </c>
      <c r="G791" s="3" t="str">
        <f t="array" ref="G791">_xlfn.XLOOKUP(I791,Base_Datos!D:D,Base_Datos!B:B,"")</f>
        <v>DFSK</v>
      </c>
      <c r="H791" s="3" t="str">
        <f t="array" ref="H791">IF(I791="","",IFERROR(_xlfn.XLOOKUP(I791,Base_Datos!$D$2:$D3876,Base_Datos!$C$2:$C3876),""))</f>
        <v>Serie D</v>
      </c>
      <c r="I791" s="3" t="s">
        <v>145</v>
      </c>
      <c r="J791" s="3" t="str">
        <f>IF(I791="","",IFERROR(VLOOKUP(I791,Base_Datos!$D$2:$E$72,2,0),""))</f>
        <v>(2.4L)</v>
      </c>
      <c r="K791" s="3" t="s">
        <v>1782</v>
      </c>
      <c r="L791" s="3"/>
      <c r="M791" s="7">
        <v>1</v>
      </c>
      <c r="N791" s="7">
        <v>0</v>
      </c>
    </row>
    <row r="792" spans="1:14" ht="14.25" x14ac:dyDescent="0.2">
      <c r="A792" s="3">
        <v>72031</v>
      </c>
      <c r="B792" s="3" t="s">
        <v>2494</v>
      </c>
      <c r="C792" s="3" t="s">
        <v>18</v>
      </c>
      <c r="D792" s="6" t="s">
        <v>2495</v>
      </c>
      <c r="E792" s="6" t="s">
        <v>2495</v>
      </c>
      <c r="F792" s="3" t="str">
        <f>IFERROR( VLOOKUP(A792,#REF!,2,0),"")</f>
        <v/>
      </c>
      <c r="G792" s="3" t="str">
        <f t="array" ref="G792">_xlfn.XLOOKUP(I792,Base_Datos!D:D,Base_Datos!B:B,"")</f>
        <v>DFSK</v>
      </c>
      <c r="H792" s="3" t="str">
        <f t="array" ref="H792">IF(I792="","",IFERROR(_xlfn.XLOOKUP(I792,Base_Datos!$D$2:$D3876,Base_Datos!$C$2:$C3876),""))</f>
        <v>Serie D</v>
      </c>
      <c r="I792" s="3" t="s">
        <v>145</v>
      </c>
      <c r="J792" s="3" t="str">
        <f>IF(I792="","",IFERROR(VLOOKUP(I792,Base_Datos!$D$2:$E$72,2,0),""))</f>
        <v>(2.4L)</v>
      </c>
      <c r="K792" s="3" t="s">
        <v>1782</v>
      </c>
      <c r="L792" s="3"/>
      <c r="M792" s="7">
        <v>10</v>
      </c>
      <c r="N792" s="7">
        <v>0</v>
      </c>
    </row>
    <row r="793" spans="1:14" ht="14.25" x14ac:dyDescent="0.2">
      <c r="A793" s="3">
        <v>72032</v>
      </c>
      <c r="B793" s="3" t="s">
        <v>2496</v>
      </c>
      <c r="C793" s="3" t="s">
        <v>18</v>
      </c>
      <c r="D793" s="6" t="s">
        <v>2497</v>
      </c>
      <c r="E793" s="6" t="s">
        <v>2497</v>
      </c>
      <c r="F793" s="3" t="str">
        <f>IFERROR( VLOOKUP(A793,#REF!,2,0),"")</f>
        <v/>
      </c>
      <c r="G793" s="3" t="str">
        <f t="array" ref="G793">_xlfn.XLOOKUP(I793,Base_Datos!D:D,Base_Datos!B:B,"")</f>
        <v>DFSK</v>
      </c>
      <c r="H793" s="3" t="str">
        <f t="array" ref="H793">IF(I793="","",IFERROR(_xlfn.XLOOKUP(I793,Base_Datos!$D$2:$D3876,Base_Datos!$C$2:$C3876),""))</f>
        <v>Serie D</v>
      </c>
      <c r="I793" s="3" t="s">
        <v>145</v>
      </c>
      <c r="J793" s="3" t="str">
        <f>IF(I793="","",IFERROR(VLOOKUP(I793,Base_Datos!$D$2:$E$72,2,0),""))</f>
        <v>(2.4L)</v>
      </c>
      <c r="K793" s="3" t="s">
        <v>1782</v>
      </c>
      <c r="L793" s="3"/>
      <c r="M793" s="7">
        <v>10</v>
      </c>
      <c r="N793" s="7">
        <v>0</v>
      </c>
    </row>
    <row r="794" spans="1:14" ht="14.25" x14ac:dyDescent="0.2">
      <c r="A794" s="3">
        <v>72033</v>
      </c>
      <c r="B794" s="3" t="s">
        <v>1787</v>
      </c>
      <c r="C794" s="3" t="s">
        <v>18</v>
      </c>
      <c r="D794" s="6" t="s">
        <v>1144</v>
      </c>
      <c r="E794" s="6" t="s">
        <v>1144</v>
      </c>
      <c r="F794" s="3" t="str">
        <f>IFERROR( VLOOKUP(A794,#REF!,2,0),"")</f>
        <v/>
      </c>
      <c r="G794" s="3" t="str">
        <f t="array" ref="G794">_xlfn.XLOOKUP(I794,Base_Datos!D:D,Base_Datos!B:B,"")</f>
        <v>DFSK</v>
      </c>
      <c r="H794" s="3" t="str">
        <f t="array" ref="H794">IF(I794="","",IFERROR(_xlfn.XLOOKUP(I794,Base_Datos!$D$2:$D3876,Base_Datos!$C$2:$C3876),""))</f>
        <v>Serie D</v>
      </c>
      <c r="I794" s="3" t="s">
        <v>145</v>
      </c>
      <c r="J794" s="3" t="str">
        <f>IF(I794="","",IFERROR(VLOOKUP(I794,Base_Datos!$D$2:$E$72,2,0),""))</f>
        <v>(2.4L)</v>
      </c>
      <c r="K794" s="3" t="s">
        <v>1782</v>
      </c>
      <c r="L794" s="3"/>
      <c r="M794" s="7">
        <v>5</v>
      </c>
      <c r="N794" s="7">
        <v>0</v>
      </c>
    </row>
    <row r="795" spans="1:14" ht="14.25" x14ac:dyDescent="0.2">
      <c r="A795" s="3">
        <v>72034</v>
      </c>
      <c r="B795" s="3" t="s">
        <v>2498</v>
      </c>
      <c r="C795" s="3" t="s">
        <v>18</v>
      </c>
      <c r="D795" s="6" t="s">
        <v>2499</v>
      </c>
      <c r="E795" s="6" t="s">
        <v>2499</v>
      </c>
      <c r="F795" s="3" t="str">
        <f>IFERROR( VLOOKUP(A795,#REF!,2,0),"")</f>
        <v/>
      </c>
      <c r="G795" s="3" t="str">
        <f t="array" ref="G795">_xlfn.XLOOKUP(I795,Base_Datos!D:D,Base_Datos!B:B,"")</f>
        <v>DFSK</v>
      </c>
      <c r="H795" s="3" t="str">
        <f t="array" ref="H795">IF(I795="","",IFERROR(_xlfn.XLOOKUP(I795,Base_Datos!$D$2:$D3876,Base_Datos!$C$2:$C3876),""))</f>
        <v>Serie D</v>
      </c>
      <c r="I795" s="3" t="s">
        <v>145</v>
      </c>
      <c r="J795" s="3" t="str">
        <f>IF(I795="","",IFERROR(VLOOKUP(I795,Base_Datos!$D$2:$E$72,2,0),""))</f>
        <v>(2.4L)</v>
      </c>
      <c r="K795" s="3" t="s">
        <v>1782</v>
      </c>
      <c r="L795" s="3"/>
      <c r="M795" s="7">
        <v>46</v>
      </c>
      <c r="N795" s="7">
        <v>0</v>
      </c>
    </row>
    <row r="796" spans="1:14" ht="14.25" x14ac:dyDescent="0.2">
      <c r="A796" s="3">
        <v>72035</v>
      </c>
      <c r="B796" s="3" t="s">
        <v>2500</v>
      </c>
      <c r="C796" s="3" t="s">
        <v>18</v>
      </c>
      <c r="D796" s="6" t="s">
        <v>2501</v>
      </c>
      <c r="E796" s="6" t="s">
        <v>2501</v>
      </c>
      <c r="F796" s="3" t="str">
        <f>IFERROR( VLOOKUP(A796,#REF!,2,0),"")</f>
        <v/>
      </c>
      <c r="G796" s="3" t="str">
        <f t="array" ref="G796">_xlfn.XLOOKUP(I796,Base_Datos!D:D,Base_Datos!B:B,"")</f>
        <v>DFSK</v>
      </c>
      <c r="H796" s="3" t="str">
        <f t="array" ref="H796">IF(I796="","",IFERROR(_xlfn.XLOOKUP(I796,Base_Datos!$D$2:$D3876,Base_Datos!$C$2:$C3876),""))</f>
        <v>Serie D</v>
      </c>
      <c r="I796" s="3" t="s">
        <v>145</v>
      </c>
      <c r="J796" s="3" t="str">
        <f>IF(I796="","",IFERROR(VLOOKUP(I796,Base_Datos!$D$2:$E$72,2,0),""))</f>
        <v>(2.4L)</v>
      </c>
      <c r="K796" s="3" t="s">
        <v>1782</v>
      </c>
      <c r="L796" s="3"/>
      <c r="M796" s="7">
        <v>4</v>
      </c>
      <c r="N796" s="7">
        <v>0</v>
      </c>
    </row>
    <row r="797" spans="1:14" ht="14.25" x14ac:dyDescent="0.2">
      <c r="A797" s="3">
        <v>72036</v>
      </c>
      <c r="B797" s="3" t="s">
        <v>1824</v>
      </c>
      <c r="C797" s="3" t="s">
        <v>18</v>
      </c>
      <c r="D797" s="6" t="s">
        <v>2502</v>
      </c>
      <c r="E797" s="6" t="s">
        <v>2502</v>
      </c>
      <c r="F797" s="3" t="str">
        <f>IFERROR( VLOOKUP(A797,#REF!,2,0),"")</f>
        <v/>
      </c>
      <c r="G797" s="3" t="str">
        <f t="array" ref="G797">_xlfn.XLOOKUP(I797,Base_Datos!D:D,Base_Datos!B:B,"")</f>
        <v>DFSK</v>
      </c>
      <c r="H797" s="3" t="str">
        <f t="array" ref="H797">IF(I797="","",IFERROR(_xlfn.XLOOKUP(I797,Base_Datos!$D$2:$D3876,Base_Datos!$C$2:$C3876),""))</f>
        <v>Serie D</v>
      </c>
      <c r="I797" s="3" t="s">
        <v>145</v>
      </c>
      <c r="J797" s="3" t="str">
        <f>IF(I797="","",IFERROR(VLOOKUP(I797,Base_Datos!$D$2:$E$72,2,0),""))</f>
        <v>(2.4L)</v>
      </c>
      <c r="K797" s="3" t="s">
        <v>1782</v>
      </c>
      <c r="L797" s="3"/>
      <c r="M797" s="7">
        <v>10</v>
      </c>
      <c r="N797" s="7">
        <v>0</v>
      </c>
    </row>
    <row r="798" spans="1:14" ht="14.25" x14ac:dyDescent="0.2">
      <c r="A798" s="3">
        <v>72037</v>
      </c>
      <c r="B798" s="3" t="s">
        <v>2503</v>
      </c>
      <c r="C798" s="3" t="s">
        <v>18</v>
      </c>
      <c r="D798" s="6" t="s">
        <v>2504</v>
      </c>
      <c r="E798" s="6" t="s">
        <v>2504</v>
      </c>
      <c r="F798" s="3" t="str">
        <f>IFERROR( VLOOKUP(A798,#REF!,2,0),"")</f>
        <v/>
      </c>
      <c r="G798" s="3" t="str">
        <f t="array" ref="G798">_xlfn.XLOOKUP(I798,Base_Datos!D:D,Base_Datos!B:B,"")</f>
        <v>DFSK</v>
      </c>
      <c r="H798" s="3" t="str">
        <f t="array" ref="H798">IF(I798="","",IFERROR(_xlfn.XLOOKUP(I798,Base_Datos!$D$2:$D3876,Base_Datos!$C$2:$C3876),""))</f>
        <v>Serie D</v>
      </c>
      <c r="I798" s="3" t="s">
        <v>145</v>
      </c>
      <c r="J798" s="3" t="str">
        <f>IF(I798="","",IFERROR(VLOOKUP(I798,Base_Datos!$D$2:$E$72,2,0),""))</f>
        <v>(2.4L)</v>
      </c>
      <c r="K798" s="3" t="s">
        <v>1782</v>
      </c>
      <c r="L798" s="3"/>
      <c r="M798" s="7">
        <v>3</v>
      </c>
      <c r="N798" s="7">
        <v>0</v>
      </c>
    </row>
    <row r="799" spans="1:14" ht="14.25" x14ac:dyDescent="0.2">
      <c r="A799" s="3">
        <v>72038</v>
      </c>
      <c r="B799" s="3" t="s">
        <v>2505</v>
      </c>
      <c r="C799" s="3" t="s">
        <v>18</v>
      </c>
      <c r="D799" s="6" t="s">
        <v>2471</v>
      </c>
      <c r="E799" s="6" t="s">
        <v>2471</v>
      </c>
      <c r="F799" s="3" t="str">
        <f>IFERROR( VLOOKUP(A799,#REF!,2,0),"")</f>
        <v/>
      </c>
      <c r="G799" s="3" t="str">
        <f t="array" ref="G799">_xlfn.XLOOKUP(I799,Base_Datos!D:D,Base_Datos!B:B,"")</f>
        <v>DFSK</v>
      </c>
      <c r="H799" s="3" t="str">
        <f t="array" ref="H799">IF(I799="","",IFERROR(_xlfn.XLOOKUP(I799,Base_Datos!$D$2:$D3876,Base_Datos!$C$2:$C3876),""))</f>
        <v>Serie D</v>
      </c>
      <c r="I799" s="3" t="s">
        <v>145</v>
      </c>
      <c r="J799" s="3" t="str">
        <f>IF(I799="","",IFERROR(VLOOKUP(I799,Base_Datos!$D$2:$E$72,2,0),""))</f>
        <v>(2.4L)</v>
      </c>
      <c r="K799" s="3" t="s">
        <v>1782</v>
      </c>
      <c r="L799" s="3"/>
      <c r="M799" s="7">
        <v>31</v>
      </c>
      <c r="N799" s="7">
        <v>0</v>
      </c>
    </row>
    <row r="800" spans="1:14" ht="14.25" x14ac:dyDescent="0.2">
      <c r="A800" s="3">
        <v>72039</v>
      </c>
      <c r="B800" s="3" t="s">
        <v>2506</v>
      </c>
      <c r="C800" s="3" t="s">
        <v>18</v>
      </c>
      <c r="D800" s="6" t="s">
        <v>2473</v>
      </c>
      <c r="E800" s="6" t="s">
        <v>2473</v>
      </c>
      <c r="F800" s="3" t="str">
        <f>IFERROR( VLOOKUP(A800,#REF!,2,0),"")</f>
        <v/>
      </c>
      <c r="G800" s="3" t="str">
        <f t="array" ref="G800">_xlfn.XLOOKUP(I800,Base_Datos!D:D,Base_Datos!B:B,"")</f>
        <v>DFSK</v>
      </c>
      <c r="H800" s="3" t="str">
        <f t="array" ref="H800">IF(I800="","",IFERROR(_xlfn.XLOOKUP(I800,Base_Datos!$D$2:$D3876,Base_Datos!$C$2:$C3876),""))</f>
        <v>Serie D</v>
      </c>
      <c r="I800" s="3" t="s">
        <v>145</v>
      </c>
      <c r="J800" s="3" t="str">
        <f>IF(I800="","",IFERROR(VLOOKUP(I800,Base_Datos!$D$2:$E$72,2,0),""))</f>
        <v>(2.4L)</v>
      </c>
      <c r="K800" s="3" t="s">
        <v>1782</v>
      </c>
      <c r="L800" s="3"/>
      <c r="M800" s="7">
        <v>29</v>
      </c>
      <c r="N800" s="7">
        <v>0</v>
      </c>
    </row>
    <row r="801" spans="1:14" ht="14.25" x14ac:dyDescent="0.2">
      <c r="A801" s="3">
        <v>72040</v>
      </c>
      <c r="B801" s="3" t="s">
        <v>2507</v>
      </c>
      <c r="C801" s="3" t="s">
        <v>18</v>
      </c>
      <c r="D801" s="6" t="s">
        <v>919</v>
      </c>
      <c r="E801" s="6" t="s">
        <v>919</v>
      </c>
      <c r="F801" s="3" t="str">
        <f>IFERROR( VLOOKUP(A801,#REF!,2,0),"")</f>
        <v/>
      </c>
      <c r="G801" s="3" t="str">
        <f t="array" ref="G801">_xlfn.XLOOKUP(I801,Base_Datos!D:D,Base_Datos!B:B,"")</f>
        <v>DFSK</v>
      </c>
      <c r="H801" s="3" t="str">
        <f t="array" ref="H801">IF(I801="","",IFERROR(_xlfn.XLOOKUP(I801,Base_Datos!$D$2:$D3876,Base_Datos!$C$2:$C3876),""))</f>
        <v>Serie D</v>
      </c>
      <c r="I801" s="3" t="s">
        <v>145</v>
      </c>
      <c r="J801" s="3" t="str">
        <f>IF(I801="","",IFERROR(VLOOKUP(I801,Base_Datos!$D$2:$E$72,2,0),""))</f>
        <v>(2.4L)</v>
      </c>
      <c r="K801" s="3" t="s">
        <v>1782</v>
      </c>
      <c r="L801" s="3"/>
      <c r="M801" s="7">
        <v>34</v>
      </c>
      <c r="N801" s="7">
        <v>0</v>
      </c>
    </row>
    <row r="802" spans="1:14" ht="14.25" x14ac:dyDescent="0.2">
      <c r="A802" s="3">
        <v>72041</v>
      </c>
      <c r="B802" s="3" t="s">
        <v>2508</v>
      </c>
      <c r="C802" s="3" t="s">
        <v>18</v>
      </c>
      <c r="D802" s="6" t="s">
        <v>2509</v>
      </c>
      <c r="E802" s="6" t="s">
        <v>2509</v>
      </c>
      <c r="F802" s="3" t="str">
        <f>IFERROR( VLOOKUP(A802,#REF!,2,0),"")</f>
        <v/>
      </c>
      <c r="G802" s="3" t="str">
        <f t="array" ref="G802">_xlfn.XLOOKUP(I802,Base_Datos!D:D,Base_Datos!B:B,"")</f>
        <v>DFSK</v>
      </c>
      <c r="H802" s="3" t="str">
        <f t="array" ref="H802">IF(I802="","",IFERROR(_xlfn.XLOOKUP(I802,Base_Datos!$D$2:$D3876,Base_Datos!$C$2:$C3876),""))</f>
        <v>Serie D</v>
      </c>
      <c r="I802" s="3" t="s">
        <v>145</v>
      </c>
      <c r="J802" s="3" t="str">
        <f>IF(I802="","",IFERROR(VLOOKUP(I802,Base_Datos!$D$2:$E$72,2,0),""))</f>
        <v>(2.4L)</v>
      </c>
      <c r="K802" s="3" t="s">
        <v>1782</v>
      </c>
      <c r="L802" s="3"/>
      <c r="M802" s="7">
        <v>10</v>
      </c>
      <c r="N802" s="7">
        <v>0</v>
      </c>
    </row>
    <row r="803" spans="1:14" ht="14.25" x14ac:dyDescent="0.2">
      <c r="A803" s="3">
        <v>72042</v>
      </c>
      <c r="B803" s="3" t="s">
        <v>2510</v>
      </c>
      <c r="C803" s="3" t="s">
        <v>18</v>
      </c>
      <c r="D803" s="6" t="s">
        <v>2511</v>
      </c>
      <c r="E803" s="6" t="s">
        <v>2511</v>
      </c>
      <c r="F803" s="3" t="str">
        <f>IFERROR( VLOOKUP(A803,#REF!,2,0),"")</f>
        <v/>
      </c>
      <c r="G803" s="3" t="str">
        <f t="array" ref="G803">_xlfn.XLOOKUP(I803,Base_Datos!D:D,Base_Datos!B:B,"")</f>
        <v>DFSK</v>
      </c>
      <c r="H803" s="3" t="str">
        <f t="array" ref="H803">IF(I803="","",IFERROR(_xlfn.XLOOKUP(I803,Base_Datos!$D$2:$D3876,Base_Datos!$C$2:$C3876),""))</f>
        <v>Serie D</v>
      </c>
      <c r="I803" s="3" t="s">
        <v>145</v>
      </c>
      <c r="J803" s="3" t="str">
        <f>IF(I803="","",IFERROR(VLOOKUP(I803,Base_Datos!$D$2:$E$72,2,0),""))</f>
        <v>(2.4L)</v>
      </c>
      <c r="K803" s="3" t="s">
        <v>1782</v>
      </c>
      <c r="L803" s="3"/>
      <c r="M803" s="7">
        <v>10</v>
      </c>
      <c r="N803" s="7">
        <v>0</v>
      </c>
    </row>
    <row r="804" spans="1:14" ht="14.25" x14ac:dyDescent="0.2">
      <c r="A804" s="3">
        <v>72043</v>
      </c>
      <c r="B804" s="3" t="s">
        <v>2512</v>
      </c>
      <c r="C804" s="3" t="s">
        <v>18</v>
      </c>
      <c r="D804" s="6" t="s">
        <v>2513</v>
      </c>
      <c r="E804" s="6" t="s">
        <v>2513</v>
      </c>
      <c r="F804" s="3" t="str">
        <f>IFERROR( VLOOKUP(A804,#REF!,2,0),"")</f>
        <v/>
      </c>
      <c r="G804" s="3" t="str">
        <f t="array" ref="G804">_xlfn.XLOOKUP(I804,Base_Datos!D:D,Base_Datos!B:B,"")</f>
        <v>DFSK</v>
      </c>
      <c r="H804" s="3" t="str">
        <f t="array" ref="H804">IF(I804="","",IFERROR(_xlfn.XLOOKUP(I804,Base_Datos!$D$2:$D3876,Base_Datos!$C$2:$C3876),""))</f>
        <v>Serie D</v>
      </c>
      <c r="I804" s="3" t="s">
        <v>145</v>
      </c>
      <c r="J804" s="3" t="str">
        <f>IF(I804="","",IFERROR(VLOOKUP(I804,Base_Datos!$D$2:$E$72,2,0),""))</f>
        <v>(2.4L)</v>
      </c>
      <c r="K804" s="3" t="s">
        <v>1782</v>
      </c>
      <c r="L804" s="3"/>
      <c r="M804" s="7">
        <v>14</v>
      </c>
      <c r="N804" s="7">
        <v>0</v>
      </c>
    </row>
    <row r="805" spans="1:14" ht="14.25" x14ac:dyDescent="0.2">
      <c r="A805" s="3">
        <v>72044</v>
      </c>
      <c r="B805" s="3" t="s">
        <v>2514</v>
      </c>
      <c r="C805" s="3" t="s">
        <v>18</v>
      </c>
      <c r="D805" s="6" t="s">
        <v>2515</v>
      </c>
      <c r="E805" s="6" t="s">
        <v>2515</v>
      </c>
      <c r="F805" s="3" t="str">
        <f>IFERROR( VLOOKUP(A805,#REF!,2,0),"")</f>
        <v/>
      </c>
      <c r="G805" s="3" t="str">
        <f t="array" ref="G805">_xlfn.XLOOKUP(I805,Base_Datos!D:D,Base_Datos!B:B,"")</f>
        <v>DFSK</v>
      </c>
      <c r="H805" s="3" t="str">
        <f t="array" ref="H805">IF(I805="","",IFERROR(_xlfn.XLOOKUP(I805,Base_Datos!$D$2:$D3876,Base_Datos!$C$2:$C3876),""))</f>
        <v>Serie D</v>
      </c>
      <c r="I805" s="3" t="s">
        <v>145</v>
      </c>
      <c r="J805" s="3" t="str">
        <f>IF(I805="","",IFERROR(VLOOKUP(I805,Base_Datos!$D$2:$E$72,2,0),""))</f>
        <v>(2.4L)</v>
      </c>
      <c r="K805" s="3" t="s">
        <v>1782</v>
      </c>
      <c r="L805" s="3"/>
      <c r="M805" s="7">
        <v>30</v>
      </c>
      <c r="N805" s="7">
        <v>0</v>
      </c>
    </row>
    <row r="806" spans="1:14" ht="14.25" x14ac:dyDescent="0.2">
      <c r="A806" s="3">
        <v>72045</v>
      </c>
      <c r="B806" s="3" t="s">
        <v>2516</v>
      </c>
      <c r="C806" s="3" t="s">
        <v>18</v>
      </c>
      <c r="D806" s="6" t="s">
        <v>2517</v>
      </c>
      <c r="E806" s="6" t="s">
        <v>2517</v>
      </c>
      <c r="F806" s="3" t="str">
        <f>IFERROR( VLOOKUP(A806,#REF!,2,0),"")</f>
        <v/>
      </c>
      <c r="G806" s="3" t="str">
        <f t="array" ref="G806">_xlfn.XLOOKUP(I806,Base_Datos!D:D,Base_Datos!B:B,"")</f>
        <v>DFSK</v>
      </c>
      <c r="H806" s="3" t="str">
        <f t="array" ref="H806">IF(I806="","",IFERROR(_xlfn.XLOOKUP(I806,Base_Datos!$D$2:$D3876,Base_Datos!$C$2:$C3876),""))</f>
        <v>Serie D</v>
      </c>
      <c r="I806" s="3" t="s">
        <v>145</v>
      </c>
      <c r="J806" s="3" t="str">
        <f>IF(I806="","",IFERROR(VLOOKUP(I806,Base_Datos!$D$2:$E$72,2,0),""))</f>
        <v>(2.4L)</v>
      </c>
      <c r="K806" s="3" t="s">
        <v>1782</v>
      </c>
      <c r="L806" s="3"/>
      <c r="M806" s="7">
        <v>30</v>
      </c>
      <c r="N806" s="7">
        <v>0</v>
      </c>
    </row>
    <row r="807" spans="1:14" ht="14.25" x14ac:dyDescent="0.2">
      <c r="A807" s="3">
        <v>72046</v>
      </c>
      <c r="B807" s="3" t="s">
        <v>2518</v>
      </c>
      <c r="C807" s="3" t="s">
        <v>18</v>
      </c>
      <c r="D807" s="6" t="s">
        <v>2519</v>
      </c>
      <c r="E807" s="6" t="s">
        <v>2519</v>
      </c>
      <c r="F807" s="3" t="str">
        <f>IFERROR( VLOOKUP(A807,#REF!,2,0),"")</f>
        <v/>
      </c>
      <c r="G807" s="3" t="str">
        <f t="array" ref="G807">_xlfn.XLOOKUP(I807,Base_Datos!D:D,Base_Datos!B:B,"")</f>
        <v>DFSK</v>
      </c>
      <c r="H807" s="3" t="str">
        <f t="array" ref="H807">IF(I807="","",IFERROR(_xlfn.XLOOKUP(I807,Base_Datos!$D$2:$D3876,Base_Datos!$C$2:$C3876),""))</f>
        <v>Serie D</v>
      </c>
      <c r="I807" s="3" t="s">
        <v>145</v>
      </c>
      <c r="J807" s="3" t="str">
        <f>IF(I807="","",IFERROR(VLOOKUP(I807,Base_Datos!$D$2:$E$72,2,0),""))</f>
        <v>(2.4L)</v>
      </c>
      <c r="K807" s="3" t="s">
        <v>1782</v>
      </c>
      <c r="L807" s="3"/>
      <c r="M807" s="7">
        <v>4</v>
      </c>
      <c r="N807" s="7">
        <v>0</v>
      </c>
    </row>
    <row r="808" spans="1:14" ht="14.25" x14ac:dyDescent="0.2">
      <c r="A808" s="3">
        <v>72047</v>
      </c>
      <c r="B808" s="3" t="s">
        <v>2520</v>
      </c>
      <c r="C808" s="3" t="s">
        <v>18</v>
      </c>
      <c r="D808" s="6" t="s">
        <v>2521</v>
      </c>
      <c r="E808" s="6" t="s">
        <v>2521</v>
      </c>
      <c r="F808" s="3" t="str">
        <f>IFERROR( VLOOKUP(A808,#REF!,2,0),"")</f>
        <v/>
      </c>
      <c r="G808" s="3" t="str">
        <f t="array" ref="G808">_xlfn.XLOOKUP(I808,Base_Datos!D:D,Base_Datos!B:B,"")</f>
        <v>DFSK</v>
      </c>
      <c r="H808" s="3" t="str">
        <f t="array" ref="H808">IF(I808="","",IFERROR(_xlfn.XLOOKUP(I808,Base_Datos!$D$2:$D3876,Base_Datos!$C$2:$C3876),""))</f>
        <v>Serie D</v>
      </c>
      <c r="I808" s="3" t="s">
        <v>145</v>
      </c>
      <c r="J808" s="3" t="str">
        <f>IF(I808="","",IFERROR(VLOOKUP(I808,Base_Datos!$D$2:$E$72,2,0),""))</f>
        <v>(2.4L)</v>
      </c>
      <c r="K808" s="3" t="s">
        <v>1782</v>
      </c>
      <c r="L808" s="3"/>
      <c r="M808" s="7">
        <v>30</v>
      </c>
      <c r="N808" s="7">
        <v>0</v>
      </c>
    </row>
    <row r="809" spans="1:14" ht="14.25" x14ac:dyDescent="0.2">
      <c r="A809" s="3">
        <v>72048</v>
      </c>
      <c r="B809" s="3" t="s">
        <v>2522</v>
      </c>
      <c r="C809" s="3" t="s">
        <v>18</v>
      </c>
      <c r="D809" s="6" t="s">
        <v>2523</v>
      </c>
      <c r="E809" s="6" t="s">
        <v>2523</v>
      </c>
      <c r="F809" s="3" t="str">
        <f>IFERROR( VLOOKUP(A809,#REF!,2,0),"")</f>
        <v/>
      </c>
      <c r="G809" s="3" t="str">
        <f t="array" ref="G809">_xlfn.XLOOKUP(I809,Base_Datos!D:D,Base_Datos!B:B,"")</f>
        <v>DFSK</v>
      </c>
      <c r="H809" s="3" t="str">
        <f t="array" ref="H809">IF(I809="","",IFERROR(_xlfn.XLOOKUP(I809,Base_Datos!$D$2:$D3876,Base_Datos!$C$2:$C3876),""))</f>
        <v>Serie D</v>
      </c>
      <c r="I809" s="3" t="s">
        <v>145</v>
      </c>
      <c r="J809" s="3" t="str">
        <f>IF(I809="","",IFERROR(VLOOKUP(I809,Base_Datos!$D$2:$E$72,2,0),""))</f>
        <v>(2.4L)</v>
      </c>
      <c r="K809" s="3" t="s">
        <v>1782</v>
      </c>
      <c r="L809" s="3"/>
      <c r="M809" s="7">
        <v>97</v>
      </c>
      <c r="N809" s="7">
        <v>0</v>
      </c>
    </row>
    <row r="810" spans="1:14" ht="14.25" x14ac:dyDescent="0.2">
      <c r="A810" s="3">
        <v>72049</v>
      </c>
      <c r="B810" s="3" t="s">
        <v>2409</v>
      </c>
      <c r="C810" s="3" t="s">
        <v>18</v>
      </c>
      <c r="D810" s="6" t="s">
        <v>2524</v>
      </c>
      <c r="E810" s="6" t="s">
        <v>2524</v>
      </c>
      <c r="F810" s="3" t="str">
        <f>IFERROR( VLOOKUP(A810,#REF!,2,0),"")</f>
        <v/>
      </c>
      <c r="G810" s="3" t="str">
        <f t="array" ref="G810">_xlfn.XLOOKUP(I810,Base_Datos!D:D,Base_Datos!B:B,"")</f>
        <v>DFSK</v>
      </c>
      <c r="H810" s="3" t="str">
        <f t="array" ref="H810">IF(I810="","",IFERROR(_xlfn.XLOOKUP(I810,Base_Datos!$D$2:$D3876,Base_Datos!$C$2:$C3876),""))</f>
        <v>Serie D</v>
      </c>
      <c r="I810" s="3" t="s">
        <v>145</v>
      </c>
      <c r="J810" s="3" t="str">
        <f>IF(I810="","",IFERROR(VLOOKUP(I810,Base_Datos!$D$2:$E$72,2,0),""))</f>
        <v>(2.4L)</v>
      </c>
      <c r="K810" s="3" t="s">
        <v>1782</v>
      </c>
      <c r="L810" s="3"/>
      <c r="M810" s="7">
        <v>60</v>
      </c>
      <c r="N810" s="7">
        <v>0</v>
      </c>
    </row>
    <row r="811" spans="1:14" ht="14.25" x14ac:dyDescent="0.2">
      <c r="A811" s="3">
        <v>72050</v>
      </c>
      <c r="B811" s="3" t="s">
        <v>2525</v>
      </c>
      <c r="C811" s="3" t="s">
        <v>18</v>
      </c>
      <c r="D811" s="6" t="s">
        <v>934</v>
      </c>
      <c r="E811" s="6" t="s">
        <v>934</v>
      </c>
      <c r="F811" s="3" t="str">
        <f>IFERROR( VLOOKUP(A811,#REF!,2,0),"")</f>
        <v/>
      </c>
      <c r="G811" s="3" t="str">
        <f t="array" ref="G811">_xlfn.XLOOKUP(I811,Base_Datos!D:D,Base_Datos!B:B,"")</f>
        <v>DFSK</v>
      </c>
      <c r="H811" s="3" t="str">
        <f t="array" ref="H811">IF(I811="","",IFERROR(_xlfn.XLOOKUP(I811,Base_Datos!$D$2:$D3876,Base_Datos!$C$2:$C3876),""))</f>
        <v>Serie D</v>
      </c>
      <c r="I811" s="3" t="s">
        <v>145</v>
      </c>
      <c r="J811" s="3" t="str">
        <f>IF(I811="","",IFERROR(VLOOKUP(I811,Base_Datos!$D$2:$E$72,2,0),""))</f>
        <v>(2.4L)</v>
      </c>
      <c r="K811" s="3" t="s">
        <v>1782</v>
      </c>
      <c r="L811" s="3"/>
      <c r="M811" s="7">
        <v>60</v>
      </c>
      <c r="N811" s="7">
        <v>0</v>
      </c>
    </row>
    <row r="812" spans="1:14" ht="14.25" x14ac:dyDescent="0.2">
      <c r="A812" s="3">
        <v>72051</v>
      </c>
      <c r="B812" s="3" t="s">
        <v>2526</v>
      </c>
      <c r="C812" s="3" t="s">
        <v>18</v>
      </c>
      <c r="D812" s="6" t="s">
        <v>2527</v>
      </c>
      <c r="E812" s="6" t="s">
        <v>2527</v>
      </c>
      <c r="F812" s="3" t="str">
        <f>IFERROR( VLOOKUP(A812,#REF!,2,0),"")</f>
        <v/>
      </c>
      <c r="G812" s="3" t="str">
        <f t="array" ref="G812">_xlfn.XLOOKUP(I812,Base_Datos!D:D,Base_Datos!B:B,"")</f>
        <v>DFSK</v>
      </c>
      <c r="H812" s="3" t="str">
        <f t="array" ref="H812">IF(I812="","",IFERROR(_xlfn.XLOOKUP(I812,Base_Datos!$D$2:$D3876,Base_Datos!$C$2:$C3876),""))</f>
        <v>Serie D</v>
      </c>
      <c r="I812" s="3" t="s">
        <v>145</v>
      </c>
      <c r="J812" s="3" t="str">
        <f>IF(I812="","",IFERROR(VLOOKUP(I812,Base_Datos!$D$2:$E$72,2,0),""))</f>
        <v>(2.4L)</v>
      </c>
      <c r="K812" s="3" t="s">
        <v>1782</v>
      </c>
      <c r="L812" s="3"/>
      <c r="M812" s="7">
        <v>59</v>
      </c>
      <c r="N812" s="7">
        <v>0</v>
      </c>
    </row>
    <row r="813" spans="1:14" ht="14.25" x14ac:dyDescent="0.2">
      <c r="A813" s="3">
        <v>72052</v>
      </c>
      <c r="B813" s="3" t="s">
        <v>2528</v>
      </c>
      <c r="C813" s="3" t="s">
        <v>18</v>
      </c>
      <c r="D813" s="6" t="s">
        <v>2529</v>
      </c>
      <c r="E813" s="6" t="s">
        <v>2529</v>
      </c>
      <c r="F813" s="3" t="str">
        <f>IFERROR( VLOOKUP(A813,#REF!,2,0),"")</f>
        <v/>
      </c>
      <c r="G813" s="3" t="str">
        <f t="array" ref="G813">_xlfn.XLOOKUP(I813,Base_Datos!D:D,Base_Datos!B:B,"")</f>
        <v>DFSK</v>
      </c>
      <c r="H813" s="3" t="str">
        <f t="array" ref="H813">IF(I813="","",IFERROR(_xlfn.XLOOKUP(I813,Base_Datos!$D$2:$D3876,Base_Datos!$C$2:$C3876),""))</f>
        <v>Serie D</v>
      </c>
      <c r="I813" s="3" t="s">
        <v>145</v>
      </c>
      <c r="J813" s="3" t="str">
        <f>IF(I813="","",IFERROR(VLOOKUP(I813,Base_Datos!$D$2:$E$72,2,0),""))</f>
        <v>(2.4L)</v>
      </c>
      <c r="K813" s="3" t="s">
        <v>1782</v>
      </c>
      <c r="L813" s="3"/>
      <c r="M813" s="7">
        <v>17</v>
      </c>
      <c r="N813" s="7">
        <v>0</v>
      </c>
    </row>
    <row r="814" spans="1:14" ht="14.25" x14ac:dyDescent="0.2">
      <c r="A814" s="3">
        <v>72053</v>
      </c>
      <c r="B814" s="3" t="s">
        <v>2530</v>
      </c>
      <c r="C814" s="3" t="s">
        <v>18</v>
      </c>
      <c r="D814" s="6" t="s">
        <v>2531</v>
      </c>
      <c r="E814" s="6" t="s">
        <v>2531</v>
      </c>
      <c r="F814" s="3" t="str">
        <f>IFERROR( VLOOKUP(A814,#REF!,2,0),"")</f>
        <v/>
      </c>
      <c r="G814" s="3" t="str">
        <f t="array" ref="G814">_xlfn.XLOOKUP(I814,Base_Datos!D:D,Base_Datos!B:B,"")</f>
        <v>DFSK</v>
      </c>
      <c r="H814" s="3" t="str">
        <f t="array" ref="H814">IF(I814="","",IFERROR(_xlfn.XLOOKUP(I814,Base_Datos!$D$2:$D3876,Base_Datos!$C$2:$C3876),""))</f>
        <v>Serie D</v>
      </c>
      <c r="I814" s="3" t="s">
        <v>145</v>
      </c>
      <c r="J814" s="3" t="str">
        <f>IF(I814="","",IFERROR(VLOOKUP(I814,Base_Datos!$D$2:$E$72,2,0),""))</f>
        <v>(2.4L)</v>
      </c>
      <c r="K814" s="3" t="s">
        <v>1782</v>
      </c>
      <c r="L814" s="3"/>
      <c r="M814" s="7">
        <v>60</v>
      </c>
      <c r="N814" s="7">
        <v>0</v>
      </c>
    </row>
    <row r="815" spans="1:14" ht="14.25" x14ac:dyDescent="0.2">
      <c r="A815" s="3">
        <v>72054</v>
      </c>
      <c r="B815" s="3" t="s">
        <v>2532</v>
      </c>
      <c r="C815" s="3" t="s">
        <v>18</v>
      </c>
      <c r="D815" s="6" t="s">
        <v>2533</v>
      </c>
      <c r="E815" s="6" t="s">
        <v>2533</v>
      </c>
      <c r="F815" s="3" t="str">
        <f>IFERROR( VLOOKUP(A815,#REF!,2,0),"")</f>
        <v/>
      </c>
      <c r="G815" s="3" t="str">
        <f t="array" ref="G815">_xlfn.XLOOKUP(I815,Base_Datos!D:D,Base_Datos!B:B,"")</f>
        <v>DFSK</v>
      </c>
      <c r="H815" s="3" t="str">
        <f t="array" ref="H815">IF(I815="","",IFERROR(_xlfn.XLOOKUP(I815,Base_Datos!$D$2:$D3876,Base_Datos!$C$2:$C3876),""))</f>
        <v>Serie D</v>
      </c>
      <c r="I815" s="3" t="s">
        <v>145</v>
      </c>
      <c r="J815" s="3" t="str">
        <f>IF(I815="","",IFERROR(VLOOKUP(I815,Base_Datos!$D$2:$E$72,2,0),""))</f>
        <v>(2.4L)</v>
      </c>
      <c r="K815" s="3" t="s">
        <v>1782</v>
      </c>
      <c r="L815" s="3"/>
      <c r="M815" s="7">
        <v>60</v>
      </c>
      <c r="N815" s="7">
        <v>0</v>
      </c>
    </row>
    <row r="816" spans="1:14" ht="14.25" x14ac:dyDescent="0.2">
      <c r="A816" s="3">
        <v>72055</v>
      </c>
      <c r="B816" s="3" t="s">
        <v>2534</v>
      </c>
      <c r="C816" s="3" t="s">
        <v>18</v>
      </c>
      <c r="D816" s="6" t="s">
        <v>2535</v>
      </c>
      <c r="E816" s="6" t="s">
        <v>2535</v>
      </c>
      <c r="F816" s="3" t="str">
        <f>IFERROR( VLOOKUP(A816,#REF!,2,0),"")</f>
        <v/>
      </c>
      <c r="G816" s="3" t="str">
        <f t="array" ref="G816">_xlfn.XLOOKUP(I816,Base_Datos!D:D,Base_Datos!B:B,"")</f>
        <v>DFSK</v>
      </c>
      <c r="H816" s="3" t="str">
        <f t="array" ref="H816">IF(I816="","",IFERROR(_xlfn.XLOOKUP(I816,Base_Datos!$D$2:$D3876,Base_Datos!$C$2:$C3876),""))</f>
        <v>Serie D</v>
      </c>
      <c r="I816" s="3" t="s">
        <v>145</v>
      </c>
      <c r="J816" s="3" t="str">
        <f>IF(I816="","",IFERROR(VLOOKUP(I816,Base_Datos!$D$2:$E$72,2,0),""))</f>
        <v>(2.4L)</v>
      </c>
      <c r="K816" s="3" t="s">
        <v>1782</v>
      </c>
      <c r="L816" s="3"/>
      <c r="M816" s="7">
        <v>60</v>
      </c>
      <c r="N816" s="7">
        <v>0</v>
      </c>
    </row>
    <row r="817" spans="1:14" ht="14.25" x14ac:dyDescent="0.2">
      <c r="A817" s="3">
        <v>72056</v>
      </c>
      <c r="B817" s="3" t="s">
        <v>2536</v>
      </c>
      <c r="C817" s="3" t="s">
        <v>18</v>
      </c>
      <c r="D817" s="6" t="s">
        <v>2537</v>
      </c>
      <c r="E817" s="6" t="s">
        <v>2537</v>
      </c>
      <c r="F817" s="3" t="str">
        <f>IFERROR( VLOOKUP(A817,#REF!,2,0),"")</f>
        <v/>
      </c>
      <c r="G817" s="3" t="str">
        <f t="array" ref="G817">_xlfn.XLOOKUP(I817,Base_Datos!D:D,Base_Datos!B:B,"")</f>
        <v>DFSK</v>
      </c>
      <c r="H817" s="3" t="str">
        <f t="array" ref="H817">IF(I817="","",IFERROR(_xlfn.XLOOKUP(I817,Base_Datos!$D$2:$D3876,Base_Datos!$C$2:$C3876),""))</f>
        <v>Serie D</v>
      </c>
      <c r="I817" s="3" t="s">
        <v>145</v>
      </c>
      <c r="J817" s="3" t="str">
        <f>IF(I817="","",IFERROR(VLOOKUP(I817,Base_Datos!$D$2:$E$72,2,0),""))</f>
        <v>(2.4L)</v>
      </c>
      <c r="K817" s="3" t="s">
        <v>1782</v>
      </c>
      <c r="L817" s="3"/>
      <c r="M817" s="7">
        <v>15</v>
      </c>
      <c r="N817" s="7">
        <v>0</v>
      </c>
    </row>
    <row r="818" spans="1:14" ht="14.25" x14ac:dyDescent="0.2">
      <c r="A818" s="3">
        <v>72057</v>
      </c>
      <c r="B818" s="3" t="s">
        <v>2503</v>
      </c>
      <c r="C818" s="3" t="s">
        <v>18</v>
      </c>
      <c r="D818" s="6" t="s">
        <v>2538</v>
      </c>
      <c r="E818" s="6" t="s">
        <v>2538</v>
      </c>
      <c r="F818" s="3" t="str">
        <f>IFERROR( VLOOKUP(A818,#REF!,2,0),"")</f>
        <v/>
      </c>
      <c r="G818" s="3" t="str">
        <f t="array" ref="G818">_xlfn.XLOOKUP(I818,Base_Datos!D:D,Base_Datos!B:B,"")</f>
        <v>DFSK</v>
      </c>
      <c r="H818" s="3" t="str">
        <f t="array" ref="H818">IF(I818="","",IFERROR(_xlfn.XLOOKUP(I818,Base_Datos!$D$2:$D3876,Base_Datos!$C$2:$C3876),""))</f>
        <v>Serie D</v>
      </c>
      <c r="I818" s="3" t="s">
        <v>145</v>
      </c>
      <c r="J818" s="3" t="str">
        <f>IF(I818="","",IFERROR(VLOOKUP(I818,Base_Datos!$D$2:$E$72,2,0),""))</f>
        <v>(2.4L)</v>
      </c>
      <c r="K818" s="3" t="s">
        <v>1782</v>
      </c>
      <c r="L818" s="3"/>
      <c r="M818" s="7">
        <v>1</v>
      </c>
      <c r="N818" s="7">
        <v>0</v>
      </c>
    </row>
    <row r="819" spans="1:14" ht="14.25" x14ac:dyDescent="0.2">
      <c r="A819" s="3">
        <v>72058</v>
      </c>
      <c r="B819" s="3" t="s">
        <v>2539</v>
      </c>
      <c r="C819" s="3" t="s">
        <v>18</v>
      </c>
      <c r="D819" s="6" t="s">
        <v>2540</v>
      </c>
      <c r="E819" s="6" t="s">
        <v>2540</v>
      </c>
      <c r="F819" s="3" t="str">
        <f>IFERROR( VLOOKUP(A819,#REF!,2,0),"")</f>
        <v/>
      </c>
      <c r="G819" s="3" t="str">
        <f t="array" ref="G819">_xlfn.XLOOKUP(I819,Base_Datos!D:D,Base_Datos!B:B,"")</f>
        <v>DFSK</v>
      </c>
      <c r="H819" s="3" t="str">
        <f t="array" ref="H819">IF(I819="","",IFERROR(_xlfn.XLOOKUP(I819,Base_Datos!$D$2:$D3876,Base_Datos!$C$2:$C3876),""))</f>
        <v>Serie D</v>
      </c>
      <c r="I819" s="3" t="s">
        <v>145</v>
      </c>
      <c r="J819" s="3" t="str">
        <f>IF(I819="","",IFERROR(VLOOKUP(I819,Base_Datos!$D$2:$E$72,2,0),""))</f>
        <v>(2.4L)</v>
      </c>
      <c r="K819" s="3" t="s">
        <v>1782</v>
      </c>
      <c r="L819" s="3"/>
      <c r="M819" s="7">
        <v>60</v>
      </c>
      <c r="N819" s="7">
        <v>0</v>
      </c>
    </row>
    <row r="820" spans="1:14" ht="14.25" x14ac:dyDescent="0.2">
      <c r="A820" s="3">
        <v>72059</v>
      </c>
      <c r="B820" s="3" t="s">
        <v>2541</v>
      </c>
      <c r="C820" s="3" t="s">
        <v>18</v>
      </c>
      <c r="D820" s="6" t="s">
        <v>2542</v>
      </c>
      <c r="E820" s="6" t="s">
        <v>2542</v>
      </c>
      <c r="F820" s="3" t="str">
        <f>IFERROR( VLOOKUP(A820,#REF!,2,0),"")</f>
        <v/>
      </c>
      <c r="G820" s="3" t="str">
        <f t="array" ref="G820">_xlfn.XLOOKUP(I820,Base_Datos!D:D,Base_Datos!B:B,"")</f>
        <v>DFSK</v>
      </c>
      <c r="H820" s="3" t="str">
        <f t="array" ref="H820">IF(I820="","",IFERROR(_xlfn.XLOOKUP(I820,Base_Datos!$D$2:$D3876,Base_Datos!$C$2:$C3876),""))</f>
        <v>Serie D</v>
      </c>
      <c r="I820" s="3" t="s">
        <v>145</v>
      </c>
      <c r="J820" s="3" t="str">
        <f>IF(I820="","",IFERROR(VLOOKUP(I820,Base_Datos!$D$2:$E$72,2,0),""))</f>
        <v>(2.4L)</v>
      </c>
      <c r="K820" s="3" t="s">
        <v>1782</v>
      </c>
      <c r="L820" s="3"/>
      <c r="M820" s="7">
        <v>10</v>
      </c>
      <c r="N820" s="7">
        <v>0</v>
      </c>
    </row>
    <row r="821" spans="1:14" ht="14.25" x14ac:dyDescent="0.2">
      <c r="A821" s="3">
        <v>73000</v>
      </c>
      <c r="B821" s="3" t="s">
        <v>2543</v>
      </c>
      <c r="C821" s="3" t="s">
        <v>18</v>
      </c>
      <c r="D821" s="6" t="s">
        <v>2544</v>
      </c>
      <c r="E821" s="6" t="s">
        <v>2544</v>
      </c>
      <c r="F821" s="3" t="str">
        <f>IFERROR( VLOOKUP(A821,#REF!,2,0),"")</f>
        <v/>
      </c>
      <c r="G821" s="3">
        <f t="array" ref="G821">_xlfn.XLOOKUP(I821,Base_Datos!D:D,Base_Datos!B:B,"")</f>
        <v>0</v>
      </c>
      <c r="H821" s="3" t="str">
        <f t="array" ref="H821">IF(I821="","",IFERROR(_xlfn.XLOOKUP(I821,Base_Datos!$D$2:$D3876,Base_Datos!$C$2:$C3876),""))</f>
        <v/>
      </c>
      <c r="I821" s="3"/>
      <c r="J821" s="3" t="str">
        <f>IF(I821="","",IFERROR(VLOOKUP(I821,Base_Datos!$D$2:$E$72,2,0),""))</f>
        <v/>
      </c>
      <c r="K821" s="3" t="s">
        <v>1782</v>
      </c>
      <c r="L821" s="3"/>
      <c r="M821" s="7">
        <v>66</v>
      </c>
      <c r="N821" s="7">
        <v>0</v>
      </c>
    </row>
    <row r="822" spans="1:14" ht="14.25" x14ac:dyDescent="0.2">
      <c r="A822" s="3">
        <v>73001</v>
      </c>
      <c r="B822" s="3" t="s">
        <v>2545</v>
      </c>
      <c r="C822" s="3" t="s">
        <v>18</v>
      </c>
      <c r="D822" s="6" t="s">
        <v>2459</v>
      </c>
      <c r="E822" s="6" t="s">
        <v>2459</v>
      </c>
      <c r="F822" s="3" t="str">
        <f>IFERROR( VLOOKUP(A822,#REF!,2,0),"")</f>
        <v/>
      </c>
      <c r="G822" s="3">
        <f t="array" ref="G822">_xlfn.XLOOKUP(I822,Base_Datos!D:D,Base_Datos!B:B,"")</f>
        <v>0</v>
      </c>
      <c r="H822" s="3" t="str">
        <f t="array" ref="H822">IF(I822="","",IFERROR(_xlfn.XLOOKUP(I822,Base_Datos!$D$2:$D3876,Base_Datos!$C$2:$C3876),""))</f>
        <v/>
      </c>
      <c r="I822" s="3"/>
      <c r="J822" s="3" t="str">
        <f>IF(I822="","",IFERROR(VLOOKUP(I822,Base_Datos!$D$2:$E$72,2,0),""))</f>
        <v/>
      </c>
      <c r="K822" s="3" t="s">
        <v>1782</v>
      </c>
      <c r="L822" s="3"/>
      <c r="M822" s="7">
        <v>3</v>
      </c>
      <c r="N822" s="7">
        <v>0</v>
      </c>
    </row>
    <row r="823" spans="1:14" ht="14.25" x14ac:dyDescent="0.2">
      <c r="A823" s="3">
        <v>73002</v>
      </c>
      <c r="B823" s="3" t="s">
        <v>2546</v>
      </c>
      <c r="C823" s="3" t="s">
        <v>18</v>
      </c>
      <c r="D823" s="6" t="s">
        <v>1782</v>
      </c>
      <c r="E823" s="6" t="s">
        <v>1782</v>
      </c>
      <c r="F823" s="3" t="str">
        <f>IFERROR( VLOOKUP(A823,#REF!,2,0),"")</f>
        <v/>
      </c>
      <c r="G823" s="3">
        <f t="array" ref="G823">_xlfn.XLOOKUP(I823,Base_Datos!D:D,Base_Datos!B:B,"")</f>
        <v>0</v>
      </c>
      <c r="H823" s="3" t="str">
        <f t="array" ref="H823">IF(I823="","",IFERROR(_xlfn.XLOOKUP(I823,Base_Datos!$D$2:$D3876,Base_Datos!$C$2:$C3876),""))</f>
        <v/>
      </c>
      <c r="I823" s="3"/>
      <c r="J823" s="3" t="str">
        <f>IF(I823="","",IFERROR(VLOOKUP(I823,Base_Datos!$D$2:$E$72,2,0),""))</f>
        <v/>
      </c>
      <c r="K823" s="3" t="s">
        <v>1782</v>
      </c>
      <c r="L823" s="3"/>
      <c r="M823" s="7">
        <v>3</v>
      </c>
      <c r="N823" s="7">
        <v>0</v>
      </c>
    </row>
    <row r="824" spans="1:14" ht="14.25" x14ac:dyDescent="0.2">
      <c r="A824" s="3">
        <v>73003</v>
      </c>
      <c r="B824" s="3" t="s">
        <v>2547</v>
      </c>
      <c r="C824" s="3" t="s">
        <v>18</v>
      </c>
      <c r="D824" s="6" t="s">
        <v>2493</v>
      </c>
      <c r="E824" s="6" t="s">
        <v>2493</v>
      </c>
      <c r="F824" s="3" t="str">
        <f>IFERROR( VLOOKUP(A824,#REF!,2,0),"")</f>
        <v/>
      </c>
      <c r="G824" s="3">
        <f t="array" ref="G824">_xlfn.XLOOKUP(I824,Base_Datos!D:D,Base_Datos!B:B,"")</f>
        <v>0</v>
      </c>
      <c r="H824" s="3" t="str">
        <f t="array" ref="H824">IF(I824="","",IFERROR(_xlfn.XLOOKUP(I824,Base_Datos!$D$2:$D3876,Base_Datos!$C$2:$C3876),""))</f>
        <v/>
      </c>
      <c r="I824" s="3"/>
      <c r="J824" s="3" t="str">
        <f>IF(I824="","",IFERROR(VLOOKUP(I824,Base_Datos!$D$2:$E$72,2,0),""))</f>
        <v/>
      </c>
      <c r="K824" s="3" t="s">
        <v>1782</v>
      </c>
      <c r="L824" s="3"/>
      <c r="M824" s="7">
        <v>4</v>
      </c>
      <c r="N824" s="7">
        <v>0</v>
      </c>
    </row>
    <row r="825" spans="1:14" ht="14.25" x14ac:dyDescent="0.2">
      <c r="A825" s="3">
        <v>73004</v>
      </c>
      <c r="B825" s="3" t="s">
        <v>2548</v>
      </c>
      <c r="C825" s="3" t="s">
        <v>18</v>
      </c>
      <c r="D825" s="6" t="s">
        <v>2549</v>
      </c>
      <c r="E825" s="6" t="s">
        <v>2549</v>
      </c>
      <c r="F825" s="3" t="str">
        <f>IFERROR( VLOOKUP(A825,#REF!,2,0),"")</f>
        <v/>
      </c>
      <c r="G825" s="3" t="str">
        <f t="array" ref="G825">_xlfn.XLOOKUP(I825,Base_Datos!D:D,Base_Datos!B:B,"")</f>
        <v>DFSK</v>
      </c>
      <c r="H825" s="3" t="str">
        <f t="array" ref="H825">IF(I825="","",IFERROR(_xlfn.XLOOKUP(I825,Base_Datos!$D$2:$D3876,Base_Datos!$C$2:$C3876),""))</f>
        <v>Serie K</v>
      </c>
      <c r="I825" s="3" t="s">
        <v>475</v>
      </c>
      <c r="J825" s="3" t="str">
        <f>IF(I825="","",IFERROR(VLOOKUP(I825,Base_Datos!$D$2:$E$72,2,0),""))</f>
        <v>(1.1L)</v>
      </c>
      <c r="K825" s="3" t="s">
        <v>2550</v>
      </c>
      <c r="L825" s="3"/>
      <c r="M825" s="7">
        <v>600</v>
      </c>
      <c r="N825" s="7">
        <v>0</v>
      </c>
    </row>
    <row r="826" spans="1:14" ht="14.25" x14ac:dyDescent="0.2">
      <c r="A826" s="3">
        <v>73005</v>
      </c>
      <c r="B826" s="3" t="s">
        <v>2551</v>
      </c>
      <c r="C826" s="3" t="s">
        <v>18</v>
      </c>
      <c r="D826" s="6" t="s">
        <v>2552</v>
      </c>
      <c r="E826" s="6" t="s">
        <v>2552</v>
      </c>
      <c r="F826" s="3" t="str">
        <f>IFERROR( VLOOKUP(A826,#REF!,2,0),"")</f>
        <v/>
      </c>
      <c r="G826" s="3" t="str">
        <f t="array" ref="G826">_xlfn.XLOOKUP(I826,Base_Datos!D:D,Base_Datos!B:B,"")</f>
        <v>DFSK</v>
      </c>
      <c r="H826" s="3" t="str">
        <f t="array" ref="H826">IF(I826="","",IFERROR(_xlfn.XLOOKUP(I826,Base_Datos!$D$2:$D3876,Base_Datos!$C$2:$C3876),""))</f>
        <v>Serie K</v>
      </c>
      <c r="I826" s="3" t="s">
        <v>475</v>
      </c>
      <c r="J826" s="3" t="str">
        <f>IF(I826="","",IFERROR(VLOOKUP(I826,Base_Datos!$D$2:$E$72,2,0),""))</f>
        <v>(1.1L)</v>
      </c>
      <c r="K826" s="3" t="s">
        <v>2553</v>
      </c>
      <c r="L826" s="3"/>
      <c r="M826" s="7">
        <v>5</v>
      </c>
      <c r="N826" s="7">
        <v>0</v>
      </c>
    </row>
    <row r="827" spans="1:14" ht="14.25" x14ac:dyDescent="0.2">
      <c r="A827" s="3">
        <v>73006</v>
      </c>
      <c r="B827" s="3" t="s">
        <v>2554</v>
      </c>
      <c r="C827" s="3" t="s">
        <v>18</v>
      </c>
      <c r="D827" s="6" t="s">
        <v>2555</v>
      </c>
      <c r="E827" s="6" t="s">
        <v>2555</v>
      </c>
      <c r="F827" s="3" t="str">
        <f>IFERROR( VLOOKUP(A827,#REF!,2,0),"")</f>
        <v/>
      </c>
      <c r="G827" s="3" t="str">
        <f t="array" ref="G827">_xlfn.XLOOKUP(I827,Base_Datos!D:D,Base_Datos!B:B,"")</f>
        <v>DFSK</v>
      </c>
      <c r="H827" s="3" t="str">
        <f t="array" ref="H827">IF(I827="","",IFERROR(_xlfn.XLOOKUP(I827,Base_Datos!$D$2:$D3876,Base_Datos!$C$2:$C3876),""))</f>
        <v>Serie Glory</v>
      </c>
      <c r="I827" s="3" t="s">
        <v>1766</v>
      </c>
      <c r="J827" s="3" t="str">
        <f>IF(I827="","",IFERROR(VLOOKUP(I827,Base_Datos!$D$2:$E$72,2,0),""))</f>
        <v>(1.8L)</v>
      </c>
      <c r="K827" s="3" t="s">
        <v>1782</v>
      </c>
      <c r="L827" s="3"/>
      <c r="M827" s="7">
        <v>7</v>
      </c>
      <c r="N827" s="7">
        <v>0</v>
      </c>
    </row>
    <row r="828" spans="1:14" ht="14.25" x14ac:dyDescent="0.2">
      <c r="A828" s="3">
        <v>73007</v>
      </c>
      <c r="B828" s="3" t="s">
        <v>2556</v>
      </c>
      <c r="C828" s="3" t="s">
        <v>18</v>
      </c>
      <c r="D828" s="6" t="s">
        <v>2557</v>
      </c>
      <c r="E828" s="6" t="s">
        <v>2557</v>
      </c>
      <c r="F828" s="3" t="str">
        <f>IFERROR( VLOOKUP(A828,#REF!,2,0),"")</f>
        <v/>
      </c>
      <c r="G828" s="3" t="str">
        <f t="array" ref="G828">_xlfn.XLOOKUP(I828,Base_Datos!D:D,Base_Datos!B:B,"")</f>
        <v>DFSK</v>
      </c>
      <c r="H828" s="3" t="str">
        <f t="array" ref="H828">IF(I828="","",IFERROR(_xlfn.XLOOKUP(I828,Base_Datos!$D$2:$D3876,Base_Datos!$C$2:$C3876),""))</f>
        <v>Serie K</v>
      </c>
      <c r="I828" s="3" t="s">
        <v>475</v>
      </c>
      <c r="J828" s="3" t="str">
        <f>IF(I828="","",IFERROR(VLOOKUP(I828,Base_Datos!$D$2:$E$72,2,0),""))</f>
        <v>(1.1L)</v>
      </c>
      <c r="K828" s="3" t="s">
        <v>1782</v>
      </c>
      <c r="L828" s="3"/>
      <c r="M828" s="7">
        <v>3</v>
      </c>
      <c r="N828" s="7">
        <v>0</v>
      </c>
    </row>
    <row r="829" spans="1:14" ht="14.25" x14ac:dyDescent="0.2">
      <c r="A829" s="3">
        <v>73008</v>
      </c>
      <c r="B829" s="3" t="s">
        <v>2558</v>
      </c>
      <c r="C829" s="3" t="s">
        <v>18</v>
      </c>
      <c r="D829" s="6" t="s">
        <v>2559</v>
      </c>
      <c r="E829" s="6" t="s">
        <v>2559</v>
      </c>
      <c r="F829" s="3" t="str">
        <f>IFERROR( VLOOKUP(A829,#REF!,2,0),"")</f>
        <v/>
      </c>
      <c r="G829" s="3" t="str">
        <f t="array" ref="G829">_xlfn.XLOOKUP(I829,Base_Datos!D:D,Base_Datos!B:B,"")</f>
        <v>DFSK</v>
      </c>
      <c r="H829" s="3" t="str">
        <f t="array" ref="H829">IF(I829="","",IFERROR(_xlfn.XLOOKUP(I829,Base_Datos!$D$2:$D3876,Base_Datos!$C$2:$C3876),""))</f>
        <v>Serie K</v>
      </c>
      <c r="I829" s="3" t="s">
        <v>475</v>
      </c>
      <c r="J829" s="3" t="str">
        <f>IF(I829="","",IFERROR(VLOOKUP(I829,Base_Datos!$D$2:$E$72,2,0),""))</f>
        <v>(1.1L)</v>
      </c>
      <c r="K829" s="3" t="s">
        <v>1782</v>
      </c>
      <c r="L829" s="3"/>
      <c r="M829" s="7">
        <v>6</v>
      </c>
      <c r="N829" s="7">
        <v>0</v>
      </c>
    </row>
    <row r="830" spans="1:14" ht="14.25" x14ac:dyDescent="0.2">
      <c r="A830" s="3">
        <v>73009</v>
      </c>
      <c r="B830" s="3" t="s">
        <v>2560</v>
      </c>
      <c r="C830" s="3" t="s">
        <v>18</v>
      </c>
      <c r="D830" s="6" t="s">
        <v>2561</v>
      </c>
      <c r="E830" s="6" t="s">
        <v>2561</v>
      </c>
      <c r="F830" s="3" t="str">
        <f>IFERROR( VLOOKUP(A830,#REF!,2,0),"")</f>
        <v/>
      </c>
      <c r="G830" s="3" t="str">
        <f t="array" ref="G830">_xlfn.XLOOKUP(I830,Base_Datos!D:D,Base_Datos!B:B,"")</f>
        <v>DFSK</v>
      </c>
      <c r="H830" s="3" t="str">
        <f t="array" ref="H830">IF(I830="","",IFERROR(_xlfn.XLOOKUP(I830,Base_Datos!$D$2:$D3876,Base_Datos!$C$2:$C3876),""))</f>
        <v>Serie K</v>
      </c>
      <c r="I830" s="3" t="s">
        <v>475</v>
      </c>
      <c r="J830" s="3" t="str">
        <f>IF(I830="","",IFERROR(VLOOKUP(I830,Base_Datos!$D$2:$E$72,2,0),""))</f>
        <v>(1.1L)</v>
      </c>
      <c r="K830" s="3" t="s">
        <v>1782</v>
      </c>
      <c r="L830" s="3"/>
      <c r="M830" s="7">
        <v>2</v>
      </c>
      <c r="N830" s="7">
        <v>0</v>
      </c>
    </row>
    <row r="831" spans="1:14" ht="14.25" x14ac:dyDescent="0.2">
      <c r="A831" s="3">
        <v>73010</v>
      </c>
      <c r="B831" s="3" t="s">
        <v>2562</v>
      </c>
      <c r="C831" s="3" t="s">
        <v>18</v>
      </c>
      <c r="D831" s="6" t="s">
        <v>2563</v>
      </c>
      <c r="E831" s="6" t="s">
        <v>2563</v>
      </c>
      <c r="F831" s="3" t="str">
        <f>IFERROR( VLOOKUP(A831,#REF!,2,0),"")</f>
        <v/>
      </c>
      <c r="G831" s="3" t="str">
        <f t="array" ref="G831">_xlfn.XLOOKUP(I831,Base_Datos!D:D,Base_Datos!B:B,"")</f>
        <v>DFSK</v>
      </c>
      <c r="H831" s="3" t="str">
        <f t="array" ref="H831">IF(I831="","",IFERROR(_xlfn.XLOOKUP(I831,Base_Datos!$D$2:$D3876,Base_Datos!$C$2:$C3876),""))</f>
        <v>Serie K</v>
      </c>
      <c r="I831" s="3" t="s">
        <v>475</v>
      </c>
      <c r="J831" s="3" t="str">
        <f>IF(I831="","",IFERROR(VLOOKUP(I831,Base_Datos!$D$2:$E$72,2,0),""))</f>
        <v>(1.1L)</v>
      </c>
      <c r="K831" s="3" t="s">
        <v>1782</v>
      </c>
      <c r="L831" s="3"/>
      <c r="M831" s="7">
        <v>4</v>
      </c>
      <c r="N831" s="7">
        <v>0</v>
      </c>
    </row>
    <row r="832" spans="1:14" ht="14.25" x14ac:dyDescent="0.2">
      <c r="A832" s="3">
        <v>73011</v>
      </c>
      <c r="B832" s="3" t="s">
        <v>2564</v>
      </c>
      <c r="C832" s="3" t="s">
        <v>18</v>
      </c>
      <c r="D832" s="6" t="s">
        <v>2565</v>
      </c>
      <c r="E832" s="6" t="s">
        <v>2565</v>
      </c>
      <c r="F832" s="3" t="str">
        <f>IFERROR( VLOOKUP(A832,#REF!,2,0),"")</f>
        <v/>
      </c>
      <c r="G832" s="3" t="str">
        <f t="array" ref="G832">_xlfn.XLOOKUP(I832,Base_Datos!D:D,Base_Datos!B:B,"")</f>
        <v>DFSK</v>
      </c>
      <c r="H832" s="3" t="str">
        <f t="array" ref="H832">IF(I832="","",IFERROR(_xlfn.XLOOKUP(I832,Base_Datos!$D$2:$D3876,Base_Datos!$C$2:$C3876),""))</f>
        <v>Serie C</v>
      </c>
      <c r="I832" s="3" t="s">
        <v>343</v>
      </c>
      <c r="J832" s="3" t="str">
        <f>IF(I832="","",IFERROR(VLOOKUP(I832,Base_Datos!$D$2:$E$72,2,0),""))</f>
        <v>(1.5L)</v>
      </c>
      <c r="K832" s="3" t="s">
        <v>2566</v>
      </c>
      <c r="L832" s="3"/>
      <c r="M832" s="7">
        <v>5</v>
      </c>
      <c r="N832" s="7">
        <v>0</v>
      </c>
    </row>
    <row r="833" spans="1:14" ht="14.25" x14ac:dyDescent="0.2">
      <c r="A833" s="3">
        <v>73012</v>
      </c>
      <c r="B833" s="3" t="s">
        <v>2567</v>
      </c>
      <c r="C833" s="3" t="s">
        <v>18</v>
      </c>
      <c r="D833" s="6" t="s">
        <v>33</v>
      </c>
      <c r="E833" s="6" t="s">
        <v>890</v>
      </c>
      <c r="F833" s="3" t="str">
        <f>IFERROR( VLOOKUP(A833,#REF!,2,0),"")</f>
        <v/>
      </c>
      <c r="G833" s="3" t="str">
        <f t="array" ref="G833">_xlfn.XLOOKUP(I833,Base_Datos!D:D,Base_Datos!B:B,"")</f>
        <v>DFSK</v>
      </c>
      <c r="H833" s="3" t="str">
        <f t="array" ref="H833">IF(I833="","",IFERROR(_xlfn.XLOOKUP(I833,Base_Datos!$D$2:$D3876,Base_Datos!$C$2:$C3876),""))</f>
        <v>Serie K</v>
      </c>
      <c r="I833" s="3" t="s">
        <v>475</v>
      </c>
      <c r="J833" s="3" t="str">
        <f>IF(I833="","",IFERROR(VLOOKUP(I833,Base_Datos!$D$2:$E$72,2,0),""))</f>
        <v>(1.1L)</v>
      </c>
      <c r="K833" s="3" t="s">
        <v>2568</v>
      </c>
      <c r="L833" s="3"/>
      <c r="M833" s="7">
        <v>11</v>
      </c>
      <c r="N833" s="7">
        <v>0</v>
      </c>
    </row>
    <row r="834" spans="1:14" ht="14.25" x14ac:dyDescent="0.2">
      <c r="A834" s="3">
        <v>73013</v>
      </c>
      <c r="B834" s="3" t="s">
        <v>2569</v>
      </c>
      <c r="C834" s="3" t="s">
        <v>18</v>
      </c>
      <c r="D834" s="6" t="s">
        <v>2570</v>
      </c>
      <c r="E834" s="6" t="s">
        <v>2570</v>
      </c>
      <c r="F834" s="3" t="str">
        <f>IFERROR( VLOOKUP(A834,#REF!,2,0),"")</f>
        <v/>
      </c>
      <c r="G834" s="3" t="str">
        <f t="array" ref="G834">_xlfn.XLOOKUP(I834,Base_Datos!D:D,Base_Datos!B:B,"")</f>
        <v>DFSK</v>
      </c>
      <c r="H834" s="3" t="str">
        <f t="array" ref="H834">IF(I834="","",IFERROR(_xlfn.XLOOKUP(I834,Base_Datos!$D$2:$D3876,Base_Datos!$C$2:$C3876),""))</f>
        <v>Serie K</v>
      </c>
      <c r="I834" s="3" t="s">
        <v>475</v>
      </c>
      <c r="J834" s="3" t="str">
        <f>IF(I834="","",IFERROR(VLOOKUP(I834,Base_Datos!$D$2:$E$72,2,0),""))</f>
        <v>(1.1L)</v>
      </c>
      <c r="K834" s="3" t="s">
        <v>1782</v>
      </c>
      <c r="L834" s="3"/>
      <c r="M834" s="7">
        <v>27</v>
      </c>
      <c r="N834" s="7">
        <v>0</v>
      </c>
    </row>
    <row r="835" spans="1:14" ht="14.25" x14ac:dyDescent="0.2">
      <c r="A835" s="3">
        <v>73014</v>
      </c>
      <c r="B835" s="3" t="s">
        <v>2571</v>
      </c>
      <c r="C835" s="3" t="s">
        <v>18</v>
      </c>
      <c r="D835" s="6" t="s">
        <v>2572</v>
      </c>
      <c r="E835" s="6" t="s">
        <v>2572</v>
      </c>
      <c r="F835" s="3" t="str">
        <f>IFERROR( VLOOKUP(A835,#REF!,2,0),"")</f>
        <v/>
      </c>
      <c r="G835" s="3" t="str">
        <f t="array" ref="G835">_xlfn.XLOOKUP(I835,Base_Datos!D:D,Base_Datos!B:B,"")</f>
        <v>DFSK</v>
      </c>
      <c r="H835" s="3" t="str">
        <f t="array" ref="H835">IF(I835="","",IFERROR(_xlfn.XLOOKUP(I835,Base_Datos!$D$2:$D3876,Base_Datos!$C$2:$C3876),""))</f>
        <v>Serie K</v>
      </c>
      <c r="I835" s="3" t="s">
        <v>475</v>
      </c>
      <c r="J835" s="3" t="str">
        <f>IF(I835="","",IFERROR(VLOOKUP(I835,Base_Datos!$D$2:$E$72,2,0),""))</f>
        <v>(1.1L)</v>
      </c>
      <c r="K835" s="3" t="s">
        <v>1782</v>
      </c>
      <c r="L835" s="3"/>
      <c r="M835" s="7">
        <v>4</v>
      </c>
      <c r="N835" s="7">
        <v>0</v>
      </c>
    </row>
    <row r="836" spans="1:14" ht="14.25" x14ac:dyDescent="0.2">
      <c r="A836" s="3">
        <v>73015</v>
      </c>
      <c r="B836" s="3" t="s">
        <v>2573</v>
      </c>
      <c r="C836" s="3" t="s">
        <v>18</v>
      </c>
      <c r="D836" s="6" t="s">
        <v>2574</v>
      </c>
      <c r="E836" s="6" t="s">
        <v>2574</v>
      </c>
      <c r="F836" s="3" t="str">
        <f>IFERROR( VLOOKUP(A836,#REF!,2,0),"")</f>
        <v/>
      </c>
      <c r="G836" s="3" t="str">
        <f t="array" ref="G836">_xlfn.XLOOKUP(I836,Base_Datos!D:D,Base_Datos!B:B,"")</f>
        <v>DFSK</v>
      </c>
      <c r="H836" s="3" t="str">
        <f t="array" ref="H836">IF(I836="","",IFERROR(_xlfn.XLOOKUP(I836,Base_Datos!$D$2:$D3876,Base_Datos!$C$2:$C3876),""))</f>
        <v>Serie C</v>
      </c>
      <c r="I836" s="3" t="s">
        <v>343</v>
      </c>
      <c r="J836" s="3" t="str">
        <f>IF(I836="","",IFERROR(VLOOKUP(I836,Base_Datos!$D$2:$E$72,2,0),""))</f>
        <v>(1.5L)</v>
      </c>
      <c r="K836" s="3" t="s">
        <v>2395</v>
      </c>
      <c r="L836" s="3"/>
      <c r="M836" s="7">
        <v>100</v>
      </c>
      <c r="N836" s="7">
        <v>0</v>
      </c>
    </row>
    <row r="837" spans="1:14" ht="14.25" x14ac:dyDescent="0.2">
      <c r="A837" s="3">
        <v>73016</v>
      </c>
      <c r="B837" s="3" t="s">
        <v>2575</v>
      </c>
      <c r="C837" s="3" t="s">
        <v>18</v>
      </c>
      <c r="D837" s="6" t="s">
        <v>2576</v>
      </c>
      <c r="E837" s="6" t="s">
        <v>2576</v>
      </c>
      <c r="F837" s="3" t="str">
        <f>IFERROR( VLOOKUP(A837,#REF!,2,0),"")</f>
        <v/>
      </c>
      <c r="G837" s="3" t="str">
        <f t="array" ref="G837">_xlfn.XLOOKUP(I837,Base_Datos!D:D,Base_Datos!B:B,"")</f>
        <v>DFSK</v>
      </c>
      <c r="H837" s="3" t="str">
        <f t="array" ref="H837">IF(I837="","",IFERROR(_xlfn.XLOOKUP(I837,Base_Datos!$D$2:$D3876,Base_Datos!$C$2:$C3876),""))</f>
        <v>Serie K</v>
      </c>
      <c r="I837" s="3" t="s">
        <v>475</v>
      </c>
      <c r="J837" s="3" t="str">
        <f>IF(I837="","",IFERROR(VLOOKUP(I837,Base_Datos!$D$2:$E$72,2,0),""))</f>
        <v>(1.1L)</v>
      </c>
      <c r="K837" s="3" t="s">
        <v>1782</v>
      </c>
      <c r="L837" s="3"/>
      <c r="M837" s="7">
        <v>5</v>
      </c>
      <c r="N837" s="7">
        <v>0</v>
      </c>
    </row>
    <row r="838" spans="1:14" ht="14.25" x14ac:dyDescent="0.2">
      <c r="A838" s="3">
        <v>73017</v>
      </c>
      <c r="B838" s="3" t="s">
        <v>1790</v>
      </c>
      <c r="C838" s="3" t="s">
        <v>18</v>
      </c>
      <c r="D838" s="6" t="s">
        <v>2577</v>
      </c>
      <c r="E838" s="6" t="s">
        <v>2577</v>
      </c>
      <c r="F838" s="3" t="str">
        <f>IFERROR( VLOOKUP(A838,#REF!,2,0),"")</f>
        <v/>
      </c>
      <c r="G838" s="3" t="str">
        <f t="array" ref="G838">_xlfn.XLOOKUP(I838,Base_Datos!D:D,Base_Datos!B:B,"")</f>
        <v>DFSK</v>
      </c>
      <c r="H838" s="3" t="str">
        <f t="array" ref="H838">IF(I838="","",IFERROR(_xlfn.XLOOKUP(I838,Base_Datos!$D$2:$D3876,Base_Datos!$C$2:$C3876),""))</f>
        <v>Serie K</v>
      </c>
      <c r="I838" s="3" t="s">
        <v>475</v>
      </c>
      <c r="J838" s="3" t="str">
        <f>IF(I838="","",IFERROR(VLOOKUP(I838,Base_Datos!$D$2:$E$72,2,0),""))</f>
        <v>(1.1L)</v>
      </c>
      <c r="K838" s="3" t="s">
        <v>1782</v>
      </c>
      <c r="L838" s="3"/>
      <c r="M838" s="7">
        <v>2</v>
      </c>
      <c r="N838" s="7">
        <v>0</v>
      </c>
    </row>
    <row r="839" spans="1:14" ht="14.25" x14ac:dyDescent="0.2">
      <c r="A839" s="3">
        <v>73018</v>
      </c>
      <c r="B839" s="3" t="s">
        <v>2578</v>
      </c>
      <c r="C839" s="3" t="s">
        <v>18</v>
      </c>
      <c r="D839" s="6" t="s">
        <v>2579</v>
      </c>
      <c r="E839" s="6" t="s">
        <v>2579</v>
      </c>
      <c r="F839" s="3" t="str">
        <f>IFERROR( VLOOKUP(A839,#REF!,2,0),"")</f>
        <v/>
      </c>
      <c r="G839" s="3" t="str">
        <f t="array" ref="G839">_xlfn.XLOOKUP(I839,Base_Datos!D:D,Base_Datos!B:B,"")</f>
        <v>DFSK</v>
      </c>
      <c r="H839" s="3" t="str">
        <f t="array" ref="H839">IF(I839="","",IFERROR(_xlfn.XLOOKUP(I839,Base_Datos!$D$2:$D3876,Base_Datos!$C$2:$C3876),""))</f>
        <v>Serie K</v>
      </c>
      <c r="I839" s="3" t="s">
        <v>475</v>
      </c>
      <c r="J839" s="3" t="str">
        <f>IF(I839="","",IFERROR(VLOOKUP(I839,Base_Datos!$D$2:$E$72,2,0),""))</f>
        <v>(1.1L)</v>
      </c>
      <c r="K839" s="3" t="s">
        <v>1782</v>
      </c>
      <c r="L839" s="3"/>
      <c r="M839" s="7">
        <v>10</v>
      </c>
      <c r="N839" s="7">
        <v>0</v>
      </c>
    </row>
    <row r="840" spans="1:14" ht="14.25" x14ac:dyDescent="0.2">
      <c r="A840" s="3">
        <v>73019</v>
      </c>
      <c r="B840" s="3" t="s">
        <v>2580</v>
      </c>
      <c r="C840" s="3" t="s">
        <v>18</v>
      </c>
      <c r="D840" s="6" t="s">
        <v>2581</v>
      </c>
      <c r="E840" s="6" t="s">
        <v>2581</v>
      </c>
      <c r="F840" s="3" t="str">
        <f>IFERROR( VLOOKUP(A840,#REF!,2,0),"")</f>
        <v/>
      </c>
      <c r="G840" s="3" t="str">
        <f t="array" ref="G840">_xlfn.XLOOKUP(I840,Base_Datos!D:D,Base_Datos!B:B,"")</f>
        <v>DFSK</v>
      </c>
      <c r="H840" s="3" t="str">
        <f t="array" ref="H840">IF(I840="","",IFERROR(_xlfn.XLOOKUP(I840,Base_Datos!$D$2:$D3876,Base_Datos!$C$2:$C3876),""))</f>
        <v>Serie K</v>
      </c>
      <c r="I840" s="3" t="s">
        <v>475</v>
      </c>
      <c r="J840" s="3" t="str">
        <f>IF(I840="","",IFERROR(VLOOKUP(I840,Base_Datos!$D$2:$E$72,2,0),""))</f>
        <v>(1.1L)</v>
      </c>
      <c r="K840" s="3" t="s">
        <v>1782</v>
      </c>
      <c r="L840" s="3"/>
      <c r="M840" s="7">
        <v>10</v>
      </c>
      <c r="N840" s="7">
        <v>0</v>
      </c>
    </row>
    <row r="841" spans="1:14" ht="14.25" x14ac:dyDescent="0.2">
      <c r="A841" s="3">
        <v>74000</v>
      </c>
      <c r="B841" s="3" t="s">
        <v>2582</v>
      </c>
      <c r="C841" s="3" t="s">
        <v>18</v>
      </c>
      <c r="D841" s="6" t="s">
        <v>1028</v>
      </c>
      <c r="E841" s="6" t="s">
        <v>1028</v>
      </c>
      <c r="F841" s="3" t="str">
        <f>IFERROR( VLOOKUP(A841,#REF!,2,0),"")</f>
        <v/>
      </c>
      <c r="G841" s="3" t="str">
        <f t="array" ref="G841">_xlfn.XLOOKUP(I841,Base_Datos!D:D,Base_Datos!B:B,"")</f>
        <v>DFSK</v>
      </c>
      <c r="H841" s="3" t="str">
        <f t="array" ref="H841">IF(I841="","",IFERROR(_xlfn.XLOOKUP(I841,Base_Datos!$D$2:$D3876,Base_Datos!$C$2:$C3876),""))</f>
        <v>Serie K</v>
      </c>
      <c r="I841" s="3" t="s">
        <v>1761</v>
      </c>
      <c r="J841" s="3" t="str">
        <f>IF(I841="","",IFERROR(VLOOKUP(I841,Base_Datos!$D$2:$E$72,2,0),""))</f>
        <v>(1.1L)</v>
      </c>
      <c r="K841" s="3" t="s">
        <v>2583</v>
      </c>
      <c r="L841" s="3"/>
      <c r="M841" s="7">
        <v>5</v>
      </c>
      <c r="N841" s="7">
        <v>0</v>
      </c>
    </row>
    <row r="842" spans="1:14" ht="14.25" x14ac:dyDescent="0.2">
      <c r="A842" s="3">
        <v>74001</v>
      </c>
      <c r="B842" s="3" t="s">
        <v>1828</v>
      </c>
      <c r="C842" s="3" t="s">
        <v>18</v>
      </c>
      <c r="D842" s="6" t="s">
        <v>2427</v>
      </c>
      <c r="E842" s="6" t="s">
        <v>2427</v>
      </c>
      <c r="F842" s="3" t="str">
        <f>IFERROR( VLOOKUP(A842,#REF!,2,0),"")</f>
        <v/>
      </c>
      <c r="G842" s="3">
        <f t="array" ref="G842">_xlfn.XLOOKUP(I842,Base_Datos!D:D,Base_Datos!B:B,"")</f>
        <v>0</v>
      </c>
      <c r="H842" s="3" t="str">
        <f t="array" ref="H842">IF(I842="","",IFERROR(_xlfn.XLOOKUP(I842,Base_Datos!$D$2:$D3876,Base_Datos!$C$2:$C3876),""))</f>
        <v/>
      </c>
      <c r="I842" s="3"/>
      <c r="J842" s="3" t="str">
        <f>IF(I842="","",IFERROR(VLOOKUP(I842,Base_Datos!$D$2:$E$72,2,0),""))</f>
        <v/>
      </c>
      <c r="K842" s="3" t="s">
        <v>1782</v>
      </c>
      <c r="L842" s="3"/>
      <c r="M842" s="7">
        <v>2</v>
      </c>
      <c r="N842" s="7">
        <v>0</v>
      </c>
    </row>
    <row r="843" spans="1:14" ht="14.25" x14ac:dyDescent="0.2">
      <c r="A843" s="3">
        <v>74002</v>
      </c>
      <c r="B843" s="3" t="s">
        <v>2584</v>
      </c>
      <c r="C843" s="3" t="s">
        <v>18</v>
      </c>
      <c r="D843" s="6" t="s">
        <v>2459</v>
      </c>
      <c r="E843" s="6" t="s">
        <v>2459</v>
      </c>
      <c r="F843" s="3" t="str">
        <f>IFERROR( VLOOKUP(A843,#REF!,2,0),"")</f>
        <v/>
      </c>
      <c r="G843" s="3">
        <f t="array" ref="G843">_xlfn.XLOOKUP(I843,Base_Datos!D:D,Base_Datos!B:B,"")</f>
        <v>0</v>
      </c>
      <c r="H843" s="3" t="str">
        <f t="array" ref="H843">IF(I843="","",IFERROR(_xlfn.XLOOKUP(I843,Base_Datos!$D$2:$D3876,Base_Datos!$C$2:$C3876),""))</f>
        <v/>
      </c>
      <c r="I843" s="3"/>
      <c r="J843" s="3" t="str">
        <f>IF(I843="","",IFERROR(VLOOKUP(I843,Base_Datos!$D$2:$E$72,2,0),""))</f>
        <v/>
      </c>
      <c r="K843" s="3" t="s">
        <v>1782</v>
      </c>
      <c r="L843" s="3"/>
      <c r="M843" s="7">
        <v>10</v>
      </c>
      <c r="N843" s="7">
        <v>0</v>
      </c>
    </row>
    <row r="844" spans="1:14" ht="14.25" x14ac:dyDescent="0.2">
      <c r="A844" s="3">
        <v>74003</v>
      </c>
      <c r="B844" s="3" t="s">
        <v>2585</v>
      </c>
      <c r="C844" s="3" t="s">
        <v>18</v>
      </c>
      <c r="D844" s="6" t="s">
        <v>2459</v>
      </c>
      <c r="E844" s="6" t="s">
        <v>2459</v>
      </c>
      <c r="F844" s="3" t="str">
        <f>IFERROR( VLOOKUP(A844,#REF!,2,0),"")</f>
        <v/>
      </c>
      <c r="G844" s="3">
        <f t="array" ref="G844">_xlfn.XLOOKUP(I844,Base_Datos!D:D,Base_Datos!B:B,"")</f>
        <v>0</v>
      </c>
      <c r="H844" s="3" t="str">
        <f t="array" ref="H844">IF(I844="","",IFERROR(_xlfn.XLOOKUP(I844,Base_Datos!$D$2:$D3876,Base_Datos!$C$2:$C3876),""))</f>
        <v/>
      </c>
      <c r="I844" s="3"/>
      <c r="J844" s="3" t="str">
        <f>IF(I844="","",IFERROR(VLOOKUP(I844,Base_Datos!$D$2:$E$72,2,0),""))</f>
        <v/>
      </c>
      <c r="K844" s="3" t="s">
        <v>1782</v>
      </c>
      <c r="L844" s="3"/>
      <c r="M844" s="7">
        <v>2</v>
      </c>
      <c r="N844" s="7">
        <v>0</v>
      </c>
    </row>
    <row r="845" spans="1:14" ht="14.25" x14ac:dyDescent="0.2">
      <c r="A845" s="3">
        <v>74004</v>
      </c>
      <c r="B845" s="3" t="s">
        <v>2586</v>
      </c>
      <c r="C845" s="3" t="s">
        <v>18</v>
      </c>
      <c r="D845" s="6" t="s">
        <v>2587</v>
      </c>
      <c r="E845" s="6" t="s">
        <v>2587</v>
      </c>
      <c r="F845" s="3" t="str">
        <f>IFERROR( VLOOKUP(A845,#REF!,2,0),"")</f>
        <v/>
      </c>
      <c r="G845" s="3" t="str">
        <f t="array" ref="G845">_xlfn.XLOOKUP(I845,Base_Datos!D:D,Base_Datos!B:B,"")</f>
        <v>DFSK</v>
      </c>
      <c r="H845" s="3" t="str">
        <f t="array" ref="H845">IF(I845="","",IFERROR(_xlfn.XLOOKUP(I845,Base_Datos!$D$2:$D3876,Base_Datos!$C$2:$C3876),""))</f>
        <v>Serie K</v>
      </c>
      <c r="I845" s="3" t="s">
        <v>475</v>
      </c>
      <c r="J845" s="3" t="str">
        <f>IF(I845="","",IFERROR(VLOOKUP(I845,Base_Datos!$D$2:$E$72,2,0),""))</f>
        <v>(1.1L)</v>
      </c>
      <c r="K845" s="3" t="s">
        <v>1782</v>
      </c>
      <c r="L845" s="3"/>
      <c r="M845" s="7">
        <v>150</v>
      </c>
      <c r="N845" s="7">
        <v>0</v>
      </c>
    </row>
    <row r="846" spans="1:14" ht="14.25" x14ac:dyDescent="0.2">
      <c r="A846" s="3">
        <v>74005</v>
      </c>
      <c r="B846" s="3" t="s">
        <v>2588</v>
      </c>
      <c r="C846" s="3" t="s">
        <v>18</v>
      </c>
      <c r="D846" s="6" t="s">
        <v>2589</v>
      </c>
      <c r="E846" s="6" t="s">
        <v>2589</v>
      </c>
      <c r="F846" s="3" t="str">
        <f>IFERROR( VLOOKUP(A846,#REF!,2,0),"")</f>
        <v/>
      </c>
      <c r="G846" s="3" t="str">
        <f t="array" ref="G846">_xlfn.XLOOKUP(I846,Base_Datos!D:D,Base_Datos!B:B,"")</f>
        <v>DFSK</v>
      </c>
      <c r="H846" s="3" t="str">
        <f t="array" ref="H846">IF(I846="","",IFERROR(_xlfn.XLOOKUP(I846,Base_Datos!$D$2:$D3876,Base_Datos!$C$2:$C3876),""))</f>
        <v>Serie K</v>
      </c>
      <c r="I846" s="3" t="s">
        <v>475</v>
      </c>
      <c r="J846" s="3" t="str">
        <f>IF(I846="","",IFERROR(VLOOKUP(I846,Base_Datos!$D$2:$E$72,2,0),""))</f>
        <v>(1.1L)</v>
      </c>
      <c r="K846" s="3" t="s">
        <v>2550</v>
      </c>
      <c r="L846" s="3"/>
      <c r="M846" s="7">
        <v>25</v>
      </c>
      <c r="N846" s="7">
        <v>0</v>
      </c>
    </row>
    <row r="847" spans="1:14" ht="14.25" x14ac:dyDescent="0.2">
      <c r="A847" s="3">
        <v>74006</v>
      </c>
      <c r="B847" s="3" t="s">
        <v>2590</v>
      </c>
      <c r="C847" s="3" t="s">
        <v>18</v>
      </c>
      <c r="D847" s="6" t="s">
        <v>2591</v>
      </c>
      <c r="E847" s="6" t="s">
        <v>2591</v>
      </c>
      <c r="F847" s="3" t="str">
        <f>IFERROR( VLOOKUP(A847,#REF!,2,0),"")</f>
        <v/>
      </c>
      <c r="G847" s="3" t="str">
        <f t="array" ref="G847">_xlfn.XLOOKUP(I847,Base_Datos!D:D,Base_Datos!B:B,"")</f>
        <v>DFSK</v>
      </c>
      <c r="H847" s="3" t="str">
        <f t="array" ref="H847">IF(I847="","",IFERROR(_xlfn.XLOOKUP(I847,Base_Datos!$D$2:$D3876,Base_Datos!$C$2:$C3876),""))</f>
        <v>Serie K</v>
      </c>
      <c r="I847" s="3" t="s">
        <v>475</v>
      </c>
      <c r="J847" s="3" t="str">
        <f>IF(I847="","",IFERROR(VLOOKUP(I847,Base_Datos!$D$2:$E$72,2,0),""))</f>
        <v>(1.1L)</v>
      </c>
      <c r="K847" s="3" t="s">
        <v>1782</v>
      </c>
      <c r="L847" s="3"/>
      <c r="M847" s="7">
        <v>19</v>
      </c>
      <c r="N847" s="7">
        <v>0</v>
      </c>
    </row>
    <row r="848" spans="1:14" ht="14.25" x14ac:dyDescent="0.2">
      <c r="A848" s="3">
        <v>74007</v>
      </c>
      <c r="B848" s="3" t="s">
        <v>2592</v>
      </c>
      <c r="C848" s="3" t="s">
        <v>18</v>
      </c>
      <c r="D848" s="6" t="s">
        <v>2593</v>
      </c>
      <c r="E848" s="6" t="s">
        <v>2593</v>
      </c>
      <c r="F848" s="3" t="str">
        <f>IFERROR( VLOOKUP(A848,#REF!,2,0),"")</f>
        <v/>
      </c>
      <c r="G848" s="3" t="str">
        <f t="array" ref="G848">_xlfn.XLOOKUP(I848,Base_Datos!D:D,Base_Datos!B:B,"")</f>
        <v>DFSK</v>
      </c>
      <c r="H848" s="3" t="str">
        <f t="array" ref="H848">IF(I848="","",IFERROR(_xlfn.XLOOKUP(I848,Base_Datos!$D$2:$D3876,Base_Datos!$C$2:$C3876),""))</f>
        <v>Serie K</v>
      </c>
      <c r="I848" s="3" t="s">
        <v>475</v>
      </c>
      <c r="J848" s="3" t="str">
        <f>IF(I848="","",IFERROR(VLOOKUP(I848,Base_Datos!$D$2:$E$72,2,0),""))</f>
        <v>(1.1L)</v>
      </c>
      <c r="K848" s="3" t="s">
        <v>1782</v>
      </c>
      <c r="L848" s="3"/>
      <c r="M848" s="7">
        <v>8</v>
      </c>
      <c r="N848" s="7">
        <v>0</v>
      </c>
    </row>
    <row r="849" spans="1:14" ht="14.25" x14ac:dyDescent="0.2">
      <c r="A849" s="3">
        <v>74008</v>
      </c>
      <c r="B849" s="3" t="s">
        <v>2594</v>
      </c>
      <c r="C849" s="3" t="s">
        <v>18</v>
      </c>
      <c r="D849" s="6" t="s">
        <v>2595</v>
      </c>
      <c r="E849" s="6" t="s">
        <v>2595</v>
      </c>
      <c r="F849" s="3" t="str">
        <f>IFERROR( VLOOKUP(A849,#REF!,2,0),"")</f>
        <v/>
      </c>
      <c r="G849" s="3" t="str">
        <f t="array" ref="G849">_xlfn.XLOOKUP(I849,Base_Datos!D:D,Base_Datos!B:B,"")</f>
        <v>DFSK</v>
      </c>
      <c r="H849" s="3" t="str">
        <f t="array" ref="H849">IF(I849="","",IFERROR(_xlfn.XLOOKUP(I849,Base_Datos!$D$2:$D3876,Base_Datos!$C$2:$C3876),""))</f>
        <v>Serie K</v>
      </c>
      <c r="I849" s="3" t="s">
        <v>475</v>
      </c>
      <c r="J849" s="3" t="str">
        <f>IF(I849="","",IFERROR(VLOOKUP(I849,Base_Datos!$D$2:$E$72,2,0),""))</f>
        <v>(1.1L)</v>
      </c>
      <c r="K849" s="3" t="s">
        <v>2550</v>
      </c>
      <c r="L849" s="3"/>
      <c r="M849" s="7">
        <v>10</v>
      </c>
      <c r="N849" s="7">
        <v>0</v>
      </c>
    </row>
    <row r="850" spans="1:14" ht="14.25" x14ac:dyDescent="0.2">
      <c r="A850" s="3">
        <v>74009</v>
      </c>
      <c r="B850" s="3" t="s">
        <v>2596</v>
      </c>
      <c r="C850" s="3" t="s">
        <v>18</v>
      </c>
      <c r="D850" s="6" t="s">
        <v>2597</v>
      </c>
      <c r="E850" s="6" t="s">
        <v>2597</v>
      </c>
      <c r="F850" s="3" t="str">
        <f>IFERROR( VLOOKUP(A850,#REF!,2,0),"")</f>
        <v/>
      </c>
      <c r="G850" s="3" t="str">
        <f t="array" ref="G850">_xlfn.XLOOKUP(I850,Base_Datos!D:D,Base_Datos!B:B,"")</f>
        <v>DFSK</v>
      </c>
      <c r="H850" s="3" t="str">
        <f t="array" ref="H850">IF(I850="","",IFERROR(_xlfn.XLOOKUP(I850,Base_Datos!$D$2:$D3876,Base_Datos!$C$2:$C3876),""))</f>
        <v>Serie K</v>
      </c>
      <c r="I850" s="3" t="s">
        <v>475</v>
      </c>
      <c r="J850" s="3" t="str">
        <f>IF(I850="","",IFERROR(VLOOKUP(I850,Base_Datos!$D$2:$E$72,2,0),""))</f>
        <v>(1.1L)</v>
      </c>
      <c r="K850" s="3" t="s">
        <v>2550</v>
      </c>
      <c r="L850" s="3"/>
      <c r="M850" s="7">
        <v>10</v>
      </c>
      <c r="N850" s="7">
        <v>0</v>
      </c>
    </row>
    <row r="851" spans="1:14" ht="14.25" x14ac:dyDescent="0.2">
      <c r="A851" s="3">
        <v>74010</v>
      </c>
      <c r="B851" s="3" t="s">
        <v>2598</v>
      </c>
      <c r="C851" s="3" t="s">
        <v>18</v>
      </c>
      <c r="D851" s="6" t="s">
        <v>2599</v>
      </c>
      <c r="E851" s="6" t="s">
        <v>2599</v>
      </c>
      <c r="F851" s="3" t="str">
        <f>IFERROR( VLOOKUP(A851,#REF!,2,0),"")</f>
        <v/>
      </c>
      <c r="G851" s="3" t="str">
        <f t="array" ref="G851">_xlfn.XLOOKUP(I851,Base_Datos!D:D,Base_Datos!B:B,"")</f>
        <v>DFSK</v>
      </c>
      <c r="H851" s="3" t="str">
        <f t="array" ref="H851">IF(I851="","",IFERROR(_xlfn.XLOOKUP(I851,Base_Datos!$D$2:$D3876,Base_Datos!$C$2:$C3876),""))</f>
        <v>Serie K</v>
      </c>
      <c r="I851" s="3" t="s">
        <v>475</v>
      </c>
      <c r="J851" s="3" t="str">
        <f>IF(I851="","",IFERROR(VLOOKUP(I851,Base_Datos!$D$2:$E$72,2,0),""))</f>
        <v>(1.1L)</v>
      </c>
      <c r="K851" s="3" t="s">
        <v>2600</v>
      </c>
      <c r="L851" s="3"/>
      <c r="M851" s="7">
        <v>7</v>
      </c>
      <c r="N851" s="7">
        <v>0</v>
      </c>
    </row>
    <row r="852" spans="1:14" ht="14.25" x14ac:dyDescent="0.2">
      <c r="A852" s="3">
        <v>74011</v>
      </c>
      <c r="B852" s="3" t="s">
        <v>2601</v>
      </c>
      <c r="C852" s="3" t="s">
        <v>18</v>
      </c>
      <c r="D852" s="6" t="s">
        <v>2602</v>
      </c>
      <c r="E852" s="6" t="s">
        <v>2602</v>
      </c>
      <c r="F852" s="3" t="str">
        <f>IFERROR( VLOOKUP(A852,#REF!,2,0),"")</f>
        <v/>
      </c>
      <c r="G852" s="3" t="str">
        <f t="array" ref="G852">_xlfn.XLOOKUP(I852,Base_Datos!D:D,Base_Datos!B:B,"")</f>
        <v>DFSK</v>
      </c>
      <c r="H852" s="3" t="str">
        <f t="array" ref="H852">IF(I852="","",IFERROR(_xlfn.XLOOKUP(I852,Base_Datos!$D$2:$D3876,Base_Datos!$C$2:$C3876),""))</f>
        <v>Serie K</v>
      </c>
      <c r="I852" s="3" t="s">
        <v>475</v>
      </c>
      <c r="J852" s="3" t="str">
        <f>IF(I852="","",IFERROR(VLOOKUP(I852,Base_Datos!$D$2:$E$72,2,0),""))</f>
        <v>(1.1L)</v>
      </c>
      <c r="K852" s="3" t="s">
        <v>2550</v>
      </c>
      <c r="L852" s="3"/>
      <c r="M852" s="7">
        <v>9</v>
      </c>
      <c r="N852" s="7">
        <v>0</v>
      </c>
    </row>
    <row r="853" spans="1:14" ht="14.25" x14ac:dyDescent="0.2">
      <c r="A853" s="3">
        <v>74012</v>
      </c>
      <c r="B853" s="3" t="s">
        <v>2603</v>
      </c>
      <c r="C853" s="3" t="s">
        <v>18</v>
      </c>
      <c r="D853" s="6" t="s">
        <v>2604</v>
      </c>
      <c r="E853" s="6" t="s">
        <v>2604</v>
      </c>
      <c r="F853" s="3" t="str">
        <f>IFERROR( VLOOKUP(A853,#REF!,2,0),"")</f>
        <v/>
      </c>
      <c r="G853" s="3" t="str">
        <f t="array" ref="G853">_xlfn.XLOOKUP(I853,Base_Datos!D:D,Base_Datos!B:B,"")</f>
        <v>DFSK</v>
      </c>
      <c r="H853" s="3" t="str">
        <f t="array" ref="H853">IF(I853="","",IFERROR(_xlfn.XLOOKUP(I853,Base_Datos!$D$2:$D3876,Base_Datos!$C$2:$C3876),""))</f>
        <v>Serie K</v>
      </c>
      <c r="I853" s="3" t="s">
        <v>475</v>
      </c>
      <c r="J853" s="3" t="str">
        <f>IF(I853="","",IFERROR(VLOOKUP(I853,Base_Datos!$D$2:$E$72,2,0),""))</f>
        <v>(1.1L)</v>
      </c>
      <c r="K853" s="3" t="s">
        <v>1782</v>
      </c>
      <c r="L853" s="3"/>
      <c r="M853" s="7">
        <v>4</v>
      </c>
      <c r="N853" s="7">
        <v>0</v>
      </c>
    </row>
    <row r="854" spans="1:14" ht="14.25" x14ac:dyDescent="0.2">
      <c r="A854" s="3">
        <v>74013</v>
      </c>
      <c r="B854" s="3" t="s">
        <v>2605</v>
      </c>
      <c r="C854" s="3" t="s">
        <v>18</v>
      </c>
      <c r="D854" s="6" t="s">
        <v>2606</v>
      </c>
      <c r="E854" s="6" t="s">
        <v>2606</v>
      </c>
      <c r="F854" s="3" t="str">
        <f>IFERROR( VLOOKUP(A854,#REF!,2,0),"")</f>
        <v/>
      </c>
      <c r="G854" s="3" t="str">
        <f t="array" ref="G854">_xlfn.XLOOKUP(I854,Base_Datos!D:D,Base_Datos!B:B,"")</f>
        <v>DFSK</v>
      </c>
      <c r="H854" s="3" t="str">
        <f t="array" ref="H854">IF(I854="","",IFERROR(_xlfn.XLOOKUP(I854,Base_Datos!$D$2:$D3876,Base_Datos!$C$2:$C3876),""))</f>
        <v>Serie K</v>
      </c>
      <c r="I854" s="3" t="s">
        <v>475</v>
      </c>
      <c r="J854" s="3" t="str">
        <f>IF(I854="","",IFERROR(VLOOKUP(I854,Base_Datos!$D$2:$E$72,2,0),""))</f>
        <v>(1.1L)</v>
      </c>
      <c r="K854" s="3" t="s">
        <v>2550</v>
      </c>
      <c r="L854" s="3"/>
      <c r="M854" s="7">
        <v>6</v>
      </c>
      <c r="N854" s="7">
        <v>0</v>
      </c>
    </row>
    <row r="855" spans="1:14" ht="14.25" x14ac:dyDescent="0.2">
      <c r="A855" s="3">
        <v>74014</v>
      </c>
      <c r="B855" s="3" t="s">
        <v>2607</v>
      </c>
      <c r="C855" s="3" t="s">
        <v>18</v>
      </c>
      <c r="D855" s="6" t="s">
        <v>917</v>
      </c>
      <c r="E855" s="6" t="s">
        <v>917</v>
      </c>
      <c r="F855" s="3" t="str">
        <f>IFERROR( VLOOKUP(A855,#REF!,2,0),"")</f>
        <v/>
      </c>
      <c r="G855" s="3" t="str">
        <f t="array" ref="G855">_xlfn.XLOOKUP(I855,Base_Datos!D:D,Base_Datos!B:B,"")</f>
        <v>DFSK</v>
      </c>
      <c r="H855" s="3" t="str">
        <f t="array" ref="H855">IF(I855="","",IFERROR(_xlfn.XLOOKUP(I855,Base_Datos!$D$2:$D3876,Base_Datos!$C$2:$C3876),""))</f>
        <v>Serie K</v>
      </c>
      <c r="I855" s="3" t="s">
        <v>475</v>
      </c>
      <c r="J855" s="3" t="str">
        <f>IF(I855="","",IFERROR(VLOOKUP(I855,Base_Datos!$D$2:$E$72,2,0),""))</f>
        <v>(1.1L)</v>
      </c>
      <c r="K855" s="3" t="s">
        <v>2608</v>
      </c>
      <c r="L855" s="3"/>
      <c r="M855" s="7">
        <v>51</v>
      </c>
      <c r="N855" s="7">
        <v>0</v>
      </c>
    </row>
    <row r="856" spans="1:14" ht="14.25" x14ac:dyDescent="0.2">
      <c r="A856" s="3">
        <v>74015</v>
      </c>
      <c r="B856" s="3" t="s">
        <v>2609</v>
      </c>
      <c r="C856" s="3" t="s">
        <v>18</v>
      </c>
      <c r="D856" s="6" t="s">
        <v>921</v>
      </c>
      <c r="E856" s="6" t="s">
        <v>921</v>
      </c>
      <c r="F856" s="3" t="str">
        <f>IFERROR( VLOOKUP(A856,#REF!,2,0),"")</f>
        <v/>
      </c>
      <c r="G856" s="3" t="str">
        <f t="array" ref="G856">_xlfn.XLOOKUP(I856,Base_Datos!D:D,Base_Datos!B:B,"")</f>
        <v>DFSK</v>
      </c>
      <c r="H856" s="3" t="str">
        <f t="array" ref="H856">IF(I856="","",IFERROR(_xlfn.XLOOKUP(I856,Base_Datos!$D$2:$D3876,Base_Datos!$C$2:$C3876),""))</f>
        <v>Serie K</v>
      </c>
      <c r="I856" s="3" t="s">
        <v>475</v>
      </c>
      <c r="J856" s="3" t="str">
        <f>IF(I856="","",IFERROR(VLOOKUP(I856,Base_Datos!$D$2:$E$72,2,0),""))</f>
        <v>(1.1L)</v>
      </c>
      <c r="K856" s="3" t="s">
        <v>2608</v>
      </c>
      <c r="L856" s="3"/>
      <c r="M856" s="7">
        <v>52</v>
      </c>
      <c r="N856" s="7">
        <v>0</v>
      </c>
    </row>
    <row r="857" spans="1:14" ht="14.25" x14ac:dyDescent="0.2">
      <c r="A857" s="3">
        <v>74016</v>
      </c>
      <c r="B857" s="3" t="s">
        <v>2610</v>
      </c>
      <c r="C857" s="3" t="s">
        <v>18</v>
      </c>
      <c r="D857" s="6" t="s">
        <v>2611</v>
      </c>
      <c r="E857" s="6" t="s">
        <v>2611</v>
      </c>
      <c r="F857" s="3" t="str">
        <f>IFERROR( VLOOKUP(A857,#REF!,2,0),"")</f>
        <v/>
      </c>
      <c r="G857" s="3" t="str">
        <f t="array" ref="G857">_xlfn.XLOOKUP(I857,Base_Datos!D:D,Base_Datos!B:B,"")</f>
        <v>DFSK</v>
      </c>
      <c r="H857" s="3" t="str">
        <f t="array" ref="H857">IF(I857="","",IFERROR(_xlfn.XLOOKUP(I857,Base_Datos!$D$2:$D3876,Base_Datos!$C$2:$C3876),""))</f>
        <v>Serie K</v>
      </c>
      <c r="I857" s="3" t="s">
        <v>475</v>
      </c>
      <c r="J857" s="3" t="str">
        <f>IF(I857="","",IFERROR(VLOOKUP(I857,Base_Datos!$D$2:$E$72,2,0),""))</f>
        <v>(1.1L)</v>
      </c>
      <c r="K857" s="3" t="s">
        <v>1782</v>
      </c>
      <c r="L857" s="3"/>
      <c r="M857" s="7">
        <v>4</v>
      </c>
      <c r="N857" s="7">
        <v>0</v>
      </c>
    </row>
    <row r="858" spans="1:14" ht="14.25" x14ac:dyDescent="0.2">
      <c r="A858" s="3">
        <v>74017</v>
      </c>
      <c r="B858" s="3" t="s">
        <v>2612</v>
      </c>
      <c r="C858" s="3" t="s">
        <v>18</v>
      </c>
      <c r="D858" s="6" t="s">
        <v>2613</v>
      </c>
      <c r="E858" s="6" t="s">
        <v>2613</v>
      </c>
      <c r="F858" s="3" t="str">
        <f>IFERROR( VLOOKUP(A858,#REF!,2,0),"")</f>
        <v/>
      </c>
      <c r="G858" s="3" t="str">
        <f t="array" ref="G858">_xlfn.XLOOKUP(I858,Base_Datos!D:D,Base_Datos!B:B,"")</f>
        <v>DFSK</v>
      </c>
      <c r="H858" s="3" t="str">
        <f t="array" ref="H858">IF(I858="","",IFERROR(_xlfn.XLOOKUP(I858,Base_Datos!$D$2:$D3876,Base_Datos!$C$2:$C3876),""))</f>
        <v>Serie K</v>
      </c>
      <c r="I858" s="3" t="s">
        <v>475</v>
      </c>
      <c r="J858" s="3" t="str">
        <f>IF(I858="","",IFERROR(VLOOKUP(I858,Base_Datos!$D$2:$E$72,2,0),""))</f>
        <v>(1.1L)</v>
      </c>
      <c r="K858" s="3" t="s">
        <v>2608</v>
      </c>
      <c r="L858" s="3"/>
      <c r="M858" s="7">
        <v>160</v>
      </c>
      <c r="N858" s="7">
        <v>0</v>
      </c>
    </row>
    <row r="859" spans="1:14" ht="14.25" x14ac:dyDescent="0.2">
      <c r="A859" s="3">
        <v>74018</v>
      </c>
      <c r="B859" s="3" t="s">
        <v>1787</v>
      </c>
      <c r="C859" s="3" t="s">
        <v>18</v>
      </c>
      <c r="D859" s="6" t="s">
        <v>823</v>
      </c>
      <c r="E859" s="6" t="s">
        <v>823</v>
      </c>
      <c r="F859" s="3" t="str">
        <f>IFERROR( VLOOKUP(A859,#REF!,2,0),"")</f>
        <v/>
      </c>
      <c r="G859" s="3" t="str">
        <f t="array" ref="G859">_xlfn.XLOOKUP(I859,Base_Datos!D:D,Base_Datos!B:B,"")</f>
        <v>DFSK</v>
      </c>
      <c r="H859" s="3" t="str">
        <f t="array" ref="H859">IF(I859="","",IFERROR(_xlfn.XLOOKUP(I859,Base_Datos!$D$2:$D3876,Base_Datos!$C$2:$C3876),""))</f>
        <v>Serie K</v>
      </c>
      <c r="I859" s="3" t="s">
        <v>475</v>
      </c>
      <c r="J859" s="3" t="str">
        <f>IF(I859="","",IFERROR(VLOOKUP(I859,Base_Datos!$D$2:$E$72,2,0),""))</f>
        <v>(1.1L)</v>
      </c>
      <c r="K859" s="3" t="s">
        <v>1782</v>
      </c>
      <c r="L859" s="3"/>
      <c r="M859" s="7">
        <v>30</v>
      </c>
      <c r="N859" s="7">
        <v>0</v>
      </c>
    </row>
    <row r="860" spans="1:14" ht="14.25" x14ac:dyDescent="0.2">
      <c r="A860" s="3">
        <v>74019</v>
      </c>
      <c r="B860" s="3" t="s">
        <v>2614</v>
      </c>
      <c r="C860" s="3" t="s">
        <v>18</v>
      </c>
      <c r="D860" s="6" t="s">
        <v>2615</v>
      </c>
      <c r="E860" s="6" t="s">
        <v>2615</v>
      </c>
      <c r="F860" s="3" t="str">
        <f>IFERROR( VLOOKUP(A860,#REF!,2,0),"")</f>
        <v/>
      </c>
      <c r="G860" s="3" t="str">
        <f t="array" ref="G860">_xlfn.XLOOKUP(I860,Base_Datos!D:D,Base_Datos!B:B,"")</f>
        <v>DFSK</v>
      </c>
      <c r="H860" s="3" t="str">
        <f t="array" ref="H860">IF(I860="","",IFERROR(_xlfn.XLOOKUP(I860,Base_Datos!$D$2:$D3876,Base_Datos!$C$2:$C3876),""))</f>
        <v>Serie K</v>
      </c>
      <c r="I860" s="3" t="s">
        <v>475</v>
      </c>
      <c r="J860" s="3" t="str">
        <f>IF(I860="","",IFERROR(VLOOKUP(I860,Base_Datos!$D$2:$E$72,2,0),""))</f>
        <v>(1.1L)</v>
      </c>
      <c r="K860" s="3" t="s">
        <v>2550</v>
      </c>
      <c r="L860" s="3"/>
      <c r="M860" s="7">
        <v>24</v>
      </c>
      <c r="N860" s="7">
        <v>0</v>
      </c>
    </row>
    <row r="861" spans="1:14" ht="14.25" x14ac:dyDescent="0.2">
      <c r="A861" s="3">
        <v>74020</v>
      </c>
      <c r="B861" s="3" t="s">
        <v>2616</v>
      </c>
      <c r="C861" s="3" t="s">
        <v>18</v>
      </c>
      <c r="D861" s="6" t="s">
        <v>2617</v>
      </c>
      <c r="E861" s="6" t="s">
        <v>2617</v>
      </c>
      <c r="F861" s="3" t="str">
        <f>IFERROR( VLOOKUP(A861,#REF!,2,0),"")</f>
        <v/>
      </c>
      <c r="G861" s="3" t="str">
        <f t="array" ref="G861">_xlfn.XLOOKUP(I861,Base_Datos!D:D,Base_Datos!B:B,"")</f>
        <v>DFSK</v>
      </c>
      <c r="H861" s="3" t="str">
        <f t="array" ref="H861">IF(I861="","",IFERROR(_xlfn.XLOOKUP(I861,Base_Datos!$D$2:$D3876,Base_Datos!$C$2:$C3876),""))</f>
        <v>Serie K</v>
      </c>
      <c r="I861" s="3" t="s">
        <v>475</v>
      </c>
      <c r="J861" s="3" t="str">
        <f>IF(I861="","",IFERROR(VLOOKUP(I861,Base_Datos!$D$2:$E$72,2,0),""))</f>
        <v>(1.1L)</v>
      </c>
      <c r="K861" s="3" t="s">
        <v>1782</v>
      </c>
      <c r="L861" s="3"/>
      <c r="M861" s="7">
        <v>20</v>
      </c>
      <c r="N861" s="7">
        <v>0</v>
      </c>
    </row>
    <row r="862" spans="1:14" ht="14.25" x14ac:dyDescent="0.2">
      <c r="A862" s="3">
        <v>74021</v>
      </c>
      <c r="B862" s="3" t="s">
        <v>2618</v>
      </c>
      <c r="C862" s="3" t="s">
        <v>18</v>
      </c>
      <c r="D862" s="6" t="s">
        <v>2619</v>
      </c>
      <c r="E862" s="6" t="s">
        <v>2619</v>
      </c>
      <c r="F862" s="3" t="str">
        <f>IFERROR( VLOOKUP(A862,#REF!,2,0),"")</f>
        <v/>
      </c>
      <c r="G862" s="3" t="str">
        <f t="array" ref="G862">_xlfn.XLOOKUP(I862,Base_Datos!D:D,Base_Datos!B:B,"")</f>
        <v>DFSK</v>
      </c>
      <c r="H862" s="3" t="str">
        <f t="array" ref="H862">IF(I862="","",IFERROR(_xlfn.XLOOKUP(I862,Base_Datos!$D$2:$D3876,Base_Datos!$C$2:$C3876),""))</f>
        <v>Serie K</v>
      </c>
      <c r="I862" s="3" t="s">
        <v>475</v>
      </c>
      <c r="J862" s="3" t="str">
        <f>IF(I862="","",IFERROR(VLOOKUP(I862,Base_Datos!$D$2:$E$72,2,0),""))</f>
        <v>(1.1L)</v>
      </c>
      <c r="K862" s="3" t="s">
        <v>1782</v>
      </c>
      <c r="L862" s="3"/>
      <c r="M862" s="7">
        <v>20</v>
      </c>
      <c r="N862" s="7">
        <v>0</v>
      </c>
    </row>
    <row r="863" spans="1:14" ht="14.25" x14ac:dyDescent="0.2">
      <c r="A863" s="3">
        <v>74022</v>
      </c>
      <c r="B863" s="3" t="s">
        <v>2620</v>
      </c>
      <c r="C863" s="3" t="s">
        <v>18</v>
      </c>
      <c r="D863" s="6" t="s">
        <v>2621</v>
      </c>
      <c r="E863" s="6" t="s">
        <v>2621</v>
      </c>
      <c r="F863" s="3" t="str">
        <f>IFERROR( VLOOKUP(A863,#REF!,2,0),"")</f>
        <v/>
      </c>
      <c r="G863" s="3" t="str">
        <f t="array" ref="G863">_xlfn.XLOOKUP(I863,Base_Datos!D:D,Base_Datos!B:B,"")</f>
        <v>DFSK</v>
      </c>
      <c r="H863" s="3" t="str">
        <f t="array" ref="H863">IF(I863="","",IFERROR(_xlfn.XLOOKUP(I863,Base_Datos!$D$2:$D3876,Base_Datos!$C$2:$C3876),""))</f>
        <v>Serie K</v>
      </c>
      <c r="I863" s="3" t="s">
        <v>475</v>
      </c>
      <c r="J863" s="3" t="str">
        <f>IF(I863="","",IFERROR(VLOOKUP(I863,Base_Datos!$D$2:$E$72,2,0),""))</f>
        <v>(1.1L)</v>
      </c>
      <c r="K863" s="3" t="s">
        <v>1782</v>
      </c>
      <c r="L863" s="3"/>
      <c r="M863" s="7">
        <v>8</v>
      </c>
      <c r="N863" s="7">
        <v>0</v>
      </c>
    </row>
    <row r="864" spans="1:14" ht="14.25" x14ac:dyDescent="0.2">
      <c r="A864" s="3">
        <v>74023</v>
      </c>
      <c r="B864" s="3" t="s">
        <v>2622</v>
      </c>
      <c r="C864" s="3" t="s">
        <v>18</v>
      </c>
      <c r="D864" s="6" t="s">
        <v>2623</v>
      </c>
      <c r="E864" s="6" t="s">
        <v>2623</v>
      </c>
      <c r="F864" s="3" t="str">
        <f>IFERROR( VLOOKUP(A864,#REF!,2,0),"")</f>
        <v/>
      </c>
      <c r="G864" s="3" t="str">
        <f t="array" ref="G864">_xlfn.XLOOKUP(I864,Base_Datos!D:D,Base_Datos!B:B,"")</f>
        <v>DFSK</v>
      </c>
      <c r="H864" s="3" t="str">
        <f t="array" ref="H864">IF(I864="","",IFERROR(_xlfn.XLOOKUP(I864,Base_Datos!$D$2:$D3876,Base_Datos!$C$2:$C3876),""))</f>
        <v>Serie K</v>
      </c>
      <c r="I864" s="3" t="s">
        <v>475</v>
      </c>
      <c r="J864" s="3" t="str">
        <f>IF(I864="","",IFERROR(VLOOKUP(I864,Base_Datos!$D$2:$E$72,2,0),""))</f>
        <v>(1.1L)</v>
      </c>
      <c r="K864" s="3" t="s">
        <v>2624</v>
      </c>
      <c r="L864" s="3"/>
      <c r="M864" s="7">
        <v>40</v>
      </c>
      <c r="N864" s="7">
        <v>0</v>
      </c>
    </row>
    <row r="865" spans="1:14" ht="14.25" x14ac:dyDescent="0.2">
      <c r="A865" s="3">
        <v>74024</v>
      </c>
      <c r="B865" s="3" t="s">
        <v>2625</v>
      </c>
      <c r="C865" s="3" t="s">
        <v>18</v>
      </c>
      <c r="D865" s="6" t="s">
        <v>2626</v>
      </c>
      <c r="E865" s="6" t="s">
        <v>2626</v>
      </c>
      <c r="F865" s="3" t="str">
        <f>IFERROR( VLOOKUP(A865,#REF!,2,0),"")</f>
        <v/>
      </c>
      <c r="G865" s="3" t="str">
        <f t="array" ref="G865">_xlfn.XLOOKUP(I865,Base_Datos!D:D,Base_Datos!B:B,"")</f>
        <v>DFSK</v>
      </c>
      <c r="H865" s="3" t="str">
        <f t="array" ref="H865">IF(I865="","",IFERROR(_xlfn.XLOOKUP(I865,Base_Datos!$D$2:$D3876,Base_Datos!$C$2:$C3876),""))</f>
        <v>Serie K</v>
      </c>
      <c r="I865" s="3" t="s">
        <v>475</v>
      </c>
      <c r="J865" s="3" t="str">
        <f>IF(I865="","",IFERROR(VLOOKUP(I865,Base_Datos!$D$2:$E$72,2,0),""))</f>
        <v>(1.1L)</v>
      </c>
      <c r="K865" s="3" t="s">
        <v>2624</v>
      </c>
      <c r="L865" s="3"/>
      <c r="M865" s="7">
        <v>40</v>
      </c>
      <c r="N865" s="7">
        <v>0</v>
      </c>
    </row>
    <row r="866" spans="1:14" ht="14.25" x14ac:dyDescent="0.2">
      <c r="A866" s="3">
        <v>74025</v>
      </c>
      <c r="B866" s="3" t="s">
        <v>2627</v>
      </c>
      <c r="C866" s="3" t="s">
        <v>18</v>
      </c>
      <c r="D866" s="6" t="s">
        <v>2628</v>
      </c>
      <c r="E866" s="6" t="s">
        <v>2628</v>
      </c>
      <c r="F866" s="3" t="str">
        <f>IFERROR( VLOOKUP(A866,#REF!,2,0),"")</f>
        <v/>
      </c>
      <c r="G866" s="3" t="str">
        <f t="array" ref="G866">_xlfn.XLOOKUP(I866,Base_Datos!D:D,Base_Datos!B:B,"")</f>
        <v>DFSK</v>
      </c>
      <c r="H866" s="3" t="str">
        <f t="array" ref="H866">IF(I866="","",IFERROR(_xlfn.XLOOKUP(I866,Base_Datos!$D$2:$D3876,Base_Datos!$C$2:$C3876),""))</f>
        <v>Serie K</v>
      </c>
      <c r="I866" s="3" t="s">
        <v>475</v>
      </c>
      <c r="J866" s="3" t="str">
        <f>IF(I866="","",IFERROR(VLOOKUP(I866,Base_Datos!$D$2:$E$72,2,0),""))</f>
        <v>(1.1L)</v>
      </c>
      <c r="K866" s="3" t="s">
        <v>2624</v>
      </c>
      <c r="L866" s="3"/>
      <c r="M866" s="7">
        <v>40</v>
      </c>
      <c r="N866" s="7">
        <v>0</v>
      </c>
    </row>
    <row r="867" spans="1:14" ht="14.25" x14ac:dyDescent="0.2">
      <c r="A867" s="3">
        <v>74026</v>
      </c>
      <c r="B867" s="3" t="s">
        <v>2629</v>
      </c>
      <c r="C867" s="3" t="s">
        <v>18</v>
      </c>
      <c r="D867" s="6" t="s">
        <v>2630</v>
      </c>
      <c r="E867" s="6" t="s">
        <v>2630</v>
      </c>
      <c r="F867" s="3" t="str">
        <f>IFERROR( VLOOKUP(A867,#REF!,2,0),"")</f>
        <v/>
      </c>
      <c r="G867" s="3" t="str">
        <f t="array" ref="G867">_xlfn.XLOOKUP(I867,Base_Datos!D:D,Base_Datos!B:B,"")</f>
        <v>DFSK</v>
      </c>
      <c r="H867" s="3" t="str">
        <f t="array" ref="H867">IF(I867="","",IFERROR(_xlfn.XLOOKUP(I867,Base_Datos!$D$2:$D3876,Base_Datos!$C$2:$C3876),""))</f>
        <v>Serie K</v>
      </c>
      <c r="I867" s="3" t="s">
        <v>475</v>
      </c>
      <c r="J867" s="3" t="str">
        <f>IF(I867="","",IFERROR(VLOOKUP(I867,Base_Datos!$D$2:$E$72,2,0),""))</f>
        <v>(1.1L)</v>
      </c>
      <c r="K867" s="3" t="s">
        <v>2624</v>
      </c>
      <c r="L867" s="3"/>
      <c r="M867" s="7">
        <v>23</v>
      </c>
      <c r="N867" s="7">
        <v>0</v>
      </c>
    </row>
    <row r="868" spans="1:14" ht="14.25" x14ac:dyDescent="0.2">
      <c r="A868" s="3">
        <v>74027</v>
      </c>
      <c r="B868" s="3" t="s">
        <v>2631</v>
      </c>
      <c r="C868" s="3" t="s">
        <v>18</v>
      </c>
      <c r="D868" s="6" t="s">
        <v>2632</v>
      </c>
      <c r="E868" s="6" t="s">
        <v>2632</v>
      </c>
      <c r="F868" s="3" t="str">
        <f>IFERROR( VLOOKUP(A868,#REF!,2,0),"")</f>
        <v/>
      </c>
      <c r="G868" s="3" t="str">
        <f t="array" ref="G868">_xlfn.XLOOKUP(I868,Base_Datos!D:D,Base_Datos!B:B,"")</f>
        <v>DFSK</v>
      </c>
      <c r="H868" s="3" t="str">
        <f t="array" ref="H868">IF(I868="","",IFERROR(_xlfn.XLOOKUP(I868,Base_Datos!$D$2:$D3876,Base_Datos!$C$2:$C3876),""))</f>
        <v>Serie K</v>
      </c>
      <c r="I868" s="3" t="s">
        <v>475</v>
      </c>
      <c r="J868" s="3" t="str">
        <f>IF(I868="","",IFERROR(VLOOKUP(I868,Base_Datos!$D$2:$E$72,2,0),""))</f>
        <v>(1.1L)</v>
      </c>
      <c r="K868" s="3" t="s">
        <v>2624</v>
      </c>
      <c r="L868" s="3"/>
      <c r="M868" s="7">
        <v>10</v>
      </c>
      <c r="N868" s="7">
        <v>0</v>
      </c>
    </row>
    <row r="869" spans="1:14" ht="14.25" x14ac:dyDescent="0.2">
      <c r="A869" s="3">
        <v>74028</v>
      </c>
      <c r="B869" s="3" t="s">
        <v>2633</v>
      </c>
      <c r="C869" s="3" t="s">
        <v>18</v>
      </c>
      <c r="D869" s="6" t="s">
        <v>2634</v>
      </c>
      <c r="E869" s="6" t="s">
        <v>2634</v>
      </c>
      <c r="F869" s="3" t="str">
        <f>IFERROR( VLOOKUP(A869,#REF!,2,0),"")</f>
        <v/>
      </c>
      <c r="G869" s="3" t="str">
        <f t="array" ref="G869">_xlfn.XLOOKUP(I869,Base_Datos!D:D,Base_Datos!B:B,"")</f>
        <v>DFSK</v>
      </c>
      <c r="H869" s="3" t="str">
        <f t="array" ref="H869">IF(I869="","",IFERROR(_xlfn.XLOOKUP(I869,Base_Datos!$D$2:$D3876,Base_Datos!$C$2:$C3876),""))</f>
        <v>Serie K</v>
      </c>
      <c r="I869" s="3" t="s">
        <v>475</v>
      </c>
      <c r="J869" s="3" t="str">
        <f>IF(I869="","",IFERROR(VLOOKUP(I869,Base_Datos!$D$2:$E$72,2,0),""))</f>
        <v>(1.1L)</v>
      </c>
      <c r="K869" s="3" t="s">
        <v>2624</v>
      </c>
      <c r="L869" s="3"/>
      <c r="M869" s="7">
        <v>8</v>
      </c>
      <c r="N869" s="7">
        <v>0</v>
      </c>
    </row>
    <row r="870" spans="1:14" ht="14.25" x14ac:dyDescent="0.2">
      <c r="A870" s="3">
        <v>74029</v>
      </c>
      <c r="B870" s="3" t="s">
        <v>2635</v>
      </c>
      <c r="C870" s="3" t="s">
        <v>18</v>
      </c>
      <c r="D870" s="6" t="s">
        <v>2636</v>
      </c>
      <c r="E870" s="6" t="s">
        <v>2636</v>
      </c>
      <c r="F870" s="3" t="str">
        <f>IFERROR( VLOOKUP(A870,#REF!,2,0),"")</f>
        <v/>
      </c>
      <c r="G870" s="3" t="str">
        <f t="array" ref="G870">_xlfn.XLOOKUP(I870,Base_Datos!D:D,Base_Datos!B:B,"")</f>
        <v>DFSK</v>
      </c>
      <c r="H870" s="3" t="str">
        <f t="array" ref="H870">IF(I870="","",IFERROR(_xlfn.XLOOKUP(I870,Base_Datos!$D$2:$D3876,Base_Datos!$C$2:$C3876),""))</f>
        <v>Serie K</v>
      </c>
      <c r="I870" s="3" t="s">
        <v>475</v>
      </c>
      <c r="J870" s="3" t="str">
        <f>IF(I870="","",IFERROR(VLOOKUP(I870,Base_Datos!$D$2:$E$72,2,0),""))</f>
        <v>(1.1L)</v>
      </c>
      <c r="K870" s="3" t="s">
        <v>2624</v>
      </c>
      <c r="L870" s="3"/>
      <c r="M870" s="7">
        <v>10</v>
      </c>
      <c r="N870" s="7">
        <v>0</v>
      </c>
    </row>
    <row r="871" spans="1:14" ht="14.25" x14ac:dyDescent="0.2">
      <c r="A871" s="3">
        <v>74030</v>
      </c>
      <c r="B871" s="3" t="s">
        <v>2637</v>
      </c>
      <c r="C871" s="3" t="s">
        <v>18</v>
      </c>
      <c r="D871" s="6" t="s">
        <v>2638</v>
      </c>
      <c r="E871" s="6" t="s">
        <v>2638</v>
      </c>
      <c r="F871" s="3" t="str">
        <f>IFERROR( VLOOKUP(A871,#REF!,2,0),"")</f>
        <v/>
      </c>
      <c r="G871" s="3" t="str">
        <f t="array" ref="G871">_xlfn.XLOOKUP(I871,Base_Datos!D:D,Base_Datos!B:B,"")</f>
        <v>DFSK</v>
      </c>
      <c r="H871" s="3" t="str">
        <f t="array" ref="H871">IF(I871="","",IFERROR(_xlfn.XLOOKUP(I871,Base_Datos!$D$2:$D3876,Base_Datos!$C$2:$C3876),""))</f>
        <v>Serie K</v>
      </c>
      <c r="I871" s="3" t="s">
        <v>475</v>
      </c>
      <c r="J871" s="3" t="str">
        <f>IF(I871="","",IFERROR(VLOOKUP(I871,Base_Datos!$D$2:$E$72,2,0),""))</f>
        <v>(1.1L)</v>
      </c>
      <c r="K871" s="3" t="s">
        <v>2624</v>
      </c>
      <c r="L871" s="3"/>
      <c r="M871" s="7">
        <v>10</v>
      </c>
      <c r="N871" s="7">
        <v>0</v>
      </c>
    </row>
    <row r="872" spans="1:14" ht="14.25" x14ac:dyDescent="0.2">
      <c r="A872" s="3">
        <v>74031</v>
      </c>
      <c r="B872" s="3" t="s">
        <v>2639</v>
      </c>
      <c r="C872" s="3" t="s">
        <v>18</v>
      </c>
      <c r="D872" s="6" t="s">
        <v>2640</v>
      </c>
      <c r="E872" s="6" t="s">
        <v>2640</v>
      </c>
      <c r="F872" s="3" t="str">
        <f>IFERROR( VLOOKUP(A872,#REF!,2,0),"")</f>
        <v/>
      </c>
      <c r="G872" s="3" t="str">
        <f t="array" ref="G872">_xlfn.XLOOKUP(I872,Base_Datos!D:D,Base_Datos!B:B,"")</f>
        <v>DFSK</v>
      </c>
      <c r="H872" s="3" t="str">
        <f t="array" ref="H872">IF(I872="","",IFERROR(_xlfn.XLOOKUP(I872,Base_Datos!$D$2:$D3876,Base_Datos!$C$2:$C3876),""))</f>
        <v>Serie K</v>
      </c>
      <c r="I872" s="3" t="s">
        <v>475</v>
      </c>
      <c r="J872" s="3" t="str">
        <f>IF(I872="","",IFERROR(VLOOKUP(I872,Base_Datos!$D$2:$E$72,2,0),""))</f>
        <v>(1.1L)</v>
      </c>
      <c r="K872" s="3" t="s">
        <v>2624</v>
      </c>
      <c r="L872" s="3"/>
      <c r="M872" s="7">
        <v>10</v>
      </c>
      <c r="N872" s="7">
        <v>0</v>
      </c>
    </row>
    <row r="873" spans="1:14" ht="14.25" x14ac:dyDescent="0.2">
      <c r="A873" s="3">
        <v>74032</v>
      </c>
      <c r="B873" s="3" t="s">
        <v>2641</v>
      </c>
      <c r="C873" s="3" t="s">
        <v>18</v>
      </c>
      <c r="D873" s="6" t="s">
        <v>2642</v>
      </c>
      <c r="E873" s="6" t="s">
        <v>2642</v>
      </c>
      <c r="F873" s="3" t="str">
        <f>IFERROR( VLOOKUP(A873,#REF!,2,0),"")</f>
        <v/>
      </c>
      <c r="G873" s="3" t="str">
        <f t="array" ref="G873">_xlfn.XLOOKUP(I873,Base_Datos!D:D,Base_Datos!B:B,"")</f>
        <v>DFSK</v>
      </c>
      <c r="H873" s="3" t="str">
        <f t="array" ref="H873">IF(I873="","",IFERROR(_xlfn.XLOOKUP(I873,Base_Datos!$D$2:$D3876,Base_Datos!$C$2:$C3876),""))</f>
        <v>Serie K</v>
      </c>
      <c r="I873" s="3" t="s">
        <v>475</v>
      </c>
      <c r="J873" s="3" t="str">
        <f>IF(I873="","",IFERROR(VLOOKUP(I873,Base_Datos!$D$2:$E$72,2,0),""))</f>
        <v>(1.1L)</v>
      </c>
      <c r="K873" s="3" t="s">
        <v>2624</v>
      </c>
      <c r="L873" s="3"/>
      <c r="M873" s="7">
        <v>10</v>
      </c>
      <c r="N873" s="7">
        <v>0</v>
      </c>
    </row>
    <row r="874" spans="1:14" ht="14.25" x14ac:dyDescent="0.2">
      <c r="A874" s="3">
        <v>74033</v>
      </c>
      <c r="B874" s="3" t="s">
        <v>2643</v>
      </c>
      <c r="C874" s="3" t="s">
        <v>18</v>
      </c>
      <c r="D874" s="6" t="s">
        <v>2644</v>
      </c>
      <c r="E874" s="6" t="s">
        <v>2644</v>
      </c>
      <c r="F874" s="3" t="str">
        <f>IFERROR( VLOOKUP(A874,#REF!,2,0),"")</f>
        <v/>
      </c>
      <c r="G874" s="3" t="str">
        <f t="array" ref="G874">_xlfn.XLOOKUP(I874,Base_Datos!D:D,Base_Datos!B:B,"")</f>
        <v>DFSK</v>
      </c>
      <c r="H874" s="3" t="str">
        <f t="array" ref="H874">IF(I874="","",IFERROR(_xlfn.XLOOKUP(I874,Base_Datos!$D$2:$D3876,Base_Datos!$C$2:$C3876),""))</f>
        <v>Serie K</v>
      </c>
      <c r="I874" s="3" t="s">
        <v>475</v>
      </c>
      <c r="J874" s="3" t="str">
        <f>IF(I874="","",IFERROR(VLOOKUP(I874,Base_Datos!$D$2:$E$72,2,0),""))</f>
        <v>(1.1L)</v>
      </c>
      <c r="K874" s="3" t="s">
        <v>2624</v>
      </c>
      <c r="L874" s="3"/>
      <c r="M874" s="7">
        <v>10</v>
      </c>
      <c r="N874" s="7">
        <v>0</v>
      </c>
    </row>
    <row r="875" spans="1:14" ht="14.25" x14ac:dyDescent="0.2">
      <c r="A875" s="3">
        <v>74034</v>
      </c>
      <c r="B875" s="3" t="s">
        <v>2645</v>
      </c>
      <c r="C875" s="3" t="s">
        <v>18</v>
      </c>
      <c r="D875" s="6" t="s">
        <v>2646</v>
      </c>
      <c r="E875" s="6" t="s">
        <v>2646</v>
      </c>
      <c r="F875" s="3" t="str">
        <f>IFERROR( VLOOKUP(A875,#REF!,2,0),"")</f>
        <v/>
      </c>
      <c r="G875" s="3" t="str">
        <f t="array" ref="G875">_xlfn.XLOOKUP(I875,Base_Datos!D:D,Base_Datos!B:B,"")</f>
        <v>DFSK</v>
      </c>
      <c r="H875" s="3" t="str">
        <f t="array" ref="H875">IF(I875="","",IFERROR(_xlfn.XLOOKUP(I875,Base_Datos!$D$2:$D3876,Base_Datos!$C$2:$C3876),""))</f>
        <v>Serie K</v>
      </c>
      <c r="I875" s="3" t="s">
        <v>475</v>
      </c>
      <c r="J875" s="3" t="str">
        <f>IF(I875="","",IFERROR(VLOOKUP(I875,Base_Datos!$D$2:$E$72,2,0),""))</f>
        <v>(1.1L)</v>
      </c>
      <c r="K875" s="3" t="s">
        <v>2624</v>
      </c>
      <c r="L875" s="3"/>
      <c r="M875" s="7">
        <v>10</v>
      </c>
      <c r="N875" s="7">
        <v>0</v>
      </c>
    </row>
    <row r="876" spans="1:14" ht="14.25" x14ac:dyDescent="0.2">
      <c r="A876" s="3">
        <v>74035</v>
      </c>
      <c r="B876" s="3" t="s">
        <v>2647</v>
      </c>
      <c r="C876" s="3" t="s">
        <v>18</v>
      </c>
      <c r="D876" s="6" t="s">
        <v>2648</v>
      </c>
      <c r="E876" s="6" t="s">
        <v>2648</v>
      </c>
      <c r="F876" s="3" t="str">
        <f>IFERROR( VLOOKUP(A876,#REF!,2,0),"")</f>
        <v/>
      </c>
      <c r="G876" s="3" t="str">
        <f t="array" ref="G876">_xlfn.XLOOKUP(I876,Base_Datos!D:D,Base_Datos!B:B,"")</f>
        <v>DFSK</v>
      </c>
      <c r="H876" s="3" t="str">
        <f t="array" ref="H876">IF(I876="","",IFERROR(_xlfn.XLOOKUP(I876,Base_Datos!$D$2:$D3876,Base_Datos!$C$2:$C3876),""))</f>
        <v>Serie K</v>
      </c>
      <c r="I876" s="3" t="s">
        <v>475</v>
      </c>
      <c r="J876" s="3" t="str">
        <f>IF(I876="","",IFERROR(VLOOKUP(I876,Base_Datos!$D$2:$E$72,2,0),""))</f>
        <v>(1.1L)</v>
      </c>
      <c r="K876" s="3" t="s">
        <v>2624</v>
      </c>
      <c r="L876" s="3"/>
      <c r="M876" s="7">
        <v>10</v>
      </c>
      <c r="N876" s="7">
        <v>0</v>
      </c>
    </row>
    <row r="877" spans="1:14" ht="14.25" x14ac:dyDescent="0.2">
      <c r="A877" s="3">
        <v>74036</v>
      </c>
      <c r="B877" s="3" t="s">
        <v>2649</v>
      </c>
      <c r="C877" s="3" t="s">
        <v>18</v>
      </c>
      <c r="D877" s="6" t="s">
        <v>2650</v>
      </c>
      <c r="E877" s="6" t="s">
        <v>2650</v>
      </c>
      <c r="F877" s="3" t="str">
        <f>IFERROR( VLOOKUP(A877,#REF!,2,0),"")</f>
        <v/>
      </c>
      <c r="G877" s="3" t="str">
        <f t="array" ref="G877">_xlfn.XLOOKUP(I877,Base_Datos!D:D,Base_Datos!B:B,"")</f>
        <v>DFSK</v>
      </c>
      <c r="H877" s="3" t="str">
        <f t="array" ref="H877">IF(I877="","",IFERROR(_xlfn.XLOOKUP(I877,Base_Datos!$D$2:$D3876,Base_Datos!$C$2:$C3876),""))</f>
        <v>Serie K</v>
      </c>
      <c r="I877" s="3" t="s">
        <v>475</v>
      </c>
      <c r="J877" s="3" t="str">
        <f>IF(I877="","",IFERROR(VLOOKUP(I877,Base_Datos!$D$2:$E$72,2,0),""))</f>
        <v>(1.1L)</v>
      </c>
      <c r="K877" s="3" t="s">
        <v>2624</v>
      </c>
      <c r="L877" s="3"/>
      <c r="M877" s="7">
        <v>10</v>
      </c>
      <c r="N877" s="7">
        <v>0</v>
      </c>
    </row>
    <row r="878" spans="1:14" ht="14.25" x14ac:dyDescent="0.2">
      <c r="A878" s="3">
        <v>74037</v>
      </c>
      <c r="B878" s="3" t="s">
        <v>2645</v>
      </c>
      <c r="C878" s="3" t="s">
        <v>18</v>
      </c>
      <c r="D878" s="6" t="s">
        <v>2651</v>
      </c>
      <c r="E878" s="6" t="s">
        <v>2651</v>
      </c>
      <c r="F878" s="3" t="str">
        <f>IFERROR( VLOOKUP(A878,#REF!,2,0),"")</f>
        <v/>
      </c>
      <c r="G878" s="3" t="str">
        <f t="array" ref="G878">_xlfn.XLOOKUP(I878,Base_Datos!D:D,Base_Datos!B:B,"")</f>
        <v>DFSK</v>
      </c>
      <c r="H878" s="3" t="str">
        <f t="array" ref="H878">IF(I878="","",IFERROR(_xlfn.XLOOKUP(I878,Base_Datos!$D$2:$D3876,Base_Datos!$C$2:$C3876),""))</f>
        <v>Serie K</v>
      </c>
      <c r="I878" s="3" t="s">
        <v>475</v>
      </c>
      <c r="J878" s="3" t="str">
        <f>IF(I878="","",IFERROR(VLOOKUP(I878,Base_Datos!$D$2:$E$72,2,0),""))</f>
        <v>(1.1L)</v>
      </c>
      <c r="K878" s="3" t="s">
        <v>2624</v>
      </c>
      <c r="L878" s="3"/>
      <c r="M878" s="7">
        <v>10</v>
      </c>
      <c r="N878" s="7">
        <v>0</v>
      </c>
    </row>
    <row r="879" spans="1:14" ht="14.25" x14ac:dyDescent="0.2">
      <c r="A879" s="3">
        <v>74038</v>
      </c>
      <c r="B879" s="3" t="s">
        <v>2652</v>
      </c>
      <c r="C879" s="3" t="s">
        <v>18</v>
      </c>
      <c r="D879" s="6" t="s">
        <v>2653</v>
      </c>
      <c r="E879" s="6" t="s">
        <v>2653</v>
      </c>
      <c r="F879" s="3" t="str">
        <f>IFERROR( VLOOKUP(A879,#REF!,2,0),"")</f>
        <v/>
      </c>
      <c r="G879" s="3" t="str">
        <f t="array" ref="G879">_xlfn.XLOOKUP(I879,Base_Datos!D:D,Base_Datos!B:B,"")</f>
        <v>DFSK</v>
      </c>
      <c r="H879" s="3" t="str">
        <f t="array" ref="H879">IF(I879="","",IFERROR(_xlfn.XLOOKUP(I879,Base_Datos!$D$2:$D3876,Base_Datos!$C$2:$C3876),""))</f>
        <v>Serie K</v>
      </c>
      <c r="I879" s="3" t="s">
        <v>475</v>
      </c>
      <c r="J879" s="3" t="str">
        <f>IF(I879="","",IFERROR(VLOOKUP(I879,Base_Datos!$D$2:$E$72,2,0),""))</f>
        <v>(1.1L)</v>
      </c>
      <c r="K879" s="3" t="s">
        <v>2624</v>
      </c>
      <c r="L879" s="3"/>
      <c r="M879" s="7">
        <v>40</v>
      </c>
      <c r="N879" s="7">
        <v>0</v>
      </c>
    </row>
    <row r="880" spans="1:14" ht="14.25" x14ac:dyDescent="0.2">
      <c r="A880" s="3">
        <v>74039</v>
      </c>
      <c r="B880" s="3" t="s">
        <v>2654</v>
      </c>
      <c r="C880" s="3" t="s">
        <v>18</v>
      </c>
      <c r="D880" s="6" t="s">
        <v>922</v>
      </c>
      <c r="E880" s="6" t="s">
        <v>922</v>
      </c>
      <c r="F880" s="3" t="str">
        <f>IFERROR( VLOOKUP(A880,#REF!,2,0),"")</f>
        <v/>
      </c>
      <c r="G880" s="3" t="str">
        <f t="array" ref="G880">_xlfn.XLOOKUP(I880,Base_Datos!D:D,Base_Datos!B:B,"")</f>
        <v>DFSK</v>
      </c>
      <c r="H880" s="3" t="str">
        <f t="array" ref="H880">IF(I880="","",IFERROR(_xlfn.XLOOKUP(I880,Base_Datos!$D$2:$D3876,Base_Datos!$C$2:$C3876),""))</f>
        <v>Serie K</v>
      </c>
      <c r="I880" s="3" t="s">
        <v>475</v>
      </c>
      <c r="J880" s="3" t="str">
        <f>IF(I880="","",IFERROR(VLOOKUP(I880,Base_Datos!$D$2:$E$72,2,0),""))</f>
        <v>(1.1L)</v>
      </c>
      <c r="K880" s="3" t="s">
        <v>1782</v>
      </c>
      <c r="L880" s="3"/>
      <c r="M880" s="7">
        <v>220</v>
      </c>
      <c r="N880" s="7">
        <v>0</v>
      </c>
    </row>
    <row r="881" spans="1:14" ht="14.25" x14ac:dyDescent="0.2">
      <c r="A881" s="3">
        <v>74040</v>
      </c>
      <c r="B881" s="3" t="s">
        <v>2655</v>
      </c>
      <c r="C881" s="3" t="s">
        <v>18</v>
      </c>
      <c r="D881" s="6" t="s">
        <v>916</v>
      </c>
      <c r="E881" s="6" t="s">
        <v>916</v>
      </c>
      <c r="F881" s="3" t="str">
        <f>IFERROR( VLOOKUP(A881,#REF!,2,0),"")</f>
        <v/>
      </c>
      <c r="G881" s="3" t="str">
        <f t="array" ref="G881">_xlfn.XLOOKUP(I881,Base_Datos!D:D,Base_Datos!B:B,"")</f>
        <v>DFSK</v>
      </c>
      <c r="H881" s="3" t="str">
        <f t="array" ref="H881">IF(I881="","",IFERROR(_xlfn.XLOOKUP(I881,Base_Datos!$D$2:$D3876,Base_Datos!$C$2:$C3876),""))</f>
        <v>Serie K</v>
      </c>
      <c r="I881" s="3" t="s">
        <v>475</v>
      </c>
      <c r="J881" s="3" t="str">
        <f>IF(I881="","",IFERROR(VLOOKUP(I881,Base_Datos!$D$2:$E$72,2,0),""))</f>
        <v>(1.1L)</v>
      </c>
      <c r="K881" s="3" t="s">
        <v>1782</v>
      </c>
      <c r="L881" s="3"/>
      <c r="M881" s="7">
        <v>220</v>
      </c>
      <c r="N881" s="7">
        <v>0</v>
      </c>
    </row>
    <row r="882" spans="1:14" ht="14.25" x14ac:dyDescent="0.2">
      <c r="A882" s="3">
        <v>74041</v>
      </c>
      <c r="B882" s="3" t="s">
        <v>2656</v>
      </c>
      <c r="C882" s="3" t="s">
        <v>18</v>
      </c>
      <c r="D882" s="6" t="s">
        <v>2657</v>
      </c>
      <c r="E882" s="6" t="s">
        <v>2657</v>
      </c>
      <c r="F882" s="3" t="str">
        <f>IFERROR( VLOOKUP(A882,#REF!,2,0),"")</f>
        <v/>
      </c>
      <c r="G882" s="3" t="str">
        <f t="array" ref="G882">_xlfn.XLOOKUP(I882,Base_Datos!D:D,Base_Datos!B:B,"")</f>
        <v>DFSK</v>
      </c>
      <c r="H882" s="3" t="str">
        <f t="array" ref="H882">IF(I882="","",IFERROR(_xlfn.XLOOKUP(I882,Base_Datos!$D$2:$D3876,Base_Datos!$C$2:$C3876),""))</f>
        <v>Serie K</v>
      </c>
      <c r="I882" s="3" t="s">
        <v>475</v>
      </c>
      <c r="J882" s="3" t="str">
        <f>IF(I882="","",IFERROR(VLOOKUP(I882,Base_Datos!$D$2:$E$72,2,0),""))</f>
        <v>(1.1L)</v>
      </c>
      <c r="K882" s="3" t="s">
        <v>1782</v>
      </c>
      <c r="L882" s="3"/>
      <c r="M882" s="7">
        <v>20</v>
      </c>
      <c r="N882" s="7">
        <v>0</v>
      </c>
    </row>
    <row r="883" spans="1:14" ht="14.25" x14ac:dyDescent="0.2">
      <c r="A883" s="3">
        <v>75000</v>
      </c>
      <c r="B883" s="3" t="s">
        <v>2658</v>
      </c>
      <c r="C883" s="3" t="s">
        <v>18</v>
      </c>
      <c r="D883" s="6" t="s">
        <v>2659</v>
      </c>
      <c r="E883" s="6" t="s">
        <v>2659</v>
      </c>
      <c r="F883" s="3" t="str">
        <f>IFERROR( VLOOKUP(A883,#REF!,2,0),"")</f>
        <v/>
      </c>
      <c r="G883" s="3" t="str">
        <f t="array" ref="G883">_xlfn.XLOOKUP(I883,Base_Datos!D:D,Base_Datos!B:B,"")</f>
        <v>DFSK</v>
      </c>
      <c r="H883" s="3" t="str">
        <f t="array" ref="H883">IF(I883="","",IFERROR(_xlfn.XLOOKUP(I883,Base_Datos!$D$2:$D3876,Base_Datos!$C$2:$C3876),""))</f>
        <v>Serie Glory</v>
      </c>
      <c r="I883" s="3" t="s">
        <v>404</v>
      </c>
      <c r="J883" s="3" t="str">
        <f>IF(I883="","",IFERROR(VLOOKUP(I883,Base_Datos!$D$2:$E$72,2,0),""))</f>
        <v>(1.5L)</v>
      </c>
      <c r="K883" s="3" t="s">
        <v>2660</v>
      </c>
      <c r="L883" s="3"/>
      <c r="M883" s="7">
        <v>2</v>
      </c>
      <c r="N883" s="7">
        <v>0</v>
      </c>
    </row>
    <row r="884" spans="1:14" ht="14.25" x14ac:dyDescent="0.2">
      <c r="A884" s="3">
        <v>75001</v>
      </c>
      <c r="B884" s="3" t="s">
        <v>2661</v>
      </c>
      <c r="C884" s="3" t="s">
        <v>18</v>
      </c>
      <c r="D884" s="6" t="s">
        <v>2662</v>
      </c>
      <c r="E884" s="6" t="s">
        <v>2662</v>
      </c>
      <c r="F884" s="3" t="str">
        <f>IFERROR( VLOOKUP(A884,#REF!,2,0),"")</f>
        <v/>
      </c>
      <c r="G884" s="3" t="str">
        <f t="array" ref="G884">_xlfn.XLOOKUP(I884,Base_Datos!D:D,Base_Datos!B:B,"")</f>
        <v>DFSK</v>
      </c>
      <c r="H884" s="3" t="str">
        <f t="array" ref="H884">IF(I884="","",IFERROR(_xlfn.XLOOKUP(I884,Base_Datos!$D$2:$D3876,Base_Datos!$C$2:$C3876),""))</f>
        <v>Serie C</v>
      </c>
      <c r="I884" s="3" t="s">
        <v>343</v>
      </c>
      <c r="J884" s="3" t="str">
        <f>IF(I884="","",IFERROR(VLOOKUP(I884,Base_Datos!$D$2:$E$72,2,0),""))</f>
        <v>(1.5L)</v>
      </c>
      <c r="K884" s="3" t="s">
        <v>2395</v>
      </c>
      <c r="L884" s="3"/>
      <c r="M884" s="7">
        <v>8</v>
      </c>
      <c r="N884" s="7">
        <v>0</v>
      </c>
    </row>
    <row r="885" spans="1:14" ht="14.25" x14ac:dyDescent="0.2">
      <c r="A885" s="3">
        <v>75002</v>
      </c>
      <c r="B885" s="3" t="s">
        <v>2663</v>
      </c>
      <c r="C885" s="3" t="s">
        <v>18</v>
      </c>
      <c r="D885" s="6" t="s">
        <v>2664</v>
      </c>
      <c r="E885" s="6" t="s">
        <v>2664</v>
      </c>
      <c r="F885" s="3" t="str">
        <f>IFERROR( VLOOKUP(A885,#REF!,2,0),"")</f>
        <v/>
      </c>
      <c r="G885" s="3" t="str">
        <f t="array" ref="G885">_xlfn.XLOOKUP(I885,Base_Datos!D:D,Base_Datos!B:B,"")</f>
        <v>DFSK</v>
      </c>
      <c r="H885" s="3" t="str">
        <f t="array" ref="H885">IF(I885="","",IFERROR(_xlfn.XLOOKUP(I885,Base_Datos!$D$2:$D3876,Base_Datos!$C$2:$C3876),""))</f>
        <v>Serie C</v>
      </c>
      <c r="I885" s="3" t="s">
        <v>265</v>
      </c>
      <c r="J885" s="3" t="str">
        <f>IF(I885="","",IFERROR(VLOOKUP(I885,Base_Datos!$D$2:$E$72,2,0),""))</f>
        <v>(1.5L)</v>
      </c>
      <c r="K885" s="3" t="s">
        <v>1782</v>
      </c>
      <c r="L885" s="3"/>
      <c r="M885" s="7">
        <v>30</v>
      </c>
      <c r="N885" s="7">
        <v>0</v>
      </c>
    </row>
    <row r="886" spans="1:14" ht="14.25" x14ac:dyDescent="0.2">
      <c r="A886" s="3">
        <v>75003</v>
      </c>
      <c r="B886" s="3" t="s">
        <v>2665</v>
      </c>
      <c r="C886" s="3" t="s">
        <v>18</v>
      </c>
      <c r="D886" s="6" t="s">
        <v>2666</v>
      </c>
      <c r="E886" s="6" t="s">
        <v>2666</v>
      </c>
      <c r="F886" s="3" t="str">
        <f>IFERROR( VLOOKUP(A886,#REF!,2,0),"")</f>
        <v/>
      </c>
      <c r="G886" s="3" t="str">
        <f t="array" ref="G886">_xlfn.XLOOKUP(I886,Base_Datos!D:D,Base_Datos!B:B,"")</f>
        <v>DFSK</v>
      </c>
      <c r="H886" s="3" t="str">
        <f t="array" ref="H886">IF(I886="","",IFERROR(_xlfn.XLOOKUP(I886,Base_Datos!$D$2:$D3876,Base_Datos!$C$2:$C3876),""))</f>
        <v>Serie C</v>
      </c>
      <c r="I886" s="3" t="s">
        <v>265</v>
      </c>
      <c r="J886" s="3" t="str">
        <f>IF(I886="","",IFERROR(VLOOKUP(I886,Base_Datos!$D$2:$E$72,2,0),""))</f>
        <v>(1.5L)</v>
      </c>
      <c r="K886" s="3" t="s">
        <v>2667</v>
      </c>
      <c r="L886" s="3"/>
      <c r="M886" s="7">
        <v>39</v>
      </c>
      <c r="N886" s="7">
        <v>0</v>
      </c>
    </row>
    <row r="887" spans="1:14" ht="14.25" x14ac:dyDescent="0.2">
      <c r="A887" s="3">
        <v>75004</v>
      </c>
      <c r="B887" s="3" t="s">
        <v>2507</v>
      </c>
      <c r="C887" s="3" t="s">
        <v>18</v>
      </c>
      <c r="D887" s="6" t="s">
        <v>2668</v>
      </c>
      <c r="E887" s="6" t="s">
        <v>2668</v>
      </c>
      <c r="F887" s="3" t="str">
        <f>IFERROR( VLOOKUP(A887,#REF!,2,0),"")</f>
        <v/>
      </c>
      <c r="G887" s="3" t="str">
        <f t="array" ref="G887">_xlfn.XLOOKUP(I887,Base_Datos!D:D,Base_Datos!B:B,"")</f>
        <v>DFSK</v>
      </c>
      <c r="H887" s="3" t="str">
        <f t="array" ref="H887">IF(I887="","",IFERROR(_xlfn.XLOOKUP(I887,Base_Datos!$D$2:$D3876,Base_Datos!$C$2:$C3876),""))</f>
        <v>Serie C</v>
      </c>
      <c r="I887" s="3" t="s">
        <v>332</v>
      </c>
      <c r="J887" s="3" t="str">
        <f>IF(I887="","",IFERROR(VLOOKUP(I887,Base_Datos!$D$2:$E$72,2,0),""))</f>
        <v>(1.5L)</v>
      </c>
      <c r="K887" s="3" t="s">
        <v>1782</v>
      </c>
      <c r="L887" s="3"/>
      <c r="M887" s="7">
        <v>20</v>
      </c>
      <c r="N887" s="7">
        <v>0</v>
      </c>
    </row>
    <row r="888" spans="1:14" ht="14.25" x14ac:dyDescent="0.2">
      <c r="A888" s="3">
        <v>75005</v>
      </c>
      <c r="B888" s="3" t="s">
        <v>2669</v>
      </c>
      <c r="C888" s="3" t="s">
        <v>18</v>
      </c>
      <c r="D888" s="6" t="s">
        <v>210</v>
      </c>
      <c r="E888" s="6" t="s">
        <v>210</v>
      </c>
      <c r="F888" s="3" t="str">
        <f>IFERROR( VLOOKUP(A888,#REF!,2,0),"")</f>
        <v/>
      </c>
      <c r="G888" s="3" t="str">
        <f t="array" ref="G888">_xlfn.XLOOKUP(I888,Base_Datos!D:D,Base_Datos!B:B,"")</f>
        <v>DFSK</v>
      </c>
      <c r="H888" s="3" t="str">
        <f t="array" ref="H888">IF(I888="","",IFERROR(_xlfn.XLOOKUP(I888,Base_Datos!$D$2:$D3876,Base_Datos!$C$2:$C3876),""))</f>
        <v>Serie C</v>
      </c>
      <c r="I888" s="3" t="s">
        <v>265</v>
      </c>
      <c r="J888" s="3" t="str">
        <f>IF(I888="","",IFERROR(VLOOKUP(I888,Base_Datos!$D$2:$E$72,2,0),""))</f>
        <v>(1.5L)</v>
      </c>
      <c r="K888" s="3" t="s">
        <v>1782</v>
      </c>
      <c r="L888" s="3"/>
      <c r="M888" s="7">
        <v>12</v>
      </c>
      <c r="N888" s="7">
        <v>0</v>
      </c>
    </row>
    <row r="889" spans="1:14" ht="14.25" x14ac:dyDescent="0.2">
      <c r="A889" s="3">
        <v>75006</v>
      </c>
      <c r="B889" s="3" t="s">
        <v>2670</v>
      </c>
      <c r="C889" s="3" t="s">
        <v>18</v>
      </c>
      <c r="D889" s="6" t="s">
        <v>2671</v>
      </c>
      <c r="E889" s="6" t="s">
        <v>2671</v>
      </c>
      <c r="F889" s="3" t="str">
        <f>IFERROR( VLOOKUP(A889,#REF!,2,0),"")</f>
        <v/>
      </c>
      <c r="G889" s="3" t="str">
        <f t="array" ref="G889">_xlfn.XLOOKUP(I889,Base_Datos!D:D,Base_Datos!B:B,"")</f>
        <v>DFSK</v>
      </c>
      <c r="H889" s="3" t="str">
        <f t="array" ref="H889">IF(I889="","",IFERROR(_xlfn.XLOOKUP(I889,Base_Datos!$D$2:$D3876,Base_Datos!$C$2:$C3876),""))</f>
        <v>Serie C</v>
      </c>
      <c r="I889" s="3" t="s">
        <v>265</v>
      </c>
      <c r="J889" s="3" t="str">
        <f>IF(I889="","",IFERROR(VLOOKUP(I889,Base_Datos!$D$2:$E$72,2,0),""))</f>
        <v>(1.5L)</v>
      </c>
      <c r="K889" s="3" t="s">
        <v>1782</v>
      </c>
      <c r="L889" s="3"/>
      <c r="M889" s="7">
        <v>10</v>
      </c>
      <c r="N889" s="7">
        <v>0</v>
      </c>
    </row>
    <row r="890" spans="1:14" ht="14.25" x14ac:dyDescent="0.2">
      <c r="A890" s="3">
        <v>75007</v>
      </c>
      <c r="B890" s="3" t="s">
        <v>2672</v>
      </c>
      <c r="C890" s="3" t="s">
        <v>18</v>
      </c>
      <c r="D890" s="6" t="s">
        <v>2673</v>
      </c>
      <c r="E890" s="6" t="s">
        <v>2673</v>
      </c>
      <c r="F890" s="3" t="str">
        <f>IFERROR( VLOOKUP(A890,#REF!,2,0),"")</f>
        <v/>
      </c>
      <c r="G890" s="3" t="str">
        <f t="array" ref="G890">_xlfn.XLOOKUP(I890,Base_Datos!D:D,Base_Datos!B:B,"")</f>
        <v>DFSK</v>
      </c>
      <c r="H890" s="3" t="str">
        <f t="array" ref="H890">IF(I890="","",IFERROR(_xlfn.XLOOKUP(I890,Base_Datos!$D$2:$D3876,Base_Datos!$C$2:$C3876),""))</f>
        <v>Serie C</v>
      </c>
      <c r="I890" s="3" t="s">
        <v>265</v>
      </c>
      <c r="J890" s="3" t="str">
        <f>IF(I890="","",IFERROR(VLOOKUP(I890,Base_Datos!$D$2:$E$72,2,0),""))</f>
        <v>(1.5L)</v>
      </c>
      <c r="K890" s="3" t="s">
        <v>1782</v>
      </c>
      <c r="L890" s="3"/>
      <c r="M890" s="7">
        <v>40</v>
      </c>
      <c r="N890" s="7">
        <v>0</v>
      </c>
    </row>
    <row r="891" spans="1:14" ht="14.25" x14ac:dyDescent="0.2">
      <c r="A891" s="3">
        <v>75008</v>
      </c>
      <c r="B891" s="3" t="s">
        <v>2674</v>
      </c>
      <c r="C891" s="3" t="s">
        <v>18</v>
      </c>
      <c r="D891" s="6" t="s">
        <v>2675</v>
      </c>
      <c r="E891" s="6" t="s">
        <v>2675</v>
      </c>
      <c r="F891" s="3" t="str">
        <f>IFERROR( VLOOKUP(A891,#REF!,2,0),"")</f>
        <v/>
      </c>
      <c r="G891" s="3" t="str">
        <f t="array" ref="G891">_xlfn.XLOOKUP(I891,Base_Datos!D:D,Base_Datos!B:B,"")</f>
        <v>DFSK</v>
      </c>
      <c r="H891" s="3" t="str">
        <f t="array" ref="H891">IF(I891="","",IFERROR(_xlfn.XLOOKUP(I891,Base_Datos!$D$2:$D3876,Base_Datos!$C$2:$C3876),""))</f>
        <v>Serie C</v>
      </c>
      <c r="I891" s="3" t="s">
        <v>265</v>
      </c>
      <c r="J891" s="3" t="str">
        <f>IF(I891="","",IFERROR(VLOOKUP(I891,Base_Datos!$D$2:$E$72,2,0),""))</f>
        <v>(1.5L)</v>
      </c>
      <c r="K891" s="3" t="s">
        <v>1782</v>
      </c>
      <c r="L891" s="3"/>
      <c r="M891" s="7">
        <v>40</v>
      </c>
      <c r="N891" s="7">
        <v>0</v>
      </c>
    </row>
    <row r="892" spans="1:14" ht="14.25" x14ac:dyDescent="0.2">
      <c r="A892" s="3">
        <v>76000</v>
      </c>
      <c r="B892" s="3" t="s">
        <v>2676</v>
      </c>
      <c r="C892" s="3" t="s">
        <v>18</v>
      </c>
      <c r="D892" s="6" t="s">
        <v>2677</v>
      </c>
      <c r="E892" s="6" t="s">
        <v>2677</v>
      </c>
      <c r="F892" s="3" t="str">
        <f>IFERROR( VLOOKUP(A892,#REF!,2,0),"")</f>
        <v/>
      </c>
      <c r="G892" s="3" t="str">
        <f t="array" ref="G892">_xlfn.XLOOKUP(I892,Base_Datos!D:D,Base_Datos!B:B,"")</f>
        <v>DFSK</v>
      </c>
      <c r="H892" s="3" t="str">
        <f t="array" ref="H892">IF(I892="","",IFERROR(_xlfn.XLOOKUP(I892,Base_Datos!$D$2:$D3876,Base_Datos!$C$2:$C3876),""))</f>
        <v>Serie Glory</v>
      </c>
      <c r="I892" s="3" t="s">
        <v>404</v>
      </c>
      <c r="J892" s="3" t="str">
        <f>IF(I892="","",IFERROR(VLOOKUP(I892,Base_Datos!$D$2:$E$72,2,0),""))</f>
        <v>(1.5L)</v>
      </c>
      <c r="K892" s="3" t="s">
        <v>1782</v>
      </c>
      <c r="L892" s="3"/>
      <c r="M892" s="7">
        <v>6</v>
      </c>
      <c r="N892" s="7">
        <v>0</v>
      </c>
    </row>
    <row r="893" spans="1:14" ht="14.25" x14ac:dyDescent="0.2">
      <c r="A893" s="3">
        <v>76001</v>
      </c>
      <c r="B893" s="3" t="s">
        <v>2678</v>
      </c>
      <c r="C893" s="3" t="s">
        <v>18</v>
      </c>
      <c r="D893" s="6" t="s">
        <v>1782</v>
      </c>
      <c r="E893" s="6" t="s">
        <v>1782</v>
      </c>
      <c r="F893" s="3" t="str">
        <f>IFERROR( VLOOKUP(A893,#REF!,2,0),"")</f>
        <v/>
      </c>
      <c r="G893" s="3" t="str">
        <f t="array" ref="G893">_xlfn.XLOOKUP(I893,Base_Datos!D:D,Base_Datos!B:B,"")</f>
        <v>DFSK</v>
      </c>
      <c r="H893" s="3" t="str">
        <f t="array" ref="H893">IF(I893="","",IFERROR(_xlfn.XLOOKUP(I893,Base_Datos!$D$2:$D3876,Base_Datos!$C$2:$C3876),""))</f>
        <v>Serie D</v>
      </c>
      <c r="I893" s="3" t="s">
        <v>145</v>
      </c>
      <c r="J893" s="3" t="str">
        <f>IF(I893="","",IFERROR(VLOOKUP(I893,Base_Datos!$D$2:$E$72,2,0),""))</f>
        <v>(2.4L)</v>
      </c>
      <c r="K893" s="3" t="s">
        <v>1782</v>
      </c>
      <c r="L893" s="3"/>
      <c r="M893" s="7">
        <v>5</v>
      </c>
      <c r="N893" s="7">
        <v>0</v>
      </c>
    </row>
    <row r="894" spans="1:14" ht="14.25" x14ac:dyDescent="0.2">
      <c r="A894" s="3">
        <v>76002</v>
      </c>
      <c r="B894" s="3" t="s">
        <v>2679</v>
      </c>
      <c r="C894" s="3" t="s">
        <v>18</v>
      </c>
      <c r="D894" s="6" t="s">
        <v>211</v>
      </c>
      <c r="E894" s="6" t="s">
        <v>211</v>
      </c>
      <c r="F894" s="3" t="str">
        <f>IFERROR( VLOOKUP(A894,#REF!,2,0),"")</f>
        <v/>
      </c>
      <c r="G894" s="3">
        <f t="array" ref="G894">_xlfn.XLOOKUP(I894,Base_Datos!D:D,Base_Datos!B:B,"")</f>
        <v>0</v>
      </c>
      <c r="H894" s="3" t="str">
        <f t="array" ref="H894">IF(I894="","",IFERROR(_xlfn.XLOOKUP(I894,Base_Datos!$D$2:$D3876,Base_Datos!$C$2:$C3876),""))</f>
        <v/>
      </c>
      <c r="I894" s="3"/>
      <c r="J894" s="3" t="str">
        <f>IF(I894="","",IFERROR(VLOOKUP(I894,Base_Datos!$D$2:$E$72,2,0),""))</f>
        <v/>
      </c>
      <c r="K894" s="3" t="s">
        <v>1782</v>
      </c>
      <c r="L894" s="3"/>
      <c r="M894" s="7">
        <v>3</v>
      </c>
      <c r="N894" s="7">
        <v>0</v>
      </c>
    </row>
    <row r="895" spans="1:14" ht="14.25" x14ac:dyDescent="0.2">
      <c r="A895" s="3">
        <v>76003</v>
      </c>
      <c r="B895" s="3" t="s">
        <v>2680</v>
      </c>
      <c r="C895" s="3" t="s">
        <v>18</v>
      </c>
      <c r="D895" s="6" t="s">
        <v>2427</v>
      </c>
      <c r="E895" s="6" t="s">
        <v>2427</v>
      </c>
      <c r="F895" s="3" t="str">
        <f>IFERROR( VLOOKUP(A895,#REF!,2,0),"")</f>
        <v/>
      </c>
      <c r="G895" s="3">
        <f t="array" ref="G895">_xlfn.XLOOKUP(I895,Base_Datos!D:D,Base_Datos!B:B,"")</f>
        <v>0</v>
      </c>
      <c r="H895" s="3" t="str">
        <f t="array" ref="H895">IF(I895="","",IFERROR(_xlfn.XLOOKUP(I895,Base_Datos!$D$2:$D3876,Base_Datos!$C$2:$C3876),""))</f>
        <v/>
      </c>
      <c r="I895" s="3"/>
      <c r="J895" s="3" t="str">
        <f>IF(I895="","",IFERROR(VLOOKUP(I895,Base_Datos!$D$2:$E$72,2,0),""))</f>
        <v/>
      </c>
      <c r="K895" s="3" t="s">
        <v>1782</v>
      </c>
      <c r="L895" s="3"/>
      <c r="M895" s="7">
        <v>4</v>
      </c>
      <c r="N895" s="7">
        <v>0</v>
      </c>
    </row>
    <row r="896" spans="1:14" ht="14.25" x14ac:dyDescent="0.2">
      <c r="A896" s="3">
        <v>76004</v>
      </c>
      <c r="B896" s="3" t="s">
        <v>2547</v>
      </c>
      <c r="C896" s="3" t="s">
        <v>18</v>
      </c>
      <c r="D896" s="6" t="s">
        <v>2493</v>
      </c>
      <c r="E896" s="6" t="s">
        <v>2493</v>
      </c>
      <c r="F896" s="3" t="str">
        <f>IFERROR( VLOOKUP(A896,#REF!,2,0),"")</f>
        <v/>
      </c>
      <c r="G896" s="3">
        <f t="array" ref="G896">_xlfn.XLOOKUP(I896,Base_Datos!D:D,Base_Datos!B:B,"")</f>
        <v>0</v>
      </c>
      <c r="H896" s="3" t="str">
        <f t="array" ref="H896">IF(I896="","",IFERROR(_xlfn.XLOOKUP(I896,Base_Datos!$D$2:$D3876,Base_Datos!$C$2:$C3876),""))</f>
        <v/>
      </c>
      <c r="I896" s="3"/>
      <c r="J896" s="3" t="str">
        <f>IF(I896="","",IFERROR(VLOOKUP(I896,Base_Datos!$D$2:$E$72,2,0),""))</f>
        <v/>
      </c>
      <c r="K896" s="3" t="s">
        <v>1782</v>
      </c>
      <c r="L896" s="3"/>
      <c r="M896" s="7">
        <v>4</v>
      </c>
      <c r="N896" s="7">
        <v>0</v>
      </c>
    </row>
    <row r="897" spans="1:14" ht="14.25" x14ac:dyDescent="0.2">
      <c r="A897" s="3">
        <v>76005</v>
      </c>
      <c r="B897" s="3" t="s">
        <v>2681</v>
      </c>
      <c r="C897" s="3" t="s">
        <v>18</v>
      </c>
      <c r="D897" s="6" t="s">
        <v>2682</v>
      </c>
      <c r="E897" s="6" t="s">
        <v>2682</v>
      </c>
      <c r="F897" s="3" t="str">
        <f>IFERROR( VLOOKUP(A897,#REF!,2,0),"")</f>
        <v/>
      </c>
      <c r="G897" s="3" t="str">
        <f t="array" ref="G897">_xlfn.XLOOKUP(I897,Base_Datos!D:D,Base_Datos!B:B,"")</f>
        <v>DFSK</v>
      </c>
      <c r="H897" s="3" t="str">
        <f t="array" ref="H897">IF(I897="","",IFERROR(_xlfn.XLOOKUP(I897,Base_Datos!$D$2:$D3876,Base_Datos!$C$2:$C3876),""))</f>
        <v>Serie D</v>
      </c>
      <c r="I897" s="3" t="s">
        <v>973</v>
      </c>
      <c r="J897" s="3" t="str">
        <f>IF(I897="","",IFERROR(VLOOKUP(I897,Base_Datos!$D$2:$E$72,2,0),""))</f>
        <v>(1.5L)</v>
      </c>
      <c r="K897" s="3" t="s">
        <v>1805</v>
      </c>
      <c r="L897" s="3"/>
      <c r="M897" s="7">
        <v>10</v>
      </c>
      <c r="N897" s="7">
        <v>0</v>
      </c>
    </row>
    <row r="898" spans="1:14" ht="14.25" x14ac:dyDescent="0.2">
      <c r="A898" s="3">
        <v>76006</v>
      </c>
      <c r="B898" s="3" t="s">
        <v>2683</v>
      </c>
      <c r="C898" s="3" t="s">
        <v>18</v>
      </c>
      <c r="D898" s="6" t="s">
        <v>2684</v>
      </c>
      <c r="E898" s="6" t="s">
        <v>2684</v>
      </c>
      <c r="F898" s="3" t="str">
        <f>IFERROR( VLOOKUP(A898,#REF!,2,0),"")</f>
        <v/>
      </c>
      <c r="G898" s="3" t="str">
        <f t="array" ref="G898">_xlfn.XLOOKUP(I898,Base_Datos!D:D,Base_Datos!B:B,"")</f>
        <v>DFSK</v>
      </c>
      <c r="H898" s="3" t="str">
        <f t="array" ref="H898">IF(I898="","",IFERROR(_xlfn.XLOOKUP(I898,Base_Datos!$D$2:$D3876,Base_Datos!$C$2:$C3876),""))</f>
        <v>Serie D</v>
      </c>
      <c r="I898" s="3" t="s">
        <v>973</v>
      </c>
      <c r="J898" s="3" t="str">
        <f>IF(I898="","",IFERROR(VLOOKUP(I898,Base_Datos!$D$2:$E$72,2,0),""))</f>
        <v>(1.5L)</v>
      </c>
      <c r="K898" s="3" t="s">
        <v>1782</v>
      </c>
      <c r="L898" s="3"/>
      <c r="M898" s="7">
        <v>2</v>
      </c>
      <c r="N898" s="7">
        <v>0</v>
      </c>
    </row>
    <row r="899" spans="1:14" ht="14.25" x14ac:dyDescent="0.2">
      <c r="A899" s="3">
        <v>76007</v>
      </c>
      <c r="B899" s="3" t="s">
        <v>2685</v>
      </c>
      <c r="C899" s="3" t="s">
        <v>18</v>
      </c>
      <c r="D899" s="6" t="s">
        <v>2686</v>
      </c>
      <c r="E899" s="6" t="s">
        <v>2686</v>
      </c>
      <c r="F899" s="3" t="str">
        <f>IFERROR( VLOOKUP(A899,#REF!,2,0),"")</f>
        <v/>
      </c>
      <c r="G899" s="3" t="str">
        <f t="array" ref="G899">_xlfn.XLOOKUP(I899,Base_Datos!D:D,Base_Datos!B:B,"")</f>
        <v>DFSK</v>
      </c>
      <c r="H899" s="3" t="str">
        <f t="array" ref="H899">IF(I899="","",IFERROR(_xlfn.XLOOKUP(I899,Base_Datos!$D$2:$D3876,Base_Datos!$C$2:$C3876),""))</f>
        <v>Serie D</v>
      </c>
      <c r="I899" s="3" t="s">
        <v>973</v>
      </c>
      <c r="J899" s="3" t="str">
        <f>IF(I899="","",IFERROR(VLOOKUP(I899,Base_Datos!$D$2:$E$72,2,0),""))</f>
        <v>(1.5L)</v>
      </c>
      <c r="K899" s="3" t="s">
        <v>1782</v>
      </c>
      <c r="L899" s="3"/>
      <c r="M899" s="7">
        <v>3</v>
      </c>
      <c r="N899" s="7">
        <v>0</v>
      </c>
    </row>
    <row r="900" spans="1:14" ht="14.25" x14ac:dyDescent="0.2">
      <c r="A900" s="3">
        <v>76008</v>
      </c>
      <c r="B900" s="3" t="s">
        <v>2687</v>
      </c>
      <c r="C900" s="3" t="s">
        <v>18</v>
      </c>
      <c r="D900" s="6" t="s">
        <v>2688</v>
      </c>
      <c r="E900" s="6" t="s">
        <v>2688</v>
      </c>
      <c r="F900" s="3" t="str">
        <f>IFERROR( VLOOKUP(A900,#REF!,2,0),"")</f>
        <v/>
      </c>
      <c r="G900" s="3" t="str">
        <f t="array" ref="G900">_xlfn.XLOOKUP(I900,Base_Datos!D:D,Base_Datos!B:B,"")</f>
        <v>DFSK</v>
      </c>
      <c r="H900" s="3" t="str">
        <f t="array" ref="H900">IF(I900="","",IFERROR(_xlfn.XLOOKUP(I900,Base_Datos!$D$2:$D3876,Base_Datos!$C$2:$C3876),""))</f>
        <v>Serie D</v>
      </c>
      <c r="I900" s="3" t="s">
        <v>973</v>
      </c>
      <c r="J900" s="3" t="str">
        <f>IF(I900="","",IFERROR(VLOOKUP(I900,Base_Datos!$D$2:$E$72,2,0),""))</f>
        <v>(1.5L)</v>
      </c>
      <c r="K900" s="3" t="s">
        <v>2689</v>
      </c>
      <c r="L900" s="3"/>
      <c r="M900" s="7">
        <v>1</v>
      </c>
      <c r="N900" s="7">
        <v>0</v>
      </c>
    </row>
    <row r="901" spans="1:14" ht="14.25" x14ac:dyDescent="0.2">
      <c r="A901" s="3">
        <v>76009</v>
      </c>
      <c r="B901" s="3" t="s">
        <v>2004</v>
      </c>
      <c r="C901" s="3" t="s">
        <v>18</v>
      </c>
      <c r="D901" s="6" t="s">
        <v>204</v>
      </c>
      <c r="E901" s="6" t="s">
        <v>204</v>
      </c>
      <c r="F901" s="3" t="str">
        <f>IFERROR( VLOOKUP(A901,#REF!,2,0),"")</f>
        <v/>
      </c>
      <c r="G901" s="3" t="str">
        <f t="array" ref="G901">_xlfn.XLOOKUP(I901,Base_Datos!D:D,Base_Datos!B:B,"")</f>
        <v>DFSK</v>
      </c>
      <c r="H901" s="3" t="str">
        <f t="array" ref="H901">IF(I901="","",IFERROR(_xlfn.XLOOKUP(I901,Base_Datos!$D$2:$D3876,Base_Datos!$C$2:$C3876),""))</f>
        <v>Serie Glory</v>
      </c>
      <c r="I901" s="3" t="s">
        <v>404</v>
      </c>
      <c r="J901" s="3" t="str">
        <f>IF(I901="","",IFERROR(VLOOKUP(I901,Base_Datos!$D$2:$E$72,2,0),""))</f>
        <v>(1.5L)</v>
      </c>
      <c r="K901" s="3" t="s">
        <v>2690</v>
      </c>
      <c r="L901" s="3"/>
      <c r="M901" s="7">
        <v>10</v>
      </c>
      <c r="N901" s="7">
        <v>0</v>
      </c>
    </row>
    <row r="902" spans="1:14" ht="14.25" x14ac:dyDescent="0.2">
      <c r="A902" s="3">
        <v>76010</v>
      </c>
      <c r="B902" s="3" t="s">
        <v>2458</v>
      </c>
      <c r="C902" s="3" t="s">
        <v>18</v>
      </c>
      <c r="D902" s="6" t="s">
        <v>2691</v>
      </c>
      <c r="E902" s="6" t="s">
        <v>2691</v>
      </c>
      <c r="F902" s="3" t="str">
        <f>IFERROR( VLOOKUP(A902,#REF!,2,0),"")</f>
        <v/>
      </c>
      <c r="G902" s="3" t="str">
        <f t="array" ref="G902">_xlfn.XLOOKUP(I902,Base_Datos!D:D,Base_Datos!B:B,"")</f>
        <v>DFSK</v>
      </c>
      <c r="H902" s="3" t="str">
        <f t="array" ref="H902">IF(I902="","",IFERROR(_xlfn.XLOOKUP(I902,Base_Datos!$D$2:$D3876,Base_Datos!$C$2:$C3876),""))</f>
        <v>Serie D</v>
      </c>
      <c r="I902" s="3" t="s">
        <v>973</v>
      </c>
      <c r="J902" s="3" t="str">
        <f>IF(I902="","",IFERROR(VLOOKUP(I902,Base_Datos!$D$2:$E$72,2,0),""))</f>
        <v>(1.5L)</v>
      </c>
      <c r="K902" s="3" t="s">
        <v>1782</v>
      </c>
      <c r="L902" s="3"/>
      <c r="M902" s="7">
        <v>10</v>
      </c>
      <c r="N902" s="7">
        <v>0</v>
      </c>
    </row>
    <row r="903" spans="1:14" ht="14.25" x14ac:dyDescent="0.2">
      <c r="A903" s="3">
        <v>76011</v>
      </c>
      <c r="B903" s="3" t="s">
        <v>2692</v>
      </c>
      <c r="C903" s="3" t="s">
        <v>18</v>
      </c>
      <c r="D903" s="6" t="s">
        <v>2693</v>
      </c>
      <c r="E903" s="6" t="s">
        <v>2693</v>
      </c>
      <c r="F903" s="3" t="str">
        <f>IFERROR( VLOOKUP(A903,#REF!,2,0),"")</f>
        <v/>
      </c>
      <c r="G903" s="3" t="str">
        <f t="array" ref="G903">_xlfn.XLOOKUP(I903,Base_Datos!D:D,Base_Datos!B:B,"")</f>
        <v>DFSK</v>
      </c>
      <c r="H903" s="3" t="str">
        <f t="array" ref="H903">IF(I903="","",IFERROR(_xlfn.XLOOKUP(I903,Base_Datos!$D$2:$D3876,Base_Datos!$C$2:$C3876),""))</f>
        <v>Serie D</v>
      </c>
      <c r="I903" s="3" t="s">
        <v>973</v>
      </c>
      <c r="J903" s="3" t="str">
        <f>IF(I903="","",IFERROR(VLOOKUP(I903,Base_Datos!$D$2:$E$72,2,0),""))</f>
        <v>(1.5L)</v>
      </c>
      <c r="K903" s="3" t="s">
        <v>1782</v>
      </c>
      <c r="L903" s="3"/>
      <c r="M903" s="7">
        <v>6</v>
      </c>
      <c r="N903" s="7">
        <v>0</v>
      </c>
    </row>
    <row r="904" spans="1:14" ht="14.25" x14ac:dyDescent="0.2">
      <c r="A904" s="3">
        <v>76012</v>
      </c>
      <c r="B904" s="3" t="s">
        <v>2694</v>
      </c>
      <c r="C904" s="3" t="s">
        <v>18</v>
      </c>
      <c r="D904" s="6" t="s">
        <v>2695</v>
      </c>
      <c r="E904" s="6" t="s">
        <v>2695</v>
      </c>
      <c r="F904" s="3" t="str">
        <f>IFERROR( VLOOKUP(A904,#REF!,2,0),"")</f>
        <v/>
      </c>
      <c r="G904" s="3" t="str">
        <f t="array" ref="G904">_xlfn.XLOOKUP(I904,Base_Datos!D:D,Base_Datos!B:B,"")</f>
        <v>DFSK</v>
      </c>
      <c r="H904" s="3" t="str">
        <f t="array" ref="H904">IF(I904="","",IFERROR(_xlfn.XLOOKUP(I904,Base_Datos!$D$2:$D3876,Base_Datos!$C$2:$C3876),""))</f>
        <v>Serie D</v>
      </c>
      <c r="I904" s="3" t="s">
        <v>973</v>
      </c>
      <c r="J904" s="3" t="str">
        <f>IF(I904="","",IFERROR(VLOOKUP(I904,Base_Datos!$D$2:$E$72,2,0),""))</f>
        <v>(1.5L)</v>
      </c>
      <c r="K904" s="3" t="s">
        <v>1782</v>
      </c>
      <c r="L904" s="3"/>
      <c r="M904" s="7">
        <v>4</v>
      </c>
      <c r="N904" s="7">
        <v>0</v>
      </c>
    </row>
    <row r="905" spans="1:14" ht="14.25" x14ac:dyDescent="0.2">
      <c r="A905" s="3">
        <v>76013</v>
      </c>
      <c r="B905" s="3" t="s">
        <v>1882</v>
      </c>
      <c r="C905" s="3" t="s">
        <v>18</v>
      </c>
      <c r="D905" s="6" t="s">
        <v>2696</v>
      </c>
      <c r="E905" s="6" t="s">
        <v>2696</v>
      </c>
      <c r="F905" s="3" t="str">
        <f>IFERROR( VLOOKUP(A905,#REF!,2,0),"")</f>
        <v/>
      </c>
      <c r="G905" s="3" t="str">
        <f t="array" ref="G905">_xlfn.XLOOKUP(I905,Base_Datos!D:D,Base_Datos!B:B,"")</f>
        <v>DFSK</v>
      </c>
      <c r="H905" s="3" t="str">
        <f t="array" ref="H905">IF(I905="","",IFERROR(_xlfn.XLOOKUP(I905,Base_Datos!$D$2:$D3876,Base_Datos!$C$2:$C3876),""))</f>
        <v>Serie D</v>
      </c>
      <c r="I905" s="3" t="s">
        <v>973</v>
      </c>
      <c r="J905" s="3" t="str">
        <f>IF(I905="","",IFERROR(VLOOKUP(I905,Base_Datos!$D$2:$E$72,2,0),""))</f>
        <v>(1.5L)</v>
      </c>
      <c r="K905" s="3" t="s">
        <v>1782</v>
      </c>
      <c r="L905" s="3"/>
      <c r="M905" s="7">
        <v>5</v>
      </c>
      <c r="N905" s="7">
        <v>0</v>
      </c>
    </row>
    <row r="906" spans="1:14" ht="14.25" x14ac:dyDescent="0.2">
      <c r="A906" s="3">
        <v>76014</v>
      </c>
      <c r="B906" s="3" t="s">
        <v>1928</v>
      </c>
      <c r="C906" s="3" t="s">
        <v>18</v>
      </c>
      <c r="D906" s="6" t="s">
        <v>2697</v>
      </c>
      <c r="E906" s="6" t="s">
        <v>2697</v>
      </c>
      <c r="F906" s="3" t="str">
        <f>IFERROR( VLOOKUP(A906,#REF!,2,0),"")</f>
        <v/>
      </c>
      <c r="G906" s="3" t="str">
        <f t="array" ref="G906">_xlfn.XLOOKUP(I906,Base_Datos!D:D,Base_Datos!B:B,"")</f>
        <v>DFSK</v>
      </c>
      <c r="H906" s="3" t="str">
        <f t="array" ref="H906">IF(I906="","",IFERROR(_xlfn.XLOOKUP(I906,Base_Datos!$D$2:$D3876,Base_Datos!$C$2:$C3876),""))</f>
        <v>Serie D</v>
      </c>
      <c r="I906" s="3" t="s">
        <v>973</v>
      </c>
      <c r="J906" s="3" t="str">
        <f>IF(I906="","",IFERROR(VLOOKUP(I906,Base_Datos!$D$2:$E$72,2,0),""))</f>
        <v>(1.5L)</v>
      </c>
      <c r="K906" s="3" t="s">
        <v>1782</v>
      </c>
      <c r="L906" s="3"/>
      <c r="M906" s="7">
        <v>9</v>
      </c>
      <c r="N906" s="7">
        <v>0</v>
      </c>
    </row>
    <row r="907" spans="1:14" ht="14.25" x14ac:dyDescent="0.2">
      <c r="A907" s="3">
        <v>76015</v>
      </c>
      <c r="B907" s="3" t="s">
        <v>2698</v>
      </c>
      <c r="C907" s="3" t="s">
        <v>18</v>
      </c>
      <c r="D907" s="6" t="s">
        <v>2699</v>
      </c>
      <c r="E907" s="6" t="s">
        <v>2699</v>
      </c>
      <c r="F907" s="3" t="str">
        <f>IFERROR( VLOOKUP(A907,#REF!,2,0),"")</f>
        <v/>
      </c>
      <c r="G907" s="3" t="str">
        <f t="array" ref="G907">_xlfn.XLOOKUP(I907,Base_Datos!D:D,Base_Datos!B:B,"")</f>
        <v>DFSK</v>
      </c>
      <c r="H907" s="3" t="str">
        <f t="array" ref="H907">IF(I907="","",IFERROR(_xlfn.XLOOKUP(I907,Base_Datos!$D$2:$D3876,Base_Datos!$C$2:$C3876),""))</f>
        <v>Serie C</v>
      </c>
      <c r="I907" s="3" t="s">
        <v>343</v>
      </c>
      <c r="J907" s="3" t="str">
        <f>IF(I907="","",IFERROR(VLOOKUP(I907,Base_Datos!$D$2:$E$72,2,0),""))</f>
        <v>(1.5L)</v>
      </c>
      <c r="K907" s="3" t="s">
        <v>2395</v>
      </c>
      <c r="L907" s="3"/>
      <c r="M907" s="7">
        <v>4</v>
      </c>
      <c r="N907" s="7">
        <v>0</v>
      </c>
    </row>
    <row r="908" spans="1:14" ht="14.25" x14ac:dyDescent="0.2">
      <c r="A908" s="3">
        <v>76016</v>
      </c>
      <c r="B908" s="3" t="s">
        <v>2700</v>
      </c>
      <c r="C908" s="3" t="s">
        <v>18</v>
      </c>
      <c r="D908" s="6" t="s">
        <v>2701</v>
      </c>
      <c r="E908" s="6" t="s">
        <v>2701</v>
      </c>
      <c r="F908" s="3" t="str">
        <f>IFERROR( VLOOKUP(A908,#REF!,2,0),"")</f>
        <v/>
      </c>
      <c r="G908" s="3" t="str">
        <f t="array" ref="G908">_xlfn.XLOOKUP(I908,Base_Datos!D:D,Base_Datos!B:B,"")</f>
        <v>DFSK</v>
      </c>
      <c r="H908" s="3" t="str">
        <f t="array" ref="H908">IF(I908="","",IFERROR(_xlfn.XLOOKUP(I908,Base_Datos!$D$2:$D3876,Base_Datos!$C$2:$C3876),""))</f>
        <v>Serie D</v>
      </c>
      <c r="I908" s="3" t="s">
        <v>973</v>
      </c>
      <c r="J908" s="3" t="str">
        <f>IF(I908="","",IFERROR(VLOOKUP(I908,Base_Datos!$D$2:$E$72,2,0),""))</f>
        <v>(1.5L)</v>
      </c>
      <c r="K908" s="3" t="s">
        <v>2702</v>
      </c>
      <c r="L908" s="3"/>
      <c r="M908" s="7">
        <v>7</v>
      </c>
      <c r="N908" s="7">
        <v>0</v>
      </c>
    </row>
    <row r="909" spans="1:14" ht="14.25" x14ac:dyDescent="0.2">
      <c r="A909" s="3">
        <v>76017</v>
      </c>
      <c r="B909" s="3" t="s">
        <v>2703</v>
      </c>
      <c r="C909" s="3" t="s">
        <v>18</v>
      </c>
      <c r="D909" s="6" t="s">
        <v>2704</v>
      </c>
      <c r="E909" s="6" t="s">
        <v>2704</v>
      </c>
      <c r="F909" s="3" t="str">
        <f>IFERROR( VLOOKUP(A909,#REF!,2,0),"")</f>
        <v/>
      </c>
      <c r="G909" s="3" t="str">
        <f t="array" ref="G909">_xlfn.XLOOKUP(I909,Base_Datos!D:D,Base_Datos!B:B,"")</f>
        <v>DFSK</v>
      </c>
      <c r="H909" s="3" t="str">
        <f t="array" ref="H909">IF(I909="","",IFERROR(_xlfn.XLOOKUP(I909,Base_Datos!$D$2:$D3876,Base_Datos!$C$2:$C3876),""))</f>
        <v>Serie D</v>
      </c>
      <c r="I909" s="3" t="s">
        <v>973</v>
      </c>
      <c r="J909" s="3" t="str">
        <f>IF(I909="","",IFERROR(VLOOKUP(I909,Base_Datos!$D$2:$E$72,2,0),""))</f>
        <v>(1.5L)</v>
      </c>
      <c r="K909" s="3" t="s">
        <v>1860</v>
      </c>
      <c r="L909" s="3"/>
      <c r="M909" s="7">
        <v>4</v>
      </c>
      <c r="N909" s="7">
        <v>0</v>
      </c>
    </row>
    <row r="910" spans="1:14" ht="14.25" x14ac:dyDescent="0.2">
      <c r="A910" s="3">
        <v>76018</v>
      </c>
      <c r="B910" s="3" t="s">
        <v>2705</v>
      </c>
      <c r="C910" s="3" t="s">
        <v>18</v>
      </c>
      <c r="D910" s="6" t="s">
        <v>2706</v>
      </c>
      <c r="E910" s="6" t="s">
        <v>2706</v>
      </c>
      <c r="F910" s="3" t="str">
        <f>IFERROR( VLOOKUP(A910,#REF!,2,0),"")</f>
        <v/>
      </c>
      <c r="G910" s="3" t="str">
        <f t="array" ref="G910">_xlfn.XLOOKUP(I910,Base_Datos!D:D,Base_Datos!B:B,"")</f>
        <v>DFSK</v>
      </c>
      <c r="H910" s="3" t="str">
        <f t="array" ref="H910">IF(I910="","",IFERROR(_xlfn.XLOOKUP(I910,Base_Datos!$D$2:$D3876,Base_Datos!$C$2:$C3876),""))</f>
        <v>Serie D</v>
      </c>
      <c r="I910" s="3" t="s">
        <v>973</v>
      </c>
      <c r="J910" s="3" t="str">
        <f>IF(I910="","",IFERROR(VLOOKUP(I910,Base_Datos!$D$2:$E$72,2,0),""))</f>
        <v>(1.5L)</v>
      </c>
      <c r="K910" s="3" t="s">
        <v>1782</v>
      </c>
      <c r="L910" s="3"/>
      <c r="M910" s="7">
        <v>4</v>
      </c>
      <c r="N910" s="7">
        <v>0</v>
      </c>
    </row>
    <row r="911" spans="1:14" ht="14.25" x14ac:dyDescent="0.2">
      <c r="A911" s="3">
        <v>76019</v>
      </c>
      <c r="B911" s="3" t="s">
        <v>2707</v>
      </c>
      <c r="C911" s="3" t="s">
        <v>18</v>
      </c>
      <c r="D911" s="6" t="s">
        <v>2708</v>
      </c>
      <c r="E911" s="6" t="s">
        <v>2708</v>
      </c>
      <c r="F911" s="3" t="str">
        <f>IFERROR( VLOOKUP(A911,#REF!,2,0),"")</f>
        <v/>
      </c>
      <c r="G911" s="3" t="str">
        <f t="array" ref="G911">_xlfn.XLOOKUP(I911,Base_Datos!D:D,Base_Datos!B:B,"")</f>
        <v>DFSK</v>
      </c>
      <c r="H911" s="3" t="str">
        <f t="array" ref="H911">IF(I911="","",IFERROR(_xlfn.XLOOKUP(I911,Base_Datos!$D$2:$D3876,Base_Datos!$C$2:$C3876),""))</f>
        <v>Serie D</v>
      </c>
      <c r="I911" s="3" t="s">
        <v>973</v>
      </c>
      <c r="J911" s="3" t="str">
        <f>IF(I911="","",IFERROR(VLOOKUP(I911,Base_Datos!$D$2:$E$72,2,0),""))</f>
        <v>(1.5L)</v>
      </c>
      <c r="K911" s="3" t="s">
        <v>1782</v>
      </c>
      <c r="L911" s="3"/>
      <c r="M911" s="7">
        <v>12</v>
      </c>
      <c r="N911" s="7">
        <v>0</v>
      </c>
    </row>
    <row r="912" spans="1:14" ht="14.25" x14ac:dyDescent="0.2">
      <c r="A912" s="3">
        <v>76020</v>
      </c>
      <c r="B912" s="3" t="s">
        <v>2709</v>
      </c>
      <c r="C912" s="3" t="s">
        <v>18</v>
      </c>
      <c r="D912" s="6" t="s">
        <v>2710</v>
      </c>
      <c r="E912" s="6" t="s">
        <v>2710</v>
      </c>
      <c r="F912" s="3" t="str">
        <f>IFERROR( VLOOKUP(A912,#REF!,2,0),"")</f>
        <v/>
      </c>
      <c r="G912" s="3" t="str">
        <f t="array" ref="G912">_xlfn.XLOOKUP(I912,Base_Datos!D:D,Base_Datos!B:B,"")</f>
        <v>DFSK</v>
      </c>
      <c r="H912" s="3" t="str">
        <f t="array" ref="H912">IF(I912="","",IFERROR(_xlfn.XLOOKUP(I912,Base_Datos!$D$2:$D3876,Base_Datos!$C$2:$C3876),""))</f>
        <v>Serie D</v>
      </c>
      <c r="I912" s="3" t="s">
        <v>973</v>
      </c>
      <c r="J912" s="3" t="str">
        <f>IF(I912="","",IFERROR(VLOOKUP(I912,Base_Datos!$D$2:$E$72,2,0),""))</f>
        <v>(1.5L)</v>
      </c>
      <c r="K912" s="3" t="s">
        <v>1782</v>
      </c>
      <c r="L912" s="3"/>
      <c r="M912" s="7">
        <v>2</v>
      </c>
      <c r="N912" s="7">
        <v>0</v>
      </c>
    </row>
    <row r="913" spans="1:14" ht="14.25" x14ac:dyDescent="0.2">
      <c r="A913" s="3">
        <v>76021</v>
      </c>
      <c r="B913" s="3" t="s">
        <v>2711</v>
      </c>
      <c r="C913" s="3" t="s">
        <v>18</v>
      </c>
      <c r="D913" s="6" t="s">
        <v>2712</v>
      </c>
      <c r="E913" s="6" t="s">
        <v>2712</v>
      </c>
      <c r="F913" s="3" t="str">
        <f>IFERROR( VLOOKUP(A913,#REF!,2,0),"")</f>
        <v/>
      </c>
      <c r="G913" s="3" t="str">
        <f t="array" ref="G913">_xlfn.XLOOKUP(I913,Base_Datos!D:D,Base_Datos!B:B,"")</f>
        <v>DFSK</v>
      </c>
      <c r="H913" s="3" t="str">
        <f t="array" ref="H913">IF(I913="","",IFERROR(_xlfn.XLOOKUP(I913,Base_Datos!$D$2:$D3876,Base_Datos!$C$2:$C3876),""))</f>
        <v>Serie D</v>
      </c>
      <c r="I913" s="3" t="s">
        <v>973</v>
      </c>
      <c r="J913" s="3" t="str">
        <f>IF(I913="","",IFERROR(VLOOKUP(I913,Base_Datos!$D$2:$E$72,2,0),""))</f>
        <v>(1.5L)</v>
      </c>
      <c r="K913" s="3" t="s">
        <v>1782</v>
      </c>
      <c r="L913" s="3"/>
      <c r="M913" s="7">
        <v>4</v>
      </c>
      <c r="N913" s="7">
        <v>0</v>
      </c>
    </row>
    <row r="914" spans="1:14" ht="14.25" x14ac:dyDescent="0.2">
      <c r="A914" s="3">
        <v>76022</v>
      </c>
      <c r="B914" s="3" t="s">
        <v>2713</v>
      </c>
      <c r="C914" s="3" t="s">
        <v>18</v>
      </c>
      <c r="D914" s="6" t="s">
        <v>2714</v>
      </c>
      <c r="E914" s="6" t="s">
        <v>2714</v>
      </c>
      <c r="F914" s="3" t="str">
        <f>IFERROR( VLOOKUP(A914,#REF!,2,0),"")</f>
        <v/>
      </c>
      <c r="G914" s="3" t="str">
        <f t="array" ref="G914">_xlfn.XLOOKUP(I914,Base_Datos!D:D,Base_Datos!B:B,"")</f>
        <v>DFSK</v>
      </c>
      <c r="H914" s="3" t="str">
        <f t="array" ref="H914">IF(I914="","",IFERROR(_xlfn.XLOOKUP(I914,Base_Datos!$D$2:$D3876,Base_Datos!$C$2:$C3876),""))</f>
        <v>Serie D</v>
      </c>
      <c r="I914" s="3" t="s">
        <v>973</v>
      </c>
      <c r="J914" s="3" t="str">
        <f>IF(I914="","",IFERROR(VLOOKUP(I914,Base_Datos!$D$2:$E$72,2,0),""))</f>
        <v>(1.5L)</v>
      </c>
      <c r="K914" s="3" t="s">
        <v>1782</v>
      </c>
      <c r="L914" s="3"/>
      <c r="M914" s="7">
        <v>4</v>
      </c>
      <c r="N914" s="7">
        <v>0</v>
      </c>
    </row>
    <row r="915" spans="1:14" ht="14.25" x14ac:dyDescent="0.2">
      <c r="A915" s="3">
        <v>76023</v>
      </c>
      <c r="B915" s="3" t="s">
        <v>2715</v>
      </c>
      <c r="C915" s="3" t="s">
        <v>18</v>
      </c>
      <c r="D915" s="6" t="s">
        <v>2716</v>
      </c>
      <c r="E915" s="6" t="s">
        <v>2716</v>
      </c>
      <c r="F915" s="3" t="str">
        <f>IFERROR( VLOOKUP(A915,#REF!,2,0),"")</f>
        <v/>
      </c>
      <c r="G915" s="3" t="str">
        <f t="array" ref="G915">_xlfn.XLOOKUP(I915,Base_Datos!D:D,Base_Datos!B:B,"")</f>
        <v>DFSK</v>
      </c>
      <c r="H915" s="3" t="str">
        <f t="array" ref="H915">IF(I915="","",IFERROR(_xlfn.XLOOKUP(I915,Base_Datos!$D$2:$D3876,Base_Datos!$C$2:$C3876),""))</f>
        <v>Serie D</v>
      </c>
      <c r="I915" s="3" t="s">
        <v>973</v>
      </c>
      <c r="J915" s="3" t="str">
        <f>IF(I915="","",IFERROR(VLOOKUP(I915,Base_Datos!$D$2:$E$72,2,0),""))</f>
        <v>(1.5L)</v>
      </c>
      <c r="K915" s="3" t="s">
        <v>1782</v>
      </c>
      <c r="L915" s="3"/>
      <c r="M915" s="7">
        <v>6</v>
      </c>
      <c r="N915" s="7">
        <v>0</v>
      </c>
    </row>
    <row r="916" spans="1:14" ht="14.25" x14ac:dyDescent="0.2">
      <c r="A916" s="3">
        <v>76024</v>
      </c>
      <c r="B916" s="3" t="s">
        <v>2717</v>
      </c>
      <c r="C916" s="3" t="s">
        <v>18</v>
      </c>
      <c r="D916" s="6" t="s">
        <v>2718</v>
      </c>
      <c r="E916" s="6" t="s">
        <v>2718</v>
      </c>
      <c r="F916" s="3" t="str">
        <f>IFERROR( VLOOKUP(A916,#REF!,2,0),"")</f>
        <v/>
      </c>
      <c r="G916" s="3" t="str">
        <f t="array" ref="G916">_xlfn.XLOOKUP(I916,Base_Datos!D:D,Base_Datos!B:B,"")</f>
        <v>DFSK</v>
      </c>
      <c r="H916" s="3" t="str">
        <f t="array" ref="H916">IF(I916="","",IFERROR(_xlfn.XLOOKUP(I916,Base_Datos!$D$2:$D3876,Base_Datos!$C$2:$C3876),""))</f>
        <v>Serie D</v>
      </c>
      <c r="I916" s="3" t="s">
        <v>973</v>
      </c>
      <c r="J916" s="3" t="str">
        <f>IF(I916="","",IFERROR(VLOOKUP(I916,Base_Datos!$D$2:$E$72,2,0),""))</f>
        <v>(1.5L)</v>
      </c>
      <c r="K916" s="3" t="s">
        <v>1782</v>
      </c>
      <c r="L916" s="3"/>
      <c r="M916" s="7">
        <v>8</v>
      </c>
      <c r="N916" s="7">
        <v>0</v>
      </c>
    </row>
    <row r="917" spans="1:14" ht="14.25" x14ac:dyDescent="0.2">
      <c r="A917" s="3">
        <v>76025</v>
      </c>
      <c r="B917" s="3" t="s">
        <v>2719</v>
      </c>
      <c r="C917" s="3" t="s">
        <v>18</v>
      </c>
      <c r="D917" s="6" t="s">
        <v>2720</v>
      </c>
      <c r="E917" s="6" t="s">
        <v>2720</v>
      </c>
      <c r="F917" s="3" t="str">
        <f>IFERROR( VLOOKUP(A917,#REF!,2,0),"")</f>
        <v/>
      </c>
      <c r="G917" s="3" t="str">
        <f t="array" ref="G917">_xlfn.XLOOKUP(I917,Base_Datos!D:D,Base_Datos!B:B,"")</f>
        <v>DFSK</v>
      </c>
      <c r="H917" s="3" t="str">
        <f t="array" ref="H917">IF(I917="","",IFERROR(_xlfn.XLOOKUP(I917,Base_Datos!$D$2:$D3876,Base_Datos!$C$2:$C3876),""))</f>
        <v>Serie D</v>
      </c>
      <c r="I917" s="3" t="s">
        <v>973</v>
      </c>
      <c r="J917" s="3" t="str">
        <f>IF(I917="","",IFERROR(VLOOKUP(I917,Base_Datos!$D$2:$E$72,2,0),""))</f>
        <v>(1.5L)</v>
      </c>
      <c r="K917" s="3" t="s">
        <v>1782</v>
      </c>
      <c r="L917" s="3"/>
      <c r="M917" s="7">
        <v>3</v>
      </c>
      <c r="N917" s="7">
        <v>0</v>
      </c>
    </row>
    <row r="918" spans="1:14" ht="14.25" x14ac:dyDescent="0.2">
      <c r="A918" s="3">
        <v>76026</v>
      </c>
      <c r="B918" s="3" t="s">
        <v>2721</v>
      </c>
      <c r="C918" s="3" t="s">
        <v>18</v>
      </c>
      <c r="D918" s="6" t="s">
        <v>2722</v>
      </c>
      <c r="E918" s="6" t="s">
        <v>2722</v>
      </c>
      <c r="F918" s="3" t="str">
        <f>IFERROR( VLOOKUP(A918,#REF!,2,0),"")</f>
        <v/>
      </c>
      <c r="G918" s="3" t="str">
        <f t="array" ref="G918">_xlfn.XLOOKUP(I918,Base_Datos!D:D,Base_Datos!B:B,"")</f>
        <v>DFSK</v>
      </c>
      <c r="H918" s="3" t="str">
        <f t="array" ref="H918">IF(I918="","",IFERROR(_xlfn.XLOOKUP(I918,Base_Datos!$D$2:$D3876,Base_Datos!$C$2:$C3876),""))</f>
        <v>Serie D</v>
      </c>
      <c r="I918" s="3" t="s">
        <v>973</v>
      </c>
      <c r="J918" s="3" t="str">
        <f>IF(I918="","",IFERROR(VLOOKUP(I918,Base_Datos!$D$2:$E$72,2,0),""))</f>
        <v>(1.5L)</v>
      </c>
      <c r="K918" s="3" t="s">
        <v>1782</v>
      </c>
      <c r="L918" s="3"/>
      <c r="M918" s="7">
        <v>8</v>
      </c>
      <c r="N918" s="7">
        <v>0</v>
      </c>
    </row>
    <row r="919" spans="1:14" ht="14.25" x14ac:dyDescent="0.2">
      <c r="A919" s="3">
        <v>76027</v>
      </c>
      <c r="B919" s="3" t="s">
        <v>2723</v>
      </c>
      <c r="C919" s="3" t="s">
        <v>18</v>
      </c>
      <c r="D919" s="6" t="s">
        <v>2724</v>
      </c>
      <c r="E919" s="6" t="s">
        <v>2724</v>
      </c>
      <c r="F919" s="3" t="str">
        <f>IFERROR( VLOOKUP(A919,#REF!,2,0),"")</f>
        <v/>
      </c>
      <c r="G919" s="3" t="str">
        <f t="array" ref="G919">_xlfn.XLOOKUP(I919,Base_Datos!D:D,Base_Datos!B:B,"")</f>
        <v>DFSK</v>
      </c>
      <c r="H919" s="3" t="str">
        <f t="array" ref="H919">IF(I919="","",IFERROR(_xlfn.XLOOKUP(I919,Base_Datos!$D$2:$D3876,Base_Datos!$C$2:$C3876),""))</f>
        <v>Serie C</v>
      </c>
      <c r="I919" s="3" t="s">
        <v>343</v>
      </c>
      <c r="J919" s="3" t="str">
        <f>IF(I919="","",IFERROR(VLOOKUP(I919,Base_Datos!$D$2:$E$72,2,0),""))</f>
        <v>(1.5L)</v>
      </c>
      <c r="K919" s="3" t="s">
        <v>2725</v>
      </c>
      <c r="L919" s="3"/>
      <c r="M919" s="7">
        <v>4</v>
      </c>
      <c r="N919" s="7">
        <v>0</v>
      </c>
    </row>
    <row r="920" spans="1:14" ht="14.25" x14ac:dyDescent="0.2">
      <c r="A920" s="3">
        <v>76028</v>
      </c>
      <c r="B920" s="3" t="s">
        <v>2726</v>
      </c>
      <c r="C920" s="3" t="s">
        <v>18</v>
      </c>
      <c r="D920" s="6" t="s">
        <v>2727</v>
      </c>
      <c r="E920" s="6" t="s">
        <v>2727</v>
      </c>
      <c r="F920" s="3" t="str">
        <f>IFERROR( VLOOKUP(A920,#REF!,2,0),"")</f>
        <v/>
      </c>
      <c r="G920" s="3" t="str">
        <f t="array" ref="G920">_xlfn.XLOOKUP(I920,Base_Datos!D:D,Base_Datos!B:B,"")</f>
        <v>DFSK</v>
      </c>
      <c r="H920" s="3" t="str">
        <f t="array" ref="H920">IF(I920="","",IFERROR(_xlfn.XLOOKUP(I920,Base_Datos!$D$2:$D3876,Base_Datos!$C$2:$C3876),""))</f>
        <v>Serie D</v>
      </c>
      <c r="I920" s="3" t="s">
        <v>973</v>
      </c>
      <c r="J920" s="3" t="str">
        <f>IF(I920="","",IFERROR(VLOOKUP(I920,Base_Datos!$D$2:$E$72,2,0),""))</f>
        <v>(1.5L)</v>
      </c>
      <c r="K920" s="3" t="s">
        <v>1782</v>
      </c>
      <c r="L920" s="3"/>
      <c r="M920" s="7">
        <v>4</v>
      </c>
      <c r="N920" s="7">
        <v>0</v>
      </c>
    </row>
    <row r="921" spans="1:14" ht="14.25" x14ac:dyDescent="0.2">
      <c r="A921" s="3">
        <v>76029</v>
      </c>
      <c r="B921" s="3" t="s">
        <v>2728</v>
      </c>
      <c r="C921" s="3" t="s">
        <v>18</v>
      </c>
      <c r="D921" s="6" t="s">
        <v>2729</v>
      </c>
      <c r="E921" s="6" t="s">
        <v>2729</v>
      </c>
      <c r="F921" s="3" t="str">
        <f>IFERROR( VLOOKUP(A921,#REF!,2,0),"")</f>
        <v/>
      </c>
      <c r="G921" s="3" t="str">
        <f t="array" ref="G921">_xlfn.XLOOKUP(I921,Base_Datos!D:D,Base_Datos!B:B,"")</f>
        <v>DFSK</v>
      </c>
      <c r="H921" s="3" t="str">
        <f t="array" ref="H921">IF(I921="","",IFERROR(_xlfn.XLOOKUP(I921,Base_Datos!$D$2:$D3876,Base_Datos!$C$2:$C3876),""))</f>
        <v>Serie D</v>
      </c>
      <c r="I921" s="3" t="s">
        <v>973</v>
      </c>
      <c r="J921" s="3" t="str">
        <f>IF(I921="","",IFERROR(VLOOKUP(I921,Base_Datos!$D$2:$E$72,2,0),""))</f>
        <v>(1.5L)</v>
      </c>
      <c r="K921" s="3" t="s">
        <v>1782</v>
      </c>
      <c r="L921" s="3"/>
      <c r="M921" s="7">
        <v>3</v>
      </c>
      <c r="N921" s="7">
        <v>0</v>
      </c>
    </row>
    <row r="922" spans="1:14" ht="14.25" x14ac:dyDescent="0.2">
      <c r="A922" s="3">
        <v>76030</v>
      </c>
      <c r="B922" s="3" t="s">
        <v>2730</v>
      </c>
      <c r="C922" s="3" t="s">
        <v>18</v>
      </c>
      <c r="D922" s="6" t="s">
        <v>2731</v>
      </c>
      <c r="E922" s="6" t="s">
        <v>2731</v>
      </c>
      <c r="F922" s="3" t="str">
        <f>IFERROR( VLOOKUP(A922,#REF!,2,0),"")</f>
        <v/>
      </c>
      <c r="G922" s="3" t="str">
        <f t="array" ref="G922">_xlfn.XLOOKUP(I922,Base_Datos!D:D,Base_Datos!B:B,"")</f>
        <v>DFSK</v>
      </c>
      <c r="H922" s="3" t="str">
        <f t="array" ref="H922">IF(I922="","",IFERROR(_xlfn.XLOOKUP(I922,Base_Datos!$D$2:$D3876,Base_Datos!$C$2:$C3876),""))</f>
        <v>Serie K</v>
      </c>
      <c r="I922" s="3" t="s">
        <v>475</v>
      </c>
      <c r="J922" s="3" t="str">
        <f>IF(I922="","",IFERROR(VLOOKUP(I922,Base_Datos!$D$2:$E$72,2,0),""))</f>
        <v>(1.1L)</v>
      </c>
      <c r="K922" s="3" t="s">
        <v>2732</v>
      </c>
      <c r="L922" s="3"/>
      <c r="M922" s="7">
        <v>39</v>
      </c>
      <c r="N922" s="7">
        <v>0</v>
      </c>
    </row>
    <row r="923" spans="1:14" ht="14.25" x14ac:dyDescent="0.2">
      <c r="A923" s="3">
        <v>76031</v>
      </c>
      <c r="B923" s="3" t="s">
        <v>2733</v>
      </c>
      <c r="C923" s="3" t="s">
        <v>18</v>
      </c>
      <c r="D923" s="6" t="s">
        <v>2734</v>
      </c>
      <c r="E923" s="6" t="s">
        <v>2734</v>
      </c>
      <c r="F923" s="3" t="str">
        <f>IFERROR( VLOOKUP(A923,#REF!,2,0),"")</f>
        <v/>
      </c>
      <c r="G923" s="3" t="str">
        <f t="array" ref="G923">_xlfn.XLOOKUP(I923,Base_Datos!D:D,Base_Datos!B:B,"")</f>
        <v>DFSK</v>
      </c>
      <c r="H923" s="3" t="str">
        <f t="array" ref="H923">IF(I923="","",IFERROR(_xlfn.XLOOKUP(I923,Base_Datos!$D$2:$D3876,Base_Datos!$C$2:$C3876),""))</f>
        <v>Serie D</v>
      </c>
      <c r="I923" s="3" t="s">
        <v>973</v>
      </c>
      <c r="J923" s="3" t="str">
        <f>IF(I923="","",IFERROR(VLOOKUP(I923,Base_Datos!$D$2:$E$72,2,0),""))</f>
        <v>(1.5L)</v>
      </c>
      <c r="K923" s="3" t="s">
        <v>1782</v>
      </c>
      <c r="L923" s="3"/>
      <c r="M923" s="7">
        <v>2</v>
      </c>
      <c r="N923" s="7">
        <v>0</v>
      </c>
    </row>
    <row r="924" spans="1:14" ht="14.25" x14ac:dyDescent="0.2">
      <c r="A924" s="3">
        <v>76032</v>
      </c>
      <c r="B924" s="3" t="s">
        <v>2735</v>
      </c>
      <c r="C924" s="3" t="s">
        <v>18</v>
      </c>
      <c r="D924" s="6" t="s">
        <v>2736</v>
      </c>
      <c r="E924" s="6" t="s">
        <v>2736</v>
      </c>
      <c r="F924" s="3" t="str">
        <f>IFERROR( VLOOKUP(A924,#REF!,2,0),"")</f>
        <v/>
      </c>
      <c r="G924" s="3" t="str">
        <f t="array" ref="G924">_xlfn.XLOOKUP(I924,Base_Datos!D:D,Base_Datos!B:B,"")</f>
        <v>DFSK</v>
      </c>
      <c r="H924" s="3" t="str">
        <f t="array" ref="H924">IF(I924="","",IFERROR(_xlfn.XLOOKUP(I924,Base_Datos!$D$2:$D3876,Base_Datos!$C$2:$C3876),""))</f>
        <v>Serie D</v>
      </c>
      <c r="I924" s="3" t="s">
        <v>973</v>
      </c>
      <c r="J924" s="3" t="str">
        <f>IF(I924="","",IFERROR(VLOOKUP(I924,Base_Datos!$D$2:$E$72,2,0),""))</f>
        <v>(1.5L)</v>
      </c>
      <c r="K924" s="3" t="s">
        <v>1782</v>
      </c>
      <c r="L924" s="3"/>
      <c r="M924" s="7">
        <v>8</v>
      </c>
      <c r="N924" s="7">
        <v>0</v>
      </c>
    </row>
    <row r="925" spans="1:14" ht="14.25" x14ac:dyDescent="0.2">
      <c r="A925" s="3">
        <v>76033</v>
      </c>
      <c r="B925" s="3" t="s">
        <v>2737</v>
      </c>
      <c r="C925" s="3" t="s">
        <v>18</v>
      </c>
      <c r="D925" s="6" t="s">
        <v>2738</v>
      </c>
      <c r="E925" s="6" t="s">
        <v>2738</v>
      </c>
      <c r="F925" s="3" t="str">
        <f>IFERROR( VLOOKUP(A925,#REF!,2,0),"")</f>
        <v/>
      </c>
      <c r="G925" s="3" t="str">
        <f t="array" ref="G925">_xlfn.XLOOKUP(I925,Base_Datos!D:D,Base_Datos!B:B,"")</f>
        <v>DFSK</v>
      </c>
      <c r="H925" s="3" t="str">
        <f t="array" ref="H925">IF(I925="","",IFERROR(_xlfn.XLOOKUP(I925,Base_Datos!$D$2:$D3876,Base_Datos!$C$2:$C3876),""))</f>
        <v>Serie D</v>
      </c>
      <c r="I925" s="3" t="s">
        <v>973</v>
      </c>
      <c r="J925" s="3" t="str">
        <f>IF(I925="","",IFERROR(VLOOKUP(I925,Base_Datos!$D$2:$E$72,2,0),""))</f>
        <v>(1.5L)</v>
      </c>
      <c r="K925" s="3" t="s">
        <v>1782</v>
      </c>
      <c r="L925" s="3"/>
      <c r="M925" s="7">
        <v>6</v>
      </c>
      <c r="N925" s="7">
        <v>0</v>
      </c>
    </row>
    <row r="926" spans="1:14" ht="14.25" x14ac:dyDescent="0.2">
      <c r="A926" s="3">
        <v>76034</v>
      </c>
      <c r="B926" s="3" t="s">
        <v>2739</v>
      </c>
      <c r="C926" s="3" t="s">
        <v>18</v>
      </c>
      <c r="D926" s="6" t="s">
        <v>2740</v>
      </c>
      <c r="E926" s="6" t="s">
        <v>2740</v>
      </c>
      <c r="F926" s="3" t="str">
        <f>IFERROR( VLOOKUP(A926,#REF!,2,0),"")</f>
        <v/>
      </c>
      <c r="G926" s="3" t="str">
        <f t="array" ref="G926">_xlfn.XLOOKUP(I926,Base_Datos!D:D,Base_Datos!B:B,"")</f>
        <v>DFSK</v>
      </c>
      <c r="H926" s="3" t="str">
        <f t="array" ref="H926">IF(I926="","",IFERROR(_xlfn.XLOOKUP(I926,Base_Datos!$D$2:$D3876,Base_Datos!$C$2:$C3876),""))</f>
        <v>Serie D</v>
      </c>
      <c r="I926" s="3" t="s">
        <v>973</v>
      </c>
      <c r="J926" s="3" t="str">
        <f>IF(I926="","",IFERROR(VLOOKUP(I926,Base_Datos!$D$2:$E$72,2,0),""))</f>
        <v>(1.5L)</v>
      </c>
      <c r="K926" s="3" t="s">
        <v>2702</v>
      </c>
      <c r="L926" s="3"/>
      <c r="M926" s="7">
        <v>5</v>
      </c>
      <c r="N926" s="7">
        <v>0</v>
      </c>
    </row>
    <row r="927" spans="1:14" ht="14.25" x14ac:dyDescent="0.2">
      <c r="A927" s="3">
        <v>76035</v>
      </c>
      <c r="B927" s="3" t="s">
        <v>2741</v>
      </c>
      <c r="C927" s="3" t="s">
        <v>18</v>
      </c>
      <c r="D927" s="6" t="s">
        <v>2742</v>
      </c>
      <c r="E927" s="6" t="s">
        <v>2742</v>
      </c>
      <c r="F927" s="3" t="str">
        <f>IFERROR( VLOOKUP(A927,#REF!,2,0),"")</f>
        <v/>
      </c>
      <c r="G927" s="3" t="str">
        <f t="array" ref="G927">_xlfn.XLOOKUP(I927,Base_Datos!D:D,Base_Datos!B:B,"")</f>
        <v>DFSK</v>
      </c>
      <c r="H927" s="3" t="str">
        <f t="array" ref="H927">IF(I927="","",IFERROR(_xlfn.XLOOKUP(I927,Base_Datos!$D$2:$D3876,Base_Datos!$C$2:$C3876),""))</f>
        <v>Serie D</v>
      </c>
      <c r="I927" s="3" t="s">
        <v>973</v>
      </c>
      <c r="J927" s="3" t="str">
        <f>IF(I927="","",IFERROR(VLOOKUP(I927,Base_Datos!$D$2:$E$72,2,0),""))</f>
        <v>(1.5L)</v>
      </c>
      <c r="K927" s="3" t="s">
        <v>1782</v>
      </c>
      <c r="L927" s="3"/>
      <c r="M927" s="7">
        <v>6</v>
      </c>
      <c r="N927" s="7">
        <v>0</v>
      </c>
    </row>
    <row r="928" spans="1:14" ht="14.25" x14ac:dyDescent="0.2">
      <c r="A928" s="3">
        <v>76036</v>
      </c>
      <c r="B928" s="3" t="s">
        <v>2743</v>
      </c>
      <c r="C928" s="3" t="s">
        <v>18</v>
      </c>
      <c r="D928" s="6" t="s">
        <v>2744</v>
      </c>
      <c r="E928" s="6" t="s">
        <v>2744</v>
      </c>
      <c r="F928" s="3" t="str">
        <f>IFERROR( VLOOKUP(A928,#REF!,2,0),"")</f>
        <v/>
      </c>
      <c r="G928" s="3" t="str">
        <f t="array" ref="G928">_xlfn.XLOOKUP(I928,Base_Datos!D:D,Base_Datos!B:B,"")</f>
        <v>DFSK</v>
      </c>
      <c r="H928" s="3" t="str">
        <f t="array" ref="H928">IF(I928="","",IFERROR(_xlfn.XLOOKUP(I928,Base_Datos!$D$2:$D3876,Base_Datos!$C$2:$C3876),""))</f>
        <v>Serie D</v>
      </c>
      <c r="I928" s="3" t="s">
        <v>973</v>
      </c>
      <c r="J928" s="3" t="str">
        <f>IF(I928="","",IFERROR(VLOOKUP(I928,Base_Datos!$D$2:$E$72,2,0),""))</f>
        <v>(1.5L)</v>
      </c>
      <c r="K928" s="3" t="s">
        <v>1782</v>
      </c>
      <c r="L928" s="3"/>
      <c r="M928" s="7">
        <v>6</v>
      </c>
      <c r="N928" s="7">
        <v>0</v>
      </c>
    </row>
    <row r="929" spans="1:14" ht="14.25" x14ac:dyDescent="0.2">
      <c r="A929" s="3">
        <v>76037</v>
      </c>
      <c r="B929" s="3" t="s">
        <v>2745</v>
      </c>
      <c r="C929" s="3" t="s">
        <v>18</v>
      </c>
      <c r="D929" s="6" t="s">
        <v>2746</v>
      </c>
      <c r="E929" s="6" t="s">
        <v>2746</v>
      </c>
      <c r="F929" s="3" t="str">
        <f>IFERROR( VLOOKUP(A929,#REF!,2,0),"")</f>
        <v/>
      </c>
      <c r="G929" s="3" t="str">
        <f t="array" ref="G929">_xlfn.XLOOKUP(I929,Base_Datos!D:D,Base_Datos!B:B,"")</f>
        <v>DFSK</v>
      </c>
      <c r="H929" s="3" t="str">
        <f t="array" ref="H929">IF(I929="","",IFERROR(_xlfn.XLOOKUP(I929,Base_Datos!$D$2:$D3876,Base_Datos!$C$2:$C3876),""))</f>
        <v>Serie D</v>
      </c>
      <c r="I929" s="3" t="s">
        <v>973</v>
      </c>
      <c r="J929" s="3" t="str">
        <f>IF(I929="","",IFERROR(VLOOKUP(I929,Base_Datos!$D$2:$E$72,2,0),""))</f>
        <v>(1.5L)</v>
      </c>
      <c r="K929" s="3" t="s">
        <v>1782</v>
      </c>
      <c r="L929" s="3"/>
      <c r="M929" s="7">
        <v>6</v>
      </c>
      <c r="N929" s="7">
        <v>0</v>
      </c>
    </row>
    <row r="930" spans="1:14" ht="14.25" x14ac:dyDescent="0.2">
      <c r="A930" s="3">
        <v>76038</v>
      </c>
      <c r="B930" s="3" t="s">
        <v>2747</v>
      </c>
      <c r="C930" s="3" t="s">
        <v>18</v>
      </c>
      <c r="D930" s="6" t="s">
        <v>2748</v>
      </c>
      <c r="E930" s="6" t="s">
        <v>2748</v>
      </c>
      <c r="F930" s="3" t="str">
        <f>IFERROR( VLOOKUP(A930,#REF!,2,0),"")</f>
        <v/>
      </c>
      <c r="G930" s="3" t="str">
        <f t="array" ref="G930">_xlfn.XLOOKUP(I930,Base_Datos!D:D,Base_Datos!B:B,"")</f>
        <v>DFSK</v>
      </c>
      <c r="H930" s="3" t="str">
        <f t="array" ref="H930">IF(I930="","",IFERROR(_xlfn.XLOOKUP(I930,Base_Datos!$D$2:$D3876,Base_Datos!$C$2:$C3876),""))</f>
        <v>Serie D</v>
      </c>
      <c r="I930" s="3" t="s">
        <v>973</v>
      </c>
      <c r="J930" s="3" t="str">
        <f>IF(I930="","",IFERROR(VLOOKUP(I930,Base_Datos!$D$2:$E$72,2,0),""))</f>
        <v>(1.5L)</v>
      </c>
      <c r="K930" s="3" t="s">
        <v>1782</v>
      </c>
      <c r="L930" s="3"/>
      <c r="M930" s="7">
        <v>20</v>
      </c>
      <c r="N930" s="7">
        <v>0</v>
      </c>
    </row>
    <row r="931" spans="1:14" ht="14.25" x14ac:dyDescent="0.2">
      <c r="A931" s="3">
        <v>76039</v>
      </c>
      <c r="B931" s="3" t="s">
        <v>2749</v>
      </c>
      <c r="C931" s="3" t="s">
        <v>18</v>
      </c>
      <c r="D931" s="6" t="s">
        <v>2750</v>
      </c>
      <c r="E931" s="6" t="s">
        <v>2750</v>
      </c>
      <c r="F931" s="3" t="str">
        <f>IFERROR( VLOOKUP(A931,#REF!,2,0),"")</f>
        <v/>
      </c>
      <c r="G931" s="3" t="str">
        <f t="array" ref="G931">_xlfn.XLOOKUP(I931,Base_Datos!D:D,Base_Datos!B:B,"")</f>
        <v>DFSK</v>
      </c>
      <c r="H931" s="3" t="str">
        <f t="array" ref="H931">IF(I931="","",IFERROR(_xlfn.XLOOKUP(I931,Base_Datos!$D$2:$D3876,Base_Datos!$C$2:$C3876),""))</f>
        <v>Serie D</v>
      </c>
      <c r="I931" s="3" t="s">
        <v>973</v>
      </c>
      <c r="J931" s="3" t="str">
        <f>IF(I931="","",IFERROR(VLOOKUP(I931,Base_Datos!$D$2:$E$72,2,0),""))</f>
        <v>(1.5L)</v>
      </c>
      <c r="K931" s="3" t="s">
        <v>1782</v>
      </c>
      <c r="L931" s="3"/>
      <c r="M931" s="7">
        <v>40</v>
      </c>
      <c r="N931" s="7">
        <v>0</v>
      </c>
    </row>
    <row r="932" spans="1:14" ht="14.25" x14ac:dyDescent="0.2">
      <c r="A932" s="3">
        <v>76040</v>
      </c>
      <c r="B932" s="3" t="s">
        <v>1869</v>
      </c>
      <c r="C932" s="3" t="s">
        <v>18</v>
      </c>
      <c r="D932" s="6" t="s">
        <v>2751</v>
      </c>
      <c r="E932" s="6" t="s">
        <v>2751</v>
      </c>
      <c r="F932" s="3" t="str">
        <f>IFERROR( VLOOKUP(A932,#REF!,2,0),"")</f>
        <v/>
      </c>
      <c r="G932" s="3" t="str">
        <f t="array" ref="G932">_xlfn.XLOOKUP(I932,Base_Datos!D:D,Base_Datos!B:B,"")</f>
        <v>DFSK</v>
      </c>
      <c r="H932" s="3" t="str">
        <f t="array" ref="H932">IF(I932="","",IFERROR(_xlfn.XLOOKUP(I932,Base_Datos!$D$2:$D3876,Base_Datos!$C$2:$C3876),""))</f>
        <v>Serie D</v>
      </c>
      <c r="I932" s="3" t="s">
        <v>973</v>
      </c>
      <c r="J932" s="3" t="str">
        <f>IF(I932="","",IFERROR(VLOOKUP(I932,Base_Datos!$D$2:$E$72,2,0),""))</f>
        <v>(1.5L)</v>
      </c>
      <c r="K932" s="3" t="s">
        <v>1782</v>
      </c>
      <c r="L932" s="3"/>
      <c r="M932" s="7">
        <v>3</v>
      </c>
      <c r="N932" s="7">
        <v>0</v>
      </c>
    </row>
    <row r="933" spans="1:14" ht="14.25" x14ac:dyDescent="0.2">
      <c r="A933" s="3">
        <v>76041</v>
      </c>
      <c r="B933" s="3" t="s">
        <v>1876</v>
      </c>
      <c r="C933" s="3" t="s">
        <v>18</v>
      </c>
      <c r="D933" s="6" t="s">
        <v>2752</v>
      </c>
      <c r="E933" s="6" t="s">
        <v>2752</v>
      </c>
      <c r="F933" s="3" t="str">
        <f>IFERROR( VLOOKUP(A933,#REF!,2,0),"")</f>
        <v/>
      </c>
      <c r="G933" s="3" t="str">
        <f t="array" ref="G933">_xlfn.XLOOKUP(I933,Base_Datos!D:D,Base_Datos!B:B,"")</f>
        <v>DFSK</v>
      </c>
      <c r="H933" s="3" t="str">
        <f t="array" ref="H933">IF(I933="","",IFERROR(_xlfn.XLOOKUP(I933,Base_Datos!$D$2:$D3876,Base_Datos!$C$2:$C3876),""))</f>
        <v>Serie D</v>
      </c>
      <c r="I933" s="3" t="s">
        <v>973</v>
      </c>
      <c r="J933" s="3" t="str">
        <f>IF(I933="","",IFERROR(VLOOKUP(I933,Base_Datos!$D$2:$E$72,2,0),""))</f>
        <v>(1.5L)</v>
      </c>
      <c r="K933" s="3" t="s">
        <v>1782</v>
      </c>
      <c r="L933" s="3"/>
      <c r="M933" s="7">
        <v>3</v>
      </c>
      <c r="N933" s="7">
        <v>0</v>
      </c>
    </row>
    <row r="934" spans="1:14" ht="14.25" x14ac:dyDescent="0.2">
      <c r="A934" s="3">
        <v>76042</v>
      </c>
      <c r="B934" s="3" t="s">
        <v>2753</v>
      </c>
      <c r="C934" s="3" t="s">
        <v>18</v>
      </c>
      <c r="D934" s="6" t="s">
        <v>2754</v>
      </c>
      <c r="E934" s="6" t="s">
        <v>2754</v>
      </c>
      <c r="F934" s="3" t="str">
        <f>IFERROR( VLOOKUP(A934,#REF!,2,0),"")</f>
        <v/>
      </c>
      <c r="G934" s="3" t="str">
        <f t="array" ref="G934">_xlfn.XLOOKUP(I934,Base_Datos!D:D,Base_Datos!B:B,"")</f>
        <v>DFSK</v>
      </c>
      <c r="H934" s="3" t="str">
        <f t="array" ref="H934">IF(I934="","",IFERROR(_xlfn.XLOOKUP(I934,Base_Datos!$D$2:$D3876,Base_Datos!$C$2:$C3876),""))</f>
        <v>Serie D</v>
      </c>
      <c r="I934" s="3" t="s">
        <v>973</v>
      </c>
      <c r="J934" s="3" t="str">
        <f>IF(I934="","",IFERROR(VLOOKUP(I934,Base_Datos!$D$2:$E$72,2,0),""))</f>
        <v>(1.5L)</v>
      </c>
      <c r="K934" s="3" t="s">
        <v>1782</v>
      </c>
      <c r="L934" s="3"/>
      <c r="M934" s="7">
        <v>20</v>
      </c>
      <c r="N934" s="7">
        <v>0</v>
      </c>
    </row>
    <row r="935" spans="1:14" ht="14.25" x14ac:dyDescent="0.2">
      <c r="A935" s="3">
        <v>76043</v>
      </c>
      <c r="B935" s="3" t="s">
        <v>2755</v>
      </c>
      <c r="C935" s="3" t="s">
        <v>18</v>
      </c>
      <c r="D935" s="6" t="s">
        <v>2756</v>
      </c>
      <c r="E935" s="6" t="s">
        <v>2756</v>
      </c>
      <c r="F935" s="3" t="str">
        <f>IFERROR( VLOOKUP(A935,#REF!,2,0),"")</f>
        <v/>
      </c>
      <c r="G935" s="3" t="str">
        <f t="array" ref="G935">_xlfn.XLOOKUP(I935,Base_Datos!D:D,Base_Datos!B:B,"")</f>
        <v>DFSK</v>
      </c>
      <c r="H935" s="3" t="str">
        <f t="array" ref="H935">IF(I935="","",IFERROR(_xlfn.XLOOKUP(I935,Base_Datos!$D$2:$D3876,Base_Datos!$C$2:$C3876),""))</f>
        <v>Serie D</v>
      </c>
      <c r="I935" s="3" t="s">
        <v>973</v>
      </c>
      <c r="J935" s="3" t="str">
        <f>IF(I935="","",IFERROR(VLOOKUP(I935,Base_Datos!$D$2:$E$72,2,0),""))</f>
        <v>(1.5L)</v>
      </c>
      <c r="K935" s="3" t="s">
        <v>1782</v>
      </c>
      <c r="L935" s="3"/>
      <c r="M935" s="7">
        <v>5</v>
      </c>
      <c r="N935" s="7">
        <v>0</v>
      </c>
    </row>
    <row r="936" spans="1:14" ht="14.25" x14ac:dyDescent="0.2">
      <c r="A936" s="3">
        <v>76044</v>
      </c>
      <c r="B936" s="3" t="s">
        <v>2757</v>
      </c>
      <c r="C936" s="3" t="s">
        <v>18</v>
      </c>
      <c r="D936" s="6" t="s">
        <v>2758</v>
      </c>
      <c r="E936" s="6" t="s">
        <v>2758</v>
      </c>
      <c r="F936" s="3" t="str">
        <f>IFERROR( VLOOKUP(A936,#REF!,2,0),"")</f>
        <v/>
      </c>
      <c r="G936" s="3" t="str">
        <f t="array" ref="G936">_xlfn.XLOOKUP(I936,Base_Datos!D:D,Base_Datos!B:B,"")</f>
        <v>DFSK</v>
      </c>
      <c r="H936" s="3" t="str">
        <f t="array" ref="H936">IF(I936="","",IFERROR(_xlfn.XLOOKUP(I936,Base_Datos!$D$2:$D3876,Base_Datos!$C$2:$C3876),""))</f>
        <v>Serie D</v>
      </c>
      <c r="I936" s="3" t="s">
        <v>973</v>
      </c>
      <c r="J936" s="3" t="str">
        <f>IF(I936="","",IFERROR(VLOOKUP(I936,Base_Datos!$D$2:$E$72,2,0),""))</f>
        <v>(1.5L)</v>
      </c>
      <c r="K936" s="3" t="s">
        <v>2702</v>
      </c>
      <c r="L936" s="3"/>
      <c r="M936" s="7">
        <v>1</v>
      </c>
      <c r="N936" s="7">
        <v>0</v>
      </c>
    </row>
    <row r="937" spans="1:14" ht="14.25" x14ac:dyDescent="0.2">
      <c r="A937" s="3">
        <v>76045</v>
      </c>
      <c r="B937" s="3" t="s">
        <v>2759</v>
      </c>
      <c r="C937" s="3" t="s">
        <v>18</v>
      </c>
      <c r="D937" s="6" t="s">
        <v>2760</v>
      </c>
      <c r="E937" s="6" t="s">
        <v>2760</v>
      </c>
      <c r="F937" s="3" t="str">
        <f>IFERROR( VLOOKUP(A937,#REF!,2,0),"")</f>
        <v/>
      </c>
      <c r="G937" s="3" t="str">
        <f t="array" ref="G937">_xlfn.XLOOKUP(I937,Base_Datos!D:D,Base_Datos!B:B,"")</f>
        <v>DFSK</v>
      </c>
      <c r="H937" s="3" t="str">
        <f t="array" ref="H937">IF(I937="","",IFERROR(_xlfn.XLOOKUP(I937,Base_Datos!$D$2:$D3876,Base_Datos!$C$2:$C3876),""))</f>
        <v>Serie D</v>
      </c>
      <c r="I937" s="3" t="s">
        <v>973</v>
      </c>
      <c r="J937" s="3" t="str">
        <f>IF(I937="","",IFERROR(VLOOKUP(I937,Base_Datos!$D$2:$E$72,2,0),""))</f>
        <v>(1.5L)</v>
      </c>
      <c r="K937" s="3" t="s">
        <v>1782</v>
      </c>
      <c r="L937" s="3"/>
      <c r="M937" s="7">
        <v>2</v>
      </c>
      <c r="N937" s="7">
        <v>0</v>
      </c>
    </row>
    <row r="938" spans="1:14" ht="14.25" x14ac:dyDescent="0.2">
      <c r="A938" s="3">
        <v>76046</v>
      </c>
      <c r="B938" s="3" t="s">
        <v>2761</v>
      </c>
      <c r="C938" s="3" t="s">
        <v>18</v>
      </c>
      <c r="D938" s="6" t="s">
        <v>2762</v>
      </c>
      <c r="E938" s="6" t="s">
        <v>2762</v>
      </c>
      <c r="F938" s="3" t="str">
        <f>IFERROR( VLOOKUP(A938,#REF!,2,0),"")</f>
        <v/>
      </c>
      <c r="G938" s="3" t="str">
        <f t="array" ref="G938">_xlfn.XLOOKUP(I938,Base_Datos!D:D,Base_Datos!B:B,"")</f>
        <v>DFSK</v>
      </c>
      <c r="H938" s="3" t="str">
        <f t="array" ref="H938">IF(I938="","",IFERROR(_xlfn.XLOOKUP(I938,Base_Datos!$D$2:$D3876,Base_Datos!$C$2:$C3876),""))</f>
        <v>Serie D</v>
      </c>
      <c r="I938" s="3" t="s">
        <v>973</v>
      </c>
      <c r="J938" s="3" t="str">
        <f>IF(I938="","",IFERROR(VLOOKUP(I938,Base_Datos!$D$2:$E$72,2,0),""))</f>
        <v>(1.5L)</v>
      </c>
      <c r="K938" s="3" t="s">
        <v>1782</v>
      </c>
      <c r="L938" s="3"/>
      <c r="M938" s="7">
        <v>4</v>
      </c>
      <c r="N938" s="7">
        <v>0</v>
      </c>
    </row>
    <row r="939" spans="1:14" ht="14.25" x14ac:dyDescent="0.2">
      <c r="A939" s="3">
        <v>76047</v>
      </c>
      <c r="B939" s="3" t="s">
        <v>2763</v>
      </c>
      <c r="C939" s="3" t="s">
        <v>18</v>
      </c>
      <c r="D939" s="6" t="s">
        <v>2764</v>
      </c>
      <c r="E939" s="6" t="s">
        <v>2764</v>
      </c>
      <c r="F939" s="3" t="str">
        <f>IFERROR( VLOOKUP(A939,#REF!,2,0),"")</f>
        <v/>
      </c>
      <c r="G939" s="3" t="str">
        <f t="array" ref="G939">_xlfn.XLOOKUP(I939,Base_Datos!D:D,Base_Datos!B:B,"")</f>
        <v>DFSK</v>
      </c>
      <c r="H939" s="3" t="str">
        <f t="array" ref="H939">IF(I939="","",IFERROR(_xlfn.XLOOKUP(I939,Base_Datos!$D$2:$D3876,Base_Datos!$C$2:$C3876),""))</f>
        <v>Serie D</v>
      </c>
      <c r="I939" s="3" t="s">
        <v>973</v>
      </c>
      <c r="J939" s="3" t="str">
        <f>IF(I939="","",IFERROR(VLOOKUP(I939,Base_Datos!$D$2:$E$72,2,0),""))</f>
        <v>(1.5L)</v>
      </c>
      <c r="K939" s="3" t="s">
        <v>1782</v>
      </c>
      <c r="L939" s="3"/>
      <c r="M939" s="7">
        <v>10</v>
      </c>
      <c r="N939" s="7">
        <v>0</v>
      </c>
    </row>
    <row r="940" spans="1:14" ht="14.25" x14ac:dyDescent="0.2">
      <c r="A940" s="3">
        <v>76048</v>
      </c>
      <c r="B940" s="3" t="s">
        <v>2765</v>
      </c>
      <c r="C940" s="3" t="s">
        <v>18</v>
      </c>
      <c r="D940" s="6" t="s">
        <v>2766</v>
      </c>
      <c r="E940" s="6" t="s">
        <v>2766</v>
      </c>
      <c r="F940" s="3" t="str">
        <f>IFERROR( VLOOKUP(A940,#REF!,2,0),"")</f>
        <v/>
      </c>
      <c r="G940" s="3" t="str">
        <f t="array" ref="G940">_xlfn.XLOOKUP(I940,Base_Datos!D:D,Base_Datos!B:B,"")</f>
        <v>DFSK</v>
      </c>
      <c r="H940" s="3" t="str">
        <f t="array" ref="H940">IF(I940="","",IFERROR(_xlfn.XLOOKUP(I940,Base_Datos!$D$2:$D3876,Base_Datos!$C$2:$C3876),""))</f>
        <v>Serie D</v>
      </c>
      <c r="I940" s="3" t="s">
        <v>973</v>
      </c>
      <c r="J940" s="3" t="str">
        <f>IF(I940="","",IFERROR(VLOOKUP(I940,Base_Datos!$D$2:$E$72,2,0),""))</f>
        <v>(1.5L)</v>
      </c>
      <c r="K940" s="3" t="s">
        <v>1782</v>
      </c>
      <c r="L940" s="3"/>
      <c r="M940" s="7">
        <v>16</v>
      </c>
      <c r="N940" s="7">
        <v>0</v>
      </c>
    </row>
    <row r="941" spans="1:14" ht="14.25" x14ac:dyDescent="0.2">
      <c r="A941" s="3">
        <v>76049</v>
      </c>
      <c r="B941" s="3" t="s">
        <v>2767</v>
      </c>
      <c r="C941" s="3" t="s">
        <v>18</v>
      </c>
      <c r="D941" s="6" t="s">
        <v>2768</v>
      </c>
      <c r="E941" s="6" t="s">
        <v>2768</v>
      </c>
      <c r="F941" s="3" t="str">
        <f>IFERROR( VLOOKUP(A941,#REF!,2,0),"")</f>
        <v/>
      </c>
      <c r="G941" s="3" t="str">
        <f t="array" ref="G941">_xlfn.XLOOKUP(I941,Base_Datos!D:D,Base_Datos!B:B,"")</f>
        <v>DFSK</v>
      </c>
      <c r="H941" s="3" t="str">
        <f t="array" ref="H941">IF(I941="","",IFERROR(_xlfn.XLOOKUP(I941,Base_Datos!$D$2:$D3876,Base_Datos!$C$2:$C3876),""))</f>
        <v>Serie D</v>
      </c>
      <c r="I941" s="3" t="s">
        <v>973</v>
      </c>
      <c r="J941" s="3" t="str">
        <f>IF(I941="","",IFERROR(VLOOKUP(I941,Base_Datos!$D$2:$E$72,2,0),""))</f>
        <v>(1.5L)</v>
      </c>
      <c r="K941" s="3" t="s">
        <v>1782</v>
      </c>
      <c r="L941" s="3"/>
      <c r="M941" s="7">
        <v>4</v>
      </c>
      <c r="N941" s="7">
        <v>0</v>
      </c>
    </row>
    <row r="942" spans="1:14" ht="14.25" x14ac:dyDescent="0.2">
      <c r="A942" s="3">
        <v>76050</v>
      </c>
      <c r="B942" s="3" t="s">
        <v>2769</v>
      </c>
      <c r="C942" s="3" t="s">
        <v>18</v>
      </c>
      <c r="D942" s="6" t="s">
        <v>2770</v>
      </c>
      <c r="E942" s="6" t="s">
        <v>2770</v>
      </c>
      <c r="F942" s="3" t="str">
        <f>IFERROR( VLOOKUP(A942,#REF!,2,0),"")</f>
        <v/>
      </c>
      <c r="G942" s="3" t="str">
        <f t="array" ref="G942">_xlfn.XLOOKUP(I942,Base_Datos!D:D,Base_Datos!B:B,"")</f>
        <v>DFSK</v>
      </c>
      <c r="H942" s="3" t="str">
        <f t="array" ref="H942">IF(I942="","",IFERROR(_xlfn.XLOOKUP(I942,Base_Datos!$D$2:$D3876,Base_Datos!$C$2:$C3876),""))</f>
        <v>Serie D</v>
      </c>
      <c r="I942" s="3" t="s">
        <v>973</v>
      </c>
      <c r="J942" s="3" t="str">
        <f>IF(I942="","",IFERROR(VLOOKUP(I942,Base_Datos!$D$2:$E$72,2,0),""))</f>
        <v>(1.5L)</v>
      </c>
      <c r="K942" s="3" t="s">
        <v>1782</v>
      </c>
      <c r="L942" s="3"/>
      <c r="M942" s="7">
        <v>5</v>
      </c>
      <c r="N942" s="7">
        <v>0</v>
      </c>
    </row>
    <row r="943" spans="1:14" ht="14.25" x14ac:dyDescent="0.2">
      <c r="A943" s="3">
        <v>76051</v>
      </c>
      <c r="B943" s="3" t="s">
        <v>2006</v>
      </c>
      <c r="C943" s="3" t="s">
        <v>18</v>
      </c>
      <c r="D943" s="6" t="s">
        <v>2771</v>
      </c>
      <c r="E943" s="6" t="s">
        <v>2771</v>
      </c>
      <c r="F943" s="3" t="str">
        <f>IFERROR( VLOOKUP(A943,#REF!,2,0),"")</f>
        <v/>
      </c>
      <c r="G943" s="3" t="str">
        <f t="array" ref="G943">_xlfn.XLOOKUP(I943,Base_Datos!D:D,Base_Datos!B:B,"")</f>
        <v>DFSK</v>
      </c>
      <c r="H943" s="3" t="str">
        <f t="array" ref="H943">IF(I943="","",IFERROR(_xlfn.XLOOKUP(I943,Base_Datos!$D$2:$D3876,Base_Datos!$C$2:$C3876),""))</f>
        <v>Serie D</v>
      </c>
      <c r="I943" s="3" t="s">
        <v>973</v>
      </c>
      <c r="J943" s="3" t="str">
        <f>IF(I943="","",IFERROR(VLOOKUP(I943,Base_Datos!$D$2:$E$72,2,0),""))</f>
        <v>(1.5L)</v>
      </c>
      <c r="K943" s="3" t="s">
        <v>1782</v>
      </c>
      <c r="L943" s="3"/>
      <c r="M943" s="7">
        <v>4</v>
      </c>
      <c r="N943" s="7">
        <v>0</v>
      </c>
    </row>
    <row r="944" spans="1:14" ht="14.25" x14ac:dyDescent="0.2">
      <c r="A944" s="3">
        <v>76052</v>
      </c>
      <c r="B944" s="3" t="s">
        <v>2772</v>
      </c>
      <c r="C944" s="3" t="s">
        <v>18</v>
      </c>
      <c r="D944" s="6" t="s">
        <v>2773</v>
      </c>
      <c r="E944" s="6" t="s">
        <v>2773</v>
      </c>
      <c r="F944" s="3" t="str">
        <f>IFERROR( VLOOKUP(A944,#REF!,2,0),"")</f>
        <v/>
      </c>
      <c r="G944" s="3" t="str">
        <f t="array" ref="G944">_xlfn.XLOOKUP(I944,Base_Datos!D:D,Base_Datos!B:B,"")</f>
        <v>DFSK</v>
      </c>
      <c r="H944" s="3" t="str">
        <f t="array" ref="H944">IF(I944="","",IFERROR(_xlfn.XLOOKUP(I944,Base_Datos!$D$2:$D3876,Base_Datos!$C$2:$C3876),""))</f>
        <v>Serie C</v>
      </c>
      <c r="I944" s="3" t="s">
        <v>343</v>
      </c>
      <c r="J944" s="3" t="str">
        <f>IF(I944="","",IFERROR(VLOOKUP(I944,Base_Datos!$D$2:$E$72,2,0),""))</f>
        <v>(1.5L)</v>
      </c>
      <c r="K944" s="3" t="s">
        <v>2774</v>
      </c>
      <c r="L944" s="3"/>
      <c r="M944" s="7">
        <v>4</v>
      </c>
      <c r="N944" s="7">
        <v>0</v>
      </c>
    </row>
    <row r="945" spans="1:14" ht="14.25" x14ac:dyDescent="0.2">
      <c r="A945" s="3">
        <v>76053</v>
      </c>
      <c r="B945" s="3" t="s">
        <v>2775</v>
      </c>
      <c r="C945" s="3" t="s">
        <v>18</v>
      </c>
      <c r="D945" s="6" t="s">
        <v>2776</v>
      </c>
      <c r="E945" s="6" t="s">
        <v>2776</v>
      </c>
      <c r="F945" s="3" t="str">
        <f>IFERROR( VLOOKUP(A945,#REF!,2,0),"")</f>
        <v/>
      </c>
      <c r="G945" s="3" t="str">
        <f t="array" ref="G945">_xlfn.XLOOKUP(I945,Base_Datos!D:D,Base_Datos!B:B,"")</f>
        <v>DFSK</v>
      </c>
      <c r="H945" s="3" t="str">
        <f t="array" ref="H945">IF(I945="","",IFERROR(_xlfn.XLOOKUP(I945,Base_Datos!$D$2:$D3876,Base_Datos!$C$2:$C3876),""))</f>
        <v>Serie D</v>
      </c>
      <c r="I945" s="3" t="s">
        <v>973</v>
      </c>
      <c r="J945" s="3" t="str">
        <f>IF(I945="","",IFERROR(VLOOKUP(I945,Base_Datos!$D$2:$E$72,2,0),""))</f>
        <v>(1.5L)</v>
      </c>
      <c r="K945" s="3" t="s">
        <v>1782</v>
      </c>
      <c r="L945" s="3"/>
      <c r="M945" s="7">
        <v>5</v>
      </c>
      <c r="N945" s="7">
        <v>0</v>
      </c>
    </row>
    <row r="946" spans="1:14" ht="14.25" x14ac:dyDescent="0.2">
      <c r="A946" s="3">
        <v>76054</v>
      </c>
      <c r="B946" s="3" t="s">
        <v>2777</v>
      </c>
      <c r="C946" s="3" t="s">
        <v>18</v>
      </c>
      <c r="D946" s="6" t="s">
        <v>2778</v>
      </c>
      <c r="E946" s="6" t="s">
        <v>2778</v>
      </c>
      <c r="F946" s="3" t="str">
        <f>IFERROR( VLOOKUP(A946,#REF!,2,0),"")</f>
        <v/>
      </c>
      <c r="G946" s="3" t="str">
        <f t="array" ref="G946">_xlfn.XLOOKUP(I946,Base_Datos!D:D,Base_Datos!B:B,"")</f>
        <v>DFSK</v>
      </c>
      <c r="H946" s="3" t="str">
        <f t="array" ref="H946">IF(I946="","",IFERROR(_xlfn.XLOOKUP(I946,Base_Datos!$D$2:$D3876,Base_Datos!$C$2:$C3876),""))</f>
        <v>Serie D</v>
      </c>
      <c r="I946" s="3" t="s">
        <v>973</v>
      </c>
      <c r="J946" s="3" t="str">
        <f>IF(I946="","",IFERROR(VLOOKUP(I946,Base_Datos!$D$2:$E$72,2,0),""))</f>
        <v>(1.5L)</v>
      </c>
      <c r="K946" s="3" t="s">
        <v>1782</v>
      </c>
      <c r="L946" s="3"/>
      <c r="M946" s="7">
        <v>6</v>
      </c>
      <c r="N946" s="7">
        <v>0</v>
      </c>
    </row>
    <row r="947" spans="1:14" ht="14.25" x14ac:dyDescent="0.2">
      <c r="A947" s="3">
        <v>76055</v>
      </c>
      <c r="B947" s="3" t="s">
        <v>2779</v>
      </c>
      <c r="C947" s="3" t="s">
        <v>18</v>
      </c>
      <c r="D947" s="6" t="s">
        <v>2780</v>
      </c>
      <c r="E947" s="6" t="s">
        <v>2780</v>
      </c>
      <c r="F947" s="3" t="str">
        <f>IFERROR( VLOOKUP(A947,#REF!,2,0),"")</f>
        <v/>
      </c>
      <c r="G947" s="3" t="str">
        <f t="array" ref="G947">_xlfn.XLOOKUP(I947,Base_Datos!D:D,Base_Datos!B:B,"")</f>
        <v>DFSK</v>
      </c>
      <c r="H947" s="3" t="str">
        <f t="array" ref="H947">IF(I947="","",IFERROR(_xlfn.XLOOKUP(I947,Base_Datos!$D$2:$D3876,Base_Datos!$C$2:$C3876),""))</f>
        <v>Serie D</v>
      </c>
      <c r="I947" s="3" t="s">
        <v>973</v>
      </c>
      <c r="J947" s="3" t="str">
        <f>IF(I947="","",IFERROR(VLOOKUP(I947,Base_Datos!$D$2:$E$72,2,0),""))</f>
        <v>(1.5L)</v>
      </c>
      <c r="K947" s="3" t="s">
        <v>1782</v>
      </c>
      <c r="L947" s="3"/>
      <c r="M947" s="7">
        <v>6</v>
      </c>
      <c r="N947" s="7">
        <v>0</v>
      </c>
    </row>
    <row r="948" spans="1:14" ht="14.25" x14ac:dyDescent="0.2">
      <c r="A948" s="3">
        <v>77000</v>
      </c>
      <c r="B948" s="3" t="s">
        <v>2781</v>
      </c>
      <c r="C948" s="3" t="s">
        <v>18</v>
      </c>
      <c r="D948" s="6" t="s">
        <v>1782</v>
      </c>
      <c r="E948" s="6" t="s">
        <v>1782</v>
      </c>
      <c r="F948" s="3" t="str">
        <f>IFERROR( VLOOKUP(A948,#REF!,2,0),"")</f>
        <v/>
      </c>
      <c r="G948" s="3">
        <f t="array" ref="G948">_xlfn.XLOOKUP(I948,Base_Datos!D:D,Base_Datos!B:B,"")</f>
        <v>0</v>
      </c>
      <c r="H948" s="3" t="str">
        <f t="array" ref="H948">IF(I948="","",IFERROR(_xlfn.XLOOKUP(I948,Base_Datos!$D$2:$D3876,Base_Datos!$C$2:$C3876),""))</f>
        <v/>
      </c>
      <c r="I948" s="3"/>
      <c r="J948" s="3" t="str">
        <f>IF(I948="","",IFERROR(VLOOKUP(I948,Base_Datos!$D$2:$E$72,2,0),""))</f>
        <v/>
      </c>
      <c r="K948" s="3" t="s">
        <v>1782</v>
      </c>
      <c r="L948" s="3"/>
      <c r="M948" s="7">
        <v>4</v>
      </c>
      <c r="N948" s="7">
        <v>0</v>
      </c>
    </row>
    <row r="949" spans="1:14" ht="14.25" x14ac:dyDescent="0.2">
      <c r="A949" s="3">
        <v>77001</v>
      </c>
      <c r="B949" s="3" t="s">
        <v>2782</v>
      </c>
      <c r="C949" s="3" t="s">
        <v>18</v>
      </c>
      <c r="D949" s="6" t="s">
        <v>2459</v>
      </c>
      <c r="E949" s="6" t="s">
        <v>2459</v>
      </c>
      <c r="F949" s="3" t="str">
        <f>IFERROR( VLOOKUP(A949,#REF!,2,0),"")</f>
        <v/>
      </c>
      <c r="G949" s="3">
        <f t="array" ref="G949">_xlfn.XLOOKUP(I949,Base_Datos!D:D,Base_Datos!B:B,"")</f>
        <v>0</v>
      </c>
      <c r="H949" s="3" t="str">
        <f t="array" ref="H949">IF(I949="","",IFERROR(_xlfn.XLOOKUP(I949,Base_Datos!$D$2:$D3876,Base_Datos!$C$2:$C3876),""))</f>
        <v/>
      </c>
      <c r="I949" s="3"/>
      <c r="J949" s="3" t="str">
        <f>IF(I949="","",IFERROR(VLOOKUP(I949,Base_Datos!$D$2:$E$72,2,0),""))</f>
        <v/>
      </c>
      <c r="K949" s="3" t="s">
        <v>1782</v>
      </c>
      <c r="L949" s="3"/>
      <c r="M949" s="7">
        <v>4</v>
      </c>
      <c r="N949" s="7">
        <v>0</v>
      </c>
    </row>
    <row r="950" spans="1:14" ht="14.25" x14ac:dyDescent="0.2">
      <c r="A950" s="3">
        <v>77002</v>
      </c>
      <c r="B950" s="3" t="s">
        <v>2783</v>
      </c>
      <c r="C950" s="3" t="s">
        <v>18</v>
      </c>
      <c r="D950" s="6" t="s">
        <v>2784</v>
      </c>
      <c r="E950" s="6" t="s">
        <v>2784</v>
      </c>
      <c r="F950" s="3" t="str">
        <f>IFERROR( VLOOKUP(A950,#REF!,2,0),"")</f>
        <v/>
      </c>
      <c r="G950" s="3" t="str">
        <f t="array" ref="G950">_xlfn.XLOOKUP(I950,Base_Datos!D:D,Base_Datos!B:B,"")</f>
        <v>DFSK</v>
      </c>
      <c r="H950" s="3" t="str">
        <f t="array" ref="H950">IF(I950="","",IFERROR(_xlfn.XLOOKUP(I950,Base_Datos!$D$2:$D3876,Base_Datos!$C$2:$C3876),""))</f>
        <v>Serie D</v>
      </c>
      <c r="I950" s="3" t="s">
        <v>2785</v>
      </c>
      <c r="J950" s="3" t="str">
        <f>IF(I950="","",IFERROR(VLOOKUP(I950,Base_Datos!$D$2:$E$72,2,0),""))</f>
        <v>(1.5L)</v>
      </c>
      <c r="K950" s="3" t="s">
        <v>1782</v>
      </c>
      <c r="L950" s="3"/>
      <c r="M950" s="7">
        <v>3</v>
      </c>
      <c r="N950" s="7">
        <v>0</v>
      </c>
    </row>
    <row r="951" spans="1:14" ht="14.25" x14ac:dyDescent="0.2">
      <c r="A951" s="3">
        <v>77003</v>
      </c>
      <c r="B951" s="3" t="s">
        <v>2786</v>
      </c>
      <c r="C951" s="3" t="s">
        <v>18</v>
      </c>
      <c r="D951" s="6" t="s">
        <v>2787</v>
      </c>
      <c r="E951" s="6" t="s">
        <v>2787</v>
      </c>
      <c r="F951" s="3" t="str">
        <f>IFERROR( VLOOKUP(A951,#REF!,2,0),"")</f>
        <v/>
      </c>
      <c r="G951" s="3" t="str">
        <f t="array" ref="G951">_xlfn.XLOOKUP(I951,Base_Datos!D:D,Base_Datos!B:B,"")</f>
        <v>DFSK</v>
      </c>
      <c r="H951" s="3" t="str">
        <f t="array" ref="H951">IF(I951="","",IFERROR(_xlfn.XLOOKUP(I951,Base_Datos!$D$2:$D3876,Base_Datos!$C$2:$C3876),""))</f>
        <v>Serie D</v>
      </c>
      <c r="I951" s="3" t="s">
        <v>2785</v>
      </c>
      <c r="J951" s="3" t="str">
        <f>IF(I951="","",IFERROR(VLOOKUP(I951,Base_Datos!$D$2:$E$72,2,0),""))</f>
        <v>(1.5L)</v>
      </c>
      <c r="K951" s="3" t="s">
        <v>2788</v>
      </c>
      <c r="L951" s="3"/>
      <c r="M951" s="7">
        <v>4</v>
      </c>
      <c r="N951" s="7">
        <v>0</v>
      </c>
    </row>
    <row r="952" spans="1:14" ht="14.25" x14ac:dyDescent="0.2">
      <c r="A952" s="3">
        <v>77004</v>
      </c>
      <c r="B952" s="3" t="s">
        <v>2789</v>
      </c>
      <c r="C952" s="3" t="s">
        <v>18</v>
      </c>
      <c r="D952" s="6" t="s">
        <v>2790</v>
      </c>
      <c r="E952" s="6" t="s">
        <v>2790</v>
      </c>
      <c r="F952" s="3" t="str">
        <f>IFERROR( VLOOKUP(A952,#REF!,2,0),"")</f>
        <v/>
      </c>
      <c r="G952" s="3" t="str">
        <f t="array" ref="G952">_xlfn.XLOOKUP(I952,Base_Datos!D:D,Base_Datos!B:B,"")</f>
        <v>DFSK</v>
      </c>
      <c r="H952" s="3" t="str">
        <f t="array" ref="H952">IF(I952="","",IFERROR(_xlfn.XLOOKUP(I952,Base_Datos!$D$2:$D3876,Base_Datos!$C$2:$C3876),""))</f>
        <v>Serie D</v>
      </c>
      <c r="I952" s="3" t="s">
        <v>2785</v>
      </c>
      <c r="J952" s="3" t="str">
        <f>IF(I952="","",IFERROR(VLOOKUP(I952,Base_Datos!$D$2:$E$72,2,0),""))</f>
        <v>(1.5L)</v>
      </c>
      <c r="K952" s="3" t="s">
        <v>1801</v>
      </c>
      <c r="L952" s="3"/>
      <c r="M952" s="7">
        <v>4</v>
      </c>
      <c r="N952" s="7">
        <v>0</v>
      </c>
    </row>
    <row r="953" spans="1:14" ht="14.25" x14ac:dyDescent="0.2">
      <c r="A953" s="3">
        <v>77005</v>
      </c>
      <c r="B953" s="3" t="s">
        <v>2411</v>
      </c>
      <c r="C953" s="3" t="s">
        <v>18</v>
      </c>
      <c r="D953" s="6" t="s">
        <v>2791</v>
      </c>
      <c r="E953" s="6" t="s">
        <v>2791</v>
      </c>
      <c r="F953" s="3" t="str">
        <f>IFERROR( VLOOKUP(A953,#REF!,2,0),"")</f>
        <v/>
      </c>
      <c r="G953" s="3" t="str">
        <f t="array" ref="G953">_xlfn.XLOOKUP(I953,Base_Datos!D:D,Base_Datos!B:B,"")</f>
        <v>DFSK</v>
      </c>
      <c r="H953" s="3" t="str">
        <f t="array" ref="H953">IF(I953="","",IFERROR(_xlfn.XLOOKUP(I953,Base_Datos!$D$2:$D3876,Base_Datos!$C$2:$C3876),""))</f>
        <v>Serie D</v>
      </c>
      <c r="I953" s="3" t="s">
        <v>2785</v>
      </c>
      <c r="J953" s="3" t="str">
        <f>IF(I953="","",IFERROR(VLOOKUP(I953,Base_Datos!$D$2:$E$72,2,0),""))</f>
        <v>(1.5L)</v>
      </c>
      <c r="K953" s="3" t="s">
        <v>1801</v>
      </c>
      <c r="L953" s="3"/>
      <c r="M953" s="7">
        <v>4</v>
      </c>
      <c r="N953" s="7">
        <v>0</v>
      </c>
    </row>
    <row r="954" spans="1:14" ht="14.25" x14ac:dyDescent="0.2">
      <c r="A954" s="3">
        <v>77006</v>
      </c>
      <c r="B954" s="3" t="s">
        <v>2792</v>
      </c>
      <c r="C954" s="3" t="s">
        <v>18</v>
      </c>
      <c r="D954" s="6" t="s">
        <v>2793</v>
      </c>
      <c r="E954" s="6" t="s">
        <v>2793</v>
      </c>
      <c r="F954" s="3" t="str">
        <f>IFERROR( VLOOKUP(A954,#REF!,2,0),"")</f>
        <v/>
      </c>
      <c r="G954" s="3" t="str">
        <f t="array" ref="G954">_xlfn.XLOOKUP(I954,Base_Datos!D:D,Base_Datos!B:B,"")</f>
        <v>DFSK</v>
      </c>
      <c r="H954" s="3" t="str">
        <f t="array" ref="H954">IF(I954="","",IFERROR(_xlfn.XLOOKUP(I954,Base_Datos!$D$2:$D3876,Base_Datos!$C$2:$C3876),""))</f>
        <v>Serie D</v>
      </c>
      <c r="I954" s="3" t="s">
        <v>2785</v>
      </c>
      <c r="J954" s="3" t="str">
        <f>IF(I954="","",IFERROR(VLOOKUP(I954,Base_Datos!$D$2:$E$72,2,0),""))</f>
        <v>(1.5L)</v>
      </c>
      <c r="K954" s="3" t="s">
        <v>1782</v>
      </c>
      <c r="L954" s="3"/>
      <c r="M954" s="7">
        <v>4</v>
      </c>
      <c r="N954" s="7">
        <v>0</v>
      </c>
    </row>
    <row r="955" spans="1:14" ht="14.25" x14ac:dyDescent="0.2">
      <c r="A955" s="3">
        <v>77007</v>
      </c>
      <c r="B955" s="3" t="s">
        <v>2794</v>
      </c>
      <c r="C955" s="3" t="s">
        <v>18</v>
      </c>
      <c r="D955" s="6" t="s">
        <v>2795</v>
      </c>
      <c r="E955" s="6" t="s">
        <v>2795</v>
      </c>
      <c r="F955" s="3" t="str">
        <f>IFERROR( VLOOKUP(A955,#REF!,2,0),"")</f>
        <v/>
      </c>
      <c r="G955" s="3" t="str">
        <f t="array" ref="G955">_xlfn.XLOOKUP(I955,Base_Datos!D:D,Base_Datos!B:B,"")</f>
        <v>DFSK</v>
      </c>
      <c r="H955" s="3" t="str">
        <f t="array" ref="H955">IF(I955="","",IFERROR(_xlfn.XLOOKUP(I955,Base_Datos!$D$2:$D3876,Base_Datos!$C$2:$C3876),""))</f>
        <v>Serie D</v>
      </c>
      <c r="I955" s="3" t="s">
        <v>2785</v>
      </c>
      <c r="J955" s="3" t="str">
        <f>IF(I955="","",IFERROR(VLOOKUP(I955,Base_Datos!$D$2:$E$72,2,0),""))</f>
        <v>(1.5L)</v>
      </c>
      <c r="K955" s="3" t="s">
        <v>1782</v>
      </c>
      <c r="L955" s="3"/>
      <c r="M955" s="7">
        <v>5</v>
      </c>
      <c r="N955" s="7">
        <v>0</v>
      </c>
    </row>
    <row r="956" spans="1:14" ht="14.25" x14ac:dyDescent="0.2">
      <c r="A956" s="3">
        <v>77008</v>
      </c>
      <c r="B956" s="3" t="s">
        <v>2796</v>
      </c>
      <c r="C956" s="3" t="s">
        <v>18</v>
      </c>
      <c r="D956" s="6" t="s">
        <v>2797</v>
      </c>
      <c r="E956" s="6" t="s">
        <v>2797</v>
      </c>
      <c r="F956" s="3" t="str">
        <f>IFERROR( VLOOKUP(A956,#REF!,2,0),"")</f>
        <v/>
      </c>
      <c r="G956" s="3" t="str">
        <f t="array" ref="G956">_xlfn.XLOOKUP(I956,Base_Datos!D:D,Base_Datos!B:B,"")</f>
        <v>DFSK</v>
      </c>
      <c r="H956" s="3" t="str">
        <f t="array" ref="H956">IF(I956="","",IFERROR(_xlfn.XLOOKUP(I956,Base_Datos!$D$2:$D3876,Base_Datos!$C$2:$C3876),""))</f>
        <v>Serie D</v>
      </c>
      <c r="I956" s="3" t="s">
        <v>2785</v>
      </c>
      <c r="J956" s="3" t="str">
        <f>IF(I956="","",IFERROR(VLOOKUP(I956,Base_Datos!$D$2:$E$72,2,0),""))</f>
        <v>(1.5L)</v>
      </c>
      <c r="K956" s="3" t="s">
        <v>1782</v>
      </c>
      <c r="L956" s="3"/>
      <c r="M956" s="7">
        <v>5</v>
      </c>
      <c r="N956" s="7">
        <v>0</v>
      </c>
    </row>
    <row r="957" spans="1:14" ht="14.25" x14ac:dyDescent="0.2">
      <c r="A957" s="3">
        <v>77009</v>
      </c>
      <c r="B957" s="3" t="s">
        <v>2798</v>
      </c>
      <c r="C957" s="3" t="s">
        <v>18</v>
      </c>
      <c r="D957" s="6" t="s">
        <v>2799</v>
      </c>
      <c r="E957" s="6" t="s">
        <v>2799</v>
      </c>
      <c r="F957" s="3" t="str">
        <f>IFERROR( VLOOKUP(A957,#REF!,2,0),"")</f>
        <v/>
      </c>
      <c r="G957" s="3" t="str">
        <f t="array" ref="G957">_xlfn.XLOOKUP(I957,Base_Datos!D:D,Base_Datos!B:B,"")</f>
        <v>DFSK</v>
      </c>
      <c r="H957" s="3" t="str">
        <f t="array" ref="H957">IF(I957="","",IFERROR(_xlfn.XLOOKUP(I957,Base_Datos!$D$2:$D3876,Base_Datos!$C$2:$C3876),""))</f>
        <v>Serie D</v>
      </c>
      <c r="I957" s="3" t="s">
        <v>2785</v>
      </c>
      <c r="J957" s="3" t="str">
        <f>IF(I957="","",IFERROR(VLOOKUP(I957,Base_Datos!$D$2:$E$72,2,0),""))</f>
        <v>(1.5L)</v>
      </c>
      <c r="K957" s="3" t="s">
        <v>1782</v>
      </c>
      <c r="L957" s="3"/>
      <c r="M957" s="7">
        <v>5</v>
      </c>
      <c r="N957" s="7">
        <v>0</v>
      </c>
    </row>
    <row r="958" spans="1:14" ht="14.25" x14ac:dyDescent="0.2">
      <c r="A958" s="3">
        <v>77010</v>
      </c>
      <c r="B958" s="3" t="s">
        <v>2800</v>
      </c>
      <c r="C958" s="3" t="s">
        <v>18</v>
      </c>
      <c r="D958" s="6" t="s">
        <v>2801</v>
      </c>
      <c r="E958" s="6" t="s">
        <v>2801</v>
      </c>
      <c r="F958" s="3" t="str">
        <f>IFERROR( VLOOKUP(A958,#REF!,2,0),"")</f>
        <v/>
      </c>
      <c r="G958" s="3" t="str">
        <f t="array" ref="G958">_xlfn.XLOOKUP(I958,Base_Datos!D:D,Base_Datos!B:B,"")</f>
        <v>DFSK</v>
      </c>
      <c r="H958" s="3" t="str">
        <f t="array" ref="H958">IF(I958="","",IFERROR(_xlfn.XLOOKUP(I958,Base_Datos!$D$2:$D3876,Base_Datos!$C$2:$C3876),""))</f>
        <v>Serie D</v>
      </c>
      <c r="I958" s="3" t="s">
        <v>2785</v>
      </c>
      <c r="J958" s="3" t="str">
        <f>IF(I958="","",IFERROR(VLOOKUP(I958,Base_Datos!$D$2:$E$72,2,0),""))</f>
        <v>(1.5L)</v>
      </c>
      <c r="K958" s="3" t="s">
        <v>1782</v>
      </c>
      <c r="L958" s="3"/>
      <c r="M958" s="7">
        <v>4</v>
      </c>
      <c r="N958" s="7">
        <v>0</v>
      </c>
    </row>
    <row r="959" spans="1:14" ht="14.25" x14ac:dyDescent="0.2">
      <c r="A959" s="3">
        <v>77011</v>
      </c>
      <c r="B959" s="3" t="s">
        <v>2802</v>
      </c>
      <c r="C959" s="3" t="s">
        <v>18</v>
      </c>
      <c r="D959" s="6" t="s">
        <v>2803</v>
      </c>
      <c r="E959" s="6" t="s">
        <v>2803</v>
      </c>
      <c r="F959" s="3" t="str">
        <f>IFERROR( VLOOKUP(A959,#REF!,2,0),"")</f>
        <v/>
      </c>
      <c r="G959" s="3" t="str">
        <f t="array" ref="G959">_xlfn.XLOOKUP(I959,Base_Datos!D:D,Base_Datos!B:B,"")</f>
        <v>DFSK</v>
      </c>
      <c r="H959" s="3" t="str">
        <f t="array" ref="H959">IF(I959="","",IFERROR(_xlfn.XLOOKUP(I959,Base_Datos!$D$2:$D3876,Base_Datos!$C$2:$C3876),""))</f>
        <v>Serie D</v>
      </c>
      <c r="I959" s="3" t="s">
        <v>2785</v>
      </c>
      <c r="J959" s="3" t="str">
        <f>IF(I959="","",IFERROR(VLOOKUP(I959,Base_Datos!$D$2:$E$72,2,0),""))</f>
        <v>(1.5L)</v>
      </c>
      <c r="K959" s="3" t="s">
        <v>1782</v>
      </c>
      <c r="L959" s="3"/>
      <c r="M959" s="7">
        <v>4</v>
      </c>
      <c r="N959" s="7">
        <v>0</v>
      </c>
    </row>
    <row r="960" spans="1:14" ht="14.25" x14ac:dyDescent="0.2">
      <c r="A960" s="3">
        <v>77012</v>
      </c>
      <c r="B960" s="3" t="s">
        <v>2562</v>
      </c>
      <c r="C960" s="3" t="s">
        <v>18</v>
      </c>
      <c r="D960" s="6" t="s">
        <v>2804</v>
      </c>
      <c r="E960" s="6" t="s">
        <v>2804</v>
      </c>
      <c r="F960" s="3" t="str">
        <f>IFERROR( VLOOKUP(A960,#REF!,2,0),"")</f>
        <v/>
      </c>
      <c r="G960" s="3" t="str">
        <f t="array" ref="G960">_xlfn.XLOOKUP(I960,Base_Datos!D:D,Base_Datos!B:B,"")</f>
        <v>DFSK</v>
      </c>
      <c r="H960" s="3" t="str">
        <f t="array" ref="H960">IF(I960="","",IFERROR(_xlfn.XLOOKUP(I960,Base_Datos!$D$2:$D3876,Base_Datos!$C$2:$C3876),""))</f>
        <v>Serie D</v>
      </c>
      <c r="I960" s="3" t="s">
        <v>2785</v>
      </c>
      <c r="J960" s="3" t="str">
        <f>IF(I960="","",IFERROR(VLOOKUP(I960,Base_Datos!$D$2:$E$72,2,0),""))</f>
        <v>(1.5L)</v>
      </c>
      <c r="K960" s="3" t="s">
        <v>1782</v>
      </c>
      <c r="L960" s="3"/>
      <c r="M960" s="7">
        <v>4</v>
      </c>
      <c r="N960" s="7">
        <v>0</v>
      </c>
    </row>
    <row r="961" spans="1:14" ht="14.25" x14ac:dyDescent="0.2">
      <c r="A961" s="3">
        <v>77013</v>
      </c>
      <c r="B961" s="3" t="s">
        <v>2805</v>
      </c>
      <c r="C961" s="3" t="s">
        <v>18</v>
      </c>
      <c r="D961" s="6" t="s">
        <v>2806</v>
      </c>
      <c r="E961" s="6" t="s">
        <v>2806</v>
      </c>
      <c r="F961" s="3" t="str">
        <f>IFERROR( VLOOKUP(A961,#REF!,2,0),"")</f>
        <v/>
      </c>
      <c r="G961" s="3" t="str">
        <f t="array" ref="G961">_xlfn.XLOOKUP(I961,Base_Datos!D:D,Base_Datos!B:B,"")</f>
        <v>DFSK</v>
      </c>
      <c r="H961" s="3" t="str">
        <f t="array" ref="H961">IF(I961="","",IFERROR(_xlfn.XLOOKUP(I961,Base_Datos!$D$2:$D3876,Base_Datos!$C$2:$C3876),""))</f>
        <v>Serie D</v>
      </c>
      <c r="I961" s="3" t="s">
        <v>2785</v>
      </c>
      <c r="J961" s="3" t="str">
        <f>IF(I961="","",IFERROR(VLOOKUP(I961,Base_Datos!$D$2:$E$72,2,0),""))</f>
        <v>(1.5L)</v>
      </c>
      <c r="K961" s="3" t="s">
        <v>1782</v>
      </c>
      <c r="L961" s="3"/>
      <c r="M961" s="7">
        <v>4</v>
      </c>
      <c r="N961" s="7">
        <v>0</v>
      </c>
    </row>
    <row r="962" spans="1:14" ht="14.25" x14ac:dyDescent="0.2">
      <c r="A962" s="3">
        <v>77014</v>
      </c>
      <c r="B962" s="3" t="s">
        <v>2807</v>
      </c>
      <c r="C962" s="3" t="s">
        <v>18</v>
      </c>
      <c r="D962" s="6" t="s">
        <v>2808</v>
      </c>
      <c r="E962" s="6" t="s">
        <v>2808</v>
      </c>
      <c r="F962" s="3" t="str">
        <f>IFERROR( VLOOKUP(A962,#REF!,2,0),"")</f>
        <v/>
      </c>
      <c r="G962" s="3" t="str">
        <f t="array" ref="G962">_xlfn.XLOOKUP(I962,Base_Datos!D:D,Base_Datos!B:B,"")</f>
        <v>DFSK</v>
      </c>
      <c r="H962" s="3" t="str">
        <f t="array" ref="H962">IF(I962="","",IFERROR(_xlfn.XLOOKUP(I962,Base_Datos!$D$2:$D3876,Base_Datos!$C$2:$C3876),""))</f>
        <v>Serie Glory</v>
      </c>
      <c r="I962" s="3" t="s">
        <v>1765</v>
      </c>
      <c r="J962" s="3" t="str">
        <f>IF(I962="","",IFERROR(VLOOKUP(I962,Base_Datos!$D$2:$E$72,2,0),""))</f>
        <v>(1.5L)</v>
      </c>
      <c r="K962" s="3" t="s">
        <v>1782</v>
      </c>
      <c r="L962" s="3"/>
      <c r="M962" s="7">
        <v>6</v>
      </c>
      <c r="N962" s="7">
        <v>0</v>
      </c>
    </row>
    <row r="963" spans="1:14" ht="14.25" x14ac:dyDescent="0.2">
      <c r="A963" s="3">
        <v>77015</v>
      </c>
      <c r="B963" s="3" t="s">
        <v>2809</v>
      </c>
      <c r="C963" s="3" t="s">
        <v>18</v>
      </c>
      <c r="D963" s="6" t="s">
        <v>2459</v>
      </c>
      <c r="E963" s="6" t="s">
        <v>2459</v>
      </c>
      <c r="F963" s="3" t="str">
        <f>IFERROR( VLOOKUP(A963,#REF!,2,0),"")</f>
        <v/>
      </c>
      <c r="G963" s="3">
        <f t="array" ref="G963">_xlfn.XLOOKUP(I963,Base_Datos!D:D,Base_Datos!B:B,"")</f>
        <v>0</v>
      </c>
      <c r="H963" s="3" t="str">
        <f t="array" ref="H963">IF(I963="","",IFERROR(_xlfn.XLOOKUP(I963,Base_Datos!$D$2:$D3876,Base_Datos!$C$2:$C3876),""))</f>
        <v/>
      </c>
      <c r="I963" s="3"/>
      <c r="J963" s="3" t="str">
        <f>IF(I963="","",IFERROR(VLOOKUP(I963,Base_Datos!$D$2:$E$72,2,0),""))</f>
        <v/>
      </c>
      <c r="K963" s="3" t="s">
        <v>1782</v>
      </c>
      <c r="L963" s="3"/>
      <c r="M963" s="7">
        <v>4</v>
      </c>
      <c r="N963" s="7">
        <v>0</v>
      </c>
    </row>
    <row r="964" spans="1:14" ht="14.25" x14ac:dyDescent="0.2">
      <c r="A964" s="3">
        <v>77016</v>
      </c>
      <c r="B964" s="3" t="s">
        <v>2810</v>
      </c>
      <c r="C964" s="3" t="s">
        <v>18</v>
      </c>
      <c r="D964" s="6" t="s">
        <v>2459</v>
      </c>
      <c r="E964" s="6" t="s">
        <v>2459</v>
      </c>
      <c r="F964" s="3" t="str">
        <f>IFERROR( VLOOKUP(A964,#REF!,2,0),"")</f>
        <v/>
      </c>
      <c r="G964" s="3">
        <f t="array" ref="G964">_xlfn.XLOOKUP(I964,Base_Datos!D:D,Base_Datos!B:B,"")</f>
        <v>0</v>
      </c>
      <c r="H964" s="3" t="str">
        <f t="array" ref="H964">IF(I964="","",IFERROR(_xlfn.XLOOKUP(I964,Base_Datos!$D$2:$D3876,Base_Datos!$C$2:$C3876),""))</f>
        <v/>
      </c>
      <c r="I964" s="3"/>
      <c r="J964" s="3" t="str">
        <f>IF(I964="","",IFERROR(VLOOKUP(I964,Base_Datos!$D$2:$E$72,2,0),""))</f>
        <v/>
      </c>
      <c r="K964" s="3" t="s">
        <v>1782</v>
      </c>
      <c r="L964" s="3"/>
      <c r="M964" s="7">
        <v>4</v>
      </c>
      <c r="N964" s="7">
        <v>0</v>
      </c>
    </row>
    <row r="965" spans="1:14" ht="14.25" x14ac:dyDescent="0.2">
      <c r="A965" s="3">
        <v>77017</v>
      </c>
      <c r="B965" s="3" t="s">
        <v>2811</v>
      </c>
      <c r="C965" s="3" t="s">
        <v>18</v>
      </c>
      <c r="D965" s="6" t="s">
        <v>2812</v>
      </c>
      <c r="E965" s="6" t="s">
        <v>2812</v>
      </c>
      <c r="F965" s="3" t="str">
        <f>IFERROR( VLOOKUP(A965,#REF!,2,0),"")</f>
        <v/>
      </c>
      <c r="G965" s="3" t="str">
        <f t="array" ref="G965">_xlfn.XLOOKUP(I965,Base_Datos!D:D,Base_Datos!B:B,"")</f>
        <v>DFSK</v>
      </c>
      <c r="H965" s="3" t="str">
        <f t="array" ref="H965">IF(I965="","",IFERROR(_xlfn.XLOOKUP(I965,Base_Datos!$D$2:$D3876,Base_Datos!$C$2:$C3876),""))</f>
        <v>Serie D</v>
      </c>
      <c r="I965" s="3" t="s">
        <v>2785</v>
      </c>
      <c r="J965" s="3" t="str">
        <f>IF(I965="","",IFERROR(VLOOKUP(I965,Base_Datos!$D$2:$E$72,2,0),""))</f>
        <v>(1.5L)</v>
      </c>
      <c r="K965" s="3" t="s">
        <v>1782</v>
      </c>
      <c r="L965" s="3"/>
      <c r="M965" s="7">
        <v>4</v>
      </c>
      <c r="N965" s="7">
        <v>0</v>
      </c>
    </row>
    <row r="966" spans="1:14" ht="14.25" x14ac:dyDescent="0.2">
      <c r="A966" s="3">
        <v>77018</v>
      </c>
      <c r="B966" s="3" t="s">
        <v>2813</v>
      </c>
      <c r="C966" s="3" t="s">
        <v>18</v>
      </c>
      <c r="D966" s="6" t="s">
        <v>2814</v>
      </c>
      <c r="E966" s="6" t="s">
        <v>2814</v>
      </c>
      <c r="F966" s="3" t="str">
        <f>IFERROR( VLOOKUP(A966,#REF!,2,0),"")</f>
        <v/>
      </c>
      <c r="G966" s="3" t="str">
        <f t="array" ref="G966">_xlfn.XLOOKUP(I966,Base_Datos!D:D,Base_Datos!B:B,"")</f>
        <v>DFSK</v>
      </c>
      <c r="H966" s="3" t="str">
        <f t="array" ref="H966">IF(I966="","",IFERROR(_xlfn.XLOOKUP(I966,Base_Datos!$D$2:$D3876,Base_Datos!$C$2:$C3876),""))</f>
        <v>Serie D</v>
      </c>
      <c r="I966" s="3" t="s">
        <v>2785</v>
      </c>
      <c r="J966" s="3" t="str">
        <f>IF(I966="","",IFERROR(VLOOKUP(I966,Base_Datos!$D$2:$E$72,2,0),""))</f>
        <v>(1.5L)</v>
      </c>
      <c r="K966" s="3" t="s">
        <v>1782</v>
      </c>
      <c r="L966" s="3"/>
      <c r="M966" s="7">
        <v>4</v>
      </c>
      <c r="N966" s="7">
        <v>0</v>
      </c>
    </row>
    <row r="967" spans="1:14" ht="14.25" x14ac:dyDescent="0.2">
      <c r="A967" s="3">
        <v>77019</v>
      </c>
      <c r="B967" s="3" t="s">
        <v>2815</v>
      </c>
      <c r="C967" s="3" t="s">
        <v>18</v>
      </c>
      <c r="D967" s="6" t="s">
        <v>2816</v>
      </c>
      <c r="E967" s="6" t="s">
        <v>2816</v>
      </c>
      <c r="F967" s="3" t="str">
        <f>IFERROR( VLOOKUP(A967,#REF!,2,0),"")</f>
        <v/>
      </c>
      <c r="G967" s="3" t="str">
        <f t="array" ref="G967">_xlfn.XLOOKUP(I967,Base_Datos!D:D,Base_Datos!B:B,"")</f>
        <v>DFSK</v>
      </c>
      <c r="H967" s="3" t="str">
        <f t="array" ref="H967">IF(I967="","",IFERROR(_xlfn.XLOOKUP(I967,Base_Datos!$D$2:$D3876,Base_Datos!$C$2:$C3876),""))</f>
        <v>Serie D</v>
      </c>
      <c r="I967" s="3" t="s">
        <v>2785</v>
      </c>
      <c r="J967" s="3" t="str">
        <f>IF(I967="","",IFERROR(VLOOKUP(I967,Base_Datos!$D$2:$E$72,2,0),""))</f>
        <v>(1.5L)</v>
      </c>
      <c r="K967" s="3" t="s">
        <v>1782</v>
      </c>
      <c r="L967" s="3"/>
      <c r="M967" s="7">
        <v>4</v>
      </c>
      <c r="N967" s="7">
        <v>0</v>
      </c>
    </row>
    <row r="968" spans="1:14" ht="14.25" x14ac:dyDescent="0.2">
      <c r="A968" s="3">
        <v>77020</v>
      </c>
      <c r="B968" s="3" t="s">
        <v>1884</v>
      </c>
      <c r="C968" s="3" t="s">
        <v>18</v>
      </c>
      <c r="D968" s="6" t="s">
        <v>2817</v>
      </c>
      <c r="E968" s="6" t="s">
        <v>2817</v>
      </c>
      <c r="F968" s="3" t="str">
        <f>IFERROR( VLOOKUP(A968,#REF!,2,0),"")</f>
        <v/>
      </c>
      <c r="G968" s="3" t="str">
        <f t="array" ref="G968">_xlfn.XLOOKUP(I968,Base_Datos!D:D,Base_Datos!B:B,"")</f>
        <v>DFSK</v>
      </c>
      <c r="H968" s="3" t="str">
        <f t="array" ref="H968">IF(I968="","",IFERROR(_xlfn.XLOOKUP(I968,Base_Datos!$D$2:$D3876,Base_Datos!$C$2:$C3876),""))</f>
        <v>Serie D</v>
      </c>
      <c r="I968" s="3" t="s">
        <v>2785</v>
      </c>
      <c r="J968" s="3" t="str">
        <f>IF(I968="","",IFERROR(VLOOKUP(I968,Base_Datos!$D$2:$E$72,2,0),""))</f>
        <v>(1.5L)</v>
      </c>
      <c r="K968" s="3" t="s">
        <v>1782</v>
      </c>
      <c r="L968" s="3"/>
      <c r="M968" s="7">
        <v>3</v>
      </c>
      <c r="N968" s="7">
        <v>0</v>
      </c>
    </row>
    <row r="969" spans="1:14" ht="14.25" x14ac:dyDescent="0.2">
      <c r="A969" s="3">
        <v>77021</v>
      </c>
      <c r="B969" s="3" t="s">
        <v>2818</v>
      </c>
      <c r="C969" s="3" t="s">
        <v>18</v>
      </c>
      <c r="D969" s="6" t="s">
        <v>2819</v>
      </c>
      <c r="E969" s="6" t="s">
        <v>2819</v>
      </c>
      <c r="F969" s="3" t="str">
        <f>IFERROR( VLOOKUP(A969,#REF!,2,0),"")</f>
        <v/>
      </c>
      <c r="G969" s="3" t="str">
        <f t="array" ref="G969">_xlfn.XLOOKUP(I969,Base_Datos!D:D,Base_Datos!B:B,"")</f>
        <v>DFSK</v>
      </c>
      <c r="H969" s="3" t="str">
        <f t="array" ref="H969">IF(I969="","",IFERROR(_xlfn.XLOOKUP(I969,Base_Datos!$D$2:$D3876,Base_Datos!$C$2:$C3876),""))</f>
        <v>Serie D</v>
      </c>
      <c r="I969" s="3" t="s">
        <v>2785</v>
      </c>
      <c r="J969" s="3" t="str">
        <f>IF(I969="","",IFERROR(VLOOKUP(I969,Base_Datos!$D$2:$E$72,2,0),""))</f>
        <v>(1.5L)</v>
      </c>
      <c r="K969" s="3" t="s">
        <v>2788</v>
      </c>
      <c r="L969" s="3"/>
      <c r="M969" s="7">
        <v>2</v>
      </c>
      <c r="N969" s="7">
        <v>0</v>
      </c>
    </row>
    <row r="970" spans="1:14" ht="14.25" x14ac:dyDescent="0.2">
      <c r="A970" s="3">
        <v>77022</v>
      </c>
      <c r="B970" s="3" t="s">
        <v>2820</v>
      </c>
      <c r="C970" s="3" t="s">
        <v>18</v>
      </c>
      <c r="D970" s="6" t="s">
        <v>2821</v>
      </c>
      <c r="E970" s="6" t="s">
        <v>2821</v>
      </c>
      <c r="F970" s="3" t="str">
        <f>IFERROR( VLOOKUP(A970,#REF!,2,0),"")</f>
        <v/>
      </c>
      <c r="G970" s="3" t="str">
        <f t="array" ref="G970">_xlfn.XLOOKUP(I970,Base_Datos!D:D,Base_Datos!B:B,"")</f>
        <v>DFSK</v>
      </c>
      <c r="H970" s="3" t="str">
        <f t="array" ref="H970">IF(I970="","",IFERROR(_xlfn.XLOOKUP(I970,Base_Datos!$D$2:$D3876,Base_Datos!$C$2:$C3876),""))</f>
        <v>Serie D</v>
      </c>
      <c r="I970" s="3" t="s">
        <v>2785</v>
      </c>
      <c r="J970" s="3" t="str">
        <f>IF(I970="","",IFERROR(VLOOKUP(I970,Base_Datos!$D$2:$E$72,2,0),""))</f>
        <v>(1.5L)</v>
      </c>
      <c r="K970" s="3" t="s">
        <v>1782</v>
      </c>
      <c r="L970" s="3"/>
      <c r="M970" s="7">
        <v>4</v>
      </c>
      <c r="N970" s="7">
        <v>0</v>
      </c>
    </row>
    <row r="971" spans="1:14" ht="14.25" x14ac:dyDescent="0.2">
      <c r="A971" s="3">
        <v>77023</v>
      </c>
      <c r="B971" s="3" t="s">
        <v>2822</v>
      </c>
      <c r="C971" s="3" t="s">
        <v>18</v>
      </c>
      <c r="D971" s="6" t="s">
        <v>2823</v>
      </c>
      <c r="E971" s="6" t="s">
        <v>2823</v>
      </c>
      <c r="F971" s="3" t="str">
        <f>IFERROR( VLOOKUP(A971,#REF!,2,0),"")</f>
        <v/>
      </c>
      <c r="G971" s="3" t="str">
        <f t="array" ref="G971">_xlfn.XLOOKUP(I971,Base_Datos!D:D,Base_Datos!B:B,"")</f>
        <v>DFSK</v>
      </c>
      <c r="H971" s="3" t="str">
        <f t="array" ref="H971">IF(I971="","",IFERROR(_xlfn.XLOOKUP(I971,Base_Datos!$D$2:$D3876,Base_Datos!$C$2:$C3876),""))</f>
        <v>Serie D</v>
      </c>
      <c r="I971" s="3" t="s">
        <v>2785</v>
      </c>
      <c r="J971" s="3" t="str">
        <f>IF(I971="","",IFERROR(VLOOKUP(I971,Base_Datos!$D$2:$E$72,2,0),""))</f>
        <v>(1.5L)</v>
      </c>
      <c r="K971" s="3" t="s">
        <v>1782</v>
      </c>
      <c r="L971" s="3"/>
      <c r="M971" s="7">
        <v>4</v>
      </c>
      <c r="N971" s="7">
        <v>0</v>
      </c>
    </row>
    <row r="972" spans="1:14" ht="14.25" x14ac:dyDescent="0.2">
      <c r="A972" s="3">
        <v>77024</v>
      </c>
      <c r="B972" s="3" t="s">
        <v>2564</v>
      </c>
      <c r="C972" s="3" t="s">
        <v>18</v>
      </c>
      <c r="D972" s="6" t="s">
        <v>2824</v>
      </c>
      <c r="E972" s="6" t="s">
        <v>2824</v>
      </c>
      <c r="F972" s="3" t="str">
        <f>IFERROR( VLOOKUP(A972,#REF!,2,0),"")</f>
        <v/>
      </c>
      <c r="G972" s="3" t="str">
        <f t="array" ref="G972">_xlfn.XLOOKUP(I972,Base_Datos!D:D,Base_Datos!B:B,"")</f>
        <v>DFSK</v>
      </c>
      <c r="H972" s="3" t="str">
        <f t="array" ref="H972">IF(I972="","",IFERROR(_xlfn.XLOOKUP(I972,Base_Datos!$D$2:$D3876,Base_Datos!$C$2:$C3876),""))</f>
        <v>Serie D</v>
      </c>
      <c r="I972" s="3" t="s">
        <v>2785</v>
      </c>
      <c r="J972" s="3" t="str">
        <f>IF(I972="","",IFERROR(VLOOKUP(I972,Base_Datos!$D$2:$E$72,2,0),""))</f>
        <v>(1.5L)</v>
      </c>
      <c r="K972" s="3" t="s">
        <v>1782</v>
      </c>
      <c r="L972" s="3"/>
      <c r="M972" s="7">
        <v>4</v>
      </c>
      <c r="N972" s="7">
        <v>0</v>
      </c>
    </row>
    <row r="973" spans="1:14" ht="14.25" x14ac:dyDescent="0.2">
      <c r="A973" s="3">
        <v>77025</v>
      </c>
      <c r="B973" s="3" t="s">
        <v>2825</v>
      </c>
      <c r="C973" s="3" t="s">
        <v>18</v>
      </c>
      <c r="D973" s="6" t="s">
        <v>2826</v>
      </c>
      <c r="E973" s="6" t="s">
        <v>2826</v>
      </c>
      <c r="F973" s="3" t="str">
        <f>IFERROR( VLOOKUP(A973,#REF!,2,0),"")</f>
        <v/>
      </c>
      <c r="G973" s="3" t="str">
        <f t="array" ref="G973">_xlfn.XLOOKUP(I973,Base_Datos!D:D,Base_Datos!B:B,"")</f>
        <v>DFSK</v>
      </c>
      <c r="H973" s="3" t="str">
        <f t="array" ref="H973">IF(I973="","",IFERROR(_xlfn.XLOOKUP(I973,Base_Datos!$D$2:$D3876,Base_Datos!$C$2:$C3876),""))</f>
        <v>Serie Glory</v>
      </c>
      <c r="I973" s="3" t="s">
        <v>1767</v>
      </c>
      <c r="J973" s="3" t="str">
        <f>IF(I973="","",IFERROR(VLOOKUP(I973,Base_Datos!$D$2:$E$72,2,0),""))</f>
        <v>(1.5L)</v>
      </c>
      <c r="K973" s="3" t="s">
        <v>1782</v>
      </c>
      <c r="L973" s="3"/>
      <c r="M973" s="7">
        <v>0</v>
      </c>
      <c r="N973" s="7">
        <v>0</v>
      </c>
    </row>
    <row r="974" spans="1:14" ht="14.25" x14ac:dyDescent="0.2">
      <c r="A974" s="3">
        <v>77026</v>
      </c>
      <c r="B974" s="3" t="s">
        <v>2406</v>
      </c>
      <c r="C974" s="3" t="s">
        <v>18</v>
      </c>
      <c r="D974" s="6" t="s">
        <v>2827</v>
      </c>
      <c r="E974" s="6" t="s">
        <v>2827</v>
      </c>
      <c r="F974" s="3" t="str">
        <f>IFERROR( VLOOKUP(A974,#REF!,2,0),"")</f>
        <v/>
      </c>
      <c r="G974" s="3" t="str">
        <f t="array" ref="G974">_xlfn.XLOOKUP(I974,Base_Datos!D:D,Base_Datos!B:B,"")</f>
        <v>DFSK</v>
      </c>
      <c r="H974" s="3" t="str">
        <f t="array" ref="H974">IF(I974="","",IFERROR(_xlfn.XLOOKUP(I974,Base_Datos!$D$2:$D3876,Base_Datos!$C$2:$C3876),""))</f>
        <v>Serie D</v>
      </c>
      <c r="I974" s="3" t="s">
        <v>2785</v>
      </c>
      <c r="J974" s="3" t="str">
        <f>IF(I974="","",IFERROR(VLOOKUP(I974,Base_Datos!$D$2:$E$72,2,0),""))</f>
        <v>(1.5L)</v>
      </c>
      <c r="K974" s="3" t="s">
        <v>1782</v>
      </c>
      <c r="L974" s="3"/>
      <c r="M974" s="7">
        <v>3</v>
      </c>
      <c r="N974" s="7">
        <v>0</v>
      </c>
    </row>
    <row r="975" spans="1:14" ht="14.25" x14ac:dyDescent="0.2">
      <c r="A975" s="3">
        <v>77027</v>
      </c>
      <c r="B975" s="3" t="s">
        <v>2828</v>
      </c>
      <c r="C975" s="3" t="s">
        <v>18</v>
      </c>
      <c r="D975" s="6" t="s">
        <v>2829</v>
      </c>
      <c r="E975" s="6" t="s">
        <v>2829</v>
      </c>
      <c r="F975" s="3" t="str">
        <f>IFERROR( VLOOKUP(A975,#REF!,2,0),"")</f>
        <v/>
      </c>
      <c r="G975" s="3" t="str">
        <f t="array" ref="G975">_xlfn.XLOOKUP(I975,Base_Datos!D:D,Base_Datos!B:B,"")</f>
        <v>DFSK</v>
      </c>
      <c r="H975" s="3" t="str">
        <f t="array" ref="H975">IF(I975="","",IFERROR(_xlfn.XLOOKUP(I975,Base_Datos!$D$2:$D3876,Base_Datos!$C$2:$C3876),""))</f>
        <v>Serie D</v>
      </c>
      <c r="I975" s="3" t="s">
        <v>2785</v>
      </c>
      <c r="J975" s="3" t="str">
        <f>IF(I975="","",IFERROR(VLOOKUP(I975,Base_Datos!$D$2:$E$72,2,0),""))</f>
        <v>(1.5L)</v>
      </c>
      <c r="K975" s="3" t="s">
        <v>1782</v>
      </c>
      <c r="L975" s="3"/>
      <c r="M975" s="7">
        <v>4</v>
      </c>
      <c r="N975" s="7">
        <v>0</v>
      </c>
    </row>
    <row r="976" spans="1:14" ht="14.25" x14ac:dyDescent="0.2">
      <c r="A976" s="3">
        <v>77028</v>
      </c>
      <c r="B976" s="3" t="s">
        <v>2830</v>
      </c>
      <c r="C976" s="3" t="s">
        <v>18</v>
      </c>
      <c r="D976" s="6" t="s">
        <v>2831</v>
      </c>
      <c r="E976" s="6" t="s">
        <v>2831</v>
      </c>
      <c r="F976" s="3" t="str">
        <f>IFERROR( VLOOKUP(A976,#REF!,2,0),"")</f>
        <v/>
      </c>
      <c r="G976" s="3" t="str">
        <f t="array" ref="G976">_xlfn.XLOOKUP(I976,Base_Datos!D:D,Base_Datos!B:B,"")</f>
        <v>DFSK</v>
      </c>
      <c r="H976" s="3" t="str">
        <f t="array" ref="H976">IF(I976="","",IFERROR(_xlfn.XLOOKUP(I976,Base_Datos!$D$2:$D3876,Base_Datos!$C$2:$C3876),""))</f>
        <v>Serie D</v>
      </c>
      <c r="I976" s="3" t="s">
        <v>2785</v>
      </c>
      <c r="J976" s="3" t="str">
        <f>IF(I976="","",IFERROR(VLOOKUP(I976,Base_Datos!$D$2:$E$72,2,0),""))</f>
        <v>(1.5L)</v>
      </c>
      <c r="K976" s="3" t="s">
        <v>1782</v>
      </c>
      <c r="L976" s="3"/>
      <c r="M976" s="7">
        <v>4</v>
      </c>
      <c r="N976" s="7">
        <v>0</v>
      </c>
    </row>
    <row r="977" spans="1:14" ht="14.25" x14ac:dyDescent="0.2">
      <c r="A977" s="3">
        <v>77029</v>
      </c>
      <c r="B977" s="3" t="s">
        <v>2747</v>
      </c>
      <c r="C977" s="3" t="s">
        <v>18</v>
      </c>
      <c r="D977" s="6" t="s">
        <v>2832</v>
      </c>
      <c r="E977" s="6" t="s">
        <v>2832</v>
      </c>
      <c r="F977" s="3" t="str">
        <f>IFERROR( VLOOKUP(A977,#REF!,2,0),"")</f>
        <v/>
      </c>
      <c r="G977" s="3" t="str">
        <f t="array" ref="G977">_xlfn.XLOOKUP(I977,Base_Datos!D:D,Base_Datos!B:B,"")</f>
        <v>DFSK</v>
      </c>
      <c r="H977" s="3" t="str">
        <f t="array" ref="H977">IF(I977="","",IFERROR(_xlfn.XLOOKUP(I977,Base_Datos!$D$2:$D3876,Base_Datos!$C$2:$C3876),""))</f>
        <v>Serie D</v>
      </c>
      <c r="I977" s="3" t="s">
        <v>2785</v>
      </c>
      <c r="J977" s="3" t="str">
        <f>IF(I977="","",IFERROR(VLOOKUP(I977,Base_Datos!$D$2:$E$72,2,0),""))</f>
        <v>(1.5L)</v>
      </c>
      <c r="K977" s="3" t="s">
        <v>1782</v>
      </c>
      <c r="L977" s="3"/>
      <c r="M977" s="7">
        <v>4</v>
      </c>
      <c r="N977" s="7">
        <v>0</v>
      </c>
    </row>
    <row r="978" spans="1:14" ht="14.25" x14ac:dyDescent="0.2">
      <c r="A978" s="3">
        <v>77030</v>
      </c>
      <c r="B978" s="3" t="s">
        <v>2833</v>
      </c>
      <c r="C978" s="3" t="s">
        <v>18</v>
      </c>
      <c r="D978" s="6" t="s">
        <v>2834</v>
      </c>
      <c r="E978" s="6" t="s">
        <v>2834</v>
      </c>
      <c r="F978" s="3" t="str">
        <f>IFERROR( VLOOKUP(A978,#REF!,2,0),"")</f>
        <v/>
      </c>
      <c r="G978" s="3" t="str">
        <f t="array" ref="G978">_xlfn.XLOOKUP(I978,Base_Datos!D:D,Base_Datos!B:B,"")</f>
        <v>DFSK</v>
      </c>
      <c r="H978" s="3" t="str">
        <f t="array" ref="H978">IF(I978="","",IFERROR(_xlfn.XLOOKUP(I978,Base_Datos!$D$2:$D3876,Base_Datos!$C$2:$C3876),""))</f>
        <v>Serie D</v>
      </c>
      <c r="I978" s="3" t="s">
        <v>2785</v>
      </c>
      <c r="J978" s="3" t="str">
        <f>IF(I978="","",IFERROR(VLOOKUP(I978,Base_Datos!$D$2:$E$72,2,0),""))</f>
        <v>(1.5L)</v>
      </c>
      <c r="K978" s="3" t="s">
        <v>1782</v>
      </c>
      <c r="L978" s="3"/>
      <c r="M978" s="7">
        <v>4</v>
      </c>
      <c r="N978" s="7">
        <v>0</v>
      </c>
    </row>
    <row r="979" spans="1:14" ht="14.25" x14ac:dyDescent="0.2">
      <c r="A979" s="3">
        <v>77031</v>
      </c>
      <c r="B979" s="3" t="s">
        <v>2835</v>
      </c>
      <c r="C979" s="3" t="s">
        <v>18</v>
      </c>
      <c r="D979" s="6" t="s">
        <v>2836</v>
      </c>
      <c r="E979" s="6" t="s">
        <v>2836</v>
      </c>
      <c r="F979" s="3" t="str">
        <f>IFERROR( VLOOKUP(A979,#REF!,2,0),"")</f>
        <v/>
      </c>
      <c r="G979" s="3" t="str">
        <f t="array" ref="G979">_xlfn.XLOOKUP(I979,Base_Datos!D:D,Base_Datos!B:B,"")</f>
        <v>DFSK</v>
      </c>
      <c r="H979" s="3" t="str">
        <f t="array" ref="H979">IF(I979="","",IFERROR(_xlfn.XLOOKUP(I979,Base_Datos!$D$2:$D3876,Base_Datos!$C$2:$C3876),""))</f>
        <v>Serie D</v>
      </c>
      <c r="I979" s="3" t="s">
        <v>2785</v>
      </c>
      <c r="J979" s="3" t="str">
        <f>IF(I979="","",IFERROR(VLOOKUP(I979,Base_Datos!$D$2:$E$72,2,0),""))</f>
        <v>(1.5L)</v>
      </c>
      <c r="K979" s="3" t="s">
        <v>1782</v>
      </c>
      <c r="L979" s="3"/>
      <c r="M979" s="7">
        <v>4</v>
      </c>
      <c r="N979" s="7">
        <v>0</v>
      </c>
    </row>
    <row r="980" spans="1:14" ht="14.25" x14ac:dyDescent="0.2">
      <c r="A980" s="3">
        <v>77032</v>
      </c>
      <c r="B980" s="3" t="s">
        <v>2749</v>
      </c>
      <c r="C980" s="3" t="s">
        <v>18</v>
      </c>
      <c r="D980" s="6" t="s">
        <v>2837</v>
      </c>
      <c r="E980" s="6" t="s">
        <v>2837</v>
      </c>
      <c r="F980" s="3" t="str">
        <f>IFERROR( VLOOKUP(A980,#REF!,2,0),"")</f>
        <v/>
      </c>
      <c r="G980" s="3" t="str">
        <f t="array" ref="G980">_xlfn.XLOOKUP(I980,Base_Datos!D:D,Base_Datos!B:B,"")</f>
        <v>DFSK</v>
      </c>
      <c r="H980" s="3" t="str">
        <f t="array" ref="H980">IF(I980="","",IFERROR(_xlfn.XLOOKUP(I980,Base_Datos!$D$2:$D3876,Base_Datos!$C$2:$C3876),""))</f>
        <v>Serie D</v>
      </c>
      <c r="I980" s="3" t="s">
        <v>2785</v>
      </c>
      <c r="J980" s="3" t="str">
        <f>IF(I980="","",IFERROR(VLOOKUP(I980,Base_Datos!$D$2:$E$72,2,0),""))</f>
        <v>(1.5L)</v>
      </c>
      <c r="K980" s="3" t="s">
        <v>1782</v>
      </c>
      <c r="L980" s="3"/>
      <c r="M980" s="7">
        <v>4</v>
      </c>
      <c r="N980" s="7">
        <v>0</v>
      </c>
    </row>
    <row r="981" spans="1:14" ht="14.25" x14ac:dyDescent="0.2">
      <c r="A981" s="3">
        <v>77033</v>
      </c>
      <c r="B981" s="3" t="s">
        <v>2838</v>
      </c>
      <c r="C981" s="3" t="s">
        <v>18</v>
      </c>
      <c r="D981" s="6" t="s">
        <v>2839</v>
      </c>
      <c r="E981" s="6" t="s">
        <v>2839</v>
      </c>
      <c r="F981" s="3" t="str">
        <f>IFERROR( VLOOKUP(A981,#REF!,2,0),"")</f>
        <v/>
      </c>
      <c r="G981" s="3" t="str">
        <f t="array" ref="G981">_xlfn.XLOOKUP(I981,Base_Datos!D:D,Base_Datos!B:B,"")</f>
        <v>DFSK</v>
      </c>
      <c r="H981" s="3" t="str">
        <f t="array" ref="H981">IF(I981="","",IFERROR(_xlfn.XLOOKUP(I981,Base_Datos!$D$2:$D3876,Base_Datos!$C$2:$C3876),""))</f>
        <v>Serie D</v>
      </c>
      <c r="I981" s="3" t="s">
        <v>2785</v>
      </c>
      <c r="J981" s="3" t="str">
        <f>IF(I981="","",IFERROR(VLOOKUP(I981,Base_Datos!$D$2:$E$72,2,0),""))</f>
        <v>(1.5L)</v>
      </c>
      <c r="K981" s="3" t="s">
        <v>1782</v>
      </c>
      <c r="L981" s="3"/>
      <c r="M981" s="7">
        <v>5</v>
      </c>
      <c r="N981" s="7">
        <v>0</v>
      </c>
    </row>
    <row r="982" spans="1:14" ht="14.25" x14ac:dyDescent="0.2">
      <c r="A982" s="3">
        <v>77034</v>
      </c>
      <c r="B982" s="3" t="s">
        <v>1830</v>
      </c>
      <c r="C982" s="3" t="s">
        <v>18</v>
      </c>
      <c r="D982" s="6" t="s">
        <v>2840</v>
      </c>
      <c r="E982" s="6" t="s">
        <v>2840</v>
      </c>
      <c r="F982" s="3" t="str">
        <f>IFERROR( VLOOKUP(A982,#REF!,2,0),"")</f>
        <v/>
      </c>
      <c r="G982" s="3" t="str">
        <f t="array" ref="G982">_xlfn.XLOOKUP(I982,Base_Datos!D:D,Base_Datos!B:B,"")</f>
        <v>DFSK</v>
      </c>
      <c r="H982" s="3" t="str">
        <f t="array" ref="H982">IF(I982="","",IFERROR(_xlfn.XLOOKUP(I982,Base_Datos!$D$2:$D3876,Base_Datos!$C$2:$C3876),""))</f>
        <v>Serie D</v>
      </c>
      <c r="I982" s="3" t="s">
        <v>2785</v>
      </c>
      <c r="J982" s="3" t="str">
        <f>IF(I982="","",IFERROR(VLOOKUP(I982,Base_Datos!$D$2:$E$72,2,0),""))</f>
        <v>(1.5L)</v>
      </c>
      <c r="K982" s="3" t="s">
        <v>1782</v>
      </c>
      <c r="L982" s="3"/>
      <c r="M982" s="7">
        <v>4</v>
      </c>
      <c r="N982" s="7">
        <v>0</v>
      </c>
    </row>
    <row r="983" spans="1:14" ht="14.25" x14ac:dyDescent="0.2">
      <c r="A983" s="3">
        <v>77035</v>
      </c>
      <c r="B983" s="3" t="s">
        <v>2841</v>
      </c>
      <c r="C983" s="3" t="s">
        <v>18</v>
      </c>
      <c r="D983" s="6" t="s">
        <v>2842</v>
      </c>
      <c r="E983" s="6" t="s">
        <v>2842</v>
      </c>
      <c r="F983" s="3" t="str">
        <f>IFERROR( VLOOKUP(A983,#REF!,2,0),"")</f>
        <v/>
      </c>
      <c r="G983" s="3" t="str">
        <f t="array" ref="G983">_xlfn.XLOOKUP(I983,Base_Datos!D:D,Base_Datos!B:B,"")</f>
        <v>DFSK</v>
      </c>
      <c r="H983" s="3" t="str">
        <f t="array" ref="H983">IF(I983="","",IFERROR(_xlfn.XLOOKUP(I983,Base_Datos!$D$2:$D3876,Base_Datos!$C$2:$C3876),""))</f>
        <v>Serie D</v>
      </c>
      <c r="I983" s="3" t="s">
        <v>2785</v>
      </c>
      <c r="J983" s="3" t="str">
        <f>IF(I983="","",IFERROR(VLOOKUP(I983,Base_Datos!$D$2:$E$72,2,0),""))</f>
        <v>(1.5L)</v>
      </c>
      <c r="K983" s="3" t="s">
        <v>1782</v>
      </c>
      <c r="L983" s="3"/>
      <c r="M983" s="7">
        <v>6</v>
      </c>
      <c r="N983" s="7">
        <v>0</v>
      </c>
    </row>
    <row r="984" spans="1:14" ht="14.25" x14ac:dyDescent="0.2">
      <c r="A984" s="3">
        <v>77036</v>
      </c>
      <c r="B984" s="3" t="s">
        <v>2843</v>
      </c>
      <c r="C984" s="3" t="s">
        <v>18</v>
      </c>
      <c r="D984" s="6" t="s">
        <v>2844</v>
      </c>
      <c r="E984" s="6" t="s">
        <v>2844</v>
      </c>
      <c r="F984" s="3" t="str">
        <f>IFERROR( VLOOKUP(A984,#REF!,2,0),"")</f>
        <v/>
      </c>
      <c r="G984" s="3" t="str">
        <f t="array" ref="G984">_xlfn.XLOOKUP(I984,Base_Datos!D:D,Base_Datos!B:B,"")</f>
        <v>DFSK</v>
      </c>
      <c r="H984" s="3" t="str">
        <f t="array" ref="H984">IF(I984="","",IFERROR(_xlfn.XLOOKUP(I984,Base_Datos!$D$2:$D3876,Base_Datos!$C$2:$C3876),""))</f>
        <v>Serie D</v>
      </c>
      <c r="I984" s="3" t="s">
        <v>2785</v>
      </c>
      <c r="J984" s="3" t="str">
        <f>IF(I984="","",IFERROR(VLOOKUP(I984,Base_Datos!$D$2:$E$72,2,0),""))</f>
        <v>(1.5L)</v>
      </c>
      <c r="K984" s="3" t="s">
        <v>1782</v>
      </c>
      <c r="L984" s="3"/>
      <c r="M984" s="7">
        <v>5</v>
      </c>
      <c r="N984" s="7">
        <v>0</v>
      </c>
    </row>
    <row r="985" spans="1:14" ht="14.25" x14ac:dyDescent="0.2">
      <c r="A985" s="3">
        <v>77037</v>
      </c>
      <c r="B985" s="3" t="s">
        <v>2845</v>
      </c>
      <c r="C985" s="3" t="s">
        <v>18</v>
      </c>
      <c r="D985" s="6" t="s">
        <v>2846</v>
      </c>
      <c r="E985" s="6" t="s">
        <v>2846</v>
      </c>
      <c r="F985" s="3" t="str">
        <f>IFERROR( VLOOKUP(A985,#REF!,2,0),"")</f>
        <v/>
      </c>
      <c r="G985" s="3" t="str">
        <f t="array" ref="G985">_xlfn.XLOOKUP(I985,Base_Datos!D:D,Base_Datos!B:B,"")</f>
        <v>DFSK</v>
      </c>
      <c r="H985" s="3" t="str">
        <f t="array" ref="H985">IF(I985="","",IFERROR(_xlfn.XLOOKUP(I985,Base_Datos!$D$2:$D3876,Base_Datos!$C$2:$C3876),""))</f>
        <v>Serie D</v>
      </c>
      <c r="I985" s="3" t="s">
        <v>2785</v>
      </c>
      <c r="J985" s="3" t="str">
        <f>IF(I985="","",IFERROR(VLOOKUP(I985,Base_Datos!$D$2:$E$72,2,0),""))</f>
        <v>(1.5L)</v>
      </c>
      <c r="K985" s="3" t="s">
        <v>1782</v>
      </c>
      <c r="L985" s="3"/>
      <c r="M985" s="7">
        <v>5</v>
      </c>
      <c r="N985" s="7">
        <v>0</v>
      </c>
    </row>
    <row r="986" spans="1:14" ht="14.25" x14ac:dyDescent="0.2">
      <c r="A986" s="3">
        <v>77038</v>
      </c>
      <c r="B986" s="3" t="s">
        <v>2847</v>
      </c>
      <c r="C986" s="3" t="s">
        <v>18</v>
      </c>
      <c r="D986" s="6" t="s">
        <v>2848</v>
      </c>
      <c r="E986" s="6" t="s">
        <v>2848</v>
      </c>
      <c r="F986" s="3" t="str">
        <f>IFERROR( VLOOKUP(A986,#REF!,2,0),"")</f>
        <v/>
      </c>
      <c r="G986" s="3" t="str">
        <f t="array" ref="G986">_xlfn.XLOOKUP(I986,Base_Datos!D:D,Base_Datos!B:B,"")</f>
        <v>DFSK</v>
      </c>
      <c r="H986" s="3" t="str">
        <f t="array" ref="H986">IF(I986="","",IFERROR(_xlfn.XLOOKUP(I986,Base_Datos!$D$2:$D3876,Base_Datos!$C$2:$C3876),""))</f>
        <v>Serie D</v>
      </c>
      <c r="I986" s="3" t="s">
        <v>2785</v>
      </c>
      <c r="J986" s="3" t="str">
        <f>IF(I986="","",IFERROR(VLOOKUP(I986,Base_Datos!$D$2:$E$72,2,0),""))</f>
        <v>(1.5L)</v>
      </c>
      <c r="K986" s="3" t="s">
        <v>1782</v>
      </c>
      <c r="L986" s="3"/>
      <c r="M986" s="7">
        <v>4</v>
      </c>
      <c r="N986" s="7">
        <v>0</v>
      </c>
    </row>
    <row r="987" spans="1:14" ht="14.25" x14ac:dyDescent="0.2">
      <c r="A987" s="3">
        <v>77039</v>
      </c>
      <c r="B987" s="3" t="s">
        <v>2849</v>
      </c>
      <c r="C987" s="3" t="s">
        <v>18</v>
      </c>
      <c r="D987" s="6" t="s">
        <v>2850</v>
      </c>
      <c r="E987" s="6" t="s">
        <v>2850</v>
      </c>
      <c r="F987" s="3" t="str">
        <f>IFERROR( VLOOKUP(A987,#REF!,2,0),"")</f>
        <v/>
      </c>
      <c r="G987" s="3" t="str">
        <f t="array" ref="G987">_xlfn.XLOOKUP(I987,Base_Datos!D:D,Base_Datos!B:B,"")</f>
        <v>DFSK</v>
      </c>
      <c r="H987" s="3" t="str">
        <f t="array" ref="H987">IF(I987="","",IFERROR(_xlfn.XLOOKUP(I987,Base_Datos!$D$2:$D3876,Base_Datos!$C$2:$C3876),""))</f>
        <v>Serie D</v>
      </c>
      <c r="I987" s="3" t="s">
        <v>2785</v>
      </c>
      <c r="J987" s="3" t="str">
        <f>IF(I987="","",IFERROR(VLOOKUP(I987,Base_Datos!$D$2:$E$72,2,0),""))</f>
        <v>(1.5L)</v>
      </c>
      <c r="K987" s="3" t="s">
        <v>1782</v>
      </c>
      <c r="L987" s="3"/>
      <c r="M987" s="7">
        <v>4</v>
      </c>
      <c r="N987" s="7">
        <v>0</v>
      </c>
    </row>
    <row r="988" spans="1:14" ht="14.25" x14ac:dyDescent="0.2">
      <c r="A988" s="3">
        <v>77040</v>
      </c>
      <c r="B988" s="3" t="s">
        <v>2851</v>
      </c>
      <c r="C988" s="3" t="s">
        <v>18</v>
      </c>
      <c r="D988" s="6" t="s">
        <v>2852</v>
      </c>
      <c r="E988" s="6" t="s">
        <v>2852</v>
      </c>
      <c r="F988" s="3" t="str">
        <f>IFERROR( VLOOKUP(A988,#REF!,2,0),"")</f>
        <v/>
      </c>
      <c r="G988" s="3" t="str">
        <f t="array" ref="G988">_xlfn.XLOOKUP(I988,Base_Datos!D:D,Base_Datos!B:B,"")</f>
        <v>DFSK</v>
      </c>
      <c r="H988" s="3" t="str">
        <f t="array" ref="H988">IF(I988="","",IFERROR(_xlfn.XLOOKUP(I988,Base_Datos!$D$2:$D3876,Base_Datos!$C$2:$C3876),""))</f>
        <v>Serie D</v>
      </c>
      <c r="I988" s="3" t="s">
        <v>2785</v>
      </c>
      <c r="J988" s="3" t="str">
        <f>IF(I988="","",IFERROR(VLOOKUP(I988,Base_Datos!$D$2:$E$72,2,0),""))</f>
        <v>(1.5L)</v>
      </c>
      <c r="K988" s="3" t="s">
        <v>1782</v>
      </c>
      <c r="L988" s="3"/>
      <c r="M988" s="7">
        <v>3</v>
      </c>
      <c r="N988" s="7">
        <v>0</v>
      </c>
    </row>
    <row r="989" spans="1:14" ht="14.25" x14ac:dyDescent="0.2">
      <c r="A989" s="3">
        <v>77041</v>
      </c>
      <c r="B989" s="3" t="s">
        <v>2853</v>
      </c>
      <c r="C989" s="3" t="s">
        <v>18</v>
      </c>
      <c r="D989" s="6" t="s">
        <v>2854</v>
      </c>
      <c r="E989" s="6" t="s">
        <v>2854</v>
      </c>
      <c r="F989" s="3" t="str">
        <f>IFERROR( VLOOKUP(A989,#REF!,2,0),"")</f>
        <v/>
      </c>
      <c r="G989" s="3" t="str">
        <f t="array" ref="G989">_xlfn.XLOOKUP(I989,Base_Datos!D:D,Base_Datos!B:B,"")</f>
        <v>DFSK</v>
      </c>
      <c r="H989" s="3" t="str">
        <f t="array" ref="H989">IF(I989="","",IFERROR(_xlfn.XLOOKUP(I989,Base_Datos!$D$2:$D3876,Base_Datos!$C$2:$C3876),""))</f>
        <v>Serie D</v>
      </c>
      <c r="I989" s="3" t="s">
        <v>2785</v>
      </c>
      <c r="J989" s="3" t="str">
        <f>IF(I989="","",IFERROR(VLOOKUP(I989,Base_Datos!$D$2:$E$72,2,0),""))</f>
        <v>(1.5L)</v>
      </c>
      <c r="K989" s="3" t="s">
        <v>1782</v>
      </c>
      <c r="L989" s="3"/>
      <c r="M989" s="7">
        <v>3</v>
      </c>
      <c r="N989" s="7">
        <v>0</v>
      </c>
    </row>
    <row r="990" spans="1:14" ht="14.25" x14ac:dyDescent="0.2">
      <c r="A990" s="3">
        <v>77042</v>
      </c>
      <c r="B990" s="3" t="s">
        <v>2855</v>
      </c>
      <c r="C990" s="3" t="s">
        <v>18</v>
      </c>
      <c r="D990" s="6" t="s">
        <v>2856</v>
      </c>
      <c r="E990" s="6" t="s">
        <v>2856</v>
      </c>
      <c r="F990" s="3" t="str">
        <f>IFERROR( VLOOKUP(A990,#REF!,2,0),"")</f>
        <v/>
      </c>
      <c r="G990" s="3" t="str">
        <f t="array" ref="G990">_xlfn.XLOOKUP(I990,Base_Datos!D:D,Base_Datos!B:B,"")</f>
        <v>DFSK</v>
      </c>
      <c r="H990" s="3" t="str">
        <f t="array" ref="H990">IF(I990="","",IFERROR(_xlfn.XLOOKUP(I990,Base_Datos!$D$2:$D3876,Base_Datos!$C$2:$C3876),""))</f>
        <v>Serie D</v>
      </c>
      <c r="I990" s="3" t="s">
        <v>2785</v>
      </c>
      <c r="J990" s="3" t="str">
        <f>IF(I990="","",IFERROR(VLOOKUP(I990,Base_Datos!$D$2:$E$72,2,0),""))</f>
        <v>(1.5L)</v>
      </c>
      <c r="K990" s="3" t="s">
        <v>1782</v>
      </c>
      <c r="L990" s="3"/>
      <c r="M990" s="7">
        <v>4</v>
      </c>
      <c r="N990" s="7">
        <v>0</v>
      </c>
    </row>
    <row r="991" spans="1:14" ht="14.25" x14ac:dyDescent="0.2">
      <c r="A991" s="3">
        <v>77043</v>
      </c>
      <c r="B991" s="3" t="s">
        <v>2857</v>
      </c>
      <c r="C991" s="3" t="s">
        <v>18</v>
      </c>
      <c r="D991" s="6" t="s">
        <v>2858</v>
      </c>
      <c r="E991" s="6" t="s">
        <v>2858</v>
      </c>
      <c r="F991" s="3" t="str">
        <f>IFERROR( VLOOKUP(A991,#REF!,2,0),"")</f>
        <v/>
      </c>
      <c r="G991" s="3" t="str">
        <f t="array" ref="G991">_xlfn.XLOOKUP(I991,Base_Datos!D:D,Base_Datos!B:B,"")</f>
        <v>DFSK</v>
      </c>
      <c r="H991" s="3" t="str">
        <f t="array" ref="H991">IF(I991="","",IFERROR(_xlfn.XLOOKUP(I991,Base_Datos!$D$2:$D3876,Base_Datos!$C$2:$C3876),""))</f>
        <v>Serie D</v>
      </c>
      <c r="I991" s="3" t="s">
        <v>2785</v>
      </c>
      <c r="J991" s="3" t="str">
        <f>IF(I991="","",IFERROR(VLOOKUP(I991,Base_Datos!$D$2:$E$72,2,0),""))</f>
        <v>(1.5L)</v>
      </c>
      <c r="K991" s="3" t="s">
        <v>1782</v>
      </c>
      <c r="L991" s="3"/>
      <c r="M991" s="7">
        <v>4</v>
      </c>
      <c r="N991" s="7">
        <v>0</v>
      </c>
    </row>
    <row r="992" spans="1:14" ht="14.25" x14ac:dyDescent="0.2">
      <c r="A992" s="3">
        <v>77044</v>
      </c>
      <c r="B992" s="3" t="s">
        <v>2859</v>
      </c>
      <c r="C992" s="3" t="s">
        <v>18</v>
      </c>
      <c r="D992" s="6" t="s">
        <v>2860</v>
      </c>
      <c r="E992" s="6" t="s">
        <v>2860</v>
      </c>
      <c r="F992" s="3" t="str">
        <f>IFERROR( VLOOKUP(A992,#REF!,2,0),"")</f>
        <v/>
      </c>
      <c r="G992" s="3" t="str">
        <f t="array" ref="G992">_xlfn.XLOOKUP(I992,Base_Datos!D:D,Base_Datos!B:B,"")</f>
        <v>DFSK</v>
      </c>
      <c r="H992" s="3" t="str">
        <f t="array" ref="H992">IF(I992="","",IFERROR(_xlfn.XLOOKUP(I992,Base_Datos!$D$2:$D3876,Base_Datos!$C$2:$C3876),""))</f>
        <v>Serie D</v>
      </c>
      <c r="I992" s="3" t="s">
        <v>2785</v>
      </c>
      <c r="J992" s="3" t="str">
        <f>IF(I992="","",IFERROR(VLOOKUP(I992,Base_Datos!$D$2:$E$72,2,0),""))</f>
        <v>(1.5L)</v>
      </c>
      <c r="K992" s="3" t="s">
        <v>1782</v>
      </c>
      <c r="L992" s="3"/>
      <c r="M992" s="7">
        <v>4</v>
      </c>
      <c r="N992" s="7">
        <v>0</v>
      </c>
    </row>
    <row r="993" spans="1:14" ht="14.25" x14ac:dyDescent="0.2">
      <c r="A993" s="3">
        <v>77045</v>
      </c>
      <c r="B993" s="3" t="s">
        <v>2861</v>
      </c>
      <c r="C993" s="3" t="s">
        <v>18</v>
      </c>
      <c r="D993" s="6" t="s">
        <v>2862</v>
      </c>
      <c r="E993" s="6" t="s">
        <v>2862</v>
      </c>
      <c r="F993" s="3" t="str">
        <f>IFERROR( VLOOKUP(A993,#REF!,2,0),"")</f>
        <v/>
      </c>
      <c r="G993" s="3" t="str">
        <f t="array" ref="G993">_xlfn.XLOOKUP(I993,Base_Datos!D:D,Base_Datos!B:B,"")</f>
        <v>DFSK</v>
      </c>
      <c r="H993" s="3" t="str">
        <f t="array" ref="H993">IF(I993="","",IFERROR(_xlfn.XLOOKUP(I993,Base_Datos!$D$2:$D3876,Base_Datos!$C$2:$C3876),""))</f>
        <v>Serie D</v>
      </c>
      <c r="I993" s="3" t="s">
        <v>2785</v>
      </c>
      <c r="J993" s="3" t="str">
        <f>IF(I993="","",IFERROR(VLOOKUP(I993,Base_Datos!$D$2:$E$72,2,0),""))</f>
        <v>(1.5L)</v>
      </c>
      <c r="K993" s="3" t="s">
        <v>1782</v>
      </c>
      <c r="L993" s="3"/>
      <c r="M993" s="7">
        <v>8</v>
      </c>
      <c r="N993" s="7">
        <v>0</v>
      </c>
    </row>
    <row r="994" spans="1:14" ht="14.25" x14ac:dyDescent="0.2">
      <c r="A994" s="3">
        <v>77046</v>
      </c>
      <c r="B994" s="3" t="s">
        <v>2863</v>
      </c>
      <c r="C994" s="3" t="s">
        <v>18</v>
      </c>
      <c r="D994" s="6" t="s">
        <v>2864</v>
      </c>
      <c r="E994" s="6" t="s">
        <v>2864</v>
      </c>
      <c r="F994" s="3" t="str">
        <f>IFERROR( VLOOKUP(A994,#REF!,2,0),"")</f>
        <v/>
      </c>
      <c r="G994" s="3" t="str">
        <f t="array" ref="G994">_xlfn.XLOOKUP(I994,Base_Datos!D:D,Base_Datos!B:B,"")</f>
        <v>DFSK</v>
      </c>
      <c r="H994" s="3" t="str">
        <f t="array" ref="H994">IF(I994="","",IFERROR(_xlfn.XLOOKUP(I994,Base_Datos!$D$2:$D3876,Base_Datos!$C$2:$C3876),""))</f>
        <v>Serie D</v>
      </c>
      <c r="I994" s="3" t="s">
        <v>2785</v>
      </c>
      <c r="J994" s="3" t="str">
        <f>IF(I994="","",IFERROR(VLOOKUP(I994,Base_Datos!$D$2:$E$72,2,0),""))</f>
        <v>(1.5L)</v>
      </c>
      <c r="K994" s="3" t="s">
        <v>1782</v>
      </c>
      <c r="L994" s="3"/>
      <c r="M994" s="7">
        <v>3</v>
      </c>
      <c r="N994" s="7">
        <v>0</v>
      </c>
    </row>
    <row r="995" spans="1:14" ht="14.25" x14ac:dyDescent="0.2">
      <c r="A995" s="3">
        <v>77047</v>
      </c>
      <c r="B995" s="3" t="s">
        <v>2865</v>
      </c>
      <c r="C995" s="3" t="s">
        <v>18</v>
      </c>
      <c r="D995" s="6" t="s">
        <v>2866</v>
      </c>
      <c r="E995" s="6" t="s">
        <v>2866</v>
      </c>
      <c r="F995" s="3" t="str">
        <f>IFERROR( VLOOKUP(A995,#REF!,2,0),"")</f>
        <v/>
      </c>
      <c r="G995" s="3" t="str">
        <f t="array" ref="G995">_xlfn.XLOOKUP(I995,Base_Datos!D:D,Base_Datos!B:B,"")</f>
        <v>DFSK</v>
      </c>
      <c r="H995" s="3" t="str">
        <f t="array" ref="H995">IF(I995="","",IFERROR(_xlfn.XLOOKUP(I995,Base_Datos!$D$2:$D3876,Base_Datos!$C$2:$C3876),""))</f>
        <v>Serie D</v>
      </c>
      <c r="I995" s="3" t="s">
        <v>2785</v>
      </c>
      <c r="J995" s="3" t="str">
        <f>IF(I995="","",IFERROR(VLOOKUP(I995,Base_Datos!$D$2:$E$72,2,0),""))</f>
        <v>(1.5L)</v>
      </c>
      <c r="K995" s="3" t="s">
        <v>1782</v>
      </c>
      <c r="L995" s="3"/>
      <c r="M995" s="7">
        <v>3</v>
      </c>
      <c r="N995" s="7">
        <v>0</v>
      </c>
    </row>
    <row r="996" spans="1:14" ht="14.25" x14ac:dyDescent="0.2">
      <c r="A996" s="3">
        <v>77048</v>
      </c>
      <c r="B996" s="3" t="s">
        <v>2867</v>
      </c>
      <c r="C996" s="3" t="s">
        <v>18</v>
      </c>
      <c r="D996" s="6" t="s">
        <v>2868</v>
      </c>
      <c r="E996" s="6" t="s">
        <v>2868</v>
      </c>
      <c r="F996" s="3" t="str">
        <f>IFERROR( VLOOKUP(A996,#REF!,2,0),"")</f>
        <v/>
      </c>
      <c r="G996" s="3" t="str">
        <f t="array" ref="G996">_xlfn.XLOOKUP(I996,Base_Datos!D:D,Base_Datos!B:B,"")</f>
        <v>DFSK</v>
      </c>
      <c r="H996" s="3" t="str">
        <f t="array" ref="H996">IF(I996="","",IFERROR(_xlfn.XLOOKUP(I996,Base_Datos!$D$2:$D3876,Base_Datos!$C$2:$C3876),""))</f>
        <v>Serie D</v>
      </c>
      <c r="I996" s="3" t="s">
        <v>2785</v>
      </c>
      <c r="J996" s="3" t="str">
        <f>IF(I996="","",IFERROR(VLOOKUP(I996,Base_Datos!$D$2:$E$72,2,0),""))</f>
        <v>(1.5L)</v>
      </c>
      <c r="K996" s="3" t="s">
        <v>1782</v>
      </c>
      <c r="L996" s="3"/>
      <c r="M996" s="7">
        <v>12</v>
      </c>
      <c r="N996" s="7">
        <v>0</v>
      </c>
    </row>
    <row r="997" spans="1:14" ht="14.25" x14ac:dyDescent="0.2">
      <c r="A997" s="3">
        <v>77049</v>
      </c>
      <c r="B997" s="3" t="s">
        <v>2687</v>
      </c>
      <c r="C997" s="3" t="s">
        <v>18</v>
      </c>
      <c r="D997" s="6" t="s">
        <v>2869</v>
      </c>
      <c r="E997" s="6" t="s">
        <v>2869</v>
      </c>
      <c r="F997" s="3" t="str">
        <f>IFERROR( VLOOKUP(A997,#REF!,2,0),"")</f>
        <v/>
      </c>
      <c r="G997" s="3" t="str">
        <f t="array" ref="G997">_xlfn.XLOOKUP(I997,Base_Datos!D:D,Base_Datos!B:B,"")</f>
        <v>DFSK</v>
      </c>
      <c r="H997" s="3" t="str">
        <f t="array" ref="H997">IF(I997="","",IFERROR(_xlfn.XLOOKUP(I997,Base_Datos!$D$2:$D3876,Base_Datos!$C$2:$C3876),""))</f>
        <v>Serie D</v>
      </c>
      <c r="I997" s="3" t="s">
        <v>2785</v>
      </c>
      <c r="J997" s="3" t="str">
        <f>IF(I997="","",IFERROR(VLOOKUP(I997,Base_Datos!$D$2:$E$72,2,0),""))</f>
        <v>(1.5L)</v>
      </c>
      <c r="K997" s="3" t="s">
        <v>1782</v>
      </c>
      <c r="L997" s="3"/>
      <c r="M997" s="7">
        <v>1</v>
      </c>
      <c r="N997" s="7">
        <v>0</v>
      </c>
    </row>
    <row r="998" spans="1:14" ht="14.25" x14ac:dyDescent="0.2">
      <c r="A998" s="3">
        <v>77050</v>
      </c>
      <c r="B998" s="3" t="s">
        <v>2870</v>
      </c>
      <c r="C998" s="3" t="s">
        <v>18</v>
      </c>
      <c r="D998" s="6" t="s">
        <v>2871</v>
      </c>
      <c r="E998" s="6" t="s">
        <v>2871</v>
      </c>
      <c r="F998" s="3" t="str">
        <f>IFERROR( VLOOKUP(A998,#REF!,2,0),"")</f>
        <v/>
      </c>
      <c r="G998" s="3" t="str">
        <f t="array" ref="G998">_xlfn.XLOOKUP(I998,Base_Datos!D:D,Base_Datos!B:B,"")</f>
        <v>DFSK</v>
      </c>
      <c r="H998" s="3" t="str">
        <f t="array" ref="H998">IF(I998="","",IFERROR(_xlfn.XLOOKUP(I998,Base_Datos!$D$2:$D3876,Base_Datos!$C$2:$C3876),""))</f>
        <v>Serie D</v>
      </c>
      <c r="I998" s="3" t="s">
        <v>2785</v>
      </c>
      <c r="J998" s="3" t="str">
        <f>IF(I998="","",IFERROR(VLOOKUP(I998,Base_Datos!$D$2:$E$72,2,0),""))</f>
        <v>(1.5L)</v>
      </c>
      <c r="K998" s="3" t="s">
        <v>1782</v>
      </c>
      <c r="L998" s="3"/>
      <c r="M998" s="7">
        <v>3</v>
      </c>
      <c r="N998" s="7">
        <v>0</v>
      </c>
    </row>
    <row r="999" spans="1:14" ht="14.25" x14ac:dyDescent="0.2">
      <c r="A999" s="3">
        <v>77051</v>
      </c>
      <c r="B999" s="3" t="s">
        <v>2872</v>
      </c>
      <c r="C999" s="3" t="s">
        <v>18</v>
      </c>
      <c r="D999" s="6" t="s">
        <v>2873</v>
      </c>
      <c r="E999" s="6" t="s">
        <v>2873</v>
      </c>
      <c r="F999" s="3" t="str">
        <f>IFERROR( VLOOKUP(A999,#REF!,2,0),"")</f>
        <v/>
      </c>
      <c r="G999" s="3" t="str">
        <f t="array" ref="G999">_xlfn.XLOOKUP(I999,Base_Datos!D:D,Base_Datos!B:B,"")</f>
        <v>DFSK</v>
      </c>
      <c r="H999" s="3" t="str">
        <f t="array" ref="H999">IF(I999="","",IFERROR(_xlfn.XLOOKUP(I999,Base_Datos!$D$2:$D3876,Base_Datos!$C$2:$C3876),""))</f>
        <v>Serie D</v>
      </c>
      <c r="I999" s="3" t="s">
        <v>2785</v>
      </c>
      <c r="J999" s="3" t="str">
        <f>IF(I999="","",IFERROR(VLOOKUP(I999,Base_Datos!$D$2:$E$72,2,0),""))</f>
        <v>(1.5L)</v>
      </c>
      <c r="K999" s="3" t="s">
        <v>1782</v>
      </c>
      <c r="L999" s="3"/>
      <c r="M999" s="7">
        <v>4</v>
      </c>
      <c r="N999" s="7">
        <v>0</v>
      </c>
    </row>
    <row r="1000" spans="1:14" ht="14.25" x14ac:dyDescent="0.2">
      <c r="A1000" s="3">
        <v>77052</v>
      </c>
      <c r="B1000" s="3" t="s">
        <v>1931</v>
      </c>
      <c r="C1000" s="3" t="s">
        <v>18</v>
      </c>
      <c r="D1000" s="6" t="s">
        <v>2874</v>
      </c>
      <c r="E1000" s="6" t="s">
        <v>2874</v>
      </c>
      <c r="F1000" s="3" t="str">
        <f>IFERROR( VLOOKUP(A1000,#REF!,2,0),"")</f>
        <v/>
      </c>
      <c r="G1000" s="3" t="str">
        <f t="array" ref="G1000">_xlfn.XLOOKUP(I1000,Base_Datos!D:D,Base_Datos!B:B,"")</f>
        <v>DFSK</v>
      </c>
      <c r="H1000" s="3" t="str">
        <f t="array" ref="H1000">IF(I1000="","",IFERROR(_xlfn.XLOOKUP(I1000,Base_Datos!$D$2:$D3876,Base_Datos!$C$2:$C3876),""))</f>
        <v>Serie D</v>
      </c>
      <c r="I1000" s="3" t="s">
        <v>2785</v>
      </c>
      <c r="J1000" s="3" t="str">
        <f>IF(I1000="","",IFERROR(VLOOKUP(I1000,Base_Datos!$D$2:$E$72,2,0),""))</f>
        <v>(1.5L)</v>
      </c>
      <c r="K1000" s="3" t="s">
        <v>1782</v>
      </c>
      <c r="L1000" s="3"/>
      <c r="M1000" s="7">
        <v>4</v>
      </c>
      <c r="N1000" s="7">
        <v>0</v>
      </c>
    </row>
    <row r="1001" spans="1:14" ht="14.25" x14ac:dyDescent="0.2">
      <c r="A1001" s="3">
        <v>77053</v>
      </c>
      <c r="B1001" s="3" t="s">
        <v>2875</v>
      </c>
      <c r="C1001" s="3" t="s">
        <v>18</v>
      </c>
      <c r="D1001" s="6" t="s">
        <v>2876</v>
      </c>
      <c r="E1001" s="6" t="s">
        <v>2876</v>
      </c>
      <c r="F1001" s="3" t="str">
        <f>IFERROR( VLOOKUP(A1001,#REF!,2,0),"")</f>
        <v/>
      </c>
      <c r="G1001" s="3" t="str">
        <f t="array" ref="G1001">_xlfn.XLOOKUP(I1001,Base_Datos!D:D,Base_Datos!B:B,"")</f>
        <v>DFSK</v>
      </c>
      <c r="H1001" s="3" t="str">
        <f t="array" ref="H1001">IF(I1001="","",IFERROR(_xlfn.XLOOKUP(I1001,Base_Datos!$D$2:$D3876,Base_Datos!$C$2:$C3876),""))</f>
        <v>Serie D</v>
      </c>
      <c r="I1001" s="3" t="s">
        <v>2785</v>
      </c>
      <c r="J1001" s="3" t="str">
        <f>IF(I1001="","",IFERROR(VLOOKUP(I1001,Base_Datos!$D$2:$E$72,2,0),""))</f>
        <v>(1.5L)</v>
      </c>
      <c r="K1001" s="3" t="s">
        <v>1782</v>
      </c>
      <c r="L1001" s="3"/>
      <c r="M1001" s="7">
        <v>4</v>
      </c>
      <c r="N1001" s="7">
        <v>0</v>
      </c>
    </row>
    <row r="1002" spans="1:14" ht="14.25" x14ac:dyDescent="0.2">
      <c r="A1002" s="3">
        <v>77054</v>
      </c>
      <c r="B1002" s="3" t="s">
        <v>2877</v>
      </c>
      <c r="C1002" s="3" t="s">
        <v>18</v>
      </c>
      <c r="D1002" s="6" t="s">
        <v>2878</v>
      </c>
      <c r="E1002" s="6" t="s">
        <v>2878</v>
      </c>
      <c r="F1002" s="3" t="str">
        <f>IFERROR( VLOOKUP(A1002,#REF!,2,0),"")</f>
        <v/>
      </c>
      <c r="G1002" s="3" t="str">
        <f t="array" ref="G1002">_xlfn.XLOOKUP(I1002,Base_Datos!D:D,Base_Datos!B:B,"")</f>
        <v>DFSK</v>
      </c>
      <c r="H1002" s="3" t="str">
        <f t="array" ref="H1002">IF(I1002="","",IFERROR(_xlfn.XLOOKUP(I1002,Base_Datos!$D$2:$D3876,Base_Datos!$C$2:$C3876),""))</f>
        <v>Serie D</v>
      </c>
      <c r="I1002" s="3" t="s">
        <v>2785</v>
      </c>
      <c r="J1002" s="3" t="str">
        <f>IF(I1002="","",IFERROR(VLOOKUP(I1002,Base_Datos!$D$2:$E$72,2,0),""))</f>
        <v>(1.5L)</v>
      </c>
      <c r="K1002" s="3" t="s">
        <v>1782</v>
      </c>
      <c r="L1002" s="3"/>
      <c r="M1002" s="7">
        <v>4</v>
      </c>
      <c r="N1002" s="7">
        <v>0</v>
      </c>
    </row>
    <row r="1003" spans="1:14" ht="14.25" x14ac:dyDescent="0.2">
      <c r="A1003" s="3">
        <v>78000</v>
      </c>
      <c r="B1003" s="3" t="s">
        <v>2669</v>
      </c>
      <c r="C1003" s="3" t="s">
        <v>18</v>
      </c>
      <c r="D1003" s="6" t="s">
        <v>211</v>
      </c>
      <c r="E1003" s="6" t="s">
        <v>211</v>
      </c>
      <c r="F1003" s="3" t="str">
        <f>IFERROR( VLOOKUP(A1003,#REF!,2,0),"")</f>
        <v/>
      </c>
      <c r="G1003" s="3">
        <f t="array" ref="G1003">_xlfn.XLOOKUP(I1003,Base_Datos!D:D,Base_Datos!B:B,"")</f>
        <v>0</v>
      </c>
      <c r="H1003" s="3" t="str">
        <f t="array" ref="H1003">IF(I1003="","",IFERROR(_xlfn.XLOOKUP(I1003,Base_Datos!$D$2:$D3876,Base_Datos!$C$2:$C3876),""))</f>
        <v/>
      </c>
      <c r="I1003" s="3"/>
      <c r="J1003" s="3" t="str">
        <f>IF(I1003="","",IFERROR(VLOOKUP(I1003,Base_Datos!$D$2:$E$72,2,0),""))</f>
        <v/>
      </c>
      <c r="K1003" s="3" t="s">
        <v>1782</v>
      </c>
      <c r="L1003" s="3"/>
      <c r="M1003" s="7">
        <v>20</v>
      </c>
      <c r="N1003" s="7">
        <v>0</v>
      </c>
    </row>
    <row r="1004" spans="1:14" ht="14.25" x14ac:dyDescent="0.2">
      <c r="A1004" s="3">
        <v>78002</v>
      </c>
      <c r="B1004" s="3" t="s">
        <v>2879</v>
      </c>
      <c r="C1004" s="3" t="s">
        <v>18</v>
      </c>
      <c r="D1004" s="6" t="s">
        <v>2880</v>
      </c>
      <c r="E1004" s="6" t="s">
        <v>2880</v>
      </c>
      <c r="F1004" s="3" t="str">
        <f>IFERROR( VLOOKUP(A1004,#REF!,2,0),"")</f>
        <v/>
      </c>
      <c r="G1004" s="3" t="str">
        <f t="array" ref="G1004">_xlfn.XLOOKUP(I1004,Base_Datos!D:D,Base_Datos!B:B,"")</f>
        <v>DFSK</v>
      </c>
      <c r="H1004" s="3" t="str">
        <f t="array" ref="H1004">IF(I1004="","",IFERROR(_xlfn.XLOOKUP(I1004,Base_Datos!$D$2:$D3876,Base_Datos!$C$2:$C3876),""))</f>
        <v>Serie Glory</v>
      </c>
      <c r="I1004" s="3" t="s">
        <v>1765</v>
      </c>
      <c r="J1004" s="3" t="str">
        <f>IF(I1004="","",IFERROR(VLOOKUP(I1004,Base_Datos!$D$2:$E$72,2,0),""))</f>
        <v>(1.5L)</v>
      </c>
      <c r="K1004" s="3" t="s">
        <v>2881</v>
      </c>
      <c r="L1004" s="3"/>
      <c r="M1004" s="7">
        <v>5</v>
      </c>
      <c r="N1004" s="7">
        <v>0</v>
      </c>
    </row>
    <row r="1005" spans="1:14" ht="14.25" x14ac:dyDescent="0.2">
      <c r="A1005" s="3">
        <v>78003</v>
      </c>
      <c r="B1005" s="3" t="s">
        <v>2415</v>
      </c>
      <c r="C1005" s="3" t="s">
        <v>18</v>
      </c>
      <c r="D1005" s="6" t="s">
        <v>2882</v>
      </c>
      <c r="E1005" s="6" t="s">
        <v>2882</v>
      </c>
      <c r="F1005" s="3" t="str">
        <f>IFERROR( VLOOKUP(A1005,#REF!,2,0),"")</f>
        <v/>
      </c>
      <c r="G1005" s="3" t="str">
        <f t="array" ref="G1005">_xlfn.XLOOKUP(I1005,Base_Datos!D:D,Base_Datos!B:B,"")</f>
        <v>DFSK</v>
      </c>
      <c r="H1005" s="3" t="str">
        <f t="array" ref="H1005">IF(I1005="","",IFERROR(_xlfn.XLOOKUP(I1005,Base_Datos!$D$2:$D3876,Base_Datos!$C$2:$C3876),""))</f>
        <v>Serie Glory</v>
      </c>
      <c r="I1005" s="3" t="s">
        <v>1765</v>
      </c>
      <c r="J1005" s="3" t="str">
        <f>IF(I1005="","",IFERROR(VLOOKUP(I1005,Base_Datos!$D$2:$E$72,2,0),""))</f>
        <v>(1.5L)</v>
      </c>
      <c r="K1005" s="3" t="s">
        <v>2881</v>
      </c>
      <c r="L1005" s="3"/>
      <c r="M1005" s="7">
        <v>10</v>
      </c>
      <c r="N1005" s="7">
        <v>0</v>
      </c>
    </row>
    <row r="1006" spans="1:14" ht="14.25" x14ac:dyDescent="0.2">
      <c r="A1006" s="3">
        <v>78004</v>
      </c>
      <c r="B1006" s="3" t="s">
        <v>2883</v>
      </c>
      <c r="C1006" s="3" t="s">
        <v>18</v>
      </c>
      <c r="D1006" s="6" t="s">
        <v>2884</v>
      </c>
      <c r="E1006" s="6" t="s">
        <v>2884</v>
      </c>
      <c r="F1006" s="3" t="str">
        <f>IFERROR( VLOOKUP(A1006,#REF!,2,0),"")</f>
        <v/>
      </c>
      <c r="G1006" s="3" t="str">
        <f t="array" ref="G1006">_xlfn.XLOOKUP(I1006,Base_Datos!D:D,Base_Datos!B:B,"")</f>
        <v>DFSK</v>
      </c>
      <c r="H1006" s="3" t="str">
        <f t="array" ref="H1006">IF(I1006="","",IFERROR(_xlfn.XLOOKUP(I1006,Base_Datos!$D$2:$D3876,Base_Datos!$C$2:$C3876),""))</f>
        <v>Serie Glory</v>
      </c>
      <c r="I1006" s="3" t="s">
        <v>1765</v>
      </c>
      <c r="J1006" s="3" t="str">
        <f>IF(I1006="","",IFERROR(VLOOKUP(I1006,Base_Datos!$D$2:$E$72,2,0),""))</f>
        <v>(1.5L)</v>
      </c>
      <c r="K1006" s="3" t="s">
        <v>1782</v>
      </c>
      <c r="L1006" s="3"/>
      <c r="M1006" s="7">
        <v>8</v>
      </c>
      <c r="N1006" s="7">
        <v>0</v>
      </c>
    </row>
    <row r="1007" spans="1:14" ht="14.25" x14ac:dyDescent="0.2">
      <c r="A1007" s="3">
        <v>78005</v>
      </c>
      <c r="B1007" s="3" t="s">
        <v>2885</v>
      </c>
      <c r="C1007" s="3" t="s">
        <v>18</v>
      </c>
      <c r="D1007" s="6" t="s">
        <v>2886</v>
      </c>
      <c r="E1007" s="6" t="s">
        <v>2886</v>
      </c>
      <c r="F1007" s="3" t="str">
        <f>IFERROR( VLOOKUP(A1007,#REF!,2,0),"")</f>
        <v/>
      </c>
      <c r="G1007" s="3" t="str">
        <f t="array" ref="G1007">_xlfn.XLOOKUP(I1007,Base_Datos!D:D,Base_Datos!B:B,"")</f>
        <v>DFSK</v>
      </c>
      <c r="H1007" s="3" t="str">
        <f t="array" ref="H1007">IF(I1007="","",IFERROR(_xlfn.XLOOKUP(I1007,Base_Datos!$D$2:$D3876,Base_Datos!$C$2:$C3876),""))</f>
        <v>Serie Glory</v>
      </c>
      <c r="I1007" s="3" t="s">
        <v>1765</v>
      </c>
      <c r="J1007" s="3" t="str">
        <f>IF(I1007="","",IFERROR(VLOOKUP(I1007,Base_Datos!$D$2:$E$72,2,0),""))</f>
        <v>(1.5L)</v>
      </c>
      <c r="K1007" s="3" t="s">
        <v>1782</v>
      </c>
      <c r="L1007" s="3"/>
      <c r="M1007" s="7">
        <v>4</v>
      </c>
      <c r="N1007" s="7">
        <v>0</v>
      </c>
    </row>
    <row r="1008" spans="1:14" ht="14.25" x14ac:dyDescent="0.2">
      <c r="A1008" s="3">
        <v>78006</v>
      </c>
      <c r="B1008" s="3" t="s">
        <v>2885</v>
      </c>
      <c r="C1008" s="3" t="s">
        <v>18</v>
      </c>
      <c r="D1008" s="6" t="s">
        <v>2887</v>
      </c>
      <c r="E1008" s="6" t="s">
        <v>2887</v>
      </c>
      <c r="F1008" s="3" t="str">
        <f>IFERROR( VLOOKUP(A1008,#REF!,2,0),"")</f>
        <v/>
      </c>
      <c r="G1008" s="3" t="str">
        <f t="array" ref="G1008">_xlfn.XLOOKUP(I1008,Base_Datos!D:D,Base_Datos!B:B,"")</f>
        <v>DFSK</v>
      </c>
      <c r="H1008" s="3" t="str">
        <f t="array" ref="H1008">IF(I1008="","",IFERROR(_xlfn.XLOOKUP(I1008,Base_Datos!$D$2:$D3876,Base_Datos!$C$2:$C3876),""))</f>
        <v>Serie Glory</v>
      </c>
      <c r="I1008" s="3" t="s">
        <v>1765</v>
      </c>
      <c r="J1008" s="3" t="str">
        <f>IF(I1008="","",IFERROR(VLOOKUP(I1008,Base_Datos!$D$2:$E$72,2,0),""))</f>
        <v>(1.5L)</v>
      </c>
      <c r="K1008" s="3" t="s">
        <v>1782</v>
      </c>
      <c r="L1008" s="3"/>
      <c r="M1008" s="7">
        <v>4</v>
      </c>
      <c r="N1008" s="7">
        <v>0</v>
      </c>
    </row>
    <row r="1009" spans="1:14" ht="14.25" x14ac:dyDescent="0.2">
      <c r="A1009" s="3">
        <v>78007</v>
      </c>
      <c r="B1009" s="3" t="s">
        <v>2888</v>
      </c>
      <c r="C1009" s="3" t="s">
        <v>18</v>
      </c>
      <c r="D1009" s="6" t="s">
        <v>2889</v>
      </c>
      <c r="E1009" s="6" t="s">
        <v>2889</v>
      </c>
      <c r="F1009" s="3" t="str">
        <f>IFERROR( VLOOKUP(A1009,#REF!,2,0),"")</f>
        <v/>
      </c>
      <c r="G1009" s="3" t="str">
        <f t="array" ref="G1009">_xlfn.XLOOKUP(I1009,Base_Datos!D:D,Base_Datos!B:B,"")</f>
        <v>DFSK</v>
      </c>
      <c r="H1009" s="3" t="str">
        <f t="array" ref="H1009">IF(I1009="","",IFERROR(_xlfn.XLOOKUP(I1009,Base_Datos!$D$2:$D3876,Base_Datos!$C$2:$C3876),""))</f>
        <v>Serie Glory</v>
      </c>
      <c r="I1009" s="3" t="s">
        <v>1765</v>
      </c>
      <c r="J1009" s="3" t="str">
        <f>IF(I1009="","",IFERROR(VLOOKUP(I1009,Base_Datos!$D$2:$E$72,2,0),""))</f>
        <v>(1.5L)</v>
      </c>
      <c r="K1009" s="3" t="s">
        <v>1782</v>
      </c>
      <c r="L1009" s="3"/>
      <c r="M1009" s="7">
        <v>30</v>
      </c>
      <c r="N1009" s="7">
        <v>0</v>
      </c>
    </row>
    <row r="1010" spans="1:14" ht="14.25" x14ac:dyDescent="0.2">
      <c r="A1010" s="3">
        <v>78008</v>
      </c>
      <c r="B1010" s="3" t="s">
        <v>2890</v>
      </c>
      <c r="C1010" s="3" t="s">
        <v>18</v>
      </c>
      <c r="D1010" s="6" t="s">
        <v>2891</v>
      </c>
      <c r="E1010" s="6" t="s">
        <v>2891</v>
      </c>
      <c r="F1010" s="3" t="str">
        <f>IFERROR( VLOOKUP(A1010,#REF!,2,0),"")</f>
        <v/>
      </c>
      <c r="G1010" s="3" t="str">
        <f t="array" ref="G1010">_xlfn.XLOOKUP(I1010,Base_Datos!D:D,Base_Datos!B:B,"")</f>
        <v>DFSK</v>
      </c>
      <c r="H1010" s="3" t="str">
        <f t="array" ref="H1010">IF(I1010="","",IFERROR(_xlfn.XLOOKUP(I1010,Base_Datos!$D$2:$D3876,Base_Datos!$C$2:$C3876),""))</f>
        <v>Serie Glory</v>
      </c>
      <c r="I1010" s="3" t="s">
        <v>1765</v>
      </c>
      <c r="J1010" s="3" t="str">
        <f>IF(I1010="","",IFERROR(VLOOKUP(I1010,Base_Datos!$D$2:$E$72,2,0),""))</f>
        <v>(1.5L)</v>
      </c>
      <c r="K1010" s="3" t="s">
        <v>2881</v>
      </c>
      <c r="L1010" s="3"/>
      <c r="M1010" s="7">
        <v>29</v>
      </c>
      <c r="N1010" s="7">
        <v>0</v>
      </c>
    </row>
    <row r="1011" spans="1:14" ht="14.25" x14ac:dyDescent="0.2">
      <c r="A1011" s="3">
        <v>78009</v>
      </c>
      <c r="B1011" s="3" t="s">
        <v>2892</v>
      </c>
      <c r="C1011" s="3" t="s">
        <v>18</v>
      </c>
      <c r="D1011" s="6" t="s">
        <v>2893</v>
      </c>
      <c r="E1011" s="6" t="s">
        <v>2893</v>
      </c>
      <c r="F1011" s="3" t="str">
        <f>IFERROR( VLOOKUP(A1011,#REF!,2,0),"")</f>
        <v/>
      </c>
      <c r="G1011" s="3" t="str">
        <f t="array" ref="G1011">_xlfn.XLOOKUP(I1011,Base_Datos!D:D,Base_Datos!B:B,"")</f>
        <v>DFSK</v>
      </c>
      <c r="H1011" s="3" t="str">
        <f t="array" ref="H1011">IF(I1011="","",IFERROR(_xlfn.XLOOKUP(I1011,Base_Datos!$D$2:$D3876,Base_Datos!$C$2:$C3876),""))</f>
        <v>Serie Glory</v>
      </c>
      <c r="I1011" s="3" t="s">
        <v>1765</v>
      </c>
      <c r="J1011" s="3" t="str">
        <f>IF(I1011="","",IFERROR(VLOOKUP(I1011,Base_Datos!$D$2:$E$72,2,0),""))</f>
        <v>(1.5L)</v>
      </c>
      <c r="K1011" s="3" t="s">
        <v>2881</v>
      </c>
      <c r="L1011" s="3"/>
      <c r="M1011" s="7">
        <v>10</v>
      </c>
      <c r="N1011" s="7">
        <v>0</v>
      </c>
    </row>
    <row r="1012" spans="1:14" ht="14.25" x14ac:dyDescent="0.2">
      <c r="A1012" s="3">
        <v>78010</v>
      </c>
      <c r="B1012" s="3" t="s">
        <v>2894</v>
      </c>
      <c r="C1012" s="3" t="s">
        <v>18</v>
      </c>
      <c r="D1012" s="6" t="s">
        <v>2895</v>
      </c>
      <c r="E1012" s="6" t="s">
        <v>2895</v>
      </c>
      <c r="F1012" s="3" t="str">
        <f>IFERROR( VLOOKUP(A1012,#REF!,2,0),"")</f>
        <v/>
      </c>
      <c r="G1012" s="3" t="str">
        <f t="array" ref="G1012">_xlfn.XLOOKUP(I1012,Base_Datos!D:D,Base_Datos!B:B,"")</f>
        <v>DFSK</v>
      </c>
      <c r="H1012" s="3" t="str">
        <f t="array" ref="H1012">IF(I1012="","",IFERROR(_xlfn.XLOOKUP(I1012,Base_Datos!$D$2:$D3876,Base_Datos!$C$2:$C3876),""))</f>
        <v>Serie Glory</v>
      </c>
      <c r="I1012" s="3" t="s">
        <v>1765</v>
      </c>
      <c r="J1012" s="3" t="str">
        <f>IF(I1012="","",IFERROR(VLOOKUP(I1012,Base_Datos!$D$2:$E$72,2,0),""))</f>
        <v>(1.5L)</v>
      </c>
      <c r="K1012" s="3" t="s">
        <v>2896</v>
      </c>
      <c r="L1012" s="3"/>
      <c r="M1012" s="7">
        <v>80</v>
      </c>
      <c r="N1012" s="7">
        <v>0</v>
      </c>
    </row>
    <row r="1013" spans="1:14" ht="14.25" x14ac:dyDescent="0.2">
      <c r="A1013" s="3">
        <v>78011</v>
      </c>
      <c r="B1013" s="3" t="s">
        <v>2897</v>
      </c>
      <c r="C1013" s="3" t="s">
        <v>18</v>
      </c>
      <c r="D1013" s="6" t="s">
        <v>2898</v>
      </c>
      <c r="E1013" s="6" t="s">
        <v>2898</v>
      </c>
      <c r="F1013" s="3" t="str">
        <f>IFERROR( VLOOKUP(A1013,#REF!,2,0),"")</f>
        <v/>
      </c>
      <c r="G1013" s="3" t="str">
        <f t="array" ref="G1013">_xlfn.XLOOKUP(I1013,Base_Datos!D:D,Base_Datos!B:B,"")</f>
        <v>DFSK</v>
      </c>
      <c r="H1013" s="3" t="str">
        <f t="array" ref="H1013">IF(I1013="","",IFERROR(_xlfn.XLOOKUP(I1013,Base_Datos!$D$2:$D3876,Base_Datos!$C$2:$C3876),""))</f>
        <v>Serie Glory</v>
      </c>
      <c r="I1013" s="3" t="s">
        <v>1765</v>
      </c>
      <c r="J1013" s="3" t="str">
        <f>IF(I1013="","",IFERROR(VLOOKUP(I1013,Base_Datos!$D$2:$E$72,2,0),""))</f>
        <v>(1.5L)</v>
      </c>
      <c r="K1013" s="3" t="s">
        <v>2660</v>
      </c>
      <c r="L1013" s="3"/>
      <c r="M1013" s="7">
        <v>60</v>
      </c>
      <c r="N1013" s="7">
        <v>0</v>
      </c>
    </row>
    <row r="1014" spans="1:14" ht="14.25" x14ac:dyDescent="0.2">
      <c r="A1014" s="3">
        <v>78012</v>
      </c>
      <c r="B1014" s="3" t="s">
        <v>2899</v>
      </c>
      <c r="C1014" s="3" t="s">
        <v>18</v>
      </c>
      <c r="D1014" s="6" t="s">
        <v>2900</v>
      </c>
      <c r="E1014" s="6" t="s">
        <v>2900</v>
      </c>
      <c r="F1014" s="3" t="str">
        <f>IFERROR( VLOOKUP(A1014,#REF!,2,0),"")</f>
        <v/>
      </c>
      <c r="G1014" s="3" t="str">
        <f t="array" ref="G1014">_xlfn.XLOOKUP(I1014,Base_Datos!D:D,Base_Datos!B:B,"")</f>
        <v>DFSK</v>
      </c>
      <c r="H1014" s="3" t="str">
        <f t="array" ref="H1014">IF(I1014="","",IFERROR(_xlfn.XLOOKUP(I1014,Base_Datos!$D$2:$D3876,Base_Datos!$C$2:$C3876),""))</f>
        <v>Serie Glory</v>
      </c>
      <c r="I1014" s="3" t="s">
        <v>1765</v>
      </c>
      <c r="J1014" s="3" t="str">
        <f>IF(I1014="","",IFERROR(VLOOKUP(I1014,Base_Datos!$D$2:$E$72,2,0),""))</f>
        <v>(1.5L)</v>
      </c>
      <c r="K1014" s="3" t="s">
        <v>1782</v>
      </c>
      <c r="L1014" s="3"/>
      <c r="M1014" s="7">
        <v>50</v>
      </c>
      <c r="N1014" s="7">
        <v>0</v>
      </c>
    </row>
    <row r="1015" spans="1:14" ht="14.25" x14ac:dyDescent="0.2">
      <c r="A1015" s="3">
        <v>78013</v>
      </c>
      <c r="B1015" s="3" t="s">
        <v>2901</v>
      </c>
      <c r="C1015" s="3" t="s">
        <v>18</v>
      </c>
      <c r="D1015" s="6" t="s">
        <v>2902</v>
      </c>
      <c r="E1015" s="6" t="s">
        <v>2902</v>
      </c>
      <c r="F1015" s="3" t="str">
        <f>IFERROR( VLOOKUP(A1015,#REF!,2,0),"")</f>
        <v/>
      </c>
      <c r="G1015" s="3" t="str">
        <f t="array" ref="G1015">_xlfn.XLOOKUP(I1015,Base_Datos!D:D,Base_Datos!B:B,"")</f>
        <v>DFSK</v>
      </c>
      <c r="H1015" s="3" t="str">
        <f t="array" ref="H1015">IF(I1015="","",IFERROR(_xlfn.XLOOKUP(I1015,Base_Datos!$D$2:$D3876,Base_Datos!$C$2:$C3876),""))</f>
        <v>Serie Glory</v>
      </c>
      <c r="I1015" s="3" t="s">
        <v>1765</v>
      </c>
      <c r="J1015" s="3" t="str">
        <f>IF(I1015="","",IFERROR(VLOOKUP(I1015,Base_Datos!$D$2:$E$72,2,0),""))</f>
        <v>(1.5L)</v>
      </c>
      <c r="K1015" s="3" t="s">
        <v>1782</v>
      </c>
      <c r="L1015" s="3"/>
      <c r="M1015" s="7">
        <v>34</v>
      </c>
      <c r="N1015" s="7">
        <v>0</v>
      </c>
    </row>
    <row r="1016" spans="1:14" ht="14.25" x14ac:dyDescent="0.2">
      <c r="A1016" s="3">
        <v>78014</v>
      </c>
      <c r="B1016" s="3" t="s">
        <v>2903</v>
      </c>
      <c r="C1016" s="3" t="s">
        <v>18</v>
      </c>
      <c r="D1016" s="6" t="s">
        <v>2904</v>
      </c>
      <c r="E1016" s="6" t="s">
        <v>2904</v>
      </c>
      <c r="F1016" s="3" t="str">
        <f>IFERROR( VLOOKUP(A1016,#REF!,2,0),"")</f>
        <v/>
      </c>
      <c r="G1016" s="3" t="str">
        <f t="array" ref="G1016">_xlfn.XLOOKUP(I1016,Base_Datos!D:D,Base_Datos!B:B,"")</f>
        <v>DFSK</v>
      </c>
      <c r="H1016" s="3" t="str">
        <f t="array" ref="H1016">IF(I1016="","",IFERROR(_xlfn.XLOOKUP(I1016,Base_Datos!$D$2:$D3876,Base_Datos!$C$2:$C3876),""))</f>
        <v>Serie Glory</v>
      </c>
      <c r="I1016" s="3" t="s">
        <v>1765</v>
      </c>
      <c r="J1016" s="3" t="str">
        <f>IF(I1016="","",IFERROR(VLOOKUP(I1016,Base_Datos!$D$2:$E$72,2,0),""))</f>
        <v>(1.5L)</v>
      </c>
      <c r="K1016" s="3" t="s">
        <v>2881</v>
      </c>
      <c r="L1016" s="3"/>
      <c r="M1016" s="7">
        <v>35</v>
      </c>
      <c r="N1016" s="7">
        <v>0</v>
      </c>
    </row>
    <row r="1017" spans="1:14" ht="14.25" x14ac:dyDescent="0.2">
      <c r="A1017" s="3">
        <v>78015</v>
      </c>
      <c r="B1017" s="3" t="s">
        <v>2616</v>
      </c>
      <c r="C1017" s="3" t="s">
        <v>18</v>
      </c>
      <c r="D1017" s="6" t="s">
        <v>2905</v>
      </c>
      <c r="E1017" s="6" t="s">
        <v>2905</v>
      </c>
      <c r="F1017" s="3" t="str">
        <f>IFERROR( VLOOKUP(A1017,#REF!,2,0),"")</f>
        <v/>
      </c>
      <c r="G1017" s="3" t="str">
        <f t="array" ref="G1017">_xlfn.XLOOKUP(I1017,Base_Datos!D:D,Base_Datos!B:B,"")</f>
        <v>DFSK</v>
      </c>
      <c r="H1017" s="3" t="str">
        <f t="array" ref="H1017">IF(I1017="","",IFERROR(_xlfn.XLOOKUP(I1017,Base_Datos!$D$2:$D3876,Base_Datos!$C$2:$C3876),""))</f>
        <v>Serie Glory</v>
      </c>
      <c r="I1017" s="3" t="s">
        <v>1765</v>
      </c>
      <c r="J1017" s="3" t="str">
        <f>IF(I1017="","",IFERROR(VLOOKUP(I1017,Base_Datos!$D$2:$E$72,2,0),""))</f>
        <v>(1.5L)</v>
      </c>
      <c r="K1017" s="3" t="s">
        <v>2881</v>
      </c>
      <c r="L1017" s="3"/>
      <c r="M1017" s="7">
        <v>4</v>
      </c>
      <c r="N1017" s="7">
        <v>0</v>
      </c>
    </row>
    <row r="1018" spans="1:14" ht="14.25" x14ac:dyDescent="0.2">
      <c r="A1018" s="3">
        <v>78016</v>
      </c>
      <c r="B1018" s="3" t="s">
        <v>2906</v>
      </c>
      <c r="C1018" s="3" t="s">
        <v>18</v>
      </c>
      <c r="D1018" s="6" t="s">
        <v>2907</v>
      </c>
      <c r="E1018" s="6" t="s">
        <v>2907</v>
      </c>
      <c r="F1018" s="3" t="str">
        <f>IFERROR( VLOOKUP(A1018,#REF!,2,0),"")</f>
        <v/>
      </c>
      <c r="G1018" s="3" t="str">
        <f t="array" ref="G1018">_xlfn.XLOOKUP(I1018,Base_Datos!D:D,Base_Datos!B:B,"")</f>
        <v>DFSK</v>
      </c>
      <c r="H1018" s="3" t="str">
        <f t="array" ref="H1018">IF(I1018="","",IFERROR(_xlfn.XLOOKUP(I1018,Base_Datos!$D$2:$D3876,Base_Datos!$C$2:$C3876),""))</f>
        <v>Serie Glory</v>
      </c>
      <c r="I1018" s="3" t="s">
        <v>1765</v>
      </c>
      <c r="J1018" s="3" t="str">
        <f>IF(I1018="","",IFERROR(VLOOKUP(I1018,Base_Datos!$D$2:$E$72,2,0),""))</f>
        <v>(1.5L)</v>
      </c>
      <c r="K1018" s="3" t="s">
        <v>2881</v>
      </c>
      <c r="L1018" s="3"/>
      <c r="M1018" s="7">
        <v>4</v>
      </c>
      <c r="N1018" s="7">
        <v>0</v>
      </c>
    </row>
    <row r="1019" spans="1:14" ht="14.25" x14ac:dyDescent="0.2">
      <c r="A1019" s="3">
        <v>78017</v>
      </c>
      <c r="B1019" s="3" t="s">
        <v>2908</v>
      </c>
      <c r="C1019" s="3" t="s">
        <v>18</v>
      </c>
      <c r="D1019" s="6" t="s">
        <v>2909</v>
      </c>
      <c r="E1019" s="6" t="s">
        <v>2909</v>
      </c>
      <c r="F1019" s="3" t="str">
        <f>IFERROR( VLOOKUP(A1019,#REF!,2,0),"")</f>
        <v/>
      </c>
      <c r="G1019" s="3" t="str">
        <f t="array" ref="G1019">_xlfn.XLOOKUP(I1019,Base_Datos!D:D,Base_Datos!B:B,"")</f>
        <v>DFSK</v>
      </c>
      <c r="H1019" s="3" t="str">
        <f t="array" ref="H1019">IF(I1019="","",IFERROR(_xlfn.XLOOKUP(I1019,Base_Datos!$D$2:$D3876,Base_Datos!$C$2:$C3876),""))</f>
        <v>Serie Glory</v>
      </c>
      <c r="I1019" s="3" t="s">
        <v>1765</v>
      </c>
      <c r="J1019" s="3" t="str">
        <f>IF(I1019="","",IFERROR(VLOOKUP(I1019,Base_Datos!$D$2:$E$72,2,0),""))</f>
        <v>(1.5L)</v>
      </c>
      <c r="K1019" s="3" t="s">
        <v>1782</v>
      </c>
      <c r="L1019" s="3"/>
      <c r="M1019" s="7">
        <v>8</v>
      </c>
      <c r="N1019" s="7">
        <v>0</v>
      </c>
    </row>
    <row r="1020" spans="1:14" ht="14.25" x14ac:dyDescent="0.2">
      <c r="A1020" s="3">
        <v>78018</v>
      </c>
      <c r="B1020" s="3" t="s">
        <v>2910</v>
      </c>
      <c r="C1020" s="3" t="s">
        <v>18</v>
      </c>
      <c r="D1020" s="6" t="s">
        <v>2911</v>
      </c>
      <c r="E1020" s="6" t="s">
        <v>2911</v>
      </c>
      <c r="F1020" s="3" t="str">
        <f>IFERROR( VLOOKUP(A1020,#REF!,2,0),"")</f>
        <v/>
      </c>
      <c r="G1020" s="3" t="str">
        <f t="array" ref="G1020">_xlfn.XLOOKUP(I1020,Base_Datos!D:D,Base_Datos!B:B,"")</f>
        <v>DFSK</v>
      </c>
      <c r="H1020" s="3" t="str">
        <f t="array" ref="H1020">IF(I1020="","",IFERROR(_xlfn.XLOOKUP(I1020,Base_Datos!$D$2:$D3876,Base_Datos!$C$2:$C3876),""))</f>
        <v>Serie Glory</v>
      </c>
      <c r="I1020" s="3" t="s">
        <v>1765</v>
      </c>
      <c r="J1020" s="3" t="str">
        <f>IF(I1020="","",IFERROR(VLOOKUP(I1020,Base_Datos!$D$2:$E$72,2,0),""))</f>
        <v>(1.5L)</v>
      </c>
      <c r="K1020" s="3" t="s">
        <v>1782</v>
      </c>
      <c r="L1020" s="3"/>
      <c r="M1020" s="7">
        <v>8</v>
      </c>
      <c r="N1020" s="7">
        <v>0</v>
      </c>
    </row>
    <row r="1021" spans="1:14" ht="14.25" x14ac:dyDescent="0.2">
      <c r="A1021" s="3">
        <v>78019</v>
      </c>
      <c r="B1021" s="3" t="s">
        <v>2912</v>
      </c>
      <c r="C1021" s="3" t="s">
        <v>18</v>
      </c>
      <c r="D1021" s="6" t="s">
        <v>2913</v>
      </c>
      <c r="E1021" s="6" t="s">
        <v>2913</v>
      </c>
      <c r="F1021" s="3" t="str">
        <f>IFERROR( VLOOKUP(A1021,#REF!,2,0),"")</f>
        <v/>
      </c>
      <c r="G1021" s="3" t="str">
        <f t="array" ref="G1021">_xlfn.XLOOKUP(I1021,Base_Datos!D:D,Base_Datos!B:B,"")</f>
        <v>DFSK</v>
      </c>
      <c r="H1021" s="3" t="str">
        <f t="array" ref="H1021">IF(I1021="","",IFERROR(_xlfn.XLOOKUP(I1021,Base_Datos!$D$2:$D3876,Base_Datos!$C$2:$C3876),""))</f>
        <v>Serie Glory</v>
      </c>
      <c r="I1021" s="3" t="s">
        <v>1765</v>
      </c>
      <c r="J1021" s="3" t="str">
        <f>IF(I1021="","",IFERROR(VLOOKUP(I1021,Base_Datos!$D$2:$E$72,2,0),""))</f>
        <v>(1.5L)</v>
      </c>
      <c r="K1021" s="3" t="s">
        <v>1782</v>
      </c>
      <c r="L1021" s="3"/>
      <c r="M1021" s="7">
        <v>2</v>
      </c>
      <c r="N1021" s="7">
        <v>0</v>
      </c>
    </row>
    <row r="1022" spans="1:14" ht="14.25" x14ac:dyDescent="0.2">
      <c r="A1022" s="3">
        <v>78020</v>
      </c>
      <c r="B1022" s="3" t="s">
        <v>2914</v>
      </c>
      <c r="C1022" s="3" t="s">
        <v>18</v>
      </c>
      <c r="D1022" s="6" t="s">
        <v>2915</v>
      </c>
      <c r="E1022" s="6" t="s">
        <v>2915</v>
      </c>
      <c r="F1022" s="3" t="str">
        <f>IFERROR( VLOOKUP(A1022,#REF!,2,0),"")</f>
        <v/>
      </c>
      <c r="G1022" s="3" t="str">
        <f t="array" ref="G1022">_xlfn.XLOOKUP(I1022,Base_Datos!D:D,Base_Datos!B:B,"")</f>
        <v>DFSK</v>
      </c>
      <c r="H1022" s="3" t="str">
        <f t="array" ref="H1022">IF(I1022="","",IFERROR(_xlfn.XLOOKUP(I1022,Base_Datos!$D$2:$D3876,Base_Datos!$C$2:$C3876),""))</f>
        <v>Serie Glory</v>
      </c>
      <c r="I1022" s="3" t="s">
        <v>1765</v>
      </c>
      <c r="J1022" s="3" t="str">
        <f>IF(I1022="","",IFERROR(VLOOKUP(I1022,Base_Datos!$D$2:$E$72,2,0),""))</f>
        <v>(1.5L)</v>
      </c>
      <c r="K1022" s="3" t="s">
        <v>1782</v>
      </c>
      <c r="L1022" s="3"/>
      <c r="M1022" s="7">
        <v>2</v>
      </c>
      <c r="N1022" s="7">
        <v>0</v>
      </c>
    </row>
    <row r="1023" spans="1:14" ht="14.25" x14ac:dyDescent="0.2">
      <c r="A1023" s="3">
        <v>78021</v>
      </c>
      <c r="B1023" s="3" t="s">
        <v>2916</v>
      </c>
      <c r="C1023" s="3" t="s">
        <v>18</v>
      </c>
      <c r="D1023" s="6" t="s">
        <v>2917</v>
      </c>
      <c r="E1023" s="6" t="s">
        <v>2917</v>
      </c>
      <c r="F1023" s="3" t="str">
        <f>IFERROR( VLOOKUP(A1023,#REF!,2,0),"")</f>
        <v/>
      </c>
      <c r="G1023" s="3" t="str">
        <f t="array" ref="G1023">_xlfn.XLOOKUP(I1023,Base_Datos!D:D,Base_Datos!B:B,"")</f>
        <v>DFSK</v>
      </c>
      <c r="H1023" s="3" t="str">
        <f t="array" ref="H1023">IF(I1023="","",IFERROR(_xlfn.XLOOKUP(I1023,Base_Datos!$D$2:$D3876,Base_Datos!$C$2:$C3876),""))</f>
        <v>Serie Glory</v>
      </c>
      <c r="I1023" s="3" t="s">
        <v>1765</v>
      </c>
      <c r="J1023" s="3" t="str">
        <f>IF(I1023="","",IFERROR(VLOOKUP(I1023,Base_Datos!$D$2:$E$72,2,0),""))</f>
        <v>(1.5L)</v>
      </c>
      <c r="K1023" s="3" t="s">
        <v>1782</v>
      </c>
      <c r="L1023" s="3"/>
      <c r="M1023" s="7">
        <v>3</v>
      </c>
      <c r="N1023" s="7">
        <v>0</v>
      </c>
    </row>
    <row r="1024" spans="1:14" ht="14.25" x14ac:dyDescent="0.2">
      <c r="A1024" s="3">
        <v>78022</v>
      </c>
      <c r="B1024" s="3" t="s">
        <v>2918</v>
      </c>
      <c r="C1024" s="3" t="s">
        <v>18</v>
      </c>
      <c r="D1024" s="6" t="s">
        <v>2919</v>
      </c>
      <c r="E1024" s="6" t="s">
        <v>2919</v>
      </c>
      <c r="F1024" s="3" t="str">
        <f>IFERROR( VLOOKUP(A1024,#REF!,2,0),"")</f>
        <v/>
      </c>
      <c r="G1024" s="3" t="str">
        <f t="array" ref="G1024">_xlfn.XLOOKUP(I1024,Base_Datos!D:D,Base_Datos!B:B,"")</f>
        <v>DFSK</v>
      </c>
      <c r="H1024" s="3" t="str">
        <f t="array" ref="H1024">IF(I1024="","",IFERROR(_xlfn.XLOOKUP(I1024,Base_Datos!$D$2:$D3876,Base_Datos!$C$2:$C3876),""))</f>
        <v>Serie Glory</v>
      </c>
      <c r="I1024" s="3" t="s">
        <v>1765</v>
      </c>
      <c r="J1024" s="3" t="str">
        <f>IF(I1024="","",IFERROR(VLOOKUP(I1024,Base_Datos!$D$2:$E$72,2,0),""))</f>
        <v>(1.5L)</v>
      </c>
      <c r="K1024" s="3" t="s">
        <v>1782</v>
      </c>
      <c r="L1024" s="3"/>
      <c r="M1024" s="7">
        <v>4</v>
      </c>
      <c r="N1024" s="7">
        <v>0</v>
      </c>
    </row>
    <row r="1025" spans="1:14" ht="14.25" x14ac:dyDescent="0.2">
      <c r="A1025" s="3">
        <v>78023</v>
      </c>
      <c r="B1025" s="3" t="s">
        <v>2920</v>
      </c>
      <c r="C1025" s="3" t="s">
        <v>18</v>
      </c>
      <c r="D1025" s="6" t="s">
        <v>2921</v>
      </c>
      <c r="E1025" s="6" t="s">
        <v>2921</v>
      </c>
      <c r="F1025" s="3" t="str">
        <f>IFERROR( VLOOKUP(A1025,#REF!,2,0),"")</f>
        <v/>
      </c>
      <c r="G1025" s="3" t="str">
        <f t="array" ref="G1025">_xlfn.XLOOKUP(I1025,Base_Datos!D:D,Base_Datos!B:B,"")</f>
        <v>DFSK</v>
      </c>
      <c r="H1025" s="3" t="str">
        <f t="array" ref="H1025">IF(I1025="","",IFERROR(_xlfn.XLOOKUP(I1025,Base_Datos!$D$2:$D3876,Base_Datos!$C$2:$C3876),""))</f>
        <v>Serie Glory</v>
      </c>
      <c r="I1025" s="3" t="s">
        <v>1765</v>
      </c>
      <c r="J1025" s="3" t="str">
        <f>IF(I1025="","",IFERROR(VLOOKUP(I1025,Base_Datos!$D$2:$E$72,2,0),""))</f>
        <v>(1.5L)</v>
      </c>
      <c r="K1025" s="3" t="s">
        <v>1782</v>
      </c>
      <c r="L1025" s="3"/>
      <c r="M1025" s="7">
        <v>1</v>
      </c>
      <c r="N1025" s="7">
        <v>0</v>
      </c>
    </row>
    <row r="1026" spans="1:14" ht="14.25" x14ac:dyDescent="0.2">
      <c r="A1026" s="3">
        <v>78024</v>
      </c>
      <c r="B1026" s="3" t="s">
        <v>1884</v>
      </c>
      <c r="C1026" s="3" t="s">
        <v>18</v>
      </c>
      <c r="D1026" s="6" t="s">
        <v>2922</v>
      </c>
      <c r="E1026" s="6" t="s">
        <v>2922</v>
      </c>
      <c r="F1026" s="3" t="str">
        <f>IFERROR( VLOOKUP(A1026,#REF!,2,0),"")</f>
        <v/>
      </c>
      <c r="G1026" s="3" t="str">
        <f t="array" ref="G1026">_xlfn.XLOOKUP(I1026,Base_Datos!D:D,Base_Datos!B:B,"")</f>
        <v>DFSK</v>
      </c>
      <c r="H1026" s="3" t="str">
        <f t="array" ref="H1026">IF(I1026="","",IFERROR(_xlfn.XLOOKUP(I1026,Base_Datos!$D$2:$D3876,Base_Datos!$C$2:$C3876),""))</f>
        <v>Serie Glory</v>
      </c>
      <c r="I1026" s="3" t="s">
        <v>1765</v>
      </c>
      <c r="J1026" s="3" t="str">
        <f>IF(I1026="","",IFERROR(VLOOKUP(I1026,Base_Datos!$D$2:$E$72,2,0),""))</f>
        <v>(1.5L)</v>
      </c>
      <c r="K1026" s="3" t="s">
        <v>1782</v>
      </c>
      <c r="L1026" s="3"/>
      <c r="M1026" s="7">
        <v>50</v>
      </c>
      <c r="N1026" s="7">
        <v>0</v>
      </c>
    </row>
    <row r="1027" spans="1:14" ht="14.25" x14ac:dyDescent="0.2">
      <c r="A1027" s="3">
        <v>78025</v>
      </c>
      <c r="B1027" s="3" t="s">
        <v>2923</v>
      </c>
      <c r="C1027" s="3" t="s">
        <v>18</v>
      </c>
      <c r="D1027" s="6" t="s">
        <v>2924</v>
      </c>
      <c r="E1027" s="6" t="s">
        <v>2924</v>
      </c>
      <c r="F1027" s="3" t="str">
        <f>IFERROR( VLOOKUP(A1027,#REF!,2,0),"")</f>
        <v/>
      </c>
      <c r="G1027" s="3" t="str">
        <f t="array" ref="G1027">_xlfn.XLOOKUP(I1027,Base_Datos!D:D,Base_Datos!B:B,"")</f>
        <v>DFSK</v>
      </c>
      <c r="H1027" s="3" t="str">
        <f t="array" ref="H1027">IF(I1027="","",IFERROR(_xlfn.XLOOKUP(I1027,Base_Datos!$D$2:$D3876,Base_Datos!$C$2:$C3876),""))</f>
        <v>Serie Glory</v>
      </c>
      <c r="I1027" s="3" t="s">
        <v>1765</v>
      </c>
      <c r="J1027" s="3" t="str">
        <f>IF(I1027="","",IFERROR(VLOOKUP(I1027,Base_Datos!$D$2:$E$72,2,0),""))</f>
        <v>(1.5L)</v>
      </c>
      <c r="K1027" s="3" t="s">
        <v>2881</v>
      </c>
      <c r="L1027" s="3"/>
      <c r="M1027" s="7">
        <v>59</v>
      </c>
      <c r="N1027" s="7">
        <v>0</v>
      </c>
    </row>
    <row r="1028" spans="1:14" ht="14.25" x14ac:dyDescent="0.2">
      <c r="A1028" s="3">
        <v>78026</v>
      </c>
      <c r="B1028" s="3" t="s">
        <v>2925</v>
      </c>
      <c r="C1028" s="3" t="s">
        <v>18</v>
      </c>
      <c r="D1028" s="6" t="s">
        <v>2926</v>
      </c>
      <c r="E1028" s="6" t="s">
        <v>2926</v>
      </c>
      <c r="F1028" s="3" t="str">
        <f>IFERROR( VLOOKUP(A1028,#REF!,2,0),"")</f>
        <v/>
      </c>
      <c r="G1028" s="3" t="str">
        <f t="array" ref="G1028">_xlfn.XLOOKUP(I1028,Base_Datos!D:D,Base_Datos!B:B,"")</f>
        <v>DFSK</v>
      </c>
      <c r="H1028" s="3" t="str">
        <f t="array" ref="H1028">IF(I1028="","",IFERROR(_xlfn.XLOOKUP(I1028,Base_Datos!$D$2:$D3876,Base_Datos!$C$2:$C3876),""))</f>
        <v>Serie Glory</v>
      </c>
      <c r="I1028" s="3" t="s">
        <v>1765</v>
      </c>
      <c r="J1028" s="3" t="str">
        <f>IF(I1028="","",IFERROR(VLOOKUP(I1028,Base_Datos!$D$2:$E$72,2,0),""))</f>
        <v>(1.5L)</v>
      </c>
      <c r="K1028" s="3" t="s">
        <v>1782</v>
      </c>
      <c r="L1028" s="3"/>
      <c r="M1028" s="7">
        <v>59</v>
      </c>
      <c r="N1028" s="7">
        <v>0</v>
      </c>
    </row>
    <row r="1029" spans="1:14" ht="14.25" x14ac:dyDescent="0.2">
      <c r="A1029" s="3">
        <v>78027</v>
      </c>
      <c r="B1029" s="3" t="s">
        <v>2927</v>
      </c>
      <c r="C1029" s="3" t="s">
        <v>18</v>
      </c>
      <c r="D1029" s="6" t="s">
        <v>2928</v>
      </c>
      <c r="E1029" s="6" t="s">
        <v>2928</v>
      </c>
      <c r="F1029" s="3" t="str">
        <f>IFERROR( VLOOKUP(A1029,#REF!,2,0),"")</f>
        <v/>
      </c>
      <c r="G1029" s="3" t="str">
        <f t="array" ref="G1029">_xlfn.XLOOKUP(I1029,Base_Datos!D:D,Base_Datos!B:B,"")</f>
        <v>DFSK</v>
      </c>
      <c r="H1029" s="3" t="str">
        <f t="array" ref="H1029">IF(I1029="","",IFERROR(_xlfn.XLOOKUP(I1029,Base_Datos!$D$2:$D3876,Base_Datos!$C$2:$C3876),""))</f>
        <v>Serie Glory</v>
      </c>
      <c r="I1029" s="3" t="s">
        <v>1765</v>
      </c>
      <c r="J1029" s="3" t="str">
        <f>IF(I1029="","",IFERROR(VLOOKUP(I1029,Base_Datos!$D$2:$E$72,2,0),""))</f>
        <v>(1.5L)</v>
      </c>
      <c r="K1029" s="3" t="s">
        <v>2881</v>
      </c>
      <c r="L1029" s="3"/>
      <c r="M1029" s="7">
        <v>60</v>
      </c>
      <c r="N1029" s="7">
        <v>0</v>
      </c>
    </row>
    <row r="1030" spans="1:14" ht="14.25" x14ac:dyDescent="0.2">
      <c r="A1030" s="3">
        <v>78028</v>
      </c>
      <c r="B1030" s="3" t="s">
        <v>2929</v>
      </c>
      <c r="C1030" s="3" t="s">
        <v>18</v>
      </c>
      <c r="D1030" s="6" t="s">
        <v>2930</v>
      </c>
      <c r="E1030" s="6" t="s">
        <v>2930</v>
      </c>
      <c r="F1030" s="3" t="str">
        <f>IFERROR( VLOOKUP(A1030,#REF!,2,0),"")</f>
        <v/>
      </c>
      <c r="G1030" s="3" t="str">
        <f t="array" ref="G1030">_xlfn.XLOOKUP(I1030,Base_Datos!D:D,Base_Datos!B:B,"")</f>
        <v>DFSK</v>
      </c>
      <c r="H1030" s="3" t="str">
        <f t="array" ref="H1030">IF(I1030="","",IFERROR(_xlfn.XLOOKUP(I1030,Base_Datos!$D$2:$D3876,Base_Datos!$C$2:$C3876),""))</f>
        <v>Serie Glory</v>
      </c>
      <c r="I1030" s="3" t="s">
        <v>1765</v>
      </c>
      <c r="J1030" s="3" t="str">
        <f>IF(I1030="","",IFERROR(VLOOKUP(I1030,Base_Datos!$D$2:$E$72,2,0),""))</f>
        <v>(1.5L)</v>
      </c>
      <c r="K1030" s="3" t="s">
        <v>1782</v>
      </c>
      <c r="L1030" s="3"/>
      <c r="M1030" s="7">
        <v>20</v>
      </c>
      <c r="N1030" s="7">
        <v>0</v>
      </c>
    </row>
    <row r="1031" spans="1:14" ht="14.25" x14ac:dyDescent="0.2">
      <c r="A1031" s="3">
        <v>78029</v>
      </c>
      <c r="B1031" s="3" t="s">
        <v>2931</v>
      </c>
      <c r="C1031" s="3" t="s">
        <v>18</v>
      </c>
      <c r="D1031" s="6" t="s">
        <v>2932</v>
      </c>
      <c r="E1031" s="6" t="s">
        <v>2932</v>
      </c>
      <c r="F1031" s="3" t="str">
        <f>IFERROR( VLOOKUP(A1031,#REF!,2,0),"")</f>
        <v/>
      </c>
      <c r="G1031" s="3" t="str">
        <f t="array" ref="G1031">_xlfn.XLOOKUP(I1031,Base_Datos!D:D,Base_Datos!B:B,"")</f>
        <v>DFSK</v>
      </c>
      <c r="H1031" s="3" t="str">
        <f t="array" ref="H1031">IF(I1031="","",IFERROR(_xlfn.XLOOKUP(I1031,Base_Datos!$D$2:$D3876,Base_Datos!$C$2:$C3876),""))</f>
        <v>Serie Glory</v>
      </c>
      <c r="I1031" s="3" t="s">
        <v>1765</v>
      </c>
      <c r="J1031" s="3" t="str">
        <f>IF(I1031="","",IFERROR(VLOOKUP(I1031,Base_Datos!$D$2:$E$72,2,0),""))</f>
        <v>(1.5L)</v>
      </c>
      <c r="K1031" s="3" t="s">
        <v>2881</v>
      </c>
      <c r="L1031" s="3"/>
      <c r="M1031" s="7">
        <v>6</v>
      </c>
      <c r="N1031" s="7">
        <v>0</v>
      </c>
    </row>
    <row r="1032" spans="1:14" ht="14.25" x14ac:dyDescent="0.2">
      <c r="A1032" s="3">
        <v>78030</v>
      </c>
      <c r="B1032" s="3" t="s">
        <v>2933</v>
      </c>
      <c r="C1032" s="3" t="s">
        <v>18</v>
      </c>
      <c r="D1032" s="6" t="s">
        <v>2934</v>
      </c>
      <c r="E1032" s="6" t="s">
        <v>2934</v>
      </c>
      <c r="F1032" s="3" t="str">
        <f>IFERROR( VLOOKUP(A1032,#REF!,2,0),"")</f>
        <v/>
      </c>
      <c r="G1032" s="3" t="str">
        <f t="array" ref="G1032">_xlfn.XLOOKUP(I1032,Base_Datos!D:D,Base_Datos!B:B,"")</f>
        <v>DFSK</v>
      </c>
      <c r="H1032" s="3" t="str">
        <f t="array" ref="H1032">IF(I1032="","",IFERROR(_xlfn.XLOOKUP(I1032,Base_Datos!$D$2:$D3876,Base_Datos!$C$2:$C3876),""))</f>
        <v>Serie Glory</v>
      </c>
      <c r="I1032" s="3" t="s">
        <v>1765</v>
      </c>
      <c r="J1032" s="3" t="str">
        <f>IF(I1032="","",IFERROR(VLOOKUP(I1032,Base_Datos!$D$2:$E$72,2,0),""))</f>
        <v>(1.5L)</v>
      </c>
      <c r="K1032" s="3" t="s">
        <v>2881</v>
      </c>
      <c r="L1032" s="3"/>
      <c r="M1032" s="7">
        <v>5</v>
      </c>
      <c r="N1032" s="7">
        <v>0</v>
      </c>
    </row>
    <row r="1033" spans="1:14" ht="14.25" x14ac:dyDescent="0.2">
      <c r="A1033" s="3">
        <v>78031</v>
      </c>
      <c r="B1033" s="3" t="s">
        <v>2935</v>
      </c>
      <c r="C1033" s="3" t="s">
        <v>18</v>
      </c>
      <c r="D1033" s="6" t="s">
        <v>2936</v>
      </c>
      <c r="E1033" s="6" t="s">
        <v>2936</v>
      </c>
      <c r="F1033" s="3" t="str">
        <f>IFERROR( VLOOKUP(A1033,#REF!,2,0),"")</f>
        <v/>
      </c>
      <c r="G1033" s="3" t="str">
        <f t="array" ref="G1033">_xlfn.XLOOKUP(I1033,Base_Datos!D:D,Base_Datos!B:B,"")</f>
        <v>DFSK</v>
      </c>
      <c r="H1033" s="3" t="str">
        <f t="array" ref="H1033">IF(I1033="","",IFERROR(_xlfn.XLOOKUP(I1033,Base_Datos!$D$2:$D3876,Base_Datos!$C$2:$C3876),""))</f>
        <v>Serie Glory</v>
      </c>
      <c r="I1033" s="3" t="s">
        <v>1765</v>
      </c>
      <c r="J1033" s="3" t="str">
        <f>IF(I1033="","",IFERROR(VLOOKUP(I1033,Base_Datos!$D$2:$E$72,2,0),""))</f>
        <v>(1.5L)</v>
      </c>
      <c r="K1033" s="3" t="s">
        <v>2881</v>
      </c>
      <c r="L1033" s="3"/>
      <c r="M1033" s="7">
        <v>40</v>
      </c>
      <c r="N1033" s="7">
        <v>0</v>
      </c>
    </row>
    <row r="1034" spans="1:14" ht="14.25" x14ac:dyDescent="0.2">
      <c r="A1034" s="3">
        <v>78032</v>
      </c>
      <c r="B1034" s="3" t="s">
        <v>2937</v>
      </c>
      <c r="C1034" s="3" t="s">
        <v>18</v>
      </c>
      <c r="D1034" s="6" t="s">
        <v>2938</v>
      </c>
      <c r="E1034" s="6" t="s">
        <v>2938</v>
      </c>
      <c r="F1034" s="3" t="str">
        <f>IFERROR( VLOOKUP(A1034,#REF!,2,0),"")</f>
        <v/>
      </c>
      <c r="G1034" s="3" t="str">
        <f t="array" ref="G1034">_xlfn.XLOOKUP(I1034,Base_Datos!D:D,Base_Datos!B:B,"")</f>
        <v>DFSK</v>
      </c>
      <c r="H1034" s="3" t="str">
        <f t="array" ref="H1034">IF(I1034="","",IFERROR(_xlfn.XLOOKUP(I1034,Base_Datos!$D$2:$D3876,Base_Datos!$C$2:$C3876),""))</f>
        <v>Serie Glory</v>
      </c>
      <c r="I1034" s="3" t="s">
        <v>1765</v>
      </c>
      <c r="J1034" s="3" t="str">
        <f>IF(I1034="","",IFERROR(VLOOKUP(I1034,Base_Datos!$D$2:$E$72,2,0),""))</f>
        <v>(1.5L)</v>
      </c>
      <c r="K1034" s="3" t="s">
        <v>2881</v>
      </c>
      <c r="L1034" s="3"/>
      <c r="M1034" s="7">
        <v>20</v>
      </c>
      <c r="N1034" s="7">
        <v>0</v>
      </c>
    </row>
    <row r="1035" spans="1:14" ht="14.25" x14ac:dyDescent="0.2">
      <c r="A1035" s="3">
        <v>78033</v>
      </c>
      <c r="B1035" s="3" t="s">
        <v>2939</v>
      </c>
      <c r="C1035" s="3" t="s">
        <v>18</v>
      </c>
      <c r="D1035" s="6" t="s">
        <v>2940</v>
      </c>
      <c r="E1035" s="6" t="s">
        <v>2940</v>
      </c>
      <c r="F1035" s="3" t="str">
        <f>IFERROR( VLOOKUP(A1035,#REF!,2,0),"")</f>
        <v/>
      </c>
      <c r="G1035" s="3" t="str">
        <f t="array" ref="G1035">_xlfn.XLOOKUP(I1035,Base_Datos!D:D,Base_Datos!B:B,"")</f>
        <v>DFSK</v>
      </c>
      <c r="H1035" s="3" t="str">
        <f t="array" ref="H1035">IF(I1035="","",IFERROR(_xlfn.XLOOKUP(I1035,Base_Datos!$D$2:$D3876,Base_Datos!$C$2:$C3876),""))</f>
        <v>Serie Glory</v>
      </c>
      <c r="I1035" s="3" t="s">
        <v>1765</v>
      </c>
      <c r="J1035" s="3" t="str">
        <f>IF(I1035="","",IFERROR(VLOOKUP(I1035,Base_Datos!$D$2:$E$72,2,0),""))</f>
        <v>(1.5L)</v>
      </c>
      <c r="K1035" s="3" t="s">
        <v>2881</v>
      </c>
      <c r="L1035" s="3"/>
      <c r="M1035" s="7">
        <v>30</v>
      </c>
      <c r="N1035" s="7">
        <v>0</v>
      </c>
    </row>
    <row r="1036" spans="1:14" ht="14.25" x14ac:dyDescent="0.2">
      <c r="A1036" s="3">
        <v>78034</v>
      </c>
      <c r="B1036" s="3" t="s">
        <v>2941</v>
      </c>
      <c r="C1036" s="3" t="s">
        <v>18</v>
      </c>
      <c r="D1036" s="6" t="s">
        <v>2942</v>
      </c>
      <c r="E1036" s="6" t="s">
        <v>2942</v>
      </c>
      <c r="F1036" s="3" t="str">
        <f>IFERROR( VLOOKUP(A1036,#REF!,2,0),"")</f>
        <v/>
      </c>
      <c r="G1036" s="3" t="str">
        <f t="array" ref="G1036">_xlfn.XLOOKUP(I1036,Base_Datos!D:D,Base_Datos!B:B,"")</f>
        <v>DFSK</v>
      </c>
      <c r="H1036" s="3" t="str">
        <f t="array" ref="H1036">IF(I1036="","",IFERROR(_xlfn.XLOOKUP(I1036,Base_Datos!$D$2:$D3876,Base_Datos!$C$2:$C3876),""))</f>
        <v>Serie Glory</v>
      </c>
      <c r="I1036" s="3" t="s">
        <v>1765</v>
      </c>
      <c r="J1036" s="3" t="str">
        <f>IF(I1036="","",IFERROR(VLOOKUP(I1036,Base_Datos!$D$2:$E$72,2,0),""))</f>
        <v>(1.5L)</v>
      </c>
      <c r="K1036" s="3" t="s">
        <v>2881</v>
      </c>
      <c r="L1036" s="3"/>
      <c r="M1036" s="7">
        <v>4</v>
      </c>
      <c r="N1036" s="7">
        <v>0</v>
      </c>
    </row>
    <row r="1037" spans="1:14" ht="14.25" x14ac:dyDescent="0.2">
      <c r="A1037" s="3">
        <v>78035</v>
      </c>
      <c r="B1037" s="3" t="s">
        <v>2943</v>
      </c>
      <c r="C1037" s="3" t="s">
        <v>18</v>
      </c>
      <c r="D1037" s="6" t="s">
        <v>2944</v>
      </c>
      <c r="E1037" s="6" t="s">
        <v>2944</v>
      </c>
      <c r="F1037" s="3" t="str">
        <f>IFERROR( VLOOKUP(A1037,#REF!,2,0),"")</f>
        <v/>
      </c>
      <c r="G1037" s="3" t="str">
        <f t="array" ref="G1037">_xlfn.XLOOKUP(I1037,Base_Datos!D:D,Base_Datos!B:B,"")</f>
        <v>DFSK</v>
      </c>
      <c r="H1037" s="3" t="str">
        <f t="array" ref="H1037">IF(I1037="","",IFERROR(_xlfn.XLOOKUP(I1037,Base_Datos!$D$2:$D3876,Base_Datos!$C$2:$C3876),""))</f>
        <v>Serie Glory</v>
      </c>
      <c r="I1037" s="3" t="s">
        <v>1765</v>
      </c>
      <c r="J1037" s="3" t="str">
        <f>IF(I1037="","",IFERROR(VLOOKUP(I1037,Base_Datos!$D$2:$E$72,2,0),""))</f>
        <v>(1.5L)</v>
      </c>
      <c r="K1037" s="3" t="s">
        <v>2881</v>
      </c>
      <c r="L1037" s="3"/>
      <c r="M1037" s="7">
        <v>4</v>
      </c>
      <c r="N1037" s="7">
        <v>0</v>
      </c>
    </row>
    <row r="1038" spans="1:14" ht="14.25" x14ac:dyDescent="0.2">
      <c r="A1038" s="3">
        <v>78036</v>
      </c>
      <c r="B1038" s="3" t="s">
        <v>2945</v>
      </c>
      <c r="C1038" s="3" t="s">
        <v>18</v>
      </c>
      <c r="D1038" s="6" t="s">
        <v>2946</v>
      </c>
      <c r="E1038" s="6" t="s">
        <v>2946</v>
      </c>
      <c r="F1038" s="3" t="str">
        <f>IFERROR( VLOOKUP(A1038,#REF!,2,0),"")</f>
        <v/>
      </c>
      <c r="G1038" s="3" t="str">
        <f t="array" ref="G1038">_xlfn.XLOOKUP(I1038,Base_Datos!D:D,Base_Datos!B:B,"")</f>
        <v>DFSK</v>
      </c>
      <c r="H1038" s="3" t="str">
        <f t="array" ref="H1038">IF(I1038="","",IFERROR(_xlfn.XLOOKUP(I1038,Base_Datos!$D$2:$D3876,Base_Datos!$C$2:$C3876),""))</f>
        <v>Serie Glory</v>
      </c>
      <c r="I1038" s="3" t="s">
        <v>1765</v>
      </c>
      <c r="J1038" s="3" t="str">
        <f>IF(I1038="","",IFERROR(VLOOKUP(I1038,Base_Datos!$D$2:$E$72,2,0),""))</f>
        <v>(1.5L)</v>
      </c>
      <c r="K1038" s="3" t="s">
        <v>2881</v>
      </c>
      <c r="L1038" s="3"/>
      <c r="M1038" s="7">
        <v>4</v>
      </c>
      <c r="N1038" s="7">
        <v>0</v>
      </c>
    </row>
    <row r="1039" spans="1:14" ht="14.25" x14ac:dyDescent="0.2">
      <c r="A1039" s="3">
        <v>78037</v>
      </c>
      <c r="B1039" s="3" t="s">
        <v>2947</v>
      </c>
      <c r="C1039" s="3" t="s">
        <v>18</v>
      </c>
      <c r="D1039" s="6" t="s">
        <v>2948</v>
      </c>
      <c r="E1039" s="6" t="s">
        <v>2948</v>
      </c>
      <c r="F1039" s="3" t="str">
        <f>IFERROR( VLOOKUP(A1039,#REF!,2,0),"")</f>
        <v/>
      </c>
      <c r="G1039" s="3" t="str">
        <f t="array" ref="G1039">_xlfn.XLOOKUP(I1039,Base_Datos!D:D,Base_Datos!B:B,"")</f>
        <v>DFSK</v>
      </c>
      <c r="H1039" s="3" t="str">
        <f t="array" ref="H1039">IF(I1039="","",IFERROR(_xlfn.XLOOKUP(I1039,Base_Datos!$D$2:$D3876,Base_Datos!$C$2:$C3876),""))</f>
        <v>Serie Glory</v>
      </c>
      <c r="I1039" s="3" t="s">
        <v>1765</v>
      </c>
      <c r="J1039" s="3" t="str">
        <f>IF(I1039="","",IFERROR(VLOOKUP(I1039,Base_Datos!$D$2:$E$72,2,0),""))</f>
        <v>(1.5L)</v>
      </c>
      <c r="K1039" s="3" t="s">
        <v>2881</v>
      </c>
      <c r="L1039" s="3"/>
      <c r="M1039" s="7">
        <v>4</v>
      </c>
      <c r="N1039" s="7">
        <v>0</v>
      </c>
    </row>
    <row r="1040" spans="1:14" ht="14.25" x14ac:dyDescent="0.2">
      <c r="A1040" s="3">
        <v>78038</v>
      </c>
      <c r="B1040" s="3" t="s">
        <v>2949</v>
      </c>
      <c r="C1040" s="3" t="s">
        <v>18</v>
      </c>
      <c r="D1040" s="6" t="s">
        <v>2950</v>
      </c>
      <c r="E1040" s="6" t="s">
        <v>2950</v>
      </c>
      <c r="F1040" s="3" t="str">
        <f>IFERROR( VLOOKUP(A1040,#REF!,2,0),"")</f>
        <v/>
      </c>
      <c r="G1040" s="3" t="str">
        <f t="array" ref="G1040">_xlfn.XLOOKUP(I1040,Base_Datos!D:D,Base_Datos!B:B,"")</f>
        <v>DFSK</v>
      </c>
      <c r="H1040" s="3" t="str">
        <f t="array" ref="H1040">IF(I1040="","",IFERROR(_xlfn.XLOOKUP(I1040,Base_Datos!$D$2:$D3876,Base_Datos!$C$2:$C3876),""))</f>
        <v>Serie Glory</v>
      </c>
      <c r="I1040" s="3" t="s">
        <v>1765</v>
      </c>
      <c r="J1040" s="3" t="str">
        <f>IF(I1040="","",IFERROR(VLOOKUP(I1040,Base_Datos!$D$2:$E$72,2,0),""))</f>
        <v>(1.5L)</v>
      </c>
      <c r="K1040" s="3" t="s">
        <v>1782</v>
      </c>
      <c r="L1040" s="3"/>
      <c r="M1040" s="7">
        <v>2</v>
      </c>
      <c r="N1040" s="7">
        <v>0</v>
      </c>
    </row>
    <row r="1041" spans="1:14" ht="14.25" x14ac:dyDescent="0.2">
      <c r="A1041" s="3">
        <v>78039</v>
      </c>
      <c r="B1041" s="3" t="s">
        <v>2951</v>
      </c>
      <c r="C1041" s="3" t="s">
        <v>18</v>
      </c>
      <c r="D1041" s="6" t="s">
        <v>2952</v>
      </c>
      <c r="E1041" s="6" t="s">
        <v>2952</v>
      </c>
      <c r="F1041" s="3" t="str">
        <f>IFERROR( VLOOKUP(A1041,#REF!,2,0),"")</f>
        <v/>
      </c>
      <c r="G1041" s="3" t="str">
        <f t="array" ref="G1041">_xlfn.XLOOKUP(I1041,Base_Datos!D:D,Base_Datos!B:B,"")</f>
        <v>DFSK</v>
      </c>
      <c r="H1041" s="3" t="str">
        <f t="array" ref="H1041">IF(I1041="","",IFERROR(_xlfn.XLOOKUP(I1041,Base_Datos!$D$2:$D3876,Base_Datos!$C$2:$C3876),""))</f>
        <v>Serie Glory</v>
      </c>
      <c r="I1041" s="3" t="s">
        <v>1765</v>
      </c>
      <c r="J1041" s="3" t="str">
        <f>IF(I1041="","",IFERROR(VLOOKUP(I1041,Base_Datos!$D$2:$E$72,2,0),""))</f>
        <v>(1.5L)</v>
      </c>
      <c r="K1041" s="3" t="s">
        <v>2881</v>
      </c>
      <c r="L1041" s="3"/>
      <c r="M1041" s="7">
        <v>29</v>
      </c>
      <c r="N1041" s="7">
        <v>0</v>
      </c>
    </row>
    <row r="1042" spans="1:14" ht="14.25" x14ac:dyDescent="0.2">
      <c r="A1042" s="3">
        <v>78040</v>
      </c>
      <c r="B1042" s="3" t="s">
        <v>2953</v>
      </c>
      <c r="C1042" s="3" t="s">
        <v>18</v>
      </c>
      <c r="D1042" s="6" t="s">
        <v>2954</v>
      </c>
      <c r="E1042" s="6" t="s">
        <v>2954</v>
      </c>
      <c r="F1042" s="3" t="str">
        <f>IFERROR( VLOOKUP(A1042,#REF!,2,0),"")</f>
        <v/>
      </c>
      <c r="G1042" s="3" t="str">
        <f t="array" ref="G1042">_xlfn.XLOOKUP(I1042,Base_Datos!D:D,Base_Datos!B:B,"")</f>
        <v>DFSK</v>
      </c>
      <c r="H1042" s="3" t="str">
        <f t="array" ref="H1042">IF(I1042="","",IFERROR(_xlfn.XLOOKUP(I1042,Base_Datos!$D$2:$D3876,Base_Datos!$C$2:$C3876),""))</f>
        <v>Serie Glory</v>
      </c>
      <c r="I1042" s="3" t="s">
        <v>1765</v>
      </c>
      <c r="J1042" s="3" t="str">
        <f>IF(I1042="","",IFERROR(VLOOKUP(I1042,Base_Datos!$D$2:$E$72,2,0),""))</f>
        <v>(1.5L)</v>
      </c>
      <c r="K1042" s="3" t="s">
        <v>2881</v>
      </c>
      <c r="L1042" s="3"/>
      <c r="M1042" s="7">
        <v>5</v>
      </c>
      <c r="N1042" s="7">
        <v>0</v>
      </c>
    </row>
    <row r="1043" spans="1:14" ht="14.25" x14ac:dyDescent="0.2">
      <c r="A1043" s="3">
        <v>78041</v>
      </c>
      <c r="B1043" s="3" t="s">
        <v>2955</v>
      </c>
      <c r="C1043" s="3" t="s">
        <v>18</v>
      </c>
      <c r="D1043" s="6" t="s">
        <v>2956</v>
      </c>
      <c r="E1043" s="6" t="s">
        <v>2956</v>
      </c>
      <c r="F1043" s="3" t="str">
        <f>IFERROR( VLOOKUP(A1043,#REF!,2,0),"")</f>
        <v/>
      </c>
      <c r="G1043" s="3" t="str">
        <f t="array" ref="G1043">_xlfn.XLOOKUP(I1043,Base_Datos!D:D,Base_Datos!B:B,"")</f>
        <v>DFSK</v>
      </c>
      <c r="H1043" s="3" t="str">
        <f t="array" ref="H1043">IF(I1043="","",IFERROR(_xlfn.XLOOKUP(I1043,Base_Datos!$D$2:$D3876,Base_Datos!$C$2:$C3876),""))</f>
        <v>Serie Glory</v>
      </c>
      <c r="I1043" s="3" t="s">
        <v>1765</v>
      </c>
      <c r="J1043" s="3" t="str">
        <f>IF(I1043="","",IFERROR(VLOOKUP(I1043,Base_Datos!$D$2:$E$72,2,0),""))</f>
        <v>(1.5L)</v>
      </c>
      <c r="K1043" s="3" t="s">
        <v>2881</v>
      </c>
      <c r="L1043" s="3"/>
      <c r="M1043" s="7">
        <v>20</v>
      </c>
      <c r="N1043" s="7">
        <v>0</v>
      </c>
    </row>
    <row r="1044" spans="1:14" ht="14.25" x14ac:dyDescent="0.2">
      <c r="A1044" s="3">
        <v>78042</v>
      </c>
      <c r="B1044" s="3" t="s">
        <v>2957</v>
      </c>
      <c r="C1044" s="3" t="s">
        <v>18</v>
      </c>
      <c r="D1044" s="6" t="s">
        <v>2958</v>
      </c>
      <c r="E1044" s="6" t="s">
        <v>2958</v>
      </c>
      <c r="F1044" s="3" t="str">
        <f>IFERROR( VLOOKUP(A1044,#REF!,2,0),"")</f>
        <v/>
      </c>
      <c r="G1044" s="3" t="str">
        <f t="array" ref="G1044">_xlfn.XLOOKUP(I1044,Base_Datos!D:D,Base_Datos!B:B,"")</f>
        <v>DFSK</v>
      </c>
      <c r="H1044" s="3" t="str">
        <f t="array" ref="H1044">IF(I1044="","",IFERROR(_xlfn.XLOOKUP(I1044,Base_Datos!$D$2:$D3876,Base_Datos!$C$2:$C3876),""))</f>
        <v>Serie Glory</v>
      </c>
      <c r="I1044" s="3" t="s">
        <v>1765</v>
      </c>
      <c r="J1044" s="3" t="str">
        <f>IF(I1044="","",IFERROR(VLOOKUP(I1044,Base_Datos!$D$2:$E$72,2,0),""))</f>
        <v>(1.5L)</v>
      </c>
      <c r="K1044" s="3" t="s">
        <v>2881</v>
      </c>
      <c r="L1044" s="3"/>
      <c r="M1044" s="7">
        <v>20</v>
      </c>
      <c r="N1044" s="7">
        <v>0</v>
      </c>
    </row>
    <row r="1045" spans="1:14" ht="14.25" x14ac:dyDescent="0.2">
      <c r="A1045" s="3">
        <v>78043</v>
      </c>
      <c r="B1045" s="3" t="s">
        <v>2959</v>
      </c>
      <c r="C1045" s="3" t="s">
        <v>18</v>
      </c>
      <c r="D1045" s="6" t="s">
        <v>2960</v>
      </c>
      <c r="E1045" s="6" t="s">
        <v>2960</v>
      </c>
      <c r="F1045" s="3" t="str">
        <f>IFERROR( VLOOKUP(A1045,#REF!,2,0),"")</f>
        <v/>
      </c>
      <c r="G1045" s="3" t="str">
        <f t="array" ref="G1045">_xlfn.XLOOKUP(I1045,Base_Datos!D:D,Base_Datos!B:B,"")</f>
        <v>DFSK</v>
      </c>
      <c r="H1045" s="3" t="str">
        <f t="array" ref="H1045">IF(I1045="","",IFERROR(_xlfn.XLOOKUP(I1045,Base_Datos!$D$2:$D3876,Base_Datos!$C$2:$C3876),""))</f>
        <v>Serie Glory</v>
      </c>
      <c r="I1045" s="3" t="s">
        <v>1765</v>
      </c>
      <c r="J1045" s="3" t="str">
        <f>IF(I1045="","",IFERROR(VLOOKUP(I1045,Base_Datos!$D$2:$E$72,2,0),""))</f>
        <v>(1.5L)</v>
      </c>
      <c r="K1045" s="3" t="s">
        <v>2881</v>
      </c>
      <c r="L1045" s="3"/>
      <c r="M1045" s="7">
        <v>4</v>
      </c>
      <c r="N1045" s="7">
        <v>0</v>
      </c>
    </row>
    <row r="1046" spans="1:14" ht="14.25" x14ac:dyDescent="0.2">
      <c r="A1046" s="3">
        <v>78044</v>
      </c>
      <c r="B1046" s="3" t="s">
        <v>2961</v>
      </c>
      <c r="C1046" s="3" t="s">
        <v>18</v>
      </c>
      <c r="D1046" s="6" t="s">
        <v>2962</v>
      </c>
      <c r="E1046" s="6" t="s">
        <v>2962</v>
      </c>
      <c r="F1046" s="3" t="str">
        <f>IFERROR( VLOOKUP(A1046,#REF!,2,0),"")</f>
        <v/>
      </c>
      <c r="G1046" s="3" t="str">
        <f t="array" ref="G1046">_xlfn.XLOOKUP(I1046,Base_Datos!D:D,Base_Datos!B:B,"")</f>
        <v>DFSK</v>
      </c>
      <c r="H1046" s="3" t="str">
        <f t="array" ref="H1046">IF(I1046="","",IFERROR(_xlfn.XLOOKUP(I1046,Base_Datos!$D$2:$D3876,Base_Datos!$C$2:$C3876),""))</f>
        <v>Serie Glory</v>
      </c>
      <c r="I1046" s="3" t="s">
        <v>1765</v>
      </c>
      <c r="J1046" s="3" t="str">
        <f>IF(I1046="","",IFERROR(VLOOKUP(I1046,Base_Datos!$D$2:$E$72,2,0),""))</f>
        <v>(1.5L)</v>
      </c>
      <c r="K1046" s="3" t="s">
        <v>2881</v>
      </c>
      <c r="L1046" s="3"/>
      <c r="M1046" s="7">
        <v>2</v>
      </c>
      <c r="N1046" s="7">
        <v>0</v>
      </c>
    </row>
    <row r="1047" spans="1:14" ht="14.25" x14ac:dyDescent="0.2">
      <c r="A1047" s="3">
        <v>78045</v>
      </c>
      <c r="B1047" s="3" t="s">
        <v>2963</v>
      </c>
      <c r="C1047" s="3" t="s">
        <v>18</v>
      </c>
      <c r="D1047" s="6" t="s">
        <v>2964</v>
      </c>
      <c r="E1047" s="6" t="s">
        <v>2964</v>
      </c>
      <c r="F1047" s="3" t="str">
        <f>IFERROR( VLOOKUP(A1047,#REF!,2,0),"")</f>
        <v/>
      </c>
      <c r="G1047" s="3" t="str">
        <f t="array" ref="G1047">_xlfn.XLOOKUP(I1047,Base_Datos!D:D,Base_Datos!B:B,"")</f>
        <v>DFSK</v>
      </c>
      <c r="H1047" s="3" t="str">
        <f t="array" ref="H1047">IF(I1047="","",IFERROR(_xlfn.XLOOKUP(I1047,Base_Datos!$D$2:$D3876,Base_Datos!$C$2:$C3876),""))</f>
        <v>Serie Glory</v>
      </c>
      <c r="I1047" s="3" t="s">
        <v>1765</v>
      </c>
      <c r="J1047" s="3" t="str">
        <f>IF(I1047="","",IFERROR(VLOOKUP(I1047,Base_Datos!$D$2:$E$72,2,0),""))</f>
        <v>(1.5L)</v>
      </c>
      <c r="K1047" s="3" t="s">
        <v>2881</v>
      </c>
      <c r="L1047" s="3"/>
      <c r="M1047" s="7">
        <v>4</v>
      </c>
      <c r="N1047" s="7">
        <v>0</v>
      </c>
    </row>
    <row r="1048" spans="1:14" ht="14.25" x14ac:dyDescent="0.2">
      <c r="A1048" s="3">
        <v>78046</v>
      </c>
      <c r="B1048" s="3" t="s">
        <v>2965</v>
      </c>
      <c r="C1048" s="3" t="s">
        <v>18</v>
      </c>
      <c r="D1048" s="6" t="s">
        <v>2966</v>
      </c>
      <c r="E1048" s="6" t="s">
        <v>2966</v>
      </c>
      <c r="F1048" s="3" t="str">
        <f>IFERROR( VLOOKUP(A1048,#REF!,2,0),"")</f>
        <v/>
      </c>
      <c r="G1048" s="3" t="str">
        <f t="array" ref="G1048">_xlfn.XLOOKUP(I1048,Base_Datos!D:D,Base_Datos!B:B,"")</f>
        <v>DFSK</v>
      </c>
      <c r="H1048" s="3" t="str">
        <f t="array" ref="H1048">IF(I1048="","",IFERROR(_xlfn.XLOOKUP(I1048,Base_Datos!$D$2:$D3876,Base_Datos!$C$2:$C3876),""))</f>
        <v>Serie Glory</v>
      </c>
      <c r="I1048" s="3" t="s">
        <v>1765</v>
      </c>
      <c r="J1048" s="3" t="str">
        <f>IF(I1048="","",IFERROR(VLOOKUP(I1048,Base_Datos!$D$2:$E$72,2,0),""))</f>
        <v>(1.5L)</v>
      </c>
      <c r="K1048" s="3" t="s">
        <v>2881</v>
      </c>
      <c r="L1048" s="3"/>
      <c r="M1048" s="7">
        <v>3</v>
      </c>
      <c r="N1048" s="7">
        <v>0</v>
      </c>
    </row>
    <row r="1049" spans="1:14" ht="14.25" x14ac:dyDescent="0.2">
      <c r="A1049" s="3">
        <v>78047</v>
      </c>
      <c r="B1049" s="3" t="s">
        <v>2967</v>
      </c>
      <c r="C1049" s="3" t="s">
        <v>18</v>
      </c>
      <c r="D1049" s="6" t="s">
        <v>2968</v>
      </c>
      <c r="E1049" s="6" t="s">
        <v>2968</v>
      </c>
      <c r="F1049" s="3" t="str">
        <f>IFERROR( VLOOKUP(A1049,#REF!,2,0),"")</f>
        <v/>
      </c>
      <c r="G1049" s="3" t="str">
        <f t="array" ref="G1049">_xlfn.XLOOKUP(I1049,Base_Datos!D:D,Base_Datos!B:B,"")</f>
        <v>DFSK</v>
      </c>
      <c r="H1049" s="3" t="str">
        <f t="array" ref="H1049">IF(I1049="","",IFERROR(_xlfn.XLOOKUP(I1049,Base_Datos!$D$2:$D3876,Base_Datos!$C$2:$C3876),""))</f>
        <v>Serie Glory</v>
      </c>
      <c r="I1049" s="3" t="s">
        <v>1765</v>
      </c>
      <c r="J1049" s="3" t="str">
        <f>IF(I1049="","",IFERROR(VLOOKUP(I1049,Base_Datos!$D$2:$E$72,2,0),""))</f>
        <v>(1.5L)</v>
      </c>
      <c r="K1049" s="3" t="s">
        <v>2881</v>
      </c>
      <c r="L1049" s="3"/>
      <c r="M1049" s="7">
        <v>3</v>
      </c>
      <c r="N1049" s="7">
        <v>0</v>
      </c>
    </row>
    <row r="1050" spans="1:14" ht="14.25" x14ac:dyDescent="0.2">
      <c r="A1050" s="3">
        <v>78048</v>
      </c>
      <c r="B1050" s="3" t="s">
        <v>2969</v>
      </c>
      <c r="C1050" s="3" t="s">
        <v>18</v>
      </c>
      <c r="D1050" s="6" t="s">
        <v>2970</v>
      </c>
      <c r="E1050" s="6" t="s">
        <v>2970</v>
      </c>
      <c r="F1050" s="3" t="str">
        <f>IFERROR( VLOOKUP(A1050,#REF!,2,0),"")</f>
        <v/>
      </c>
      <c r="G1050" s="3" t="str">
        <f t="array" ref="G1050">_xlfn.XLOOKUP(I1050,Base_Datos!D:D,Base_Datos!B:B,"")</f>
        <v>DFSK</v>
      </c>
      <c r="H1050" s="3" t="str">
        <f t="array" ref="H1050">IF(I1050="","",IFERROR(_xlfn.XLOOKUP(I1050,Base_Datos!$D$2:$D3876,Base_Datos!$C$2:$C3876),""))</f>
        <v>Serie Glory</v>
      </c>
      <c r="I1050" s="3" t="s">
        <v>1765</v>
      </c>
      <c r="J1050" s="3" t="str">
        <f>IF(I1050="","",IFERROR(VLOOKUP(I1050,Base_Datos!$D$2:$E$72,2,0),""))</f>
        <v>(1.5L)</v>
      </c>
      <c r="K1050" s="3" t="s">
        <v>2881</v>
      </c>
      <c r="L1050" s="3"/>
      <c r="M1050" s="7">
        <v>4</v>
      </c>
      <c r="N1050" s="7">
        <v>0</v>
      </c>
    </row>
    <row r="1051" spans="1:14" ht="14.25" x14ac:dyDescent="0.2">
      <c r="A1051" s="3">
        <v>78049</v>
      </c>
      <c r="B1051" s="3" t="s">
        <v>2971</v>
      </c>
      <c r="C1051" s="3" t="s">
        <v>18</v>
      </c>
      <c r="D1051" s="6" t="s">
        <v>2972</v>
      </c>
      <c r="E1051" s="6" t="s">
        <v>2972</v>
      </c>
      <c r="F1051" s="3" t="str">
        <f>IFERROR( VLOOKUP(A1051,#REF!,2,0),"")</f>
        <v/>
      </c>
      <c r="G1051" s="3" t="str">
        <f t="array" ref="G1051">_xlfn.XLOOKUP(I1051,Base_Datos!D:D,Base_Datos!B:B,"")</f>
        <v>DFSK</v>
      </c>
      <c r="H1051" s="3" t="str">
        <f t="array" ref="H1051">IF(I1051="","",IFERROR(_xlfn.XLOOKUP(I1051,Base_Datos!$D$2:$D3876,Base_Datos!$C$2:$C3876),""))</f>
        <v>Serie Glory</v>
      </c>
      <c r="I1051" s="3" t="s">
        <v>1765</v>
      </c>
      <c r="J1051" s="3" t="str">
        <f>IF(I1051="","",IFERROR(VLOOKUP(I1051,Base_Datos!$D$2:$E$72,2,0),""))</f>
        <v>(1.5L)</v>
      </c>
      <c r="K1051" s="3" t="s">
        <v>2881</v>
      </c>
      <c r="L1051" s="3"/>
      <c r="M1051" s="7">
        <v>4</v>
      </c>
      <c r="N1051" s="7">
        <v>0</v>
      </c>
    </row>
    <row r="1052" spans="1:14" ht="14.25" x14ac:dyDescent="0.2">
      <c r="A1052" s="3">
        <v>78050</v>
      </c>
      <c r="B1052" s="3" t="s">
        <v>2973</v>
      </c>
      <c r="C1052" s="3" t="s">
        <v>18</v>
      </c>
      <c r="D1052" s="6" t="s">
        <v>2974</v>
      </c>
      <c r="E1052" s="6" t="s">
        <v>2974</v>
      </c>
      <c r="F1052" s="3" t="str">
        <f>IFERROR( VLOOKUP(A1052,#REF!,2,0),"")</f>
        <v/>
      </c>
      <c r="G1052" s="3" t="str">
        <f t="array" ref="G1052">_xlfn.XLOOKUP(I1052,Base_Datos!D:D,Base_Datos!B:B,"")</f>
        <v>DFSK</v>
      </c>
      <c r="H1052" s="3" t="str">
        <f t="array" ref="H1052">IF(I1052="","",IFERROR(_xlfn.XLOOKUP(I1052,Base_Datos!$D$2:$D3876,Base_Datos!$C$2:$C3876),""))</f>
        <v>Serie Glory</v>
      </c>
      <c r="I1052" s="3" t="s">
        <v>1765</v>
      </c>
      <c r="J1052" s="3" t="str">
        <f>IF(I1052="","",IFERROR(VLOOKUP(I1052,Base_Datos!$D$2:$E$72,2,0),""))</f>
        <v>(1.5L)</v>
      </c>
      <c r="K1052" s="3" t="s">
        <v>2881</v>
      </c>
      <c r="L1052" s="3"/>
      <c r="M1052" s="7">
        <v>3</v>
      </c>
      <c r="N1052" s="7">
        <v>0</v>
      </c>
    </row>
    <row r="1053" spans="1:14" ht="14.25" x14ac:dyDescent="0.2">
      <c r="A1053" s="3">
        <v>78051</v>
      </c>
      <c r="B1053" s="3" t="s">
        <v>2975</v>
      </c>
      <c r="C1053" s="3" t="s">
        <v>18</v>
      </c>
      <c r="D1053" s="6" t="s">
        <v>2976</v>
      </c>
      <c r="E1053" s="6" t="s">
        <v>2976</v>
      </c>
      <c r="F1053" s="3" t="str">
        <f>IFERROR( VLOOKUP(A1053,#REF!,2,0),"")</f>
        <v/>
      </c>
      <c r="G1053" s="3" t="str">
        <f t="array" ref="G1053">_xlfn.XLOOKUP(I1053,Base_Datos!D:D,Base_Datos!B:B,"")</f>
        <v>DFSK</v>
      </c>
      <c r="H1053" s="3" t="str">
        <f t="array" ref="H1053">IF(I1053="","",IFERROR(_xlfn.XLOOKUP(I1053,Base_Datos!$D$2:$D3876,Base_Datos!$C$2:$C3876),""))</f>
        <v>Serie Glory</v>
      </c>
      <c r="I1053" s="3" t="s">
        <v>1765</v>
      </c>
      <c r="J1053" s="3" t="str">
        <f>IF(I1053="","",IFERROR(VLOOKUP(I1053,Base_Datos!$D$2:$E$72,2,0),""))</f>
        <v>(1.5L)</v>
      </c>
      <c r="K1053" s="3" t="s">
        <v>2881</v>
      </c>
      <c r="L1053" s="3"/>
      <c r="M1053" s="7">
        <v>4</v>
      </c>
      <c r="N1053" s="7">
        <v>0</v>
      </c>
    </row>
    <row r="1054" spans="1:14" ht="14.25" x14ac:dyDescent="0.2">
      <c r="A1054" s="3">
        <v>78052</v>
      </c>
      <c r="B1054" s="3" t="s">
        <v>2977</v>
      </c>
      <c r="C1054" s="3" t="s">
        <v>18</v>
      </c>
      <c r="D1054" s="6" t="s">
        <v>2978</v>
      </c>
      <c r="E1054" s="6" t="s">
        <v>2978</v>
      </c>
      <c r="F1054" s="3" t="str">
        <f>IFERROR( VLOOKUP(A1054,#REF!,2,0),"")</f>
        <v/>
      </c>
      <c r="G1054" s="3" t="str">
        <f t="array" ref="G1054">_xlfn.XLOOKUP(I1054,Base_Datos!D:D,Base_Datos!B:B,"")</f>
        <v>DFSK</v>
      </c>
      <c r="H1054" s="3" t="str">
        <f t="array" ref="H1054">IF(I1054="","",IFERROR(_xlfn.XLOOKUP(I1054,Base_Datos!$D$2:$D3876,Base_Datos!$C$2:$C3876),""))</f>
        <v>Serie Glory</v>
      </c>
      <c r="I1054" s="3" t="s">
        <v>1765</v>
      </c>
      <c r="J1054" s="3" t="str">
        <f>IF(I1054="","",IFERROR(VLOOKUP(I1054,Base_Datos!$D$2:$E$72,2,0),""))</f>
        <v>(1.5L)</v>
      </c>
      <c r="K1054" s="3" t="s">
        <v>2881</v>
      </c>
      <c r="L1054" s="3"/>
      <c r="M1054" s="7">
        <v>6</v>
      </c>
      <c r="N1054" s="7">
        <v>0</v>
      </c>
    </row>
    <row r="1055" spans="1:14" ht="14.25" x14ac:dyDescent="0.2">
      <c r="A1055" s="3">
        <v>78053</v>
      </c>
      <c r="B1055" s="3" t="s">
        <v>2979</v>
      </c>
      <c r="C1055" s="3" t="s">
        <v>18</v>
      </c>
      <c r="D1055" s="6" t="s">
        <v>2980</v>
      </c>
      <c r="E1055" s="6" t="s">
        <v>2980</v>
      </c>
      <c r="F1055" s="3" t="str">
        <f>IFERROR( VLOOKUP(A1055,#REF!,2,0),"")</f>
        <v/>
      </c>
      <c r="G1055" s="3" t="str">
        <f t="array" ref="G1055">_xlfn.XLOOKUP(I1055,Base_Datos!D:D,Base_Datos!B:B,"")</f>
        <v>DFSK</v>
      </c>
      <c r="H1055" s="3" t="str">
        <f t="array" ref="H1055">IF(I1055="","",IFERROR(_xlfn.XLOOKUP(I1055,Base_Datos!$D$2:$D3876,Base_Datos!$C$2:$C3876),""))</f>
        <v>Serie Glory</v>
      </c>
      <c r="I1055" s="3" t="s">
        <v>1765</v>
      </c>
      <c r="J1055" s="3" t="str">
        <f>IF(I1055="","",IFERROR(VLOOKUP(I1055,Base_Datos!$D$2:$E$72,2,0),""))</f>
        <v>(1.5L)</v>
      </c>
      <c r="K1055" s="3" t="s">
        <v>2881</v>
      </c>
      <c r="L1055" s="3"/>
      <c r="M1055" s="7">
        <v>30</v>
      </c>
      <c r="N1055" s="7">
        <v>0</v>
      </c>
    </row>
    <row r="1056" spans="1:14" ht="14.25" x14ac:dyDescent="0.2">
      <c r="A1056" s="3">
        <v>78054</v>
      </c>
      <c r="B1056" s="3" t="s">
        <v>2981</v>
      </c>
      <c r="C1056" s="3" t="s">
        <v>18</v>
      </c>
      <c r="D1056" s="6" t="s">
        <v>2982</v>
      </c>
      <c r="E1056" s="6" t="s">
        <v>2982</v>
      </c>
      <c r="F1056" s="3" t="str">
        <f>IFERROR( VLOOKUP(A1056,#REF!,2,0),"")</f>
        <v/>
      </c>
      <c r="G1056" s="3" t="str">
        <f t="array" ref="G1056">_xlfn.XLOOKUP(I1056,Base_Datos!D:D,Base_Datos!B:B,"")</f>
        <v>DFSK</v>
      </c>
      <c r="H1056" s="3" t="str">
        <f t="array" ref="H1056">IF(I1056="","",IFERROR(_xlfn.XLOOKUP(I1056,Base_Datos!$D$2:$D3876,Base_Datos!$C$2:$C3876),""))</f>
        <v>Serie Glory</v>
      </c>
      <c r="I1056" s="3" t="s">
        <v>1765</v>
      </c>
      <c r="J1056" s="3" t="str">
        <f>IF(I1056="","",IFERROR(VLOOKUP(I1056,Base_Datos!$D$2:$E$72,2,0),""))</f>
        <v>(1.5L)</v>
      </c>
      <c r="K1056" s="3" t="s">
        <v>1782</v>
      </c>
      <c r="L1056" s="3"/>
      <c r="M1056" s="7">
        <v>12</v>
      </c>
      <c r="N1056" s="7">
        <v>0</v>
      </c>
    </row>
    <row r="1057" spans="1:14" ht="14.25" x14ac:dyDescent="0.2">
      <c r="A1057" s="3">
        <v>78055</v>
      </c>
      <c r="B1057" s="3" t="s">
        <v>2418</v>
      </c>
      <c r="C1057" s="3" t="s">
        <v>18</v>
      </c>
      <c r="D1057" s="6" t="s">
        <v>2983</v>
      </c>
      <c r="E1057" s="6" t="s">
        <v>2983</v>
      </c>
      <c r="F1057" s="3" t="str">
        <f>IFERROR( VLOOKUP(A1057,#REF!,2,0),"")</f>
        <v/>
      </c>
      <c r="G1057" s="3" t="str">
        <f t="array" ref="G1057">_xlfn.XLOOKUP(I1057,Base_Datos!D:D,Base_Datos!B:B,"")</f>
        <v>DFSK</v>
      </c>
      <c r="H1057" s="3" t="str">
        <f t="array" ref="H1057">IF(I1057="","",IFERROR(_xlfn.XLOOKUP(I1057,Base_Datos!$D$2:$D3876,Base_Datos!$C$2:$C3876),""))</f>
        <v>Serie Glory</v>
      </c>
      <c r="I1057" s="3" t="s">
        <v>1765</v>
      </c>
      <c r="J1057" s="3" t="str">
        <f>IF(I1057="","",IFERROR(VLOOKUP(I1057,Base_Datos!$D$2:$E$72,2,0),""))</f>
        <v>(1.5L)</v>
      </c>
      <c r="K1057" s="3" t="s">
        <v>1782</v>
      </c>
      <c r="L1057" s="3"/>
      <c r="M1057" s="7">
        <v>20</v>
      </c>
      <c r="N1057" s="7">
        <v>0</v>
      </c>
    </row>
    <row r="1058" spans="1:14" ht="14.25" x14ac:dyDescent="0.2">
      <c r="A1058" s="3">
        <v>78056</v>
      </c>
      <c r="B1058" s="3" t="s">
        <v>2984</v>
      </c>
      <c r="C1058" s="3" t="s">
        <v>18</v>
      </c>
      <c r="D1058" s="6" t="s">
        <v>2985</v>
      </c>
      <c r="E1058" s="6" t="s">
        <v>2985</v>
      </c>
      <c r="F1058" s="3" t="str">
        <f>IFERROR( VLOOKUP(A1058,#REF!,2,0),"")</f>
        <v/>
      </c>
      <c r="G1058" s="3" t="str">
        <f t="array" ref="G1058">_xlfn.XLOOKUP(I1058,Base_Datos!D:D,Base_Datos!B:B,"")</f>
        <v>DFSK</v>
      </c>
      <c r="H1058" s="3" t="str">
        <f t="array" ref="H1058">IF(I1058="","",IFERROR(_xlfn.XLOOKUP(I1058,Base_Datos!$D$2:$D3876,Base_Datos!$C$2:$C3876),""))</f>
        <v>Serie Glory</v>
      </c>
      <c r="I1058" s="3" t="s">
        <v>1765</v>
      </c>
      <c r="J1058" s="3" t="str">
        <f>IF(I1058="","",IFERROR(VLOOKUP(I1058,Base_Datos!$D$2:$E$72,2,0),""))</f>
        <v>(1.5L)</v>
      </c>
      <c r="K1058" s="3" t="s">
        <v>1782</v>
      </c>
      <c r="L1058" s="3"/>
      <c r="M1058" s="7">
        <v>5</v>
      </c>
      <c r="N1058" s="7">
        <v>0</v>
      </c>
    </row>
    <row r="1059" spans="1:14" ht="14.25" x14ac:dyDescent="0.2">
      <c r="A1059" s="3">
        <v>78057</v>
      </c>
      <c r="B1059" s="3" t="s">
        <v>2556</v>
      </c>
      <c r="C1059" s="3" t="s">
        <v>18</v>
      </c>
      <c r="D1059" s="6" t="s">
        <v>2986</v>
      </c>
      <c r="E1059" s="6" t="s">
        <v>2986</v>
      </c>
      <c r="F1059" s="3" t="str">
        <f>IFERROR( VLOOKUP(A1059,#REF!,2,0),"")</f>
        <v/>
      </c>
      <c r="G1059" s="3" t="str">
        <f t="array" ref="G1059">_xlfn.XLOOKUP(I1059,Base_Datos!D:D,Base_Datos!B:B,"")</f>
        <v>DFSK</v>
      </c>
      <c r="H1059" s="3" t="str">
        <f t="array" ref="H1059">IF(I1059="","",IFERROR(_xlfn.XLOOKUP(I1059,Base_Datos!$D$2:$D3876,Base_Datos!$C$2:$C3876),""))</f>
        <v>Serie Glory</v>
      </c>
      <c r="I1059" s="3" t="s">
        <v>1765</v>
      </c>
      <c r="J1059" s="3" t="str">
        <f>IF(I1059="","",IFERROR(VLOOKUP(I1059,Base_Datos!$D$2:$E$72,2,0),""))</f>
        <v>(1.5L)</v>
      </c>
      <c r="K1059" s="3" t="s">
        <v>1782</v>
      </c>
      <c r="L1059" s="3"/>
      <c r="M1059" s="7">
        <v>2</v>
      </c>
      <c r="N1059" s="7">
        <v>0</v>
      </c>
    </row>
    <row r="1060" spans="1:14" ht="14.25" x14ac:dyDescent="0.2">
      <c r="A1060" s="3">
        <v>78058</v>
      </c>
      <c r="B1060" s="3" t="s">
        <v>2987</v>
      </c>
      <c r="C1060" s="3" t="s">
        <v>18</v>
      </c>
      <c r="D1060" s="6" t="s">
        <v>2988</v>
      </c>
      <c r="E1060" s="6" t="s">
        <v>2988</v>
      </c>
      <c r="F1060" s="3" t="str">
        <f>IFERROR( VLOOKUP(A1060,#REF!,2,0),"")</f>
        <v/>
      </c>
      <c r="G1060" s="3" t="str">
        <f t="array" ref="G1060">_xlfn.XLOOKUP(I1060,Base_Datos!D:D,Base_Datos!B:B,"")</f>
        <v>DFSK</v>
      </c>
      <c r="H1060" s="3" t="str">
        <f t="array" ref="H1060">IF(I1060="","",IFERROR(_xlfn.XLOOKUP(I1060,Base_Datos!$D$2:$D3876,Base_Datos!$C$2:$C3876),""))</f>
        <v>Serie Glory</v>
      </c>
      <c r="I1060" s="3" t="s">
        <v>1765</v>
      </c>
      <c r="J1060" s="3" t="str">
        <f>IF(I1060="","",IFERROR(VLOOKUP(I1060,Base_Datos!$D$2:$E$72,2,0),""))</f>
        <v>(1.5L)</v>
      </c>
      <c r="K1060" s="3" t="s">
        <v>1782</v>
      </c>
      <c r="L1060" s="3"/>
      <c r="M1060" s="7">
        <v>1</v>
      </c>
      <c r="N1060" s="7">
        <v>0</v>
      </c>
    </row>
    <row r="1061" spans="1:14" ht="14.25" x14ac:dyDescent="0.2">
      <c r="A1061" s="3">
        <v>78059</v>
      </c>
      <c r="B1061" s="3" t="s">
        <v>2761</v>
      </c>
      <c r="C1061" s="3" t="s">
        <v>18</v>
      </c>
      <c r="D1061" s="6" t="s">
        <v>2989</v>
      </c>
      <c r="E1061" s="6" t="s">
        <v>2989</v>
      </c>
      <c r="F1061" s="3" t="str">
        <f>IFERROR( VLOOKUP(A1061,#REF!,2,0),"")</f>
        <v/>
      </c>
      <c r="G1061" s="3" t="str">
        <f t="array" ref="G1061">_xlfn.XLOOKUP(I1061,Base_Datos!D:D,Base_Datos!B:B,"")</f>
        <v>DFSK</v>
      </c>
      <c r="H1061" s="3" t="str">
        <f t="array" ref="H1061">IF(I1061="","",IFERROR(_xlfn.XLOOKUP(I1061,Base_Datos!$D$2:$D3876,Base_Datos!$C$2:$C3876),""))</f>
        <v>Serie Glory</v>
      </c>
      <c r="I1061" s="3" t="s">
        <v>1765</v>
      </c>
      <c r="J1061" s="3" t="str">
        <f>IF(I1061="","",IFERROR(VLOOKUP(I1061,Base_Datos!$D$2:$E$72,2,0),""))</f>
        <v>(1.5L)</v>
      </c>
      <c r="K1061" s="3" t="s">
        <v>1782</v>
      </c>
      <c r="L1061" s="3"/>
      <c r="M1061" s="7">
        <v>4</v>
      </c>
      <c r="N1061" s="7">
        <v>0</v>
      </c>
    </row>
    <row r="1062" spans="1:14" ht="14.25" x14ac:dyDescent="0.2">
      <c r="A1062" s="3">
        <v>79000</v>
      </c>
      <c r="B1062" s="3" t="s">
        <v>1857</v>
      </c>
      <c r="C1062" s="3" t="s">
        <v>18</v>
      </c>
      <c r="D1062" s="6" t="s">
        <v>2493</v>
      </c>
      <c r="E1062" s="6" t="s">
        <v>2493</v>
      </c>
      <c r="F1062" s="3" t="str">
        <f>IFERROR( VLOOKUP(A1062,#REF!,2,0),"")</f>
        <v/>
      </c>
      <c r="G1062" s="3" t="str">
        <f t="array" ref="G1062">_xlfn.XLOOKUP(I1062,Base_Datos!D:D,Base_Datos!B:B,"")</f>
        <v>DFSK</v>
      </c>
      <c r="H1062" s="3" t="str">
        <f t="array" ref="H1062">IF(I1062="","",IFERROR(_xlfn.XLOOKUP(I1062,Base_Datos!$D$2:$D3876,Base_Datos!$C$2:$C3876),""))</f>
        <v>Serie Glory</v>
      </c>
      <c r="I1062" s="3" t="s">
        <v>1767</v>
      </c>
      <c r="J1062" s="3" t="str">
        <f>IF(I1062="","",IFERROR(VLOOKUP(I1062,Base_Datos!$D$2:$E$72,2,0),""))</f>
        <v>(1.5L)</v>
      </c>
      <c r="K1062" s="3" t="s">
        <v>1782</v>
      </c>
      <c r="L1062" s="3"/>
      <c r="M1062" s="7">
        <v>1</v>
      </c>
      <c r="N1062" s="7">
        <v>0</v>
      </c>
    </row>
    <row r="1063" spans="1:14" ht="14.25" x14ac:dyDescent="0.2">
      <c r="A1063" s="3">
        <v>79001</v>
      </c>
      <c r="B1063" s="3" t="s">
        <v>1856</v>
      </c>
      <c r="C1063" s="3" t="s">
        <v>18</v>
      </c>
      <c r="D1063" s="6" t="s">
        <v>2493</v>
      </c>
      <c r="E1063" s="6" t="s">
        <v>2493</v>
      </c>
      <c r="F1063" s="3" t="str">
        <f>IFERROR( VLOOKUP(A1063,#REF!,2,0),"")</f>
        <v/>
      </c>
      <c r="G1063" s="3" t="str">
        <f t="array" ref="G1063">_xlfn.XLOOKUP(I1063,Base_Datos!D:D,Base_Datos!B:B,"")</f>
        <v>DFSK</v>
      </c>
      <c r="H1063" s="3" t="str">
        <f t="array" ref="H1063">IF(I1063="","",IFERROR(_xlfn.XLOOKUP(I1063,Base_Datos!$D$2:$D3876,Base_Datos!$C$2:$C3876),""))</f>
        <v>Serie Glory</v>
      </c>
      <c r="I1063" s="3" t="s">
        <v>1767</v>
      </c>
      <c r="J1063" s="3" t="str">
        <f>IF(I1063="","",IFERROR(VLOOKUP(I1063,Base_Datos!$D$2:$E$72,2,0),""))</f>
        <v>(1.5L)</v>
      </c>
      <c r="K1063" s="3" t="s">
        <v>1782</v>
      </c>
      <c r="L1063" s="3"/>
      <c r="M1063" s="7">
        <v>1</v>
      </c>
      <c r="N1063" s="7">
        <v>0</v>
      </c>
    </row>
    <row r="1064" spans="1:14" ht="14.25" x14ac:dyDescent="0.2">
      <c r="A1064" s="3">
        <v>79002</v>
      </c>
      <c r="B1064" s="3" t="s">
        <v>2990</v>
      </c>
      <c r="C1064" s="3" t="s">
        <v>18</v>
      </c>
      <c r="D1064" s="6" t="s">
        <v>2493</v>
      </c>
      <c r="E1064" s="6" t="s">
        <v>2493</v>
      </c>
      <c r="F1064" s="3" t="str">
        <f>IFERROR( VLOOKUP(A1064,#REF!,2,0),"")</f>
        <v/>
      </c>
      <c r="G1064" s="3" t="str">
        <f t="array" ref="G1064">_xlfn.XLOOKUP(I1064,Base_Datos!D:D,Base_Datos!B:B,"")</f>
        <v>DFSK</v>
      </c>
      <c r="H1064" s="3" t="str">
        <f t="array" ref="H1064">IF(I1064="","",IFERROR(_xlfn.XLOOKUP(I1064,Base_Datos!$D$2:$D3876,Base_Datos!$C$2:$C3876),""))</f>
        <v>Serie Glory</v>
      </c>
      <c r="I1064" s="3" t="s">
        <v>1767</v>
      </c>
      <c r="J1064" s="3" t="str">
        <f>IF(I1064="","",IFERROR(VLOOKUP(I1064,Base_Datos!$D$2:$E$72,2,0),""))</f>
        <v>(1.5L)</v>
      </c>
      <c r="K1064" s="3" t="s">
        <v>1782</v>
      </c>
      <c r="L1064" s="3"/>
      <c r="M1064" s="7">
        <v>3</v>
      </c>
      <c r="N1064" s="7">
        <v>0</v>
      </c>
    </row>
    <row r="1065" spans="1:14" ht="14.25" x14ac:dyDescent="0.2">
      <c r="A1065" s="3">
        <v>79003</v>
      </c>
      <c r="B1065" s="3" t="s">
        <v>2991</v>
      </c>
      <c r="C1065" s="3" t="s">
        <v>18</v>
      </c>
      <c r="D1065" s="6" t="s">
        <v>2992</v>
      </c>
      <c r="E1065" s="6" t="s">
        <v>2992</v>
      </c>
      <c r="F1065" s="3" t="str">
        <f>IFERROR( VLOOKUP(A1065,#REF!,2,0),"")</f>
        <v/>
      </c>
      <c r="G1065" s="3" t="str">
        <f t="array" ref="G1065">_xlfn.XLOOKUP(I1065,Base_Datos!D:D,Base_Datos!B:B,"")</f>
        <v>DFSK</v>
      </c>
      <c r="H1065" s="3" t="str">
        <f t="array" ref="H1065">IF(I1065="","",IFERROR(_xlfn.XLOOKUP(I1065,Base_Datos!$D$2:$D3876,Base_Datos!$C$2:$C3876),""))</f>
        <v>Serie Glory</v>
      </c>
      <c r="I1065" s="3" t="s">
        <v>404</v>
      </c>
      <c r="J1065" s="3" t="str">
        <f>IF(I1065="","",IFERROR(VLOOKUP(I1065,Base_Datos!$D$2:$E$72,2,0),""))</f>
        <v>(1.5L)</v>
      </c>
      <c r="K1065" s="3" t="s">
        <v>2993</v>
      </c>
      <c r="L1065" s="3"/>
      <c r="M1065" s="7">
        <v>4</v>
      </c>
      <c r="N1065" s="7">
        <v>0</v>
      </c>
    </row>
    <row r="1066" spans="1:14" ht="14.25" x14ac:dyDescent="0.2">
      <c r="A1066" s="3">
        <v>79004</v>
      </c>
      <c r="B1066" s="3" t="s">
        <v>2879</v>
      </c>
      <c r="C1066" s="3" t="s">
        <v>18</v>
      </c>
      <c r="D1066" s="6" t="s">
        <v>2994</v>
      </c>
      <c r="E1066" s="6" t="s">
        <v>2994</v>
      </c>
      <c r="F1066" s="3" t="str">
        <f>IFERROR( VLOOKUP(A1066,#REF!,2,0),"")</f>
        <v/>
      </c>
      <c r="G1066" s="3" t="str">
        <f t="array" ref="G1066">_xlfn.XLOOKUP(I1066,Base_Datos!D:D,Base_Datos!B:B,"")</f>
        <v>DFSK</v>
      </c>
      <c r="H1066" s="3" t="str">
        <f t="array" ref="H1066">IF(I1066="","",IFERROR(_xlfn.XLOOKUP(I1066,Base_Datos!$D$2:$D3876,Base_Datos!$C$2:$C3876),""))</f>
        <v>Serie Glory</v>
      </c>
      <c r="I1066" s="3" t="s">
        <v>1767</v>
      </c>
      <c r="J1066" s="3" t="str">
        <f>IF(I1066="","",IFERROR(VLOOKUP(I1066,Base_Datos!$D$2:$E$72,2,0),""))</f>
        <v>(1.5L)</v>
      </c>
      <c r="K1066" s="3" t="s">
        <v>1782</v>
      </c>
      <c r="L1066" s="3"/>
      <c r="M1066" s="7">
        <v>3</v>
      </c>
      <c r="N1066" s="7">
        <v>0</v>
      </c>
    </row>
    <row r="1067" spans="1:14" ht="14.25" x14ac:dyDescent="0.2">
      <c r="A1067" s="3">
        <v>79005</v>
      </c>
      <c r="B1067" s="3" t="s">
        <v>2995</v>
      </c>
      <c r="C1067" s="3" t="s">
        <v>18</v>
      </c>
      <c r="D1067" s="6" t="s">
        <v>2996</v>
      </c>
      <c r="E1067" s="6" t="s">
        <v>2996</v>
      </c>
      <c r="F1067" s="3" t="str">
        <f>IFERROR( VLOOKUP(A1067,#REF!,2,0),"")</f>
        <v/>
      </c>
      <c r="G1067" s="3" t="str">
        <f t="array" ref="G1067">_xlfn.XLOOKUP(I1067,Base_Datos!D:D,Base_Datos!B:B,"")</f>
        <v>DFSK</v>
      </c>
      <c r="H1067" s="3" t="str">
        <f t="array" ref="H1067">IF(I1067="","",IFERROR(_xlfn.XLOOKUP(I1067,Base_Datos!$D$2:$D3876,Base_Datos!$C$2:$C3876),""))</f>
        <v>Serie Glory</v>
      </c>
      <c r="I1067" s="3" t="s">
        <v>1767</v>
      </c>
      <c r="J1067" s="3" t="str">
        <f>IF(I1067="","",IFERROR(VLOOKUP(I1067,Base_Datos!$D$2:$E$72,2,0),""))</f>
        <v>(1.5L)</v>
      </c>
      <c r="K1067" s="3" t="s">
        <v>1782</v>
      </c>
      <c r="L1067" s="3"/>
      <c r="M1067" s="7">
        <v>2</v>
      </c>
      <c r="N1067" s="7">
        <v>0</v>
      </c>
    </row>
    <row r="1068" spans="1:14" ht="14.25" x14ac:dyDescent="0.2">
      <c r="A1068" s="3">
        <v>79006</v>
      </c>
      <c r="B1068" s="3" t="s">
        <v>2997</v>
      </c>
      <c r="C1068" s="3" t="s">
        <v>18</v>
      </c>
      <c r="D1068" s="6" t="s">
        <v>2998</v>
      </c>
      <c r="E1068" s="6" t="s">
        <v>2998</v>
      </c>
      <c r="F1068" s="3" t="str">
        <f>IFERROR( VLOOKUP(A1068,#REF!,2,0),"")</f>
        <v/>
      </c>
      <c r="G1068" s="3" t="str">
        <f t="array" ref="G1068">_xlfn.XLOOKUP(I1068,Base_Datos!D:D,Base_Datos!B:B,"")</f>
        <v>DFSK</v>
      </c>
      <c r="H1068" s="3" t="str">
        <f t="array" ref="H1068">IF(I1068="","",IFERROR(_xlfn.XLOOKUP(I1068,Base_Datos!$D$2:$D3876,Base_Datos!$C$2:$C3876),""))</f>
        <v>Serie Glory</v>
      </c>
      <c r="I1068" s="3" t="s">
        <v>1767</v>
      </c>
      <c r="J1068" s="3" t="str">
        <f>IF(I1068="","",IFERROR(VLOOKUP(I1068,Base_Datos!$D$2:$E$72,2,0),""))</f>
        <v>(1.5L)</v>
      </c>
      <c r="K1068" s="3" t="s">
        <v>1782</v>
      </c>
      <c r="L1068" s="3"/>
      <c r="M1068" s="7">
        <v>2</v>
      </c>
      <c r="N1068" s="7">
        <v>0</v>
      </c>
    </row>
    <row r="1069" spans="1:14" ht="14.25" x14ac:dyDescent="0.2">
      <c r="A1069" s="3">
        <v>79007</v>
      </c>
      <c r="B1069" s="3" t="s">
        <v>2700</v>
      </c>
      <c r="C1069" s="3" t="s">
        <v>18</v>
      </c>
      <c r="D1069" s="6" t="s">
        <v>2999</v>
      </c>
      <c r="E1069" s="6" t="s">
        <v>2999</v>
      </c>
      <c r="F1069" s="3" t="str">
        <f>IFERROR( VLOOKUP(A1069,#REF!,2,0),"")</f>
        <v/>
      </c>
      <c r="G1069" s="3" t="str">
        <f t="array" ref="G1069">_xlfn.XLOOKUP(I1069,Base_Datos!D:D,Base_Datos!B:B,"")</f>
        <v>DFSK</v>
      </c>
      <c r="H1069" s="3" t="str">
        <f t="array" ref="H1069">IF(I1069="","",IFERROR(_xlfn.XLOOKUP(I1069,Base_Datos!$D$2:$D3876,Base_Datos!$C$2:$C3876),""))</f>
        <v>Serie Glory</v>
      </c>
      <c r="I1069" s="3" t="s">
        <v>1767</v>
      </c>
      <c r="J1069" s="3" t="str">
        <f>IF(I1069="","",IFERROR(VLOOKUP(I1069,Base_Datos!$D$2:$E$72,2,0),""))</f>
        <v>(1.5L)</v>
      </c>
      <c r="K1069" s="3" t="s">
        <v>1782</v>
      </c>
      <c r="L1069" s="3"/>
      <c r="M1069" s="7">
        <v>1</v>
      </c>
      <c r="N1069" s="7">
        <v>0</v>
      </c>
    </row>
    <row r="1070" spans="1:14" ht="14.25" x14ac:dyDescent="0.2">
      <c r="A1070" s="3">
        <v>79008</v>
      </c>
      <c r="B1070" s="3" t="s">
        <v>2997</v>
      </c>
      <c r="C1070" s="3" t="s">
        <v>18</v>
      </c>
      <c r="D1070" s="6" t="s">
        <v>3000</v>
      </c>
      <c r="E1070" s="6" t="s">
        <v>3000</v>
      </c>
      <c r="F1070" s="3" t="str">
        <f>IFERROR( VLOOKUP(A1070,#REF!,2,0),"")</f>
        <v/>
      </c>
      <c r="G1070" s="3" t="str">
        <f t="array" ref="G1070">_xlfn.XLOOKUP(I1070,Base_Datos!D:D,Base_Datos!B:B,"")</f>
        <v>DFSK</v>
      </c>
      <c r="H1070" s="3" t="str">
        <f t="array" ref="H1070">IF(I1070="","",IFERROR(_xlfn.XLOOKUP(I1070,Base_Datos!$D$2:$D3876,Base_Datos!$C$2:$C3876),""))</f>
        <v>Serie Glory</v>
      </c>
      <c r="I1070" s="3" t="s">
        <v>1767</v>
      </c>
      <c r="J1070" s="3" t="str">
        <f>IF(I1070="","",IFERROR(VLOOKUP(I1070,Base_Datos!$D$2:$E$72,2,0),""))</f>
        <v>(1.5L)</v>
      </c>
      <c r="K1070" s="3" t="s">
        <v>1782</v>
      </c>
      <c r="L1070" s="3"/>
      <c r="M1070" s="7">
        <v>2</v>
      </c>
      <c r="N1070" s="7">
        <v>0</v>
      </c>
    </row>
    <row r="1071" spans="1:14" ht="14.25" x14ac:dyDescent="0.2">
      <c r="A1071" s="3">
        <v>79009</v>
      </c>
      <c r="B1071" s="3" t="s">
        <v>2835</v>
      </c>
      <c r="C1071" s="3" t="s">
        <v>18</v>
      </c>
      <c r="D1071" s="6" t="s">
        <v>3001</v>
      </c>
      <c r="E1071" s="6" t="s">
        <v>3001</v>
      </c>
      <c r="F1071" s="3" t="str">
        <f>IFERROR( VLOOKUP(A1071,#REF!,2,0),"")</f>
        <v/>
      </c>
      <c r="G1071" s="3" t="str">
        <f t="array" ref="G1071">_xlfn.XLOOKUP(I1071,Base_Datos!D:D,Base_Datos!B:B,"")</f>
        <v>DFSK</v>
      </c>
      <c r="H1071" s="3" t="str">
        <f t="array" ref="H1071">IF(I1071="","",IFERROR(_xlfn.XLOOKUP(I1071,Base_Datos!$D$2:$D3876,Base_Datos!$C$2:$C3876),""))</f>
        <v>Serie Glory</v>
      </c>
      <c r="I1071" s="3" t="s">
        <v>1767</v>
      </c>
      <c r="J1071" s="3" t="str">
        <f>IF(I1071="","",IFERROR(VLOOKUP(I1071,Base_Datos!$D$2:$E$72,2,0),""))</f>
        <v>(1.5L)</v>
      </c>
      <c r="K1071" s="3" t="s">
        <v>1782</v>
      </c>
      <c r="L1071" s="3"/>
      <c r="M1071" s="7">
        <v>2</v>
      </c>
      <c r="N1071" s="7">
        <v>0</v>
      </c>
    </row>
    <row r="1072" spans="1:14" ht="14.25" x14ac:dyDescent="0.2">
      <c r="A1072" s="3">
        <v>79010</v>
      </c>
      <c r="B1072" s="3" t="s">
        <v>2749</v>
      </c>
      <c r="C1072" s="3" t="s">
        <v>18</v>
      </c>
      <c r="D1072" s="6" t="s">
        <v>3002</v>
      </c>
      <c r="E1072" s="6" t="s">
        <v>3002</v>
      </c>
      <c r="F1072" s="3" t="str">
        <f>IFERROR( VLOOKUP(A1072,#REF!,2,0),"")</f>
        <v/>
      </c>
      <c r="G1072" s="3" t="str">
        <f t="array" ref="G1072">_xlfn.XLOOKUP(I1072,Base_Datos!D:D,Base_Datos!B:B,"")</f>
        <v>DFSK</v>
      </c>
      <c r="H1072" s="3" t="str">
        <f t="array" ref="H1072">IF(I1072="","",IFERROR(_xlfn.XLOOKUP(I1072,Base_Datos!$D$2:$D3876,Base_Datos!$C$2:$C3876),""))</f>
        <v>Serie Glory</v>
      </c>
      <c r="I1072" s="3" t="s">
        <v>1767</v>
      </c>
      <c r="J1072" s="3" t="str">
        <f>IF(I1072="","",IFERROR(VLOOKUP(I1072,Base_Datos!$D$2:$E$72,2,0),""))</f>
        <v>(1.5L)</v>
      </c>
      <c r="K1072" s="3" t="s">
        <v>1782</v>
      </c>
      <c r="L1072" s="3"/>
      <c r="M1072" s="7">
        <v>2</v>
      </c>
      <c r="N1072" s="7">
        <v>0</v>
      </c>
    </row>
    <row r="1073" spans="1:14" ht="14.25" x14ac:dyDescent="0.2">
      <c r="A1073" s="3">
        <v>79011</v>
      </c>
      <c r="B1073" s="3" t="s">
        <v>3003</v>
      </c>
      <c r="C1073" s="3" t="s">
        <v>18</v>
      </c>
      <c r="D1073" s="6" t="s">
        <v>3004</v>
      </c>
      <c r="E1073" s="6" t="s">
        <v>3004</v>
      </c>
      <c r="F1073" s="3" t="str">
        <f>IFERROR( VLOOKUP(A1073,#REF!,2,0),"")</f>
        <v/>
      </c>
      <c r="G1073" s="3" t="str">
        <f t="array" ref="G1073">_xlfn.XLOOKUP(I1073,Base_Datos!D:D,Base_Datos!B:B,"")</f>
        <v>DFSK</v>
      </c>
      <c r="H1073" s="3" t="str">
        <f t="array" ref="H1073">IF(I1073="","",IFERROR(_xlfn.XLOOKUP(I1073,Base_Datos!$D$2:$D3876,Base_Datos!$C$2:$C3876),""))</f>
        <v>Serie Glory</v>
      </c>
      <c r="I1073" s="3" t="s">
        <v>1767</v>
      </c>
      <c r="J1073" s="3" t="str">
        <f>IF(I1073="","",IFERROR(VLOOKUP(I1073,Base_Datos!$D$2:$E$72,2,0),""))</f>
        <v>(1.5L)</v>
      </c>
      <c r="K1073" s="3" t="s">
        <v>1782</v>
      </c>
      <c r="L1073" s="3"/>
      <c r="M1073" s="7">
        <v>2</v>
      </c>
      <c r="N1073" s="7">
        <v>0</v>
      </c>
    </row>
    <row r="1074" spans="1:14" ht="14.25" x14ac:dyDescent="0.2">
      <c r="A1074" s="3">
        <v>79012</v>
      </c>
      <c r="B1074" s="3" t="s">
        <v>3005</v>
      </c>
      <c r="C1074" s="3" t="s">
        <v>18</v>
      </c>
      <c r="D1074" s="6" t="s">
        <v>3006</v>
      </c>
      <c r="E1074" s="6" t="s">
        <v>3006</v>
      </c>
      <c r="F1074" s="3" t="str">
        <f>IFERROR( VLOOKUP(A1074,#REF!,2,0),"")</f>
        <v/>
      </c>
      <c r="G1074" s="3" t="str">
        <f t="array" ref="G1074">_xlfn.XLOOKUP(I1074,Base_Datos!D:D,Base_Datos!B:B,"")</f>
        <v>DFSK</v>
      </c>
      <c r="H1074" s="3" t="str">
        <f t="array" ref="H1074">IF(I1074="","",IFERROR(_xlfn.XLOOKUP(I1074,Base_Datos!$D$2:$D3876,Base_Datos!$C$2:$C3876),""))</f>
        <v>Serie Glory</v>
      </c>
      <c r="I1074" s="3" t="s">
        <v>1767</v>
      </c>
      <c r="J1074" s="3" t="str">
        <f>IF(I1074="","",IFERROR(VLOOKUP(I1074,Base_Datos!$D$2:$E$72,2,0),""))</f>
        <v>(1.5L)</v>
      </c>
      <c r="K1074" s="3" t="s">
        <v>1782</v>
      </c>
      <c r="L1074" s="3"/>
      <c r="M1074" s="7">
        <v>2</v>
      </c>
      <c r="N1074" s="7">
        <v>0</v>
      </c>
    </row>
    <row r="1075" spans="1:14" ht="14.25" x14ac:dyDescent="0.2">
      <c r="A1075" s="3">
        <v>79013</v>
      </c>
      <c r="B1075" s="3" t="s">
        <v>3007</v>
      </c>
      <c r="C1075" s="3" t="s">
        <v>18</v>
      </c>
      <c r="D1075" s="6" t="s">
        <v>3008</v>
      </c>
      <c r="E1075" s="6" t="s">
        <v>3008</v>
      </c>
      <c r="F1075" s="3" t="str">
        <f>IFERROR( VLOOKUP(A1075,#REF!,2,0),"")</f>
        <v/>
      </c>
      <c r="G1075" s="3" t="str">
        <f t="array" ref="G1075">_xlfn.XLOOKUP(I1075,Base_Datos!D:D,Base_Datos!B:B,"")</f>
        <v>DFSK</v>
      </c>
      <c r="H1075" s="3" t="str">
        <f t="array" ref="H1075">IF(I1075="","",IFERROR(_xlfn.XLOOKUP(I1075,Base_Datos!$D$2:$D3876,Base_Datos!$C$2:$C3876),""))</f>
        <v>Serie Glory</v>
      </c>
      <c r="I1075" s="3" t="s">
        <v>1767</v>
      </c>
      <c r="J1075" s="3" t="str">
        <f>IF(I1075="","",IFERROR(VLOOKUP(I1075,Base_Datos!$D$2:$E$72,2,0),""))</f>
        <v>(1.5L)</v>
      </c>
      <c r="K1075" s="3" t="s">
        <v>1782</v>
      </c>
      <c r="L1075" s="3"/>
      <c r="M1075" s="7">
        <v>4</v>
      </c>
      <c r="N1075" s="7">
        <v>0</v>
      </c>
    </row>
    <row r="1076" spans="1:14" ht="14.25" x14ac:dyDescent="0.2">
      <c r="A1076" s="3">
        <v>79014</v>
      </c>
      <c r="B1076" s="3" t="s">
        <v>3009</v>
      </c>
      <c r="C1076" s="3" t="s">
        <v>18</v>
      </c>
      <c r="D1076" s="6" t="s">
        <v>3010</v>
      </c>
      <c r="E1076" s="6" t="s">
        <v>3010</v>
      </c>
      <c r="F1076" s="3" t="str">
        <f>IFERROR( VLOOKUP(A1076,#REF!,2,0),"")</f>
        <v/>
      </c>
      <c r="G1076" s="3" t="str">
        <f t="array" ref="G1076">_xlfn.XLOOKUP(I1076,Base_Datos!D:D,Base_Datos!B:B,"")</f>
        <v>DFSK</v>
      </c>
      <c r="H1076" s="3" t="str">
        <f t="array" ref="H1076">IF(I1076="","",IFERROR(_xlfn.XLOOKUP(I1076,Base_Datos!$D$2:$D3876,Base_Datos!$C$2:$C3876),""))</f>
        <v>Serie Glory</v>
      </c>
      <c r="I1076" s="3" t="s">
        <v>1767</v>
      </c>
      <c r="J1076" s="3" t="str">
        <f>IF(I1076="","",IFERROR(VLOOKUP(I1076,Base_Datos!$D$2:$E$72,2,0),""))</f>
        <v>(1.5L)</v>
      </c>
      <c r="K1076" s="3" t="s">
        <v>1782</v>
      </c>
      <c r="L1076" s="3"/>
      <c r="M1076" s="7">
        <v>11</v>
      </c>
      <c r="N1076" s="7">
        <v>0</v>
      </c>
    </row>
    <row r="1077" spans="1:14" ht="14.25" x14ac:dyDescent="0.2">
      <c r="A1077" s="3">
        <v>79015</v>
      </c>
      <c r="B1077" s="3" t="s">
        <v>3011</v>
      </c>
      <c r="C1077" s="3" t="s">
        <v>18</v>
      </c>
      <c r="D1077" s="6" t="s">
        <v>3012</v>
      </c>
      <c r="E1077" s="6" t="s">
        <v>3012</v>
      </c>
      <c r="F1077" s="3" t="str">
        <f>IFERROR( VLOOKUP(A1077,#REF!,2,0),"")</f>
        <v/>
      </c>
      <c r="G1077" s="3" t="str">
        <f t="array" ref="G1077">_xlfn.XLOOKUP(I1077,Base_Datos!D:D,Base_Datos!B:B,"")</f>
        <v>DFSK</v>
      </c>
      <c r="H1077" s="3" t="str">
        <f t="array" ref="H1077">IF(I1077="","",IFERROR(_xlfn.XLOOKUP(I1077,Base_Datos!$D$2:$D3876,Base_Datos!$C$2:$C3876),""))</f>
        <v>Serie Glory</v>
      </c>
      <c r="I1077" s="3" t="s">
        <v>1767</v>
      </c>
      <c r="J1077" s="3" t="str">
        <f>IF(I1077="","",IFERROR(VLOOKUP(I1077,Base_Datos!$D$2:$E$72,2,0),""))</f>
        <v>(1.5L)</v>
      </c>
      <c r="K1077" s="3" t="s">
        <v>1782</v>
      </c>
      <c r="L1077" s="3"/>
      <c r="M1077" s="7">
        <v>3</v>
      </c>
      <c r="N1077" s="7">
        <v>0</v>
      </c>
    </row>
    <row r="1078" spans="1:14" ht="14.25" x14ac:dyDescent="0.2">
      <c r="A1078" s="3">
        <v>79016</v>
      </c>
      <c r="B1078" s="3" t="s">
        <v>3013</v>
      </c>
      <c r="C1078" s="3" t="s">
        <v>18</v>
      </c>
      <c r="D1078" s="6" t="s">
        <v>3014</v>
      </c>
      <c r="E1078" s="6" t="s">
        <v>3014</v>
      </c>
      <c r="F1078" s="3" t="str">
        <f>IFERROR( VLOOKUP(A1078,#REF!,2,0),"")</f>
        <v/>
      </c>
      <c r="G1078" s="3" t="str">
        <f t="array" ref="G1078">_xlfn.XLOOKUP(I1078,Base_Datos!D:D,Base_Datos!B:B,"")</f>
        <v>DFSK</v>
      </c>
      <c r="H1078" s="3" t="str">
        <f t="array" ref="H1078">IF(I1078="","",IFERROR(_xlfn.XLOOKUP(I1078,Base_Datos!$D$2:$D3876,Base_Datos!$C$2:$C3876),""))</f>
        <v>Serie Glory</v>
      </c>
      <c r="I1078" s="3" t="s">
        <v>1767</v>
      </c>
      <c r="J1078" s="3" t="str">
        <f>IF(I1078="","",IFERROR(VLOOKUP(I1078,Base_Datos!$D$2:$E$72,2,0),""))</f>
        <v>(1.5L)</v>
      </c>
      <c r="K1078" s="3" t="s">
        <v>1782</v>
      </c>
      <c r="L1078" s="3"/>
      <c r="M1078" s="7">
        <v>2</v>
      </c>
      <c r="N1078" s="7">
        <v>0</v>
      </c>
    </row>
    <row r="1079" spans="1:14" ht="14.25" x14ac:dyDescent="0.2">
      <c r="A1079" s="3">
        <v>79017</v>
      </c>
      <c r="B1079" s="3" t="s">
        <v>3015</v>
      </c>
      <c r="C1079" s="3" t="s">
        <v>18</v>
      </c>
      <c r="D1079" s="6" t="s">
        <v>3016</v>
      </c>
      <c r="E1079" s="6" t="s">
        <v>3016</v>
      </c>
      <c r="F1079" s="3" t="str">
        <f>IFERROR( VLOOKUP(A1079,#REF!,2,0),"")</f>
        <v/>
      </c>
      <c r="G1079" s="3" t="str">
        <f t="array" ref="G1079">_xlfn.XLOOKUP(I1079,Base_Datos!D:D,Base_Datos!B:B,"")</f>
        <v>DFSK</v>
      </c>
      <c r="H1079" s="3" t="str">
        <f t="array" ref="H1079">IF(I1079="","",IFERROR(_xlfn.XLOOKUP(I1079,Base_Datos!$D$2:$D3876,Base_Datos!$C$2:$C3876),""))</f>
        <v>Serie Glory</v>
      </c>
      <c r="I1079" s="3" t="s">
        <v>1767</v>
      </c>
      <c r="J1079" s="3" t="str">
        <f>IF(I1079="","",IFERROR(VLOOKUP(I1079,Base_Datos!$D$2:$E$72,2,0),""))</f>
        <v>(1.5L)</v>
      </c>
      <c r="K1079" s="3" t="s">
        <v>1782</v>
      </c>
      <c r="L1079" s="3"/>
      <c r="M1079" s="7">
        <v>2</v>
      </c>
      <c r="N1079" s="7">
        <v>0</v>
      </c>
    </row>
    <row r="1080" spans="1:14" ht="14.25" x14ac:dyDescent="0.2">
      <c r="A1080" s="3">
        <v>79018</v>
      </c>
      <c r="B1080" s="3" t="s">
        <v>2554</v>
      </c>
      <c r="C1080" s="3" t="s">
        <v>18</v>
      </c>
      <c r="D1080" s="6" t="s">
        <v>3017</v>
      </c>
      <c r="E1080" s="6" t="s">
        <v>3017</v>
      </c>
      <c r="F1080" s="3" t="str">
        <f>IFERROR( VLOOKUP(A1080,#REF!,2,0),"")</f>
        <v/>
      </c>
      <c r="G1080" s="3" t="str">
        <f t="array" ref="G1080">_xlfn.XLOOKUP(I1080,Base_Datos!D:D,Base_Datos!B:B,"")</f>
        <v>DFSK</v>
      </c>
      <c r="H1080" s="3" t="str">
        <f t="array" ref="H1080">IF(I1080="","",IFERROR(_xlfn.XLOOKUP(I1080,Base_Datos!$D$2:$D3876,Base_Datos!$C$2:$C3876),""))</f>
        <v>Serie Glory</v>
      </c>
      <c r="I1080" s="3" t="s">
        <v>1767</v>
      </c>
      <c r="J1080" s="3" t="str">
        <f>IF(I1080="","",IFERROR(VLOOKUP(I1080,Base_Datos!$D$2:$E$72,2,0),""))</f>
        <v>(1.5L)</v>
      </c>
      <c r="K1080" s="3" t="s">
        <v>1782</v>
      </c>
      <c r="L1080" s="3"/>
      <c r="M1080" s="7">
        <v>2</v>
      </c>
      <c r="N1080" s="7">
        <v>0</v>
      </c>
    </row>
    <row r="1081" spans="1:14" ht="14.25" x14ac:dyDescent="0.2">
      <c r="A1081" s="3">
        <v>79019</v>
      </c>
      <c r="B1081" s="3" t="s">
        <v>3018</v>
      </c>
      <c r="C1081" s="3" t="s">
        <v>18</v>
      </c>
      <c r="D1081" s="6" t="s">
        <v>3019</v>
      </c>
      <c r="E1081" s="6" t="s">
        <v>3019</v>
      </c>
      <c r="F1081" s="3" t="str">
        <f>IFERROR( VLOOKUP(A1081,#REF!,2,0),"")</f>
        <v/>
      </c>
      <c r="G1081" s="3" t="str">
        <f t="array" ref="G1081">_xlfn.XLOOKUP(I1081,Base_Datos!D:D,Base_Datos!B:B,"")</f>
        <v>DFSK</v>
      </c>
      <c r="H1081" s="3" t="str">
        <f t="array" ref="H1081">IF(I1081="","",IFERROR(_xlfn.XLOOKUP(I1081,Base_Datos!$D$2:$D3876,Base_Datos!$C$2:$C3876),""))</f>
        <v>Serie Glory</v>
      </c>
      <c r="I1081" s="3" t="s">
        <v>1767</v>
      </c>
      <c r="J1081" s="3" t="str">
        <f>IF(I1081="","",IFERROR(VLOOKUP(I1081,Base_Datos!$D$2:$E$72,2,0),""))</f>
        <v>(1.5L)</v>
      </c>
      <c r="K1081" s="3" t="s">
        <v>1782</v>
      </c>
      <c r="L1081" s="3"/>
      <c r="M1081" s="7">
        <v>2</v>
      </c>
      <c r="N1081" s="7">
        <v>0</v>
      </c>
    </row>
    <row r="1082" spans="1:14" ht="14.25" x14ac:dyDescent="0.2">
      <c r="A1082" s="3">
        <v>79020</v>
      </c>
      <c r="B1082" s="3" t="s">
        <v>3020</v>
      </c>
      <c r="C1082" s="3" t="s">
        <v>18</v>
      </c>
      <c r="D1082" s="6" t="s">
        <v>3021</v>
      </c>
      <c r="E1082" s="6" t="s">
        <v>3021</v>
      </c>
      <c r="F1082" s="3" t="str">
        <f>IFERROR( VLOOKUP(A1082,#REF!,2,0),"")</f>
        <v/>
      </c>
      <c r="G1082" s="3" t="str">
        <f t="array" ref="G1082">_xlfn.XLOOKUP(I1082,Base_Datos!D:D,Base_Datos!B:B,"")</f>
        <v>DFSK</v>
      </c>
      <c r="H1082" s="3" t="str">
        <f t="array" ref="H1082">IF(I1082="","",IFERROR(_xlfn.XLOOKUP(I1082,Base_Datos!$D$2:$D3876,Base_Datos!$C$2:$C3876),""))</f>
        <v>Serie Glory</v>
      </c>
      <c r="I1082" s="3" t="s">
        <v>1767</v>
      </c>
      <c r="J1082" s="3" t="str">
        <f>IF(I1082="","",IFERROR(VLOOKUP(I1082,Base_Datos!$D$2:$E$72,2,0),""))</f>
        <v>(1.5L)</v>
      </c>
      <c r="K1082" s="3" t="s">
        <v>1782</v>
      </c>
      <c r="L1082" s="3"/>
      <c r="M1082" s="7">
        <v>2</v>
      </c>
      <c r="N1082" s="7">
        <v>0</v>
      </c>
    </row>
    <row r="1083" spans="1:14" ht="14.25" x14ac:dyDescent="0.2">
      <c r="A1083" s="3">
        <v>79021</v>
      </c>
      <c r="B1083" s="3" t="s">
        <v>3022</v>
      </c>
      <c r="C1083" s="3" t="s">
        <v>18</v>
      </c>
      <c r="D1083" s="6" t="s">
        <v>3023</v>
      </c>
      <c r="E1083" s="6" t="s">
        <v>3023</v>
      </c>
      <c r="F1083" s="3" t="str">
        <f>IFERROR( VLOOKUP(A1083,#REF!,2,0),"")</f>
        <v/>
      </c>
      <c r="G1083" s="3" t="str">
        <f t="array" ref="G1083">_xlfn.XLOOKUP(I1083,Base_Datos!D:D,Base_Datos!B:B,"")</f>
        <v>DFSK</v>
      </c>
      <c r="H1083" s="3" t="str">
        <f t="array" ref="H1083">IF(I1083="","",IFERROR(_xlfn.XLOOKUP(I1083,Base_Datos!$D$2:$D3876,Base_Datos!$C$2:$C3876),""))</f>
        <v>Serie Glory</v>
      </c>
      <c r="I1083" s="3" t="s">
        <v>1767</v>
      </c>
      <c r="J1083" s="3" t="str">
        <f>IF(I1083="","",IFERROR(VLOOKUP(I1083,Base_Datos!$D$2:$E$72,2,0),""))</f>
        <v>(1.5L)</v>
      </c>
      <c r="K1083" s="3" t="s">
        <v>1782</v>
      </c>
      <c r="L1083" s="3"/>
      <c r="M1083" s="7">
        <v>4</v>
      </c>
      <c r="N1083" s="7">
        <v>0</v>
      </c>
    </row>
    <row r="1084" spans="1:14" ht="14.25" x14ac:dyDescent="0.2">
      <c r="A1084" s="3">
        <v>79022</v>
      </c>
      <c r="B1084" s="3" t="s">
        <v>1894</v>
      </c>
      <c r="C1084" s="3" t="s">
        <v>18</v>
      </c>
      <c r="D1084" s="6" t="s">
        <v>3024</v>
      </c>
      <c r="E1084" s="6" t="s">
        <v>3024</v>
      </c>
      <c r="F1084" s="3" t="str">
        <f>IFERROR( VLOOKUP(A1084,#REF!,2,0),"")</f>
        <v/>
      </c>
      <c r="G1084" s="3" t="str">
        <f t="array" ref="G1084">_xlfn.XLOOKUP(I1084,Base_Datos!D:D,Base_Datos!B:B,"")</f>
        <v>DFSK</v>
      </c>
      <c r="H1084" s="3" t="str">
        <f t="array" ref="H1084">IF(I1084="","",IFERROR(_xlfn.XLOOKUP(I1084,Base_Datos!$D$2:$D3876,Base_Datos!$C$2:$C3876),""))</f>
        <v>Serie Glory</v>
      </c>
      <c r="I1084" s="3" t="s">
        <v>1767</v>
      </c>
      <c r="J1084" s="3" t="str">
        <f>IF(I1084="","",IFERROR(VLOOKUP(I1084,Base_Datos!$D$2:$E$72,2,0),""))</f>
        <v>(1.5L)</v>
      </c>
      <c r="K1084" s="3" t="s">
        <v>1782</v>
      </c>
      <c r="L1084" s="3"/>
      <c r="M1084" s="7">
        <v>4</v>
      </c>
      <c r="N1084" s="7">
        <v>0</v>
      </c>
    </row>
    <row r="1085" spans="1:14" ht="14.25" x14ac:dyDescent="0.2">
      <c r="A1085" s="3">
        <v>79023</v>
      </c>
      <c r="B1085" s="3" t="s">
        <v>3025</v>
      </c>
      <c r="C1085" s="3" t="s">
        <v>18</v>
      </c>
      <c r="D1085" s="6" t="s">
        <v>3026</v>
      </c>
      <c r="E1085" s="6" t="s">
        <v>3026</v>
      </c>
      <c r="F1085" s="3" t="str">
        <f>IFERROR( VLOOKUP(A1085,#REF!,2,0),"")</f>
        <v/>
      </c>
      <c r="G1085" s="3" t="str">
        <f t="array" ref="G1085">_xlfn.XLOOKUP(I1085,Base_Datos!D:D,Base_Datos!B:B,"")</f>
        <v>DFSK</v>
      </c>
      <c r="H1085" s="3" t="str">
        <f t="array" ref="H1085">IF(I1085="","",IFERROR(_xlfn.XLOOKUP(I1085,Base_Datos!$D$2:$D3876,Base_Datos!$C$2:$C3876),""))</f>
        <v>Serie Glory</v>
      </c>
      <c r="I1085" s="3" t="s">
        <v>1767</v>
      </c>
      <c r="J1085" s="3" t="str">
        <f>IF(I1085="","",IFERROR(VLOOKUP(I1085,Base_Datos!$D$2:$E$72,2,0),""))</f>
        <v>(1.5L)</v>
      </c>
      <c r="K1085" s="3" t="s">
        <v>2881</v>
      </c>
      <c r="L1085" s="3"/>
      <c r="M1085" s="7">
        <v>1</v>
      </c>
      <c r="N1085" s="7">
        <v>0</v>
      </c>
    </row>
    <row r="1086" spans="1:14" ht="14.25" x14ac:dyDescent="0.2">
      <c r="A1086" s="3">
        <v>79024</v>
      </c>
      <c r="B1086" s="3" t="s">
        <v>3027</v>
      </c>
      <c r="C1086" s="3" t="s">
        <v>18</v>
      </c>
      <c r="D1086" s="6" t="s">
        <v>3028</v>
      </c>
      <c r="E1086" s="6" t="s">
        <v>3028</v>
      </c>
      <c r="F1086" s="3" t="str">
        <f>IFERROR( VLOOKUP(A1086,#REF!,2,0),"")</f>
        <v/>
      </c>
      <c r="G1086" s="3" t="str">
        <f t="array" ref="G1086">_xlfn.XLOOKUP(I1086,Base_Datos!D:D,Base_Datos!B:B,"")</f>
        <v>DFSK</v>
      </c>
      <c r="H1086" s="3" t="str">
        <f t="array" ref="H1086">IF(I1086="","",IFERROR(_xlfn.XLOOKUP(I1086,Base_Datos!$D$2:$D3876,Base_Datos!$C$2:$C3876),""))</f>
        <v>Serie Glory</v>
      </c>
      <c r="I1086" s="3" t="s">
        <v>1767</v>
      </c>
      <c r="J1086" s="3" t="str">
        <f>IF(I1086="","",IFERROR(VLOOKUP(I1086,Base_Datos!$D$2:$E$72,2,0),""))</f>
        <v>(1.5L)</v>
      </c>
      <c r="K1086" s="3" t="s">
        <v>1782</v>
      </c>
      <c r="L1086" s="3"/>
      <c r="M1086" s="7">
        <v>8</v>
      </c>
      <c r="N1086" s="7">
        <v>0</v>
      </c>
    </row>
    <row r="1087" spans="1:14" ht="14.25" x14ac:dyDescent="0.2">
      <c r="A1087" s="3">
        <v>79025</v>
      </c>
      <c r="B1087" s="3" t="s">
        <v>3029</v>
      </c>
      <c r="C1087" s="3" t="s">
        <v>18</v>
      </c>
      <c r="D1087" s="6" t="s">
        <v>3030</v>
      </c>
      <c r="E1087" s="6" t="s">
        <v>3030</v>
      </c>
      <c r="F1087" s="3" t="str">
        <f>IFERROR( VLOOKUP(A1087,#REF!,2,0),"")</f>
        <v/>
      </c>
      <c r="G1087" s="3" t="str">
        <f t="array" ref="G1087">_xlfn.XLOOKUP(I1087,Base_Datos!D:D,Base_Datos!B:B,"")</f>
        <v>DFSK</v>
      </c>
      <c r="H1087" s="3" t="str">
        <f t="array" ref="H1087">IF(I1087="","",IFERROR(_xlfn.XLOOKUP(I1087,Base_Datos!$D$2:$D3876,Base_Datos!$C$2:$C3876),""))</f>
        <v>Serie Glory</v>
      </c>
      <c r="I1087" s="3" t="s">
        <v>1767</v>
      </c>
      <c r="J1087" s="3" t="str">
        <f>IF(I1087="","",IFERROR(VLOOKUP(I1087,Base_Datos!$D$2:$E$72,2,0),""))</f>
        <v>(1.5L)</v>
      </c>
      <c r="K1087" s="3" t="s">
        <v>1782</v>
      </c>
      <c r="L1087" s="3"/>
      <c r="M1087" s="7">
        <v>32</v>
      </c>
      <c r="N1087" s="7">
        <v>0</v>
      </c>
    </row>
    <row r="1088" spans="1:14" ht="14.25" x14ac:dyDescent="0.2">
      <c r="A1088" s="3">
        <v>79026</v>
      </c>
      <c r="B1088" s="3" t="s">
        <v>3031</v>
      </c>
      <c r="C1088" s="3" t="s">
        <v>18</v>
      </c>
      <c r="D1088" s="6" t="s">
        <v>3032</v>
      </c>
      <c r="E1088" s="6" t="s">
        <v>3032</v>
      </c>
      <c r="F1088" s="3" t="str">
        <f>IFERROR( VLOOKUP(A1088,#REF!,2,0),"")</f>
        <v/>
      </c>
      <c r="G1088" s="3" t="str">
        <f t="array" ref="G1088">_xlfn.XLOOKUP(I1088,Base_Datos!D:D,Base_Datos!B:B,"")</f>
        <v>DFSK</v>
      </c>
      <c r="H1088" s="3" t="str">
        <f t="array" ref="H1088">IF(I1088="","",IFERROR(_xlfn.XLOOKUP(I1088,Base_Datos!$D$2:$D3876,Base_Datos!$C$2:$C3876),""))</f>
        <v>Serie C</v>
      </c>
      <c r="I1088" s="3" t="s">
        <v>343</v>
      </c>
      <c r="J1088" s="3" t="str">
        <f>IF(I1088="","",IFERROR(VLOOKUP(I1088,Base_Datos!$D$2:$E$72,2,0),""))</f>
        <v>(1.5L)</v>
      </c>
      <c r="K1088" s="3" t="s">
        <v>3033</v>
      </c>
      <c r="L1088" s="3"/>
      <c r="M1088" s="7">
        <v>8</v>
      </c>
      <c r="N1088" s="7">
        <v>0</v>
      </c>
    </row>
    <row r="1089" spans="1:14" ht="14.25" x14ac:dyDescent="0.2">
      <c r="A1089" s="3">
        <v>79027</v>
      </c>
      <c r="B1089" s="3" t="s">
        <v>3034</v>
      </c>
      <c r="C1089" s="3" t="s">
        <v>18</v>
      </c>
      <c r="D1089" s="6" t="s">
        <v>3035</v>
      </c>
      <c r="E1089" s="6" t="s">
        <v>3035</v>
      </c>
      <c r="F1089" s="3" t="str">
        <f>IFERROR( VLOOKUP(A1089,#REF!,2,0),"")</f>
        <v/>
      </c>
      <c r="G1089" s="3" t="str">
        <f t="array" ref="G1089">_xlfn.XLOOKUP(I1089,Base_Datos!D:D,Base_Datos!B:B,"")</f>
        <v>DFSK</v>
      </c>
      <c r="H1089" s="3" t="str">
        <f t="array" ref="H1089">IF(I1089="","",IFERROR(_xlfn.XLOOKUP(I1089,Base_Datos!$D$2:$D3876,Base_Datos!$C$2:$C3876),""))</f>
        <v>Serie Glory</v>
      </c>
      <c r="I1089" s="3" t="s">
        <v>1767</v>
      </c>
      <c r="J1089" s="3" t="str">
        <f>IF(I1089="","",IFERROR(VLOOKUP(I1089,Base_Datos!$D$2:$E$72,2,0),""))</f>
        <v>(1.5L)</v>
      </c>
      <c r="K1089" s="3" t="s">
        <v>1782</v>
      </c>
      <c r="L1089" s="3"/>
      <c r="M1089" s="7">
        <v>4</v>
      </c>
      <c r="N1089" s="7">
        <v>0</v>
      </c>
    </row>
    <row r="1090" spans="1:14" ht="14.25" x14ac:dyDescent="0.2">
      <c r="A1090" s="3">
        <v>79028</v>
      </c>
      <c r="B1090" s="3" t="s">
        <v>3036</v>
      </c>
      <c r="C1090" s="3" t="s">
        <v>18</v>
      </c>
      <c r="D1090" s="6" t="s">
        <v>3037</v>
      </c>
      <c r="E1090" s="6" t="s">
        <v>3037</v>
      </c>
      <c r="F1090" s="3" t="str">
        <f>IFERROR( VLOOKUP(A1090,#REF!,2,0),"")</f>
        <v/>
      </c>
      <c r="G1090" s="3" t="str">
        <f t="array" ref="G1090">_xlfn.XLOOKUP(I1090,Base_Datos!D:D,Base_Datos!B:B,"")</f>
        <v>DFSK</v>
      </c>
      <c r="H1090" s="3" t="str">
        <f t="array" ref="H1090">IF(I1090="","",IFERROR(_xlfn.XLOOKUP(I1090,Base_Datos!$D$2:$D3876,Base_Datos!$C$2:$C3876),""))</f>
        <v>Serie Glory</v>
      </c>
      <c r="I1090" s="3" t="s">
        <v>1767</v>
      </c>
      <c r="J1090" s="3" t="str">
        <f>IF(I1090="","",IFERROR(VLOOKUP(I1090,Base_Datos!$D$2:$E$72,2,0),""))</f>
        <v>(1.5L)</v>
      </c>
      <c r="K1090" s="3" t="s">
        <v>1782</v>
      </c>
      <c r="L1090" s="3"/>
      <c r="M1090" s="7">
        <v>2</v>
      </c>
      <c r="N1090" s="7">
        <v>0</v>
      </c>
    </row>
    <row r="1091" spans="1:14" ht="14.25" x14ac:dyDescent="0.2">
      <c r="A1091" s="3">
        <v>79029</v>
      </c>
      <c r="B1091" s="3" t="s">
        <v>2678</v>
      </c>
      <c r="C1091" s="3" t="s">
        <v>18</v>
      </c>
      <c r="D1091" s="6" t="s">
        <v>3038</v>
      </c>
      <c r="E1091" s="6" t="s">
        <v>3038</v>
      </c>
      <c r="F1091" s="3" t="str">
        <f>IFERROR( VLOOKUP(A1091,#REF!,2,0),"")</f>
        <v/>
      </c>
      <c r="G1091" s="3" t="str">
        <f t="array" ref="G1091">_xlfn.XLOOKUP(I1091,Base_Datos!D:D,Base_Datos!B:B,"")</f>
        <v>DFSK</v>
      </c>
      <c r="H1091" s="3" t="str">
        <f t="array" ref="H1091">IF(I1091="","",IFERROR(_xlfn.XLOOKUP(I1091,Base_Datos!$D$2:$D3876,Base_Datos!$C$2:$C3876),""))</f>
        <v>Serie Glory</v>
      </c>
      <c r="I1091" s="3" t="s">
        <v>1767</v>
      </c>
      <c r="J1091" s="3" t="str">
        <f>IF(I1091="","",IFERROR(VLOOKUP(I1091,Base_Datos!$D$2:$E$72,2,0),""))</f>
        <v>(1.5L)</v>
      </c>
      <c r="K1091" s="3" t="s">
        <v>1782</v>
      </c>
      <c r="L1091" s="3"/>
      <c r="M1091" s="7">
        <v>0</v>
      </c>
      <c r="N1091" s="7">
        <v>0</v>
      </c>
    </row>
    <row r="1092" spans="1:14" ht="14.25" x14ac:dyDescent="0.2">
      <c r="A1092" s="3">
        <v>79030</v>
      </c>
      <c r="B1092" s="3" t="s">
        <v>2914</v>
      </c>
      <c r="C1092" s="3" t="s">
        <v>18</v>
      </c>
      <c r="D1092" s="6" t="s">
        <v>3039</v>
      </c>
      <c r="E1092" s="6" t="s">
        <v>3039</v>
      </c>
      <c r="F1092" s="3" t="str">
        <f>IFERROR( VLOOKUP(A1092,#REF!,2,0),"")</f>
        <v/>
      </c>
      <c r="G1092" s="3" t="str">
        <f t="array" ref="G1092">_xlfn.XLOOKUP(I1092,Base_Datos!D:D,Base_Datos!B:B,"")</f>
        <v>DFSK</v>
      </c>
      <c r="H1092" s="3" t="str">
        <f t="array" ref="H1092">IF(I1092="","",IFERROR(_xlfn.XLOOKUP(I1092,Base_Datos!$D$2:$D3876,Base_Datos!$C$2:$C3876),""))</f>
        <v>Serie Glory</v>
      </c>
      <c r="I1092" s="3" t="s">
        <v>1767</v>
      </c>
      <c r="J1092" s="3" t="str">
        <f>IF(I1092="","",IFERROR(VLOOKUP(I1092,Base_Datos!$D$2:$E$72,2,0),""))</f>
        <v>(1.5L)</v>
      </c>
      <c r="K1092" s="3" t="s">
        <v>1782</v>
      </c>
      <c r="L1092" s="3"/>
      <c r="M1092" s="7">
        <v>2</v>
      </c>
      <c r="N1092" s="7">
        <v>0</v>
      </c>
    </row>
    <row r="1093" spans="1:14" ht="14.25" x14ac:dyDescent="0.2">
      <c r="A1093" s="3">
        <v>79031</v>
      </c>
      <c r="B1093" s="3" t="s">
        <v>3040</v>
      </c>
      <c r="C1093" s="3" t="s">
        <v>18</v>
      </c>
      <c r="D1093" s="6" t="s">
        <v>3041</v>
      </c>
      <c r="E1093" s="6" t="s">
        <v>3041</v>
      </c>
      <c r="F1093" s="3" t="str">
        <f>IFERROR( VLOOKUP(A1093,#REF!,2,0),"")</f>
        <v/>
      </c>
      <c r="G1093" s="3" t="str">
        <f t="array" ref="G1093">_xlfn.XLOOKUP(I1093,Base_Datos!D:D,Base_Datos!B:B,"")</f>
        <v>DFSK</v>
      </c>
      <c r="H1093" s="3" t="str">
        <f t="array" ref="H1093">IF(I1093="","",IFERROR(_xlfn.XLOOKUP(I1093,Base_Datos!$D$2:$D3876,Base_Datos!$C$2:$C3876),""))</f>
        <v>Serie Glory</v>
      </c>
      <c r="I1093" s="3" t="s">
        <v>1767</v>
      </c>
      <c r="J1093" s="3" t="str">
        <f>IF(I1093="","",IFERROR(VLOOKUP(I1093,Base_Datos!$D$2:$E$72,2,0),""))</f>
        <v>(1.5L)</v>
      </c>
      <c r="K1093" s="3" t="s">
        <v>1782</v>
      </c>
      <c r="L1093" s="3"/>
      <c r="M1093" s="7">
        <v>6</v>
      </c>
      <c r="N1093" s="7">
        <v>0</v>
      </c>
    </row>
    <row r="1094" spans="1:14" ht="14.25" x14ac:dyDescent="0.2">
      <c r="A1094" s="3">
        <v>79032</v>
      </c>
      <c r="B1094" s="3" t="s">
        <v>1892</v>
      </c>
      <c r="C1094" s="3" t="s">
        <v>18</v>
      </c>
      <c r="D1094" s="6" t="s">
        <v>3042</v>
      </c>
      <c r="E1094" s="6" t="s">
        <v>3042</v>
      </c>
      <c r="F1094" s="3" t="str">
        <f>IFERROR( VLOOKUP(A1094,#REF!,2,0),"")</f>
        <v/>
      </c>
      <c r="G1094" s="3" t="str">
        <f t="array" ref="G1094">_xlfn.XLOOKUP(I1094,Base_Datos!D:D,Base_Datos!B:B,"")</f>
        <v>DFSK</v>
      </c>
      <c r="H1094" s="3" t="str">
        <f t="array" ref="H1094">IF(I1094="","",IFERROR(_xlfn.XLOOKUP(I1094,Base_Datos!$D$2:$D3876,Base_Datos!$C$2:$C3876),""))</f>
        <v>Serie Glory</v>
      </c>
      <c r="I1094" s="3" t="s">
        <v>1767</v>
      </c>
      <c r="J1094" s="3" t="str">
        <f>IF(I1094="","",IFERROR(VLOOKUP(I1094,Base_Datos!$D$2:$E$72,2,0),""))</f>
        <v>(1.5L)</v>
      </c>
      <c r="K1094" s="3" t="s">
        <v>1782</v>
      </c>
      <c r="L1094" s="3"/>
      <c r="M1094" s="7">
        <v>4</v>
      </c>
      <c r="N1094" s="7">
        <v>0</v>
      </c>
    </row>
    <row r="1095" spans="1:14" ht="14.25" x14ac:dyDescent="0.2">
      <c r="A1095" s="3">
        <v>79033</v>
      </c>
      <c r="B1095" s="3" t="s">
        <v>2238</v>
      </c>
      <c r="C1095" s="3" t="s">
        <v>18</v>
      </c>
      <c r="D1095" s="6" t="s">
        <v>3043</v>
      </c>
      <c r="E1095" s="6" t="s">
        <v>3043</v>
      </c>
      <c r="F1095" s="3" t="str">
        <f>IFERROR( VLOOKUP(A1095,#REF!,2,0),"")</f>
        <v/>
      </c>
      <c r="G1095" s="3" t="str">
        <f t="array" ref="G1095">_xlfn.XLOOKUP(I1095,Base_Datos!D:D,Base_Datos!B:B,"")</f>
        <v>DFSK</v>
      </c>
      <c r="H1095" s="3" t="str">
        <f t="array" ref="H1095">IF(I1095="","",IFERROR(_xlfn.XLOOKUP(I1095,Base_Datos!$D$2:$D3876,Base_Datos!$C$2:$C3876),""))</f>
        <v>Serie Glory</v>
      </c>
      <c r="I1095" s="3" t="s">
        <v>1767</v>
      </c>
      <c r="J1095" s="3" t="str">
        <f>IF(I1095="","",IFERROR(VLOOKUP(I1095,Base_Datos!$D$2:$E$72,2,0),""))</f>
        <v>(1.5L)</v>
      </c>
      <c r="K1095" s="3" t="s">
        <v>1782</v>
      </c>
      <c r="L1095" s="3"/>
      <c r="M1095" s="7">
        <v>2</v>
      </c>
      <c r="N1095" s="7">
        <v>0</v>
      </c>
    </row>
    <row r="1096" spans="1:14" ht="14.25" x14ac:dyDescent="0.2">
      <c r="A1096" s="3">
        <v>79034</v>
      </c>
      <c r="B1096" s="3" t="s">
        <v>2239</v>
      </c>
      <c r="C1096" s="3" t="s">
        <v>18</v>
      </c>
      <c r="D1096" s="6" t="s">
        <v>3044</v>
      </c>
      <c r="E1096" s="6" t="s">
        <v>3044</v>
      </c>
      <c r="F1096" s="3" t="str">
        <f>IFERROR( VLOOKUP(A1096,#REF!,2,0),"")</f>
        <v/>
      </c>
      <c r="G1096" s="3" t="str">
        <f t="array" ref="G1096">_xlfn.XLOOKUP(I1096,Base_Datos!D:D,Base_Datos!B:B,"")</f>
        <v>DFSK</v>
      </c>
      <c r="H1096" s="3" t="str">
        <f t="array" ref="H1096">IF(I1096="","",IFERROR(_xlfn.XLOOKUP(I1096,Base_Datos!$D$2:$D3876,Base_Datos!$C$2:$C3876),""))</f>
        <v>Serie Glory</v>
      </c>
      <c r="I1096" s="3" t="s">
        <v>1767</v>
      </c>
      <c r="J1096" s="3" t="str">
        <f>IF(I1096="","",IFERROR(VLOOKUP(I1096,Base_Datos!$D$2:$E$72,2,0),""))</f>
        <v>(1.5L)</v>
      </c>
      <c r="K1096" s="3" t="s">
        <v>1782</v>
      </c>
      <c r="L1096" s="3"/>
      <c r="M1096" s="7">
        <v>1</v>
      </c>
      <c r="N1096" s="7">
        <v>0</v>
      </c>
    </row>
    <row r="1097" spans="1:14" ht="14.25" x14ac:dyDescent="0.2">
      <c r="A1097" s="3">
        <v>79035</v>
      </c>
      <c r="B1097" s="3" t="s">
        <v>2240</v>
      </c>
      <c r="C1097" s="3" t="s">
        <v>18</v>
      </c>
      <c r="D1097" s="6" t="s">
        <v>3045</v>
      </c>
      <c r="E1097" s="6" t="s">
        <v>3045</v>
      </c>
      <c r="F1097" s="3" t="str">
        <f>IFERROR( VLOOKUP(A1097,#REF!,2,0),"")</f>
        <v/>
      </c>
      <c r="G1097" s="3" t="str">
        <f t="array" ref="G1097">_xlfn.XLOOKUP(I1097,Base_Datos!D:D,Base_Datos!B:B,"")</f>
        <v>DFSK</v>
      </c>
      <c r="H1097" s="3" t="str">
        <f t="array" ref="H1097">IF(I1097="","",IFERROR(_xlfn.XLOOKUP(I1097,Base_Datos!$D$2:$D3876,Base_Datos!$C$2:$C3876),""))</f>
        <v>Serie Glory</v>
      </c>
      <c r="I1097" s="3" t="s">
        <v>1767</v>
      </c>
      <c r="J1097" s="3" t="str">
        <f>IF(I1097="","",IFERROR(VLOOKUP(I1097,Base_Datos!$D$2:$E$72,2,0),""))</f>
        <v>(1.5L)</v>
      </c>
      <c r="K1097" s="3" t="s">
        <v>1782</v>
      </c>
      <c r="L1097" s="3"/>
      <c r="M1097" s="7">
        <v>2</v>
      </c>
      <c r="N1097" s="7">
        <v>0</v>
      </c>
    </row>
    <row r="1098" spans="1:14" ht="14.25" x14ac:dyDescent="0.2">
      <c r="A1098" s="3">
        <v>79036</v>
      </c>
      <c r="B1098" s="3" t="s">
        <v>1866</v>
      </c>
      <c r="C1098" s="3" t="s">
        <v>18</v>
      </c>
      <c r="D1098" s="6" t="s">
        <v>3046</v>
      </c>
      <c r="E1098" s="6" t="s">
        <v>3046</v>
      </c>
      <c r="F1098" s="3" t="str">
        <f>IFERROR( VLOOKUP(A1098,#REF!,2,0),"")</f>
        <v/>
      </c>
      <c r="G1098" s="3" t="str">
        <f t="array" ref="G1098">_xlfn.XLOOKUP(I1098,Base_Datos!D:D,Base_Datos!B:B,"")</f>
        <v>DFSK</v>
      </c>
      <c r="H1098" s="3" t="str">
        <f t="array" ref="H1098">IF(I1098="","",IFERROR(_xlfn.XLOOKUP(I1098,Base_Datos!$D$2:$D3876,Base_Datos!$C$2:$C3876),""))</f>
        <v>Serie Glory</v>
      </c>
      <c r="I1098" s="3" t="s">
        <v>1767</v>
      </c>
      <c r="J1098" s="3" t="str">
        <f>IF(I1098="","",IFERROR(VLOOKUP(I1098,Base_Datos!$D$2:$E$72,2,0),""))</f>
        <v>(1.5L)</v>
      </c>
      <c r="K1098" s="3" t="s">
        <v>1782</v>
      </c>
      <c r="L1098" s="3"/>
      <c r="M1098" s="7">
        <v>2</v>
      </c>
      <c r="N1098" s="7">
        <v>0</v>
      </c>
    </row>
    <row r="1099" spans="1:14" ht="14.25" x14ac:dyDescent="0.2">
      <c r="A1099" s="3">
        <v>79037</v>
      </c>
      <c r="B1099" s="3" t="s">
        <v>3047</v>
      </c>
      <c r="C1099" s="3" t="s">
        <v>18</v>
      </c>
      <c r="D1099" s="6" t="s">
        <v>3048</v>
      </c>
      <c r="E1099" s="6" t="s">
        <v>3048</v>
      </c>
      <c r="F1099" s="3" t="str">
        <f>IFERROR( VLOOKUP(A1099,#REF!,2,0),"")</f>
        <v/>
      </c>
      <c r="G1099" s="3" t="str">
        <f t="array" ref="G1099">_xlfn.XLOOKUP(I1099,Base_Datos!D:D,Base_Datos!B:B,"")</f>
        <v>DFSK</v>
      </c>
      <c r="H1099" s="3" t="str">
        <f t="array" ref="H1099">IF(I1099="","",IFERROR(_xlfn.XLOOKUP(I1099,Base_Datos!$D$2:$D3876,Base_Datos!$C$2:$C3876),""))</f>
        <v>Serie Glory</v>
      </c>
      <c r="I1099" s="3" t="s">
        <v>1767</v>
      </c>
      <c r="J1099" s="3" t="str">
        <f>IF(I1099="","",IFERROR(VLOOKUP(I1099,Base_Datos!$D$2:$E$72,2,0),""))</f>
        <v>(1.5L)</v>
      </c>
      <c r="K1099" s="3" t="s">
        <v>1782</v>
      </c>
      <c r="L1099" s="3"/>
      <c r="M1099" s="7">
        <v>3</v>
      </c>
      <c r="N1099" s="7">
        <v>0</v>
      </c>
    </row>
    <row r="1100" spans="1:14" ht="14.25" x14ac:dyDescent="0.2">
      <c r="A1100" s="3">
        <v>79038</v>
      </c>
      <c r="B1100" s="3" t="s">
        <v>3049</v>
      </c>
      <c r="C1100" s="3" t="s">
        <v>18</v>
      </c>
      <c r="D1100" s="6" t="s">
        <v>3050</v>
      </c>
      <c r="E1100" s="6" t="s">
        <v>3050</v>
      </c>
      <c r="F1100" s="3" t="str">
        <f>IFERROR( VLOOKUP(A1100,#REF!,2,0),"")</f>
        <v/>
      </c>
      <c r="G1100" s="3" t="str">
        <f t="array" ref="G1100">_xlfn.XLOOKUP(I1100,Base_Datos!D:D,Base_Datos!B:B,"")</f>
        <v>DFSK</v>
      </c>
      <c r="H1100" s="3" t="str">
        <f t="array" ref="H1100">IF(I1100="","",IFERROR(_xlfn.XLOOKUP(I1100,Base_Datos!$D$2:$D3876,Base_Datos!$C$2:$C3876),""))</f>
        <v>Serie Glory</v>
      </c>
      <c r="I1100" s="3" t="s">
        <v>1767</v>
      </c>
      <c r="J1100" s="3" t="str">
        <f>IF(I1100="","",IFERROR(VLOOKUP(I1100,Base_Datos!$D$2:$E$72,2,0),""))</f>
        <v>(1.5L)</v>
      </c>
      <c r="K1100" s="3" t="s">
        <v>3051</v>
      </c>
      <c r="L1100" s="3"/>
      <c r="M1100" s="7">
        <v>8</v>
      </c>
      <c r="N1100" s="7">
        <v>0</v>
      </c>
    </row>
    <row r="1101" spans="1:14" ht="14.25" x14ac:dyDescent="0.2">
      <c r="A1101" s="3">
        <v>79039</v>
      </c>
      <c r="B1101" s="3" t="s">
        <v>2916</v>
      </c>
      <c r="C1101" s="3" t="s">
        <v>18</v>
      </c>
      <c r="D1101" s="6" t="s">
        <v>3052</v>
      </c>
      <c r="E1101" s="6" t="s">
        <v>3052</v>
      </c>
      <c r="F1101" s="3" t="str">
        <f>IFERROR( VLOOKUP(A1101,#REF!,2,0),"")</f>
        <v/>
      </c>
      <c r="G1101" s="3" t="str">
        <f t="array" ref="G1101">_xlfn.XLOOKUP(I1101,Base_Datos!D:D,Base_Datos!B:B,"")</f>
        <v>DFSK</v>
      </c>
      <c r="H1101" s="3" t="str">
        <f t="array" ref="H1101">IF(I1101="","",IFERROR(_xlfn.XLOOKUP(I1101,Base_Datos!$D$2:$D3876,Base_Datos!$C$2:$C3876),""))</f>
        <v>Serie Glory</v>
      </c>
      <c r="I1101" s="3" t="s">
        <v>1767</v>
      </c>
      <c r="J1101" s="3" t="str">
        <f>IF(I1101="","",IFERROR(VLOOKUP(I1101,Base_Datos!$D$2:$E$72,2,0),""))</f>
        <v>(1.5L)</v>
      </c>
      <c r="K1101" s="3" t="s">
        <v>1782</v>
      </c>
      <c r="L1101" s="3"/>
      <c r="M1101" s="7">
        <v>0</v>
      </c>
      <c r="N1101" s="7">
        <v>0</v>
      </c>
    </row>
    <row r="1102" spans="1:14" ht="14.25" x14ac:dyDescent="0.2">
      <c r="A1102" s="3">
        <v>79040</v>
      </c>
      <c r="B1102" s="3" t="s">
        <v>1828</v>
      </c>
      <c r="C1102" s="3" t="s">
        <v>18</v>
      </c>
      <c r="D1102" s="6" t="s">
        <v>3053</v>
      </c>
      <c r="E1102" s="6" t="s">
        <v>3053</v>
      </c>
      <c r="F1102" s="3" t="str">
        <f>IFERROR( VLOOKUP(A1102,#REF!,2,0),"")</f>
        <v/>
      </c>
      <c r="G1102" s="3" t="str">
        <f t="array" ref="G1102">_xlfn.XLOOKUP(I1102,Base_Datos!D:D,Base_Datos!B:B,"")</f>
        <v>DFSK</v>
      </c>
      <c r="H1102" s="3" t="str">
        <f t="array" ref="H1102">IF(I1102="","",IFERROR(_xlfn.XLOOKUP(I1102,Base_Datos!$D$2:$D3876,Base_Datos!$C$2:$C3876),""))</f>
        <v>Serie Glory</v>
      </c>
      <c r="I1102" s="3" t="s">
        <v>1767</v>
      </c>
      <c r="J1102" s="3" t="str">
        <f>IF(I1102="","",IFERROR(VLOOKUP(I1102,Base_Datos!$D$2:$E$72,2,0),""))</f>
        <v>(1.5L)</v>
      </c>
      <c r="K1102" s="3" t="s">
        <v>1782</v>
      </c>
      <c r="L1102" s="3"/>
      <c r="M1102" s="7">
        <v>1</v>
      </c>
      <c r="N1102" s="7">
        <v>0</v>
      </c>
    </row>
    <row r="1103" spans="1:14" ht="14.25" x14ac:dyDescent="0.2">
      <c r="A1103" s="3">
        <v>79041</v>
      </c>
      <c r="B1103" s="3" t="s">
        <v>3054</v>
      </c>
      <c r="C1103" s="3" t="s">
        <v>18</v>
      </c>
      <c r="D1103" s="6" t="s">
        <v>3055</v>
      </c>
      <c r="E1103" s="6" t="s">
        <v>3055</v>
      </c>
      <c r="F1103" s="3" t="str">
        <f>IFERROR( VLOOKUP(A1103,#REF!,2,0),"")</f>
        <v/>
      </c>
      <c r="G1103" s="3" t="str">
        <f t="array" ref="G1103">_xlfn.XLOOKUP(I1103,Base_Datos!D:D,Base_Datos!B:B,"")</f>
        <v>DFSK</v>
      </c>
      <c r="H1103" s="3" t="str">
        <f t="array" ref="H1103">IF(I1103="","",IFERROR(_xlfn.XLOOKUP(I1103,Base_Datos!$D$2:$D3876,Base_Datos!$C$2:$C3876),""))</f>
        <v>Serie Glory</v>
      </c>
      <c r="I1103" s="3" t="s">
        <v>1767</v>
      </c>
      <c r="J1103" s="3" t="str">
        <f>IF(I1103="","",IFERROR(VLOOKUP(I1103,Base_Datos!$D$2:$E$72,2,0),""))</f>
        <v>(1.5L)</v>
      </c>
      <c r="K1103" s="3" t="s">
        <v>1782</v>
      </c>
      <c r="L1103" s="3"/>
      <c r="M1103" s="7">
        <v>3</v>
      </c>
      <c r="N1103" s="7">
        <v>0</v>
      </c>
    </row>
    <row r="1104" spans="1:14" ht="14.25" x14ac:dyDescent="0.2">
      <c r="A1104" s="3">
        <v>79042</v>
      </c>
      <c r="B1104" s="3" t="s">
        <v>3056</v>
      </c>
      <c r="C1104" s="3" t="s">
        <v>18</v>
      </c>
      <c r="D1104" s="6" t="s">
        <v>3057</v>
      </c>
      <c r="E1104" s="6" t="s">
        <v>3057</v>
      </c>
      <c r="F1104" s="3" t="str">
        <f>IFERROR( VLOOKUP(A1104,#REF!,2,0),"")</f>
        <v/>
      </c>
      <c r="G1104" s="3" t="str">
        <f t="array" ref="G1104">_xlfn.XLOOKUP(I1104,Base_Datos!D:D,Base_Datos!B:B,"")</f>
        <v>DFSK</v>
      </c>
      <c r="H1104" s="3" t="str">
        <f t="array" ref="H1104">IF(I1104="","",IFERROR(_xlfn.XLOOKUP(I1104,Base_Datos!$D$2:$D3876,Base_Datos!$C$2:$C3876),""))</f>
        <v>Serie Glory</v>
      </c>
      <c r="I1104" s="3" t="s">
        <v>1767</v>
      </c>
      <c r="J1104" s="3" t="str">
        <f>IF(I1104="","",IFERROR(VLOOKUP(I1104,Base_Datos!$D$2:$E$72,2,0),""))</f>
        <v>(1.5L)</v>
      </c>
      <c r="K1104" s="3" t="s">
        <v>1782</v>
      </c>
      <c r="L1104" s="3"/>
      <c r="M1104" s="7">
        <v>3</v>
      </c>
      <c r="N1104" s="7">
        <v>0</v>
      </c>
    </row>
    <row r="1105" spans="1:14" ht="14.25" x14ac:dyDescent="0.2">
      <c r="A1105" s="3">
        <v>79043</v>
      </c>
      <c r="B1105" s="3" t="s">
        <v>3058</v>
      </c>
      <c r="C1105" s="3" t="s">
        <v>18</v>
      </c>
      <c r="D1105" s="6" t="s">
        <v>3059</v>
      </c>
      <c r="E1105" s="6" t="s">
        <v>3059</v>
      </c>
      <c r="F1105" s="3" t="str">
        <f>IFERROR( VLOOKUP(A1105,#REF!,2,0),"")</f>
        <v/>
      </c>
      <c r="G1105" s="3" t="str">
        <f t="array" ref="G1105">_xlfn.XLOOKUP(I1105,Base_Datos!D:D,Base_Datos!B:B,"")</f>
        <v>DFSK</v>
      </c>
      <c r="H1105" s="3" t="str">
        <f t="array" ref="H1105">IF(I1105="","",IFERROR(_xlfn.XLOOKUP(I1105,Base_Datos!$D$2:$D3876,Base_Datos!$C$2:$C3876),""))</f>
        <v>Serie Glory</v>
      </c>
      <c r="I1105" s="3" t="s">
        <v>1767</v>
      </c>
      <c r="J1105" s="3" t="str">
        <f>IF(I1105="","",IFERROR(VLOOKUP(I1105,Base_Datos!$D$2:$E$72,2,0),""))</f>
        <v>(1.5L)</v>
      </c>
      <c r="K1105" s="3" t="s">
        <v>1782</v>
      </c>
      <c r="L1105" s="3"/>
      <c r="M1105" s="7">
        <v>2</v>
      </c>
      <c r="N1105" s="7">
        <v>0</v>
      </c>
    </row>
    <row r="1106" spans="1:14" ht="14.25" x14ac:dyDescent="0.2">
      <c r="A1106" s="3">
        <v>79044</v>
      </c>
      <c r="B1106" s="3" t="s">
        <v>3060</v>
      </c>
      <c r="C1106" s="3" t="s">
        <v>18</v>
      </c>
      <c r="D1106" s="6" t="s">
        <v>3061</v>
      </c>
      <c r="E1106" s="6" t="s">
        <v>3061</v>
      </c>
      <c r="F1106" s="3" t="str">
        <f>IFERROR( VLOOKUP(A1106,#REF!,2,0),"")</f>
        <v/>
      </c>
      <c r="G1106" s="3" t="str">
        <f t="array" ref="G1106">_xlfn.XLOOKUP(I1106,Base_Datos!D:D,Base_Datos!B:B,"")</f>
        <v>DFSK</v>
      </c>
      <c r="H1106" s="3" t="str">
        <f t="array" ref="H1106">IF(I1106="","",IFERROR(_xlfn.XLOOKUP(I1106,Base_Datos!$D$2:$D3876,Base_Datos!$C$2:$C3876),""))</f>
        <v>Serie Glory</v>
      </c>
      <c r="I1106" s="3" t="s">
        <v>1767</v>
      </c>
      <c r="J1106" s="3" t="str">
        <f>IF(I1106="","",IFERROR(VLOOKUP(I1106,Base_Datos!$D$2:$E$72,2,0),""))</f>
        <v>(1.5L)</v>
      </c>
      <c r="K1106" s="3" t="s">
        <v>1782</v>
      </c>
      <c r="L1106" s="3"/>
      <c r="M1106" s="7">
        <v>2</v>
      </c>
      <c r="N1106" s="7">
        <v>0</v>
      </c>
    </row>
    <row r="1107" spans="1:14" ht="14.25" x14ac:dyDescent="0.2">
      <c r="A1107" s="3">
        <v>79045</v>
      </c>
      <c r="B1107" s="3" t="s">
        <v>3062</v>
      </c>
      <c r="C1107" s="3" t="s">
        <v>18</v>
      </c>
      <c r="D1107" s="6" t="s">
        <v>3063</v>
      </c>
      <c r="E1107" s="6" t="s">
        <v>3063</v>
      </c>
      <c r="F1107" s="3" t="str">
        <f>IFERROR( VLOOKUP(A1107,#REF!,2,0),"")</f>
        <v/>
      </c>
      <c r="G1107" s="3" t="str">
        <f t="array" ref="G1107">_xlfn.XLOOKUP(I1107,Base_Datos!D:D,Base_Datos!B:B,"")</f>
        <v>DFSK</v>
      </c>
      <c r="H1107" s="3" t="str">
        <f t="array" ref="H1107">IF(I1107="","",IFERROR(_xlfn.XLOOKUP(I1107,Base_Datos!$D$2:$D3876,Base_Datos!$C$2:$C3876),""))</f>
        <v>Serie Glory</v>
      </c>
      <c r="I1107" s="3" t="s">
        <v>1767</v>
      </c>
      <c r="J1107" s="3" t="str">
        <f>IF(I1107="","",IFERROR(VLOOKUP(I1107,Base_Datos!$D$2:$E$72,2,0),""))</f>
        <v>(1.5L)</v>
      </c>
      <c r="K1107" s="3" t="s">
        <v>1782</v>
      </c>
      <c r="L1107" s="3"/>
      <c r="M1107" s="7">
        <v>2</v>
      </c>
      <c r="N1107" s="7">
        <v>0</v>
      </c>
    </row>
    <row r="1108" spans="1:14" ht="14.25" x14ac:dyDescent="0.2">
      <c r="A1108" s="3">
        <v>79046</v>
      </c>
      <c r="B1108" s="3" t="s">
        <v>3064</v>
      </c>
      <c r="C1108" s="3" t="s">
        <v>18</v>
      </c>
      <c r="D1108" s="6" t="s">
        <v>3065</v>
      </c>
      <c r="E1108" s="6" t="s">
        <v>3065</v>
      </c>
      <c r="F1108" s="3" t="str">
        <f>IFERROR( VLOOKUP(A1108,#REF!,2,0),"")</f>
        <v/>
      </c>
      <c r="G1108" s="3" t="str">
        <f t="array" ref="G1108">_xlfn.XLOOKUP(I1108,Base_Datos!D:D,Base_Datos!B:B,"")</f>
        <v>DFSK</v>
      </c>
      <c r="H1108" s="3" t="str">
        <f t="array" ref="H1108">IF(I1108="","",IFERROR(_xlfn.XLOOKUP(I1108,Base_Datos!$D$2:$D3876,Base_Datos!$C$2:$C3876),""))</f>
        <v>Serie Glory</v>
      </c>
      <c r="I1108" s="3" t="s">
        <v>1767</v>
      </c>
      <c r="J1108" s="3" t="str">
        <f>IF(I1108="","",IFERROR(VLOOKUP(I1108,Base_Datos!$D$2:$E$72,2,0),""))</f>
        <v>(1.5L)</v>
      </c>
      <c r="K1108" s="3" t="s">
        <v>1782</v>
      </c>
      <c r="L1108" s="3"/>
      <c r="M1108" s="7">
        <v>3</v>
      </c>
      <c r="N1108" s="7">
        <v>0</v>
      </c>
    </row>
    <row r="1109" spans="1:14" ht="14.25" x14ac:dyDescent="0.2">
      <c r="A1109" s="3">
        <v>79047</v>
      </c>
      <c r="B1109" s="3" t="s">
        <v>3066</v>
      </c>
      <c r="C1109" s="3" t="s">
        <v>18</v>
      </c>
      <c r="D1109" s="6" t="s">
        <v>3067</v>
      </c>
      <c r="E1109" s="6" t="s">
        <v>3067</v>
      </c>
      <c r="F1109" s="3" t="str">
        <f>IFERROR( VLOOKUP(A1109,#REF!,2,0),"")</f>
        <v/>
      </c>
      <c r="G1109" s="3" t="str">
        <f t="array" ref="G1109">_xlfn.XLOOKUP(I1109,Base_Datos!D:D,Base_Datos!B:B,"")</f>
        <v>DFSK</v>
      </c>
      <c r="H1109" s="3" t="str">
        <f t="array" ref="H1109">IF(I1109="","",IFERROR(_xlfn.XLOOKUP(I1109,Base_Datos!$D$2:$D3876,Base_Datos!$C$2:$C3876),""))</f>
        <v>Serie Glory</v>
      </c>
      <c r="I1109" s="3" t="s">
        <v>1767</v>
      </c>
      <c r="J1109" s="3" t="str">
        <f>IF(I1109="","",IFERROR(VLOOKUP(I1109,Base_Datos!$D$2:$E$72,2,0),""))</f>
        <v>(1.5L)</v>
      </c>
      <c r="K1109" s="3" t="s">
        <v>1782</v>
      </c>
      <c r="L1109" s="3"/>
      <c r="M1109" s="7">
        <v>2</v>
      </c>
      <c r="N1109" s="7">
        <v>0</v>
      </c>
    </row>
    <row r="1110" spans="1:14" ht="14.25" x14ac:dyDescent="0.2">
      <c r="A1110" s="3">
        <v>79048</v>
      </c>
      <c r="B1110" s="3" t="s">
        <v>3068</v>
      </c>
      <c r="C1110" s="3" t="s">
        <v>18</v>
      </c>
      <c r="D1110" s="6" t="s">
        <v>3069</v>
      </c>
      <c r="E1110" s="6" t="s">
        <v>3069</v>
      </c>
      <c r="F1110" s="3" t="str">
        <f>IFERROR( VLOOKUP(A1110,#REF!,2,0),"")</f>
        <v/>
      </c>
      <c r="G1110" s="3" t="str">
        <f t="array" ref="G1110">_xlfn.XLOOKUP(I1110,Base_Datos!D:D,Base_Datos!B:B,"")</f>
        <v>DFSK</v>
      </c>
      <c r="H1110" s="3" t="str">
        <f t="array" ref="H1110">IF(I1110="","",IFERROR(_xlfn.XLOOKUP(I1110,Base_Datos!$D$2:$D3876,Base_Datos!$C$2:$C3876),""))</f>
        <v>Serie Glory</v>
      </c>
      <c r="I1110" s="3" t="s">
        <v>1767</v>
      </c>
      <c r="J1110" s="3" t="str">
        <f>IF(I1110="","",IFERROR(VLOOKUP(I1110,Base_Datos!$D$2:$E$72,2,0),""))</f>
        <v>(1.5L)</v>
      </c>
      <c r="K1110" s="3" t="s">
        <v>1782</v>
      </c>
      <c r="L1110" s="3"/>
      <c r="M1110" s="7">
        <v>2</v>
      </c>
      <c r="N1110" s="7">
        <v>0</v>
      </c>
    </row>
    <row r="1111" spans="1:14" ht="14.25" x14ac:dyDescent="0.2">
      <c r="A1111" s="3">
        <v>79049</v>
      </c>
      <c r="B1111" s="3" t="s">
        <v>2851</v>
      </c>
      <c r="C1111" s="3" t="s">
        <v>18</v>
      </c>
      <c r="D1111" s="6" t="s">
        <v>3070</v>
      </c>
      <c r="E1111" s="6" t="s">
        <v>3070</v>
      </c>
      <c r="F1111" s="3" t="str">
        <f>IFERROR( VLOOKUP(A1111,#REF!,2,0),"")</f>
        <v/>
      </c>
      <c r="G1111" s="3" t="str">
        <f t="array" ref="G1111">_xlfn.XLOOKUP(I1111,Base_Datos!D:D,Base_Datos!B:B,"")</f>
        <v>DFSK</v>
      </c>
      <c r="H1111" s="3" t="str">
        <f t="array" ref="H1111">IF(I1111="","",IFERROR(_xlfn.XLOOKUP(I1111,Base_Datos!$D$2:$D3876,Base_Datos!$C$2:$C3876),""))</f>
        <v>Serie Glory</v>
      </c>
      <c r="I1111" s="3" t="s">
        <v>1767</v>
      </c>
      <c r="J1111" s="3" t="str">
        <f>IF(I1111="","",IFERROR(VLOOKUP(I1111,Base_Datos!$D$2:$E$72,2,0),""))</f>
        <v>(1.5L)</v>
      </c>
      <c r="K1111" s="3" t="s">
        <v>1782</v>
      </c>
      <c r="L1111" s="3"/>
      <c r="M1111" s="7">
        <v>1</v>
      </c>
      <c r="N1111" s="7">
        <v>0</v>
      </c>
    </row>
    <row r="1112" spans="1:14" ht="14.25" x14ac:dyDescent="0.2">
      <c r="A1112" s="3">
        <v>79050</v>
      </c>
      <c r="B1112" s="3" t="s">
        <v>3071</v>
      </c>
      <c r="C1112" s="3" t="s">
        <v>18</v>
      </c>
      <c r="D1112" s="6" t="s">
        <v>3072</v>
      </c>
      <c r="E1112" s="6" t="s">
        <v>3072</v>
      </c>
      <c r="F1112" s="3" t="str">
        <f>IFERROR( VLOOKUP(A1112,#REF!,2,0),"")</f>
        <v/>
      </c>
      <c r="G1112" s="3" t="str">
        <f t="array" ref="G1112">_xlfn.XLOOKUP(I1112,Base_Datos!D:D,Base_Datos!B:B,"")</f>
        <v>DFSK</v>
      </c>
      <c r="H1112" s="3" t="str">
        <f t="array" ref="H1112">IF(I1112="","",IFERROR(_xlfn.XLOOKUP(I1112,Base_Datos!$D$2:$D3876,Base_Datos!$C$2:$C3876),""))</f>
        <v>Serie Glory</v>
      </c>
      <c r="I1112" s="3" t="s">
        <v>1767</v>
      </c>
      <c r="J1112" s="3" t="str">
        <f>IF(I1112="","",IFERROR(VLOOKUP(I1112,Base_Datos!$D$2:$E$72,2,0),""))</f>
        <v>(1.5L)</v>
      </c>
      <c r="K1112" s="3" t="s">
        <v>1782</v>
      </c>
      <c r="L1112" s="3"/>
      <c r="M1112" s="7">
        <v>24</v>
      </c>
      <c r="N1112" s="7">
        <v>0</v>
      </c>
    </row>
    <row r="1113" spans="1:14" ht="14.25" x14ac:dyDescent="0.2">
      <c r="A1113" s="3">
        <v>79051</v>
      </c>
      <c r="B1113" s="3" t="s">
        <v>3073</v>
      </c>
      <c r="C1113" s="3" t="s">
        <v>18</v>
      </c>
      <c r="D1113" s="6" t="s">
        <v>3074</v>
      </c>
      <c r="E1113" s="6" t="s">
        <v>3074</v>
      </c>
      <c r="F1113" s="3" t="str">
        <f>IFERROR( VLOOKUP(A1113,#REF!,2,0),"")</f>
        <v/>
      </c>
      <c r="G1113" s="3" t="str">
        <f t="array" ref="G1113">_xlfn.XLOOKUP(I1113,Base_Datos!D:D,Base_Datos!B:B,"")</f>
        <v>DFSK</v>
      </c>
      <c r="H1113" s="3" t="str">
        <f t="array" ref="H1113">IF(I1113="","",IFERROR(_xlfn.XLOOKUP(I1113,Base_Datos!$D$2:$D3876,Base_Datos!$C$2:$C3876),""))</f>
        <v>Serie Glory</v>
      </c>
      <c r="I1113" s="3" t="s">
        <v>1767</v>
      </c>
      <c r="J1113" s="3" t="str">
        <f>IF(I1113="","",IFERROR(VLOOKUP(I1113,Base_Datos!$D$2:$E$72,2,0),""))</f>
        <v>(1.5L)</v>
      </c>
      <c r="K1113" s="3" t="s">
        <v>1782</v>
      </c>
      <c r="L1113" s="3"/>
      <c r="M1113" s="7">
        <v>2</v>
      </c>
      <c r="N1113" s="7">
        <v>0</v>
      </c>
    </row>
    <row r="1114" spans="1:14" ht="14.25" x14ac:dyDescent="0.2">
      <c r="A1114" s="3">
        <v>79052</v>
      </c>
      <c r="B1114" s="3" t="s">
        <v>3075</v>
      </c>
      <c r="C1114" s="3" t="s">
        <v>18</v>
      </c>
      <c r="D1114" s="6" t="s">
        <v>3076</v>
      </c>
      <c r="E1114" s="6" t="s">
        <v>3076</v>
      </c>
      <c r="F1114" s="3" t="str">
        <f>IFERROR( VLOOKUP(A1114,#REF!,2,0),"")</f>
        <v/>
      </c>
      <c r="G1114" s="3" t="str">
        <f t="array" ref="G1114">_xlfn.XLOOKUP(I1114,Base_Datos!D:D,Base_Datos!B:B,"")</f>
        <v>DFSK</v>
      </c>
      <c r="H1114" s="3" t="str">
        <f t="array" ref="H1114">IF(I1114="","",IFERROR(_xlfn.XLOOKUP(I1114,Base_Datos!$D$2:$D3876,Base_Datos!$C$2:$C3876),""))</f>
        <v>Serie Glory</v>
      </c>
      <c r="I1114" s="3" t="s">
        <v>1767</v>
      </c>
      <c r="J1114" s="3" t="str">
        <f>IF(I1114="","",IFERROR(VLOOKUP(I1114,Base_Datos!$D$2:$E$72,2,0),""))</f>
        <v>(1.5L)</v>
      </c>
      <c r="K1114" s="3" t="s">
        <v>1782</v>
      </c>
      <c r="L1114" s="3"/>
      <c r="M1114" s="7">
        <v>2</v>
      </c>
      <c r="N1114" s="7">
        <v>0</v>
      </c>
    </row>
    <row r="1115" spans="1:14" ht="14.25" x14ac:dyDescent="0.2">
      <c r="A1115" s="3">
        <v>79053</v>
      </c>
      <c r="B1115" s="3" t="s">
        <v>3077</v>
      </c>
      <c r="C1115" s="3" t="s">
        <v>18</v>
      </c>
      <c r="D1115" s="6" t="s">
        <v>1851</v>
      </c>
      <c r="E1115" s="6" t="s">
        <v>1851</v>
      </c>
      <c r="F1115" s="3" t="str">
        <f>IFERROR( VLOOKUP(A1115,#REF!,2,0),"")</f>
        <v/>
      </c>
      <c r="G1115" s="3" t="str">
        <f t="array" ref="G1115">_xlfn.XLOOKUP(I1115,Base_Datos!D:D,Base_Datos!B:B,"")</f>
        <v>DFSK</v>
      </c>
      <c r="H1115" s="3" t="str">
        <f t="array" ref="H1115">IF(I1115="","",IFERROR(_xlfn.XLOOKUP(I1115,Base_Datos!$D$2:$D3876,Base_Datos!$C$2:$C3876),""))</f>
        <v>Serie Glory</v>
      </c>
      <c r="I1115" s="3" t="s">
        <v>1767</v>
      </c>
      <c r="J1115" s="3" t="str">
        <f>IF(I1115="","",IFERROR(VLOOKUP(I1115,Base_Datos!$D$2:$E$72,2,0),""))</f>
        <v>(1.5L)</v>
      </c>
      <c r="K1115" s="3" t="s">
        <v>1782</v>
      </c>
      <c r="L1115" s="3"/>
      <c r="M1115" s="7">
        <v>2</v>
      </c>
      <c r="N1115" s="7">
        <v>0</v>
      </c>
    </row>
    <row r="1116" spans="1:14" ht="14.25" x14ac:dyDescent="0.2">
      <c r="A1116" s="3">
        <v>79054</v>
      </c>
      <c r="B1116" s="3" t="s">
        <v>3078</v>
      </c>
      <c r="C1116" s="3" t="s">
        <v>18</v>
      </c>
      <c r="D1116" s="6" t="s">
        <v>3079</v>
      </c>
      <c r="E1116" s="6" t="s">
        <v>3079</v>
      </c>
      <c r="F1116" s="3" t="str">
        <f>IFERROR( VLOOKUP(A1116,#REF!,2,0),"")</f>
        <v/>
      </c>
      <c r="G1116" s="3" t="str">
        <f t="array" ref="G1116">_xlfn.XLOOKUP(I1116,Base_Datos!D:D,Base_Datos!B:B,"")</f>
        <v>DFSK</v>
      </c>
      <c r="H1116" s="3" t="str">
        <f t="array" ref="H1116">IF(I1116="","",IFERROR(_xlfn.XLOOKUP(I1116,Base_Datos!$D$2:$D3876,Base_Datos!$C$2:$C3876),""))</f>
        <v>Serie Glory</v>
      </c>
      <c r="I1116" s="3" t="s">
        <v>1767</v>
      </c>
      <c r="J1116" s="3" t="str">
        <f>IF(I1116="","",IFERROR(VLOOKUP(I1116,Base_Datos!$D$2:$E$72,2,0),""))</f>
        <v>(1.5L)</v>
      </c>
      <c r="K1116" s="3" t="s">
        <v>1782</v>
      </c>
      <c r="L1116" s="3"/>
      <c r="M1116" s="7">
        <v>2</v>
      </c>
      <c r="N1116" s="7">
        <v>0</v>
      </c>
    </row>
    <row r="1117" spans="1:14" ht="14.25" x14ac:dyDescent="0.2">
      <c r="A1117" s="3">
        <v>79055</v>
      </c>
      <c r="B1117" s="3" t="s">
        <v>1790</v>
      </c>
      <c r="C1117" s="3" t="s">
        <v>18</v>
      </c>
      <c r="D1117" s="6" t="s">
        <v>3080</v>
      </c>
      <c r="E1117" s="6" t="s">
        <v>3080</v>
      </c>
      <c r="F1117" s="3" t="str">
        <f>IFERROR( VLOOKUP(A1117,#REF!,2,0),"")</f>
        <v/>
      </c>
      <c r="G1117" s="3" t="str">
        <f t="array" ref="G1117">_xlfn.XLOOKUP(I1117,Base_Datos!D:D,Base_Datos!B:B,"")</f>
        <v>DFSK</v>
      </c>
      <c r="H1117" s="3" t="str">
        <f t="array" ref="H1117">IF(I1117="","",IFERROR(_xlfn.XLOOKUP(I1117,Base_Datos!$D$2:$D3876,Base_Datos!$C$2:$C3876),""))</f>
        <v>Serie Glory</v>
      </c>
      <c r="I1117" s="3" t="s">
        <v>1767</v>
      </c>
      <c r="J1117" s="3" t="str">
        <f>IF(I1117="","",IFERROR(VLOOKUP(I1117,Base_Datos!$D$2:$E$72,2,0),""))</f>
        <v>(1.5L)</v>
      </c>
      <c r="K1117" s="3" t="s">
        <v>1782</v>
      </c>
      <c r="L1117" s="3"/>
      <c r="M1117" s="7">
        <v>2</v>
      </c>
      <c r="N1117" s="7">
        <v>0</v>
      </c>
    </row>
    <row r="1118" spans="1:14" ht="14.25" x14ac:dyDescent="0.2">
      <c r="A1118" s="3">
        <v>79056</v>
      </c>
      <c r="B1118" s="3" t="s">
        <v>3081</v>
      </c>
      <c r="C1118" s="3" t="s">
        <v>18</v>
      </c>
      <c r="D1118" s="6" t="s">
        <v>3082</v>
      </c>
      <c r="E1118" s="6" t="s">
        <v>3082</v>
      </c>
      <c r="F1118" s="3" t="str">
        <f>IFERROR( VLOOKUP(A1118,#REF!,2,0),"")</f>
        <v/>
      </c>
      <c r="G1118" s="3" t="str">
        <f t="array" ref="G1118">_xlfn.XLOOKUP(I1118,Base_Datos!D:D,Base_Datos!B:B,"")</f>
        <v>DFSK</v>
      </c>
      <c r="H1118" s="3" t="str">
        <f t="array" ref="H1118">IF(I1118="","",IFERROR(_xlfn.XLOOKUP(I1118,Base_Datos!$D$2:$D3876,Base_Datos!$C$2:$C3876),""))</f>
        <v>Serie Glory</v>
      </c>
      <c r="I1118" s="3" t="s">
        <v>1767</v>
      </c>
      <c r="J1118" s="3" t="str">
        <f>IF(I1118="","",IFERROR(VLOOKUP(I1118,Base_Datos!$D$2:$E$72,2,0),""))</f>
        <v>(1.5L)</v>
      </c>
      <c r="K1118" s="3" t="s">
        <v>1782</v>
      </c>
      <c r="L1118" s="3"/>
      <c r="M1118" s="7">
        <v>2</v>
      </c>
      <c r="N1118" s="7">
        <v>0</v>
      </c>
    </row>
    <row r="1119" spans="1:14" ht="14.25" x14ac:dyDescent="0.2">
      <c r="A1119" s="3">
        <v>79057</v>
      </c>
      <c r="B1119" s="3" t="s">
        <v>3083</v>
      </c>
      <c r="C1119" s="3" t="s">
        <v>18</v>
      </c>
      <c r="D1119" s="6" t="s">
        <v>3084</v>
      </c>
      <c r="E1119" s="6" t="s">
        <v>3084</v>
      </c>
      <c r="F1119" s="3" t="str">
        <f>IFERROR( VLOOKUP(A1119,#REF!,2,0),"")</f>
        <v/>
      </c>
      <c r="G1119" s="3" t="str">
        <f t="array" ref="G1119">_xlfn.XLOOKUP(I1119,Base_Datos!D:D,Base_Datos!B:B,"")</f>
        <v>DFSK</v>
      </c>
      <c r="H1119" s="3" t="str">
        <f t="array" ref="H1119">IF(I1119="","",IFERROR(_xlfn.XLOOKUP(I1119,Base_Datos!$D$2:$D3876,Base_Datos!$C$2:$C3876),""))</f>
        <v>Serie Glory</v>
      </c>
      <c r="I1119" s="3" t="s">
        <v>1767</v>
      </c>
      <c r="J1119" s="3" t="str">
        <f>IF(I1119="","",IFERROR(VLOOKUP(I1119,Base_Datos!$D$2:$E$72,2,0),""))</f>
        <v>(1.5L)</v>
      </c>
      <c r="K1119" s="3" t="s">
        <v>3085</v>
      </c>
      <c r="L1119" s="3"/>
      <c r="M1119" s="7">
        <v>4</v>
      </c>
      <c r="N1119" s="7">
        <v>0</v>
      </c>
    </row>
    <row r="1120" spans="1:14" ht="14.25" x14ac:dyDescent="0.2">
      <c r="A1120" s="3">
        <v>79058</v>
      </c>
      <c r="B1120" s="3" t="s">
        <v>3086</v>
      </c>
      <c r="C1120" s="3" t="s">
        <v>18</v>
      </c>
      <c r="D1120" s="6" t="s">
        <v>3087</v>
      </c>
      <c r="E1120" s="6" t="s">
        <v>3087</v>
      </c>
      <c r="F1120" s="3" t="str">
        <f>IFERROR( VLOOKUP(A1120,#REF!,2,0),"")</f>
        <v/>
      </c>
      <c r="G1120" s="3" t="str">
        <f t="array" ref="G1120">_xlfn.XLOOKUP(I1120,Base_Datos!D:D,Base_Datos!B:B,"")</f>
        <v>DFSK</v>
      </c>
      <c r="H1120" s="3" t="str">
        <f t="array" ref="H1120">IF(I1120="","",IFERROR(_xlfn.XLOOKUP(I1120,Base_Datos!$D$2:$D3876,Base_Datos!$C$2:$C3876),""))</f>
        <v>Serie Glory</v>
      </c>
      <c r="I1120" s="3" t="s">
        <v>1767</v>
      </c>
      <c r="J1120" s="3" t="str">
        <f>IF(I1120="","",IFERROR(VLOOKUP(I1120,Base_Datos!$D$2:$E$72,2,0),""))</f>
        <v>(1.5L)</v>
      </c>
      <c r="K1120" s="3" t="s">
        <v>1782</v>
      </c>
      <c r="L1120" s="3"/>
      <c r="M1120" s="7">
        <v>20</v>
      </c>
      <c r="N1120" s="7">
        <v>0</v>
      </c>
    </row>
    <row r="1121" spans="1:14" ht="14.25" x14ac:dyDescent="0.2">
      <c r="A1121" s="3">
        <v>79059</v>
      </c>
      <c r="B1121" s="3" t="s">
        <v>3088</v>
      </c>
      <c r="C1121" s="3" t="s">
        <v>18</v>
      </c>
      <c r="D1121" s="6" t="s">
        <v>3089</v>
      </c>
      <c r="E1121" s="6" t="s">
        <v>3089</v>
      </c>
      <c r="F1121" s="3" t="str">
        <f>IFERROR( VLOOKUP(A1121,#REF!,2,0),"")</f>
        <v/>
      </c>
      <c r="G1121" s="3" t="str">
        <f t="array" ref="G1121">_xlfn.XLOOKUP(I1121,Base_Datos!D:D,Base_Datos!B:B,"")</f>
        <v>DFSK</v>
      </c>
      <c r="H1121" s="3" t="str">
        <f t="array" ref="H1121">IF(I1121="","",IFERROR(_xlfn.XLOOKUP(I1121,Base_Datos!$D$2:$D3876,Base_Datos!$C$2:$C3876),""))</f>
        <v>Serie Glory</v>
      </c>
      <c r="I1121" s="3" t="s">
        <v>1767</v>
      </c>
      <c r="J1121" s="3" t="str">
        <f>IF(I1121="","",IFERROR(VLOOKUP(I1121,Base_Datos!$D$2:$E$72,2,0),""))</f>
        <v>(1.5L)</v>
      </c>
      <c r="K1121" s="3" t="s">
        <v>1782</v>
      </c>
      <c r="L1121" s="3"/>
      <c r="M1121" s="7">
        <v>1</v>
      </c>
      <c r="N1121" s="7">
        <v>0</v>
      </c>
    </row>
    <row r="1122" spans="1:14" ht="14.25" x14ac:dyDescent="0.2">
      <c r="A1122" s="3">
        <v>79060</v>
      </c>
      <c r="B1122" s="3" t="s">
        <v>3090</v>
      </c>
      <c r="C1122" s="3" t="s">
        <v>18</v>
      </c>
      <c r="D1122" s="6" t="s">
        <v>3091</v>
      </c>
      <c r="E1122" s="6" t="s">
        <v>3091</v>
      </c>
      <c r="F1122" s="3" t="str">
        <f>IFERROR( VLOOKUP(A1122,#REF!,2,0),"")</f>
        <v/>
      </c>
      <c r="G1122" s="3" t="str">
        <f t="array" ref="G1122">_xlfn.XLOOKUP(I1122,Base_Datos!D:D,Base_Datos!B:B,"")</f>
        <v>DFSK</v>
      </c>
      <c r="H1122" s="3" t="str">
        <f t="array" ref="H1122">IF(I1122="","",IFERROR(_xlfn.XLOOKUP(I1122,Base_Datos!$D$2:$D3876,Base_Datos!$C$2:$C3876),""))</f>
        <v>Serie Glory</v>
      </c>
      <c r="I1122" s="3" t="s">
        <v>1767</v>
      </c>
      <c r="J1122" s="3" t="str">
        <f>IF(I1122="","",IFERROR(VLOOKUP(I1122,Base_Datos!$D$2:$E$72,2,0),""))</f>
        <v>(1.5L)</v>
      </c>
      <c r="K1122" s="3" t="s">
        <v>1782</v>
      </c>
      <c r="L1122" s="3"/>
      <c r="M1122" s="7">
        <v>4</v>
      </c>
      <c r="N1122" s="7">
        <v>0</v>
      </c>
    </row>
    <row r="1123" spans="1:14" ht="14.25" x14ac:dyDescent="0.2">
      <c r="A1123" s="3">
        <v>79061</v>
      </c>
      <c r="B1123" s="3" t="s">
        <v>3092</v>
      </c>
      <c r="C1123" s="3" t="s">
        <v>18</v>
      </c>
      <c r="D1123" s="6" t="s">
        <v>3093</v>
      </c>
      <c r="E1123" s="6" t="s">
        <v>3093</v>
      </c>
      <c r="F1123" s="3" t="str">
        <f>IFERROR( VLOOKUP(A1123,#REF!,2,0),"")</f>
        <v/>
      </c>
      <c r="G1123" s="3" t="str">
        <f t="array" ref="G1123">_xlfn.XLOOKUP(I1123,Base_Datos!D:D,Base_Datos!B:B,"")</f>
        <v>DFSK</v>
      </c>
      <c r="H1123" s="3" t="str">
        <f t="array" ref="H1123">IF(I1123="","",IFERROR(_xlfn.XLOOKUP(I1123,Base_Datos!$D$2:$D3876,Base_Datos!$C$2:$C3876),""))</f>
        <v>Serie Glory</v>
      </c>
      <c r="I1123" s="3" t="s">
        <v>1767</v>
      </c>
      <c r="J1123" s="3" t="str">
        <f>IF(I1123="","",IFERROR(VLOOKUP(I1123,Base_Datos!$D$2:$E$72,2,0),""))</f>
        <v>(1.5L)</v>
      </c>
      <c r="K1123" s="3" t="s">
        <v>1782</v>
      </c>
      <c r="L1123" s="3"/>
      <c r="M1123" s="7">
        <v>6</v>
      </c>
      <c r="N1123" s="7">
        <v>0</v>
      </c>
    </row>
    <row r="1124" spans="1:14" ht="14.25" x14ac:dyDescent="0.2">
      <c r="A1124" s="3">
        <v>79062</v>
      </c>
      <c r="B1124" s="3" t="s">
        <v>3094</v>
      </c>
      <c r="C1124" s="3" t="s">
        <v>18</v>
      </c>
      <c r="D1124" s="6" t="s">
        <v>3095</v>
      </c>
      <c r="E1124" s="6" t="s">
        <v>3095</v>
      </c>
      <c r="F1124" s="3" t="str">
        <f>IFERROR( VLOOKUP(A1124,#REF!,2,0),"")</f>
        <v/>
      </c>
      <c r="G1124" s="3" t="str">
        <f t="array" ref="G1124">_xlfn.XLOOKUP(I1124,Base_Datos!D:D,Base_Datos!B:B,"")</f>
        <v>DFSK</v>
      </c>
      <c r="H1124" s="3" t="str">
        <f t="array" ref="H1124">IF(I1124="","",IFERROR(_xlfn.XLOOKUP(I1124,Base_Datos!$D$2:$D3876,Base_Datos!$C$2:$C3876),""))</f>
        <v>Serie Glory</v>
      </c>
      <c r="I1124" s="3" t="s">
        <v>1767</v>
      </c>
      <c r="J1124" s="3" t="str">
        <f>IF(I1124="","",IFERROR(VLOOKUP(I1124,Base_Datos!$D$2:$E$72,2,0),""))</f>
        <v>(1.5L)</v>
      </c>
      <c r="K1124" s="3" t="s">
        <v>1782</v>
      </c>
      <c r="L1124" s="3"/>
      <c r="M1124" s="7">
        <v>1</v>
      </c>
      <c r="N1124" s="7">
        <v>0</v>
      </c>
    </row>
    <row r="1125" spans="1:14" ht="14.25" x14ac:dyDescent="0.2">
      <c r="A1125" s="3">
        <v>79063</v>
      </c>
      <c r="B1125" s="3" t="s">
        <v>3096</v>
      </c>
      <c r="C1125" s="3" t="s">
        <v>18</v>
      </c>
      <c r="D1125" s="6" t="s">
        <v>3097</v>
      </c>
      <c r="E1125" s="6" t="s">
        <v>3097</v>
      </c>
      <c r="F1125" s="3" t="str">
        <f>IFERROR( VLOOKUP(A1125,#REF!,2,0),"")</f>
        <v/>
      </c>
      <c r="G1125" s="3" t="str">
        <f t="array" ref="G1125">_xlfn.XLOOKUP(I1125,Base_Datos!D:D,Base_Datos!B:B,"")</f>
        <v>DFSK</v>
      </c>
      <c r="H1125" s="3" t="str">
        <f t="array" ref="H1125">IF(I1125="","",IFERROR(_xlfn.XLOOKUP(I1125,Base_Datos!$D$2:$D3876,Base_Datos!$C$2:$C3876),""))</f>
        <v>Serie Glory</v>
      </c>
      <c r="I1125" s="3" t="s">
        <v>1767</v>
      </c>
      <c r="J1125" s="3" t="str">
        <f>IF(I1125="","",IFERROR(VLOOKUP(I1125,Base_Datos!$D$2:$E$72,2,0),""))</f>
        <v>(1.5L)</v>
      </c>
      <c r="K1125" s="3" t="s">
        <v>1782</v>
      </c>
      <c r="L1125" s="3"/>
      <c r="M1125" s="7">
        <v>1</v>
      </c>
      <c r="N1125" s="7">
        <v>0</v>
      </c>
    </row>
    <row r="1126" spans="1:14" ht="14.25" x14ac:dyDescent="0.2">
      <c r="A1126" s="3">
        <v>79064</v>
      </c>
      <c r="B1126" s="3" t="s">
        <v>3098</v>
      </c>
      <c r="C1126" s="3" t="s">
        <v>18</v>
      </c>
      <c r="D1126" s="6" t="s">
        <v>3099</v>
      </c>
      <c r="E1126" s="6" t="s">
        <v>3099</v>
      </c>
      <c r="F1126" s="3" t="str">
        <f>IFERROR( VLOOKUP(A1126,#REF!,2,0),"")</f>
        <v/>
      </c>
      <c r="G1126" s="3" t="str">
        <f t="array" ref="G1126">_xlfn.XLOOKUP(I1126,Base_Datos!D:D,Base_Datos!B:B,"")</f>
        <v>DFSK</v>
      </c>
      <c r="H1126" s="3" t="str">
        <f t="array" ref="H1126">IF(I1126="","",IFERROR(_xlfn.XLOOKUP(I1126,Base_Datos!$D$2:$D3876,Base_Datos!$C$2:$C3876),""))</f>
        <v>Serie Glory</v>
      </c>
      <c r="I1126" s="3" t="s">
        <v>1767</v>
      </c>
      <c r="J1126" s="3" t="str">
        <f>IF(I1126="","",IFERROR(VLOOKUP(I1126,Base_Datos!$D$2:$E$72,2,0),""))</f>
        <v>(1.5L)</v>
      </c>
      <c r="K1126" s="3" t="s">
        <v>1782</v>
      </c>
      <c r="L1126" s="3"/>
      <c r="M1126" s="7">
        <v>1</v>
      </c>
      <c r="N1126" s="7">
        <v>0</v>
      </c>
    </row>
    <row r="1127" spans="1:14" ht="14.25" x14ac:dyDescent="0.2">
      <c r="A1127" s="3">
        <v>79065</v>
      </c>
      <c r="B1127" s="3" t="s">
        <v>1790</v>
      </c>
      <c r="C1127" s="3" t="s">
        <v>18</v>
      </c>
      <c r="D1127" s="6" t="s">
        <v>3100</v>
      </c>
      <c r="E1127" s="6" t="s">
        <v>3100</v>
      </c>
      <c r="F1127" s="3" t="str">
        <f>IFERROR( VLOOKUP(A1127,#REF!,2,0),"")</f>
        <v/>
      </c>
      <c r="G1127" s="3" t="str">
        <f t="array" ref="G1127">_xlfn.XLOOKUP(I1127,Base_Datos!D:D,Base_Datos!B:B,"")</f>
        <v>DFSK</v>
      </c>
      <c r="H1127" s="3" t="str">
        <f t="array" ref="H1127">IF(I1127="","",IFERROR(_xlfn.XLOOKUP(I1127,Base_Datos!$D$2:$D3876,Base_Datos!$C$2:$C3876),""))</f>
        <v>Serie Glory</v>
      </c>
      <c r="I1127" s="3" t="s">
        <v>1767</v>
      </c>
      <c r="J1127" s="3" t="str">
        <f>IF(I1127="","",IFERROR(VLOOKUP(I1127,Base_Datos!$D$2:$E$72,2,0),""))</f>
        <v>(1.5L)</v>
      </c>
      <c r="K1127" s="3" t="s">
        <v>1782</v>
      </c>
      <c r="L1127" s="3"/>
      <c r="M1127" s="7">
        <v>2</v>
      </c>
      <c r="N1127" s="7">
        <v>0</v>
      </c>
    </row>
    <row r="1128" spans="1:14" ht="14.25" x14ac:dyDescent="0.2">
      <c r="A1128" s="3">
        <v>79066</v>
      </c>
      <c r="B1128" s="3" t="s">
        <v>3101</v>
      </c>
      <c r="C1128" s="3" t="s">
        <v>18</v>
      </c>
      <c r="D1128" s="6" t="s">
        <v>3102</v>
      </c>
      <c r="E1128" s="6" t="s">
        <v>3102</v>
      </c>
      <c r="F1128" s="3" t="str">
        <f>IFERROR( VLOOKUP(A1128,#REF!,2,0),"")</f>
        <v/>
      </c>
      <c r="G1128" s="3" t="str">
        <f t="array" ref="G1128">_xlfn.XLOOKUP(I1128,Base_Datos!D:D,Base_Datos!B:B,"")</f>
        <v>DFSK</v>
      </c>
      <c r="H1128" s="3" t="str">
        <f t="array" ref="H1128">IF(I1128="","",IFERROR(_xlfn.XLOOKUP(I1128,Base_Datos!$D$2:$D3876,Base_Datos!$C$2:$C3876),""))</f>
        <v>Serie Glory</v>
      </c>
      <c r="I1128" s="3" t="s">
        <v>1767</v>
      </c>
      <c r="J1128" s="3" t="str">
        <f>IF(I1128="","",IFERROR(VLOOKUP(I1128,Base_Datos!$D$2:$E$72,2,0),""))</f>
        <v>(1.5L)</v>
      </c>
      <c r="K1128" s="3" t="s">
        <v>1782</v>
      </c>
      <c r="L1128" s="3"/>
      <c r="M1128" s="7">
        <v>2</v>
      </c>
      <c r="N1128" s="7">
        <v>0</v>
      </c>
    </row>
    <row r="1129" spans="1:14" ht="14.25" x14ac:dyDescent="0.2">
      <c r="A1129" s="3">
        <v>79067</v>
      </c>
      <c r="B1129" s="3" t="s">
        <v>2687</v>
      </c>
      <c r="C1129" s="3" t="s">
        <v>18</v>
      </c>
      <c r="D1129" s="6" t="s">
        <v>3103</v>
      </c>
      <c r="E1129" s="6" t="s">
        <v>3103</v>
      </c>
      <c r="F1129" s="3" t="str">
        <f>IFERROR( VLOOKUP(A1129,#REF!,2,0),"")</f>
        <v/>
      </c>
      <c r="G1129" s="3" t="str">
        <f t="array" ref="G1129">_xlfn.XLOOKUP(I1129,Base_Datos!D:D,Base_Datos!B:B,"")</f>
        <v>DFSK</v>
      </c>
      <c r="H1129" s="3" t="str">
        <f t="array" ref="H1129">IF(I1129="","",IFERROR(_xlfn.XLOOKUP(I1129,Base_Datos!$D$2:$D3876,Base_Datos!$C$2:$C3876),""))</f>
        <v>Serie Glory</v>
      </c>
      <c r="I1129" s="3" t="s">
        <v>1767</v>
      </c>
      <c r="J1129" s="3" t="str">
        <f>IF(I1129="","",IFERROR(VLOOKUP(I1129,Base_Datos!$D$2:$E$72,2,0),""))</f>
        <v>(1.5L)</v>
      </c>
      <c r="K1129" s="3" t="s">
        <v>1782</v>
      </c>
      <c r="L1129" s="3"/>
      <c r="M1129" s="7">
        <v>1</v>
      </c>
      <c r="N1129" s="7">
        <v>0</v>
      </c>
    </row>
    <row r="1130" spans="1:14" ht="14.25" x14ac:dyDescent="0.2">
      <c r="A1130" s="3">
        <v>80000</v>
      </c>
      <c r="B1130" s="3" t="s">
        <v>3104</v>
      </c>
      <c r="C1130" s="3" t="s">
        <v>18</v>
      </c>
      <c r="D1130" s="6" t="s">
        <v>3105</v>
      </c>
      <c r="E1130" s="6" t="s">
        <v>3105</v>
      </c>
      <c r="F1130" s="3" t="str">
        <f>IFERROR( VLOOKUP(A1130,#REF!,2,0),"")</f>
        <v/>
      </c>
      <c r="G1130" s="3" t="str">
        <f t="array" ref="G1130">_xlfn.XLOOKUP(I1130,Base_Datos!D:D,Base_Datos!B:B,"")</f>
        <v>DFSK</v>
      </c>
      <c r="H1130" s="3" t="str">
        <f t="array" ref="H1130">IF(I1130="","",IFERROR(_xlfn.XLOOKUP(I1130,Base_Datos!$D$2:$D3876,Base_Datos!$C$2:$C3876),""))</f>
        <v>Serie Glory</v>
      </c>
      <c r="I1130" s="3" t="s">
        <v>1766</v>
      </c>
      <c r="J1130" s="3" t="str">
        <f>IF(I1130="","",IFERROR(VLOOKUP(I1130,Base_Datos!$D$2:$E$72,2,0),""))</f>
        <v>(1.8L)</v>
      </c>
      <c r="K1130" s="3" t="s">
        <v>3106</v>
      </c>
      <c r="L1130" s="3"/>
      <c r="M1130" s="7">
        <v>20</v>
      </c>
      <c r="N1130" s="7">
        <v>0</v>
      </c>
    </row>
    <row r="1131" spans="1:14" ht="14.25" x14ac:dyDescent="0.2">
      <c r="A1131" s="3">
        <v>80001</v>
      </c>
      <c r="B1131" s="3" t="s">
        <v>1830</v>
      </c>
      <c r="C1131" s="3" t="s">
        <v>18</v>
      </c>
      <c r="D1131" s="6" t="s">
        <v>3107</v>
      </c>
      <c r="E1131" s="6" t="s">
        <v>3107</v>
      </c>
      <c r="F1131" s="3" t="str">
        <f>IFERROR( VLOOKUP(A1131,#REF!,2,0),"")</f>
        <v/>
      </c>
      <c r="G1131" s="3" t="str">
        <f t="array" ref="G1131">_xlfn.XLOOKUP(I1131,Base_Datos!D:D,Base_Datos!B:B,"")</f>
        <v>DFSK</v>
      </c>
      <c r="H1131" s="3" t="str">
        <f t="array" ref="H1131">IF(I1131="","",IFERROR(_xlfn.XLOOKUP(I1131,Base_Datos!$D$2:$D3876,Base_Datos!$C$2:$C3876),""))</f>
        <v>Serie IX</v>
      </c>
      <c r="I1131" s="3" t="s">
        <v>1770</v>
      </c>
      <c r="J1131" s="3" t="str">
        <f>IF(I1131="","",IFERROR(VLOOKUP(I1131,Base_Datos!$D$2:$E$72,2,0),""))</f>
        <v>(1.5L)</v>
      </c>
      <c r="K1131" s="3" t="s">
        <v>1782</v>
      </c>
      <c r="L1131" s="3"/>
      <c r="M1131" s="7">
        <v>2</v>
      </c>
      <c r="N1131" s="7">
        <v>0</v>
      </c>
    </row>
    <row r="1132" spans="1:14" ht="14.25" x14ac:dyDescent="0.2">
      <c r="A1132" s="3">
        <v>81000</v>
      </c>
      <c r="B1132" s="3" t="s">
        <v>2560</v>
      </c>
      <c r="C1132" s="3" t="s">
        <v>18</v>
      </c>
      <c r="D1132" s="6" t="s">
        <v>3108</v>
      </c>
      <c r="E1132" s="6" t="s">
        <v>3108</v>
      </c>
      <c r="F1132" s="3" t="str">
        <f>IFERROR( VLOOKUP(A1132,#REF!,2,0),"")</f>
        <v/>
      </c>
      <c r="G1132" s="3" t="str">
        <f t="array" ref="G1132">_xlfn.XLOOKUP(I1132,Base_Datos!D:D,Base_Datos!B:B,"")</f>
        <v>DFSK</v>
      </c>
      <c r="H1132" s="3" t="str">
        <f t="array" ref="H1132">IF(I1132="","",IFERROR(_xlfn.XLOOKUP(I1132,Base_Datos!$D$2:$D3876,Base_Datos!$C$2:$C3876),""))</f>
        <v>Serie D</v>
      </c>
      <c r="I1132" s="3" t="s">
        <v>2785</v>
      </c>
      <c r="J1132" s="3" t="str">
        <f>IF(I1132="","",IFERROR(VLOOKUP(I1132,Base_Datos!$D$2:$E$72,2,0),""))</f>
        <v>(1.5L)</v>
      </c>
      <c r="K1132" s="3" t="s">
        <v>1782</v>
      </c>
      <c r="L1132" s="3"/>
      <c r="M1132" s="7">
        <v>3</v>
      </c>
      <c r="N1132" s="7">
        <v>0</v>
      </c>
    </row>
    <row r="1133" spans="1:14" ht="14.25" x14ac:dyDescent="0.2">
      <c r="A1133" s="3">
        <v>81001</v>
      </c>
      <c r="B1133" s="3" t="s">
        <v>3109</v>
      </c>
      <c r="C1133" s="3" t="s">
        <v>18</v>
      </c>
      <c r="D1133" s="6" t="s">
        <v>3110</v>
      </c>
      <c r="E1133" s="6" t="s">
        <v>3110</v>
      </c>
      <c r="F1133" s="3" t="str">
        <f>IFERROR( VLOOKUP(A1133,#REF!,2,0),"")</f>
        <v/>
      </c>
      <c r="G1133" s="3" t="str">
        <f t="array" ref="G1133">_xlfn.XLOOKUP(I1133,Base_Datos!D:D,Base_Datos!B:B,"")</f>
        <v>DFSK</v>
      </c>
      <c r="H1133" s="3" t="str">
        <f t="array" ref="H1133">IF(I1133="","",IFERROR(_xlfn.XLOOKUP(I1133,Base_Datos!$D$2:$D3876,Base_Datos!$C$2:$C3876),""))</f>
        <v>Serie Glory</v>
      </c>
      <c r="I1133" s="3" t="s">
        <v>404</v>
      </c>
      <c r="J1133" s="3" t="str">
        <f>IF(I1133="","",IFERROR(VLOOKUP(I1133,Base_Datos!$D$2:$E$72,2,0),""))</f>
        <v>(1.5L)</v>
      </c>
      <c r="K1133" s="3" t="s">
        <v>1782</v>
      </c>
      <c r="L1133" s="3"/>
      <c r="M1133" s="7">
        <v>6</v>
      </c>
      <c r="N1133" s="7">
        <v>0</v>
      </c>
    </row>
    <row r="1134" spans="1:14" ht="14.25" x14ac:dyDescent="0.2">
      <c r="A1134" s="3">
        <v>81002</v>
      </c>
      <c r="B1134" s="3" t="s">
        <v>3111</v>
      </c>
      <c r="C1134" s="3" t="s">
        <v>18</v>
      </c>
      <c r="D1134" s="6" t="s">
        <v>3112</v>
      </c>
      <c r="E1134" s="6" t="s">
        <v>3112</v>
      </c>
      <c r="F1134" s="3" t="str">
        <f>IFERROR( VLOOKUP(A1134,#REF!,2,0),"")</f>
        <v/>
      </c>
      <c r="G1134" s="3" t="str">
        <f t="array" ref="G1134">_xlfn.XLOOKUP(I1134,Base_Datos!D:D,Base_Datos!B:B,"")</f>
        <v>DFSK</v>
      </c>
      <c r="H1134" s="3" t="str">
        <f t="array" ref="H1134">IF(I1134="","",IFERROR(_xlfn.XLOOKUP(I1134,Base_Datos!$D$2:$D3876,Base_Datos!$C$2:$C3876),""))</f>
        <v>Serie Glory</v>
      </c>
      <c r="I1134" s="3" t="s">
        <v>404</v>
      </c>
      <c r="J1134" s="3" t="str">
        <f>IF(I1134="","",IFERROR(VLOOKUP(I1134,Base_Datos!$D$2:$E$72,2,0),""))</f>
        <v>(1.5L)</v>
      </c>
      <c r="K1134" s="3" t="s">
        <v>3113</v>
      </c>
      <c r="L1134" s="3"/>
      <c r="M1134" s="7">
        <v>5</v>
      </c>
      <c r="N1134" s="7">
        <v>0</v>
      </c>
    </row>
    <row r="1135" spans="1:14" ht="14.25" x14ac:dyDescent="0.2">
      <c r="A1135" s="3">
        <v>81003</v>
      </c>
      <c r="B1135" s="3" t="s">
        <v>3114</v>
      </c>
      <c r="C1135" s="3" t="s">
        <v>18</v>
      </c>
      <c r="D1135" s="6" t="s">
        <v>3115</v>
      </c>
      <c r="E1135" s="6" t="s">
        <v>3115</v>
      </c>
      <c r="F1135" s="3" t="str">
        <f>IFERROR( VLOOKUP(A1135,#REF!,2,0),"")</f>
        <v/>
      </c>
      <c r="G1135" s="3" t="str">
        <f t="array" ref="G1135">_xlfn.XLOOKUP(I1135,Base_Datos!D:D,Base_Datos!B:B,"")</f>
        <v>DFSK</v>
      </c>
      <c r="H1135" s="3" t="str">
        <f t="array" ref="H1135">IF(I1135="","",IFERROR(_xlfn.XLOOKUP(I1135,Base_Datos!$D$2:$D3876,Base_Datos!$C$2:$C3876),""))</f>
        <v>Serie Glory</v>
      </c>
      <c r="I1135" s="3" t="s">
        <v>404</v>
      </c>
      <c r="J1135" s="3" t="str">
        <f>IF(I1135="","",IFERROR(VLOOKUP(I1135,Base_Datos!$D$2:$E$72,2,0),""))</f>
        <v>(1.5L)</v>
      </c>
      <c r="K1135" s="3" t="s">
        <v>3116</v>
      </c>
      <c r="L1135" s="3"/>
      <c r="M1135" s="7">
        <v>4</v>
      </c>
      <c r="N1135" s="7">
        <v>0</v>
      </c>
    </row>
    <row r="1136" spans="1:14" ht="14.25" x14ac:dyDescent="0.2">
      <c r="A1136" s="3">
        <v>81004</v>
      </c>
      <c r="B1136" s="3" t="s">
        <v>2551</v>
      </c>
      <c r="C1136" s="3" t="s">
        <v>18</v>
      </c>
      <c r="D1136" s="6" t="s">
        <v>444</v>
      </c>
      <c r="E1136" s="6" t="s">
        <v>444</v>
      </c>
      <c r="F1136" s="3" t="str">
        <f>IFERROR( VLOOKUP(A1136,#REF!,2,0),"")</f>
        <v/>
      </c>
      <c r="G1136" s="3" t="str">
        <f t="array" ref="G1136">_xlfn.XLOOKUP(I1136,Base_Datos!D:D,Base_Datos!B:B,"")</f>
        <v>DFSK</v>
      </c>
      <c r="H1136" s="3" t="str">
        <f t="array" ref="H1136">IF(I1136="","",IFERROR(_xlfn.XLOOKUP(I1136,Base_Datos!$D$2:$D3876,Base_Datos!$C$2:$C3876),""))</f>
        <v>Serie Glory</v>
      </c>
      <c r="I1136" s="3" t="s">
        <v>404</v>
      </c>
      <c r="J1136" s="3" t="str">
        <f>IF(I1136="","",IFERROR(VLOOKUP(I1136,Base_Datos!$D$2:$E$72,2,0),""))</f>
        <v>(1.5L)</v>
      </c>
      <c r="K1136" s="3" t="s">
        <v>3117</v>
      </c>
      <c r="L1136" s="3"/>
      <c r="M1136" s="7">
        <v>5</v>
      </c>
      <c r="N1136" s="7">
        <v>0</v>
      </c>
    </row>
    <row r="1137" spans="1:14" ht="14.25" x14ac:dyDescent="0.2">
      <c r="A1137" s="3">
        <v>81005</v>
      </c>
      <c r="B1137" s="3" t="s">
        <v>3118</v>
      </c>
      <c r="C1137" s="3" t="s">
        <v>18</v>
      </c>
      <c r="D1137" s="6" t="s">
        <v>3119</v>
      </c>
      <c r="E1137" s="6" t="s">
        <v>3119</v>
      </c>
      <c r="F1137" s="3" t="str">
        <f>IFERROR( VLOOKUP(A1137,#REF!,2,0),"")</f>
        <v/>
      </c>
      <c r="G1137" s="3" t="str">
        <f t="array" ref="G1137">_xlfn.XLOOKUP(I1137,Base_Datos!D:D,Base_Datos!B:B,"")</f>
        <v>DFSK</v>
      </c>
      <c r="H1137" s="3" t="str">
        <f t="array" ref="H1137">IF(I1137="","",IFERROR(_xlfn.XLOOKUP(I1137,Base_Datos!$D$2:$D3876,Base_Datos!$C$2:$C3876),""))</f>
        <v>Serie Glory</v>
      </c>
      <c r="I1137" s="3" t="s">
        <v>404</v>
      </c>
      <c r="J1137" s="3" t="str">
        <f>IF(I1137="","",IFERROR(VLOOKUP(I1137,Base_Datos!$D$2:$E$72,2,0),""))</f>
        <v>(1.5L)</v>
      </c>
      <c r="K1137" s="3" t="s">
        <v>1782</v>
      </c>
      <c r="L1137" s="3"/>
      <c r="M1137" s="7">
        <v>1</v>
      </c>
      <c r="N1137" s="7">
        <v>0</v>
      </c>
    </row>
    <row r="1138" spans="1:14" ht="14.25" x14ac:dyDescent="0.2">
      <c r="A1138" s="3">
        <v>81006</v>
      </c>
      <c r="B1138" s="3" t="s">
        <v>3120</v>
      </c>
      <c r="C1138" s="3" t="s">
        <v>18</v>
      </c>
      <c r="D1138" s="6" t="s">
        <v>944</v>
      </c>
      <c r="E1138" s="6" t="s">
        <v>944</v>
      </c>
      <c r="F1138" s="3" t="str">
        <f>IFERROR( VLOOKUP(A1138,#REF!,2,0),"")</f>
        <v/>
      </c>
      <c r="G1138" s="3" t="str">
        <f t="array" ref="G1138">_xlfn.XLOOKUP(I1138,Base_Datos!D:D,Base_Datos!B:B,"")</f>
        <v>DFSK</v>
      </c>
      <c r="H1138" s="3" t="str">
        <f t="array" ref="H1138">IF(I1138="","",IFERROR(_xlfn.XLOOKUP(I1138,Base_Datos!$D$2:$D3876,Base_Datos!$C$2:$C3876),""))</f>
        <v>Serie Glory</v>
      </c>
      <c r="I1138" s="3" t="s">
        <v>404</v>
      </c>
      <c r="J1138" s="3" t="str">
        <f>IF(I1138="","",IFERROR(VLOOKUP(I1138,Base_Datos!$D$2:$E$72,2,0),""))</f>
        <v>(1.5L)</v>
      </c>
      <c r="K1138" s="3" t="s">
        <v>1782</v>
      </c>
      <c r="L1138" s="3"/>
      <c r="M1138" s="7">
        <v>15</v>
      </c>
      <c r="N1138" s="7">
        <v>0</v>
      </c>
    </row>
    <row r="1139" spans="1:14" ht="14.25" x14ac:dyDescent="0.2">
      <c r="A1139" s="3">
        <v>81007</v>
      </c>
      <c r="B1139" s="3" t="s">
        <v>3121</v>
      </c>
      <c r="C1139" s="3" t="s">
        <v>18</v>
      </c>
      <c r="D1139" s="6" t="s">
        <v>3122</v>
      </c>
      <c r="E1139" s="6" t="s">
        <v>3122</v>
      </c>
      <c r="F1139" s="3" t="str">
        <f>IFERROR( VLOOKUP(A1139,#REF!,2,0),"")</f>
        <v/>
      </c>
      <c r="G1139" s="3" t="str">
        <f t="array" ref="G1139">_xlfn.XLOOKUP(I1139,Base_Datos!D:D,Base_Datos!B:B,"")</f>
        <v>DFSK</v>
      </c>
      <c r="H1139" s="3" t="str">
        <f t="array" ref="H1139">IF(I1139="","",IFERROR(_xlfn.XLOOKUP(I1139,Base_Datos!$D$2:$D3876,Base_Datos!$C$2:$C3876),""))</f>
        <v>Serie Glory</v>
      </c>
      <c r="I1139" s="3" t="s">
        <v>404</v>
      </c>
      <c r="J1139" s="3" t="str">
        <f>IF(I1139="","",IFERROR(VLOOKUP(I1139,Base_Datos!$D$2:$E$72,2,0),""))</f>
        <v>(1.5L)</v>
      </c>
      <c r="K1139" s="3" t="s">
        <v>1782</v>
      </c>
      <c r="L1139" s="3"/>
      <c r="M1139" s="7">
        <v>10</v>
      </c>
      <c r="N1139" s="7">
        <v>0</v>
      </c>
    </row>
    <row r="1140" spans="1:14" ht="14.25" x14ac:dyDescent="0.2">
      <c r="A1140" s="3">
        <v>82000</v>
      </c>
      <c r="B1140" s="3" t="s">
        <v>3123</v>
      </c>
      <c r="C1140" s="3" t="s">
        <v>18</v>
      </c>
      <c r="D1140" s="6" t="s">
        <v>3124</v>
      </c>
      <c r="E1140" s="6" t="s">
        <v>3124</v>
      </c>
      <c r="F1140" s="3" t="str">
        <f>IFERROR( VLOOKUP(A1140,#REF!,2,0),"")</f>
        <v/>
      </c>
      <c r="G1140" s="3" t="str">
        <f t="array" ref="G1140">_xlfn.XLOOKUP(I1140,Base_Datos!D:D,Base_Datos!B:B,"")</f>
        <v>DFSK</v>
      </c>
      <c r="H1140" s="3" t="str">
        <f t="array" ref="H1140">IF(I1140="","",IFERROR(_xlfn.XLOOKUP(I1140,Base_Datos!$D$2:$D3876,Base_Datos!$C$2:$C3876),""))</f>
        <v>Serie K</v>
      </c>
      <c r="I1140" s="3" t="s">
        <v>1762</v>
      </c>
      <c r="J1140" s="3" t="str">
        <f>IF(I1140="","",IFERROR(VLOOKUP(I1140,Base_Datos!$D$2:$E$72,2,0),""))</f>
        <v>(1.1L)</v>
      </c>
      <c r="K1140" s="3" t="s">
        <v>2553</v>
      </c>
      <c r="L1140" s="3"/>
      <c r="M1140" s="7">
        <v>30</v>
      </c>
      <c r="N1140" s="7">
        <v>0</v>
      </c>
    </row>
    <row r="1141" spans="1:14" ht="14.25" x14ac:dyDescent="0.2">
      <c r="A1141" s="3">
        <v>82001</v>
      </c>
      <c r="B1141" s="3" t="s">
        <v>2256</v>
      </c>
      <c r="C1141" s="3" t="s">
        <v>18</v>
      </c>
      <c r="D1141" s="6" t="s">
        <v>3125</v>
      </c>
      <c r="E1141" s="6" t="s">
        <v>3125</v>
      </c>
      <c r="F1141" s="3" t="str">
        <f>IFERROR( VLOOKUP(A1141,#REF!,2,0),"")</f>
        <v/>
      </c>
      <c r="G1141" s="3" t="str">
        <f t="array" ref="G1141">_xlfn.XLOOKUP(I1141,Base_Datos!D:D,Base_Datos!B:B,"")</f>
        <v>DFSK</v>
      </c>
      <c r="H1141" s="3" t="str">
        <f t="array" ref="H1141">IF(I1141="","",IFERROR(_xlfn.XLOOKUP(I1141,Base_Datos!$D$2:$D3876,Base_Datos!$C$2:$C3876),""))</f>
        <v>Serie K</v>
      </c>
      <c r="I1141" s="3" t="s">
        <v>1762</v>
      </c>
      <c r="J1141" s="3" t="str">
        <f>IF(I1141="","",IFERROR(VLOOKUP(I1141,Base_Datos!$D$2:$E$72,2,0),""))</f>
        <v>(1.1L)</v>
      </c>
      <c r="K1141" s="3" t="s">
        <v>2553</v>
      </c>
      <c r="L1141" s="3"/>
      <c r="M1141" s="7">
        <v>6</v>
      </c>
      <c r="N1141" s="7">
        <v>0</v>
      </c>
    </row>
    <row r="1142" spans="1:14" ht="14.25" x14ac:dyDescent="0.2">
      <c r="A1142" s="3">
        <v>82002</v>
      </c>
      <c r="B1142" s="3" t="s">
        <v>3126</v>
      </c>
      <c r="C1142" s="3" t="s">
        <v>18</v>
      </c>
      <c r="D1142" s="6" t="s">
        <v>3127</v>
      </c>
      <c r="E1142" s="6" t="s">
        <v>3127</v>
      </c>
      <c r="F1142" s="3" t="str">
        <f>IFERROR( VLOOKUP(A1142,#REF!,2,0),"")</f>
        <v/>
      </c>
      <c r="G1142" s="3" t="str">
        <f t="array" ref="G1142">_xlfn.XLOOKUP(I1142,Base_Datos!D:D,Base_Datos!B:B,"")</f>
        <v>DFSK</v>
      </c>
      <c r="H1142" s="3" t="str">
        <f t="array" ref="H1142">IF(I1142="","",IFERROR(_xlfn.XLOOKUP(I1142,Base_Datos!$D$2:$D3876,Base_Datos!$C$2:$C3876),""))</f>
        <v>Serie K</v>
      </c>
      <c r="I1142" s="3" t="s">
        <v>1762</v>
      </c>
      <c r="J1142" s="3" t="str">
        <f>IF(I1142="","",IFERROR(VLOOKUP(I1142,Base_Datos!$D$2:$E$72,2,0),""))</f>
        <v>(1.1L)</v>
      </c>
      <c r="K1142" s="3" t="s">
        <v>2553</v>
      </c>
      <c r="L1142" s="3"/>
      <c r="M1142" s="7">
        <v>6</v>
      </c>
      <c r="N1142" s="7">
        <v>0</v>
      </c>
    </row>
    <row r="1143" spans="1:14" ht="14.25" x14ac:dyDescent="0.2">
      <c r="A1143" s="3">
        <v>83000</v>
      </c>
      <c r="B1143" s="3" t="s">
        <v>3128</v>
      </c>
      <c r="C1143" s="3" t="s">
        <v>18</v>
      </c>
      <c r="D1143" s="6" t="s">
        <v>3129</v>
      </c>
      <c r="E1143" s="6" t="s">
        <v>3129</v>
      </c>
      <c r="F1143" s="3" t="str">
        <f>IFERROR( VLOOKUP(A1143,#REF!,2,0),"")</f>
        <v/>
      </c>
      <c r="G1143" s="3" t="str">
        <f t="array" ref="G1143">_xlfn.XLOOKUP(I1143,Base_Datos!D:D,Base_Datos!B:B,"")</f>
        <v>DFSK</v>
      </c>
      <c r="H1143" s="3" t="str">
        <f t="array" ref="H1143">IF(I1143="","",IFERROR(_xlfn.XLOOKUP(I1143,Base_Datos!$D$2:$D3876,Base_Datos!$C$2:$C3876),""))</f>
        <v>Serie Glory</v>
      </c>
      <c r="I1143" s="3" t="s">
        <v>1754</v>
      </c>
      <c r="J1143" s="3" t="str">
        <f>IF(I1143="","",IFERROR(VLOOKUP(I1143,Base_Datos!$D$2:$E$72,2,0),""))</f>
        <v>(1.5L)</v>
      </c>
      <c r="K1143" s="3" t="s">
        <v>3130</v>
      </c>
      <c r="L1143" s="3"/>
      <c r="M1143" s="7">
        <v>6</v>
      </c>
      <c r="N1143" s="7">
        <v>0</v>
      </c>
    </row>
    <row r="1144" spans="1:14" ht="14.25" x14ac:dyDescent="0.2">
      <c r="A1144" s="3">
        <v>83001</v>
      </c>
      <c r="B1144" s="3" t="s">
        <v>2554</v>
      </c>
      <c r="C1144" s="3" t="s">
        <v>18</v>
      </c>
      <c r="D1144" s="6" t="s">
        <v>3131</v>
      </c>
      <c r="E1144" s="6" t="s">
        <v>3131</v>
      </c>
      <c r="F1144" s="3" t="str">
        <f>IFERROR( VLOOKUP(A1144,#REF!,2,0),"")</f>
        <v/>
      </c>
      <c r="G1144" s="3" t="str">
        <f t="array" ref="G1144">_xlfn.XLOOKUP(I1144,Base_Datos!D:D,Base_Datos!B:B,"")</f>
        <v>DFSK</v>
      </c>
      <c r="H1144" s="3" t="str">
        <f t="array" ref="H1144">IF(I1144="","",IFERROR(_xlfn.XLOOKUP(I1144,Base_Datos!$D$2:$D3876,Base_Datos!$C$2:$C3876),""))</f>
        <v>Serie Glory</v>
      </c>
      <c r="I1144" s="3" t="s">
        <v>1754</v>
      </c>
      <c r="J1144" s="3" t="str">
        <f>IF(I1144="","",IFERROR(VLOOKUP(I1144,Base_Datos!$D$2:$E$72,2,0),""))</f>
        <v>(1.5L)</v>
      </c>
      <c r="K1144" s="3" t="s">
        <v>3130</v>
      </c>
      <c r="L1144" s="3"/>
      <c r="M1144" s="7">
        <v>6</v>
      </c>
      <c r="N1144" s="7">
        <v>0</v>
      </c>
    </row>
    <row r="1145" spans="1:14" ht="14.25" x14ac:dyDescent="0.2">
      <c r="A1145" s="3">
        <v>83002</v>
      </c>
      <c r="B1145" s="3" t="s">
        <v>1965</v>
      </c>
      <c r="C1145" s="3" t="s">
        <v>18</v>
      </c>
      <c r="D1145" s="6" t="s">
        <v>3132</v>
      </c>
      <c r="E1145" s="6" t="s">
        <v>3132</v>
      </c>
      <c r="F1145" s="3" t="str">
        <f>IFERROR( VLOOKUP(A1145,#REF!,2,0),"")</f>
        <v/>
      </c>
      <c r="G1145" s="3" t="str">
        <f t="array" ref="G1145">_xlfn.XLOOKUP(I1145,Base_Datos!D:D,Base_Datos!B:B,"")</f>
        <v>DFSK</v>
      </c>
      <c r="H1145" s="3" t="str">
        <f t="array" ref="H1145">IF(I1145="","",IFERROR(_xlfn.XLOOKUP(I1145,Base_Datos!$D$2:$D3876,Base_Datos!$C$2:$C3876),""))</f>
        <v>Serie Glory</v>
      </c>
      <c r="I1145" s="3" t="s">
        <v>1754</v>
      </c>
      <c r="J1145" s="3" t="str">
        <f>IF(I1145="","",IFERROR(VLOOKUP(I1145,Base_Datos!$D$2:$E$72,2,0),""))</f>
        <v>(1.5L)</v>
      </c>
      <c r="K1145" s="3" t="s">
        <v>1782</v>
      </c>
      <c r="L1145" s="3"/>
      <c r="M1145" s="7">
        <v>8</v>
      </c>
      <c r="N1145" s="7">
        <v>0</v>
      </c>
    </row>
    <row r="1146" spans="1:14" ht="14.25" x14ac:dyDescent="0.2">
      <c r="A1146" s="3">
        <v>83003</v>
      </c>
      <c r="B1146" s="3" t="s">
        <v>2458</v>
      </c>
      <c r="C1146" s="3" t="s">
        <v>18</v>
      </c>
      <c r="D1146" s="6" t="s">
        <v>3133</v>
      </c>
      <c r="E1146" s="6" t="s">
        <v>3133</v>
      </c>
      <c r="F1146" s="3" t="str">
        <f>IFERROR( VLOOKUP(A1146,#REF!,2,0),"")</f>
        <v/>
      </c>
      <c r="G1146" s="3" t="str">
        <f t="array" ref="G1146">_xlfn.XLOOKUP(I1146,Base_Datos!D:D,Base_Datos!B:B,"")</f>
        <v>DFSK</v>
      </c>
      <c r="H1146" s="3" t="str">
        <f t="array" ref="H1146">IF(I1146="","",IFERROR(_xlfn.XLOOKUP(I1146,Base_Datos!$D$2:$D3876,Base_Datos!$C$2:$C3876),""))</f>
        <v>Serie Glory</v>
      </c>
      <c r="I1146" s="3" t="s">
        <v>1754</v>
      </c>
      <c r="J1146" s="3" t="str">
        <f>IF(I1146="","",IFERROR(VLOOKUP(I1146,Base_Datos!$D$2:$E$72,2,0),""))</f>
        <v>(1.5L)</v>
      </c>
      <c r="K1146" s="3" t="s">
        <v>1782</v>
      </c>
      <c r="L1146" s="3"/>
      <c r="M1146" s="7">
        <v>8</v>
      </c>
      <c r="N1146" s="7">
        <v>0</v>
      </c>
    </row>
    <row r="1147" spans="1:14" ht="14.25" x14ac:dyDescent="0.2">
      <c r="A1147" s="3">
        <v>83004</v>
      </c>
      <c r="B1147" s="3" t="s">
        <v>2004</v>
      </c>
      <c r="C1147" s="3" t="s">
        <v>18</v>
      </c>
      <c r="D1147" s="6" t="s">
        <v>3134</v>
      </c>
      <c r="E1147" s="6" t="s">
        <v>3134</v>
      </c>
      <c r="F1147" s="3" t="str">
        <f>IFERROR( VLOOKUP(A1147,#REF!,2,0),"")</f>
        <v/>
      </c>
      <c r="G1147" s="3" t="str">
        <f t="array" ref="G1147">_xlfn.XLOOKUP(I1147,Base_Datos!D:D,Base_Datos!B:B,"")</f>
        <v>DFSK</v>
      </c>
      <c r="H1147" s="3" t="str">
        <f t="array" ref="H1147">IF(I1147="","",IFERROR(_xlfn.XLOOKUP(I1147,Base_Datos!$D$2:$D3876,Base_Datos!$C$2:$C3876),""))</f>
        <v>Serie Glory</v>
      </c>
      <c r="I1147" s="3" t="s">
        <v>1766</v>
      </c>
      <c r="J1147" s="3" t="str">
        <f>IF(I1147="","",IFERROR(VLOOKUP(I1147,Base_Datos!$D$2:$E$72,2,0),""))</f>
        <v>(1.8L)</v>
      </c>
      <c r="K1147" s="3" t="s">
        <v>3135</v>
      </c>
      <c r="L1147" s="3"/>
      <c r="M1147" s="7">
        <v>8</v>
      </c>
      <c r="N1147" s="7">
        <v>0</v>
      </c>
    </row>
    <row r="1148" spans="1:14" ht="14.25" x14ac:dyDescent="0.2">
      <c r="A1148" s="3">
        <v>83005</v>
      </c>
      <c r="B1148" s="3" t="s">
        <v>3136</v>
      </c>
      <c r="C1148" s="3" t="s">
        <v>18</v>
      </c>
      <c r="D1148" s="6" t="s">
        <v>906</v>
      </c>
      <c r="E1148" s="6" t="s">
        <v>906</v>
      </c>
      <c r="F1148" s="3" t="str">
        <f>IFERROR( VLOOKUP(A1148,#REF!,2,0),"")</f>
        <v/>
      </c>
      <c r="G1148" s="3" t="str">
        <f t="array" ref="G1148">_xlfn.XLOOKUP(I1148,Base_Datos!D:D,Base_Datos!B:B,"")</f>
        <v>DFSK</v>
      </c>
      <c r="H1148" s="3" t="str">
        <f t="array" ref="H1148">IF(I1148="","",IFERROR(_xlfn.XLOOKUP(I1148,Base_Datos!$D$2:$D3876,Base_Datos!$C$2:$C3876),""))</f>
        <v>Serie Glory</v>
      </c>
      <c r="I1148" s="3" t="s">
        <v>1754</v>
      </c>
      <c r="J1148" s="3" t="str">
        <f>IF(I1148="","",IFERROR(VLOOKUP(I1148,Base_Datos!$D$2:$E$72,2,0),""))</f>
        <v>(1.5L)</v>
      </c>
      <c r="K1148" s="3" t="s">
        <v>1782</v>
      </c>
      <c r="L1148" s="3"/>
      <c r="M1148" s="7">
        <v>2</v>
      </c>
      <c r="N1148" s="7">
        <v>0</v>
      </c>
    </row>
    <row r="1149" spans="1:14" ht="14.25" x14ac:dyDescent="0.2">
      <c r="A1149" s="3">
        <v>83006</v>
      </c>
      <c r="B1149" s="3" t="s">
        <v>2918</v>
      </c>
      <c r="C1149" s="3" t="s">
        <v>18</v>
      </c>
      <c r="D1149" s="6" t="s">
        <v>3137</v>
      </c>
      <c r="E1149" s="6" t="s">
        <v>3137</v>
      </c>
      <c r="F1149" s="3" t="str">
        <f>IFERROR( VLOOKUP(A1149,#REF!,2,0),"")</f>
        <v/>
      </c>
      <c r="G1149" s="3" t="str">
        <f t="array" ref="G1149">_xlfn.XLOOKUP(I1149,Base_Datos!D:D,Base_Datos!B:B,"")</f>
        <v>DFSK</v>
      </c>
      <c r="H1149" s="3" t="str">
        <f t="array" ref="H1149">IF(I1149="","",IFERROR(_xlfn.XLOOKUP(I1149,Base_Datos!$D$2:$D3876,Base_Datos!$C$2:$C3876),""))</f>
        <v>Serie Glory</v>
      </c>
      <c r="I1149" s="3" t="s">
        <v>1754</v>
      </c>
      <c r="J1149" s="3" t="str">
        <f>IF(I1149="","",IFERROR(VLOOKUP(I1149,Base_Datos!$D$2:$E$72,2,0),""))</f>
        <v>(1.5L)</v>
      </c>
      <c r="K1149" s="3" t="s">
        <v>1782</v>
      </c>
      <c r="L1149" s="3"/>
      <c r="M1149" s="7">
        <v>4</v>
      </c>
      <c r="N1149" s="7">
        <v>0</v>
      </c>
    </row>
    <row r="1150" spans="1:14" ht="14.25" x14ac:dyDescent="0.2">
      <c r="A1150" s="3">
        <v>83007</v>
      </c>
      <c r="B1150" s="3" t="s">
        <v>2404</v>
      </c>
      <c r="C1150" s="3" t="s">
        <v>18</v>
      </c>
      <c r="D1150" s="6" t="s">
        <v>3138</v>
      </c>
      <c r="E1150" s="6" t="s">
        <v>3138</v>
      </c>
      <c r="F1150" s="3" t="str">
        <f>IFERROR( VLOOKUP(A1150,#REF!,2,0),"")</f>
        <v/>
      </c>
      <c r="G1150" s="3" t="str">
        <f t="array" ref="G1150">_xlfn.XLOOKUP(I1150,Base_Datos!D:D,Base_Datos!B:B,"")</f>
        <v>DFSK</v>
      </c>
      <c r="H1150" s="3" t="str">
        <f t="array" ref="H1150">IF(I1150="","",IFERROR(_xlfn.XLOOKUP(I1150,Base_Datos!$D$2:$D3876,Base_Datos!$C$2:$C3876),""))</f>
        <v>Serie Glory</v>
      </c>
      <c r="I1150" s="3" t="s">
        <v>1754</v>
      </c>
      <c r="J1150" s="3" t="str">
        <f>IF(I1150="","",IFERROR(VLOOKUP(I1150,Base_Datos!$D$2:$E$72,2,0),""))</f>
        <v>(1.5L)</v>
      </c>
      <c r="K1150" s="3" t="s">
        <v>1842</v>
      </c>
      <c r="L1150" s="3"/>
      <c r="M1150" s="7">
        <v>4</v>
      </c>
      <c r="N1150" s="7">
        <v>0</v>
      </c>
    </row>
    <row r="1151" spans="1:14" ht="14.25" x14ac:dyDescent="0.2">
      <c r="A1151" s="3">
        <v>83008</v>
      </c>
      <c r="B1151" s="3" t="s">
        <v>3139</v>
      </c>
      <c r="C1151" s="3" t="s">
        <v>18</v>
      </c>
      <c r="D1151" s="6" t="s">
        <v>3140</v>
      </c>
      <c r="E1151" s="6" t="s">
        <v>3140</v>
      </c>
      <c r="F1151" s="3" t="str">
        <f>IFERROR( VLOOKUP(A1151,#REF!,2,0),"")</f>
        <v/>
      </c>
      <c r="G1151" s="3" t="str">
        <f t="array" ref="G1151">_xlfn.XLOOKUP(I1151,Base_Datos!D:D,Base_Datos!B:B,"")</f>
        <v>DFSK</v>
      </c>
      <c r="H1151" s="3" t="str">
        <f t="array" ref="H1151">IF(I1151="","",IFERROR(_xlfn.XLOOKUP(I1151,Base_Datos!$D$2:$D3876,Base_Datos!$C$2:$C3876),""))</f>
        <v>Serie Glory</v>
      </c>
      <c r="I1151" s="3" t="s">
        <v>1754</v>
      </c>
      <c r="J1151" s="3" t="str">
        <f>IF(I1151="","",IFERROR(VLOOKUP(I1151,Base_Datos!$D$2:$E$72,2,0),""))</f>
        <v>(1.5L)</v>
      </c>
      <c r="K1151" s="3" t="s">
        <v>1782</v>
      </c>
      <c r="L1151" s="3"/>
      <c r="M1151" s="7">
        <v>5</v>
      </c>
      <c r="N1151" s="7">
        <v>0</v>
      </c>
    </row>
    <row r="1152" spans="1:14" ht="14.25" x14ac:dyDescent="0.2">
      <c r="A1152" s="3">
        <v>84000</v>
      </c>
      <c r="B1152" s="3" t="s">
        <v>3141</v>
      </c>
      <c r="C1152" s="3" t="s">
        <v>18</v>
      </c>
      <c r="D1152" s="6" t="s">
        <v>3142</v>
      </c>
      <c r="E1152" s="6" t="s">
        <v>3142</v>
      </c>
      <c r="F1152" s="3" t="str">
        <f>IFERROR( VLOOKUP(A1152,#REF!,2,0),"")</f>
        <v/>
      </c>
      <c r="G1152" s="3" t="str">
        <f t="array" ref="G1152">_xlfn.XLOOKUP(I1152,Base_Datos!D:D,Base_Datos!B:B,"")</f>
        <v>DFSK</v>
      </c>
      <c r="H1152" s="3" t="str">
        <f t="array" ref="H1152">IF(I1152="","",IFERROR(_xlfn.XLOOKUP(I1152,Base_Datos!$D$2:$D3876,Base_Datos!$C$2:$C3876),""))</f>
        <v>Serie Glory</v>
      </c>
      <c r="I1152" s="3" t="s">
        <v>1766</v>
      </c>
      <c r="J1152" s="3" t="str">
        <f>IF(I1152="","",IFERROR(VLOOKUP(I1152,Base_Datos!$D$2:$E$72,2,0),""))</f>
        <v>(1.8L)</v>
      </c>
      <c r="K1152" s="3" t="s">
        <v>1782</v>
      </c>
      <c r="L1152" s="3"/>
      <c r="M1152" s="7">
        <v>1</v>
      </c>
      <c r="N1152" s="7">
        <v>0</v>
      </c>
    </row>
    <row r="1153" spans="1:14" ht="14.25" x14ac:dyDescent="0.2">
      <c r="A1153" s="3">
        <v>84001</v>
      </c>
      <c r="B1153" s="3" t="s">
        <v>3143</v>
      </c>
      <c r="C1153" s="3" t="s">
        <v>18</v>
      </c>
      <c r="D1153" s="6" t="s">
        <v>3144</v>
      </c>
      <c r="E1153" s="6" t="s">
        <v>3144</v>
      </c>
      <c r="F1153" s="3" t="str">
        <f>IFERROR( VLOOKUP(A1153,#REF!,2,0),"")</f>
        <v/>
      </c>
      <c r="G1153" s="3" t="str">
        <f t="array" ref="G1153">_xlfn.XLOOKUP(I1153,Base_Datos!D:D,Base_Datos!B:B,"")</f>
        <v>DFSK</v>
      </c>
      <c r="H1153" s="3" t="str">
        <f t="array" ref="H1153">IF(I1153="","",IFERROR(_xlfn.XLOOKUP(I1153,Base_Datos!$D$2:$D3876,Base_Datos!$C$2:$C3876),""))</f>
        <v>Serie Glory</v>
      </c>
      <c r="I1153" s="3" t="s">
        <v>1766</v>
      </c>
      <c r="J1153" s="3" t="str">
        <f>IF(I1153="","",IFERROR(VLOOKUP(I1153,Base_Datos!$D$2:$E$72,2,0),""))</f>
        <v>(1.8L)</v>
      </c>
      <c r="K1153" s="3" t="s">
        <v>1782</v>
      </c>
      <c r="L1153" s="3"/>
      <c r="M1153" s="7">
        <v>5</v>
      </c>
      <c r="N1153" s="7">
        <v>0</v>
      </c>
    </row>
    <row r="1154" spans="1:14" ht="14.25" x14ac:dyDescent="0.2">
      <c r="A1154" s="3">
        <v>84002</v>
      </c>
      <c r="B1154" s="3" t="s">
        <v>1928</v>
      </c>
      <c r="C1154" s="3" t="s">
        <v>18</v>
      </c>
      <c r="D1154" s="6" t="s">
        <v>3145</v>
      </c>
      <c r="E1154" s="6" t="s">
        <v>3145</v>
      </c>
      <c r="F1154" s="3" t="str">
        <f>IFERROR( VLOOKUP(A1154,#REF!,2,0),"")</f>
        <v/>
      </c>
      <c r="G1154" s="3" t="str">
        <f t="array" ref="G1154">_xlfn.XLOOKUP(I1154,Base_Datos!D:D,Base_Datos!B:B,"")</f>
        <v>DFSK</v>
      </c>
      <c r="H1154" s="3" t="str">
        <f t="array" ref="H1154">IF(I1154="","",IFERROR(_xlfn.XLOOKUP(I1154,Base_Datos!$D$2:$D3876,Base_Datos!$C$2:$C3876),""))</f>
        <v>Serie IX</v>
      </c>
      <c r="I1154" s="3" t="s">
        <v>1770</v>
      </c>
      <c r="J1154" s="3" t="str">
        <f>IF(I1154="","",IFERROR(VLOOKUP(I1154,Base_Datos!$D$2:$E$72,2,0),""))</f>
        <v>(1.5L)</v>
      </c>
      <c r="K1154" s="3" t="s">
        <v>1782</v>
      </c>
      <c r="L1154" s="3"/>
      <c r="M1154" s="7">
        <v>30</v>
      </c>
      <c r="N1154" s="7">
        <v>0</v>
      </c>
    </row>
    <row r="1155" spans="1:14" ht="14.25" x14ac:dyDescent="0.2">
      <c r="A1155" s="3">
        <v>84003</v>
      </c>
      <c r="B1155" s="3" t="s">
        <v>2245</v>
      </c>
      <c r="C1155" s="3" t="s">
        <v>18</v>
      </c>
      <c r="D1155" s="6" t="s">
        <v>918</v>
      </c>
      <c r="E1155" s="6" t="s">
        <v>918</v>
      </c>
      <c r="F1155" s="3" t="str">
        <f>IFERROR( VLOOKUP(A1155,#REF!,2,0),"")</f>
        <v/>
      </c>
      <c r="G1155" s="3" t="str">
        <f t="array" ref="G1155">_xlfn.XLOOKUP(I1155,Base_Datos!D:D,Base_Datos!B:B,"")</f>
        <v>DFSK</v>
      </c>
      <c r="H1155" s="3" t="str">
        <f t="array" ref="H1155">IF(I1155="","",IFERROR(_xlfn.XLOOKUP(I1155,Base_Datos!$D$2:$D3876,Base_Datos!$C$2:$C3876),""))</f>
        <v>Serie Glory</v>
      </c>
      <c r="I1155" s="3" t="s">
        <v>112</v>
      </c>
      <c r="J1155" s="3" t="str">
        <f>IF(I1155="","",IFERROR(VLOOKUP(I1155,Base_Datos!$D$2:$E$72,2,0),""))</f>
        <v>(1.8L)</v>
      </c>
      <c r="K1155" s="3" t="s">
        <v>1782</v>
      </c>
      <c r="L1155" s="3"/>
      <c r="M1155" s="7">
        <v>5</v>
      </c>
      <c r="N1155" s="7">
        <v>0</v>
      </c>
    </row>
    <row r="1156" spans="1:14" ht="14.25" x14ac:dyDescent="0.2">
      <c r="A1156" s="3">
        <v>85000</v>
      </c>
      <c r="B1156" s="3" t="s">
        <v>3146</v>
      </c>
      <c r="C1156" s="3" t="s">
        <v>18</v>
      </c>
      <c r="D1156" s="6" t="s">
        <v>3147</v>
      </c>
      <c r="E1156" s="6" t="s">
        <v>3147</v>
      </c>
      <c r="F1156" s="3" t="str">
        <f>IFERROR( VLOOKUP(A1156,#REF!,2,0),"")</f>
        <v/>
      </c>
      <c r="G1156" s="3" t="str">
        <f t="array" ref="G1156">_xlfn.XLOOKUP(I1156,Base_Datos!D:D,Base_Datos!B:B,"")</f>
        <v>DFSK</v>
      </c>
      <c r="H1156" s="3" t="str">
        <f t="array" ref="H1156">IF(I1156="","",IFERROR(_xlfn.XLOOKUP(I1156,Base_Datos!$D$2:$D3876,Base_Datos!$C$2:$C3876),""))</f>
        <v>Serie Glory</v>
      </c>
      <c r="I1156" s="3" t="s">
        <v>112</v>
      </c>
      <c r="J1156" s="3" t="str">
        <f>IF(I1156="","",IFERROR(VLOOKUP(I1156,Base_Datos!$D$2:$E$72,2,0),""))</f>
        <v>(1.8L)</v>
      </c>
      <c r="K1156" s="3" t="s">
        <v>1782</v>
      </c>
      <c r="L1156" s="3"/>
      <c r="M1156" s="7">
        <v>6</v>
      </c>
      <c r="N1156" s="7">
        <v>0</v>
      </c>
    </row>
    <row r="1157" spans="1:14" ht="14.25" x14ac:dyDescent="0.2">
      <c r="A1157" s="3">
        <v>85001</v>
      </c>
      <c r="B1157" s="3" t="s">
        <v>3148</v>
      </c>
      <c r="C1157" s="3" t="s">
        <v>18</v>
      </c>
      <c r="D1157" s="6" t="s">
        <v>3149</v>
      </c>
      <c r="E1157" s="6" t="s">
        <v>3149</v>
      </c>
      <c r="F1157" s="3" t="str">
        <f>IFERROR( VLOOKUP(A1157,#REF!,2,0),"")</f>
        <v/>
      </c>
      <c r="G1157" s="3" t="str">
        <f t="array" ref="G1157">_xlfn.XLOOKUP(I1157,Base_Datos!D:D,Base_Datos!B:B,"")</f>
        <v>DFSK</v>
      </c>
      <c r="H1157" s="3" t="str">
        <f t="array" ref="H1157">IF(I1157="","",IFERROR(_xlfn.XLOOKUP(I1157,Base_Datos!$D$2:$D3876,Base_Datos!$C$2:$C3876),""))</f>
        <v>Serie Glory</v>
      </c>
      <c r="I1157" s="3" t="s">
        <v>112</v>
      </c>
      <c r="J1157" s="3" t="str">
        <f>IF(I1157="","",IFERROR(VLOOKUP(I1157,Base_Datos!$D$2:$E$72,2,0),""))</f>
        <v>(1.8L)</v>
      </c>
      <c r="K1157" s="3" t="s">
        <v>1782</v>
      </c>
      <c r="L1157" s="3"/>
      <c r="M1157" s="7">
        <v>4</v>
      </c>
      <c r="N1157" s="7">
        <v>0</v>
      </c>
    </row>
    <row r="1158" spans="1:14" ht="14.25" x14ac:dyDescent="0.2">
      <c r="A1158" s="3">
        <v>85002</v>
      </c>
      <c r="B1158" s="3" t="s">
        <v>3150</v>
      </c>
      <c r="C1158" s="3" t="s">
        <v>18</v>
      </c>
      <c r="D1158" s="6" t="s">
        <v>3151</v>
      </c>
      <c r="E1158" s="6" t="s">
        <v>3151</v>
      </c>
      <c r="F1158" s="3" t="str">
        <f>IFERROR( VLOOKUP(A1158,#REF!,2,0),"")</f>
        <v/>
      </c>
      <c r="G1158" s="3" t="str">
        <f t="array" ref="G1158">_xlfn.XLOOKUP(I1158,Base_Datos!D:D,Base_Datos!B:B,"")</f>
        <v>DFSK</v>
      </c>
      <c r="H1158" s="3" t="str">
        <f t="array" ref="H1158">IF(I1158="","",IFERROR(_xlfn.XLOOKUP(I1158,Base_Datos!$D$2:$D3876,Base_Datos!$C$2:$C3876),""))</f>
        <v>Serie Glory</v>
      </c>
      <c r="I1158" s="3" t="s">
        <v>112</v>
      </c>
      <c r="J1158" s="3" t="str">
        <f>IF(I1158="","",IFERROR(VLOOKUP(I1158,Base_Datos!$D$2:$E$72,2,0),""))</f>
        <v>(1.8L)</v>
      </c>
      <c r="K1158" s="3" t="s">
        <v>1782</v>
      </c>
      <c r="L1158" s="3"/>
      <c r="M1158" s="7">
        <v>4</v>
      </c>
      <c r="N1158" s="7">
        <v>0</v>
      </c>
    </row>
    <row r="1159" spans="1:14" ht="14.25" x14ac:dyDescent="0.2">
      <c r="A1159" s="3">
        <v>85003</v>
      </c>
      <c r="B1159" s="3" t="s">
        <v>3152</v>
      </c>
      <c r="C1159" s="3" t="s">
        <v>18</v>
      </c>
      <c r="D1159" s="6" t="s">
        <v>3153</v>
      </c>
      <c r="E1159" s="6" t="s">
        <v>3153</v>
      </c>
      <c r="F1159" s="3" t="str">
        <f>IFERROR( VLOOKUP(A1159,#REF!,2,0),"")</f>
        <v/>
      </c>
      <c r="G1159" s="3" t="str">
        <f t="array" ref="G1159">_xlfn.XLOOKUP(I1159,Base_Datos!D:D,Base_Datos!B:B,"")</f>
        <v>DFSK</v>
      </c>
      <c r="H1159" s="3" t="str">
        <f t="array" ref="H1159">IF(I1159="","",IFERROR(_xlfn.XLOOKUP(I1159,Base_Datos!$D$2:$D3876,Base_Datos!$C$2:$C3876),""))</f>
        <v>Serie Glory</v>
      </c>
      <c r="I1159" s="3" t="s">
        <v>112</v>
      </c>
      <c r="J1159" s="3" t="str">
        <f>IF(I1159="","",IFERROR(VLOOKUP(I1159,Base_Datos!$D$2:$E$72,2,0),""))</f>
        <v>(1.8L)</v>
      </c>
      <c r="K1159" s="3" t="s">
        <v>1782</v>
      </c>
      <c r="L1159" s="3"/>
      <c r="M1159" s="7">
        <v>2</v>
      </c>
      <c r="N1159" s="7">
        <v>0</v>
      </c>
    </row>
    <row r="1160" spans="1:14" ht="14.25" x14ac:dyDescent="0.2">
      <c r="A1160" s="3">
        <v>85004</v>
      </c>
      <c r="B1160" s="3" t="s">
        <v>3154</v>
      </c>
      <c r="C1160" s="3" t="s">
        <v>18</v>
      </c>
      <c r="D1160" s="6" t="s">
        <v>499</v>
      </c>
      <c r="E1160" s="6" t="s">
        <v>499</v>
      </c>
      <c r="F1160" s="3" t="str">
        <f>IFERROR( VLOOKUP(A1160,#REF!,2,0),"")</f>
        <v/>
      </c>
      <c r="G1160" s="3" t="str">
        <f t="array" ref="G1160">_xlfn.XLOOKUP(I1160,Base_Datos!D:D,Base_Datos!B:B,"")</f>
        <v>DFSK</v>
      </c>
      <c r="H1160" s="3" t="str">
        <f t="array" ref="H1160">IF(I1160="","",IFERROR(_xlfn.XLOOKUP(I1160,Base_Datos!$D$2:$D3876,Base_Datos!$C$2:$C3876),""))</f>
        <v>Serie Glory</v>
      </c>
      <c r="I1160" s="3" t="s">
        <v>112</v>
      </c>
      <c r="J1160" s="3" t="str">
        <f>IF(I1160="","",IFERROR(VLOOKUP(I1160,Base_Datos!$D$2:$E$72,2,0),""))</f>
        <v>(1.8L)</v>
      </c>
      <c r="K1160" s="3" t="s">
        <v>1782</v>
      </c>
      <c r="L1160" s="3"/>
      <c r="M1160" s="7">
        <v>10</v>
      </c>
      <c r="N1160" s="7">
        <v>0</v>
      </c>
    </row>
    <row r="1161" spans="1:14" ht="14.25" x14ac:dyDescent="0.2">
      <c r="A1161" s="3">
        <v>85005</v>
      </c>
      <c r="B1161" s="3" t="s">
        <v>2245</v>
      </c>
      <c r="C1161" s="3" t="s">
        <v>18</v>
      </c>
      <c r="D1161" s="6" t="s">
        <v>3155</v>
      </c>
      <c r="E1161" s="6" t="s">
        <v>3155</v>
      </c>
      <c r="F1161" s="3" t="str">
        <f>IFERROR( VLOOKUP(A1161,#REF!,2,0),"")</f>
        <v/>
      </c>
      <c r="G1161" s="3" t="str">
        <f t="array" ref="G1161">_xlfn.XLOOKUP(I1161,Base_Datos!D:D,Base_Datos!B:B,"")</f>
        <v>DFSK</v>
      </c>
      <c r="H1161" s="3" t="str">
        <f t="array" ref="H1161">IF(I1161="","",IFERROR(_xlfn.XLOOKUP(I1161,Base_Datos!$D$2:$D3876,Base_Datos!$C$2:$C3876),""))</f>
        <v>Serie Glory</v>
      </c>
      <c r="I1161" s="3" t="s">
        <v>112</v>
      </c>
      <c r="J1161" s="3" t="str">
        <f>IF(I1161="","",IFERROR(VLOOKUP(I1161,Base_Datos!$D$2:$E$72,2,0),""))</f>
        <v>(1.8L)</v>
      </c>
      <c r="K1161" s="3" t="s">
        <v>1782</v>
      </c>
      <c r="L1161" s="3"/>
      <c r="M1161" s="7">
        <v>5</v>
      </c>
      <c r="N1161" s="7">
        <v>0</v>
      </c>
    </row>
    <row r="1162" spans="1:14" ht="14.25" x14ac:dyDescent="0.2">
      <c r="A1162" s="3">
        <v>85006</v>
      </c>
      <c r="B1162" s="3" t="s">
        <v>3156</v>
      </c>
      <c r="C1162" s="3" t="s">
        <v>18</v>
      </c>
      <c r="D1162" s="6" t="s">
        <v>3157</v>
      </c>
      <c r="E1162" s="6" t="s">
        <v>3157</v>
      </c>
      <c r="F1162" s="3" t="str">
        <f>IFERROR( VLOOKUP(A1162,#REF!,2,0),"")</f>
        <v/>
      </c>
      <c r="G1162" s="3" t="str">
        <f t="array" ref="G1162">_xlfn.XLOOKUP(I1162,Base_Datos!D:D,Base_Datos!B:B,"")</f>
        <v>DFSK</v>
      </c>
      <c r="H1162" s="3" t="str">
        <f t="array" ref="H1162">IF(I1162="","",IFERROR(_xlfn.XLOOKUP(I1162,Base_Datos!$D$2:$D3876,Base_Datos!$C$2:$C3876),""))</f>
        <v>Serie Glory</v>
      </c>
      <c r="I1162" s="3" t="s">
        <v>112</v>
      </c>
      <c r="J1162" s="3" t="str">
        <f>IF(I1162="","",IFERROR(VLOOKUP(I1162,Base_Datos!$D$2:$E$72,2,0),""))</f>
        <v>(1.8L)</v>
      </c>
      <c r="K1162" s="3" t="s">
        <v>1782</v>
      </c>
      <c r="L1162" s="3"/>
      <c r="M1162" s="7">
        <v>5</v>
      </c>
      <c r="N1162" s="7">
        <v>0</v>
      </c>
    </row>
    <row r="1163" spans="1:14" ht="14.25" x14ac:dyDescent="0.2">
      <c r="A1163" s="3">
        <v>85007</v>
      </c>
      <c r="B1163" s="3" t="s">
        <v>3068</v>
      </c>
      <c r="C1163" s="3" t="s">
        <v>18</v>
      </c>
      <c r="D1163" s="6" t="s">
        <v>198</v>
      </c>
      <c r="E1163" s="6" t="s">
        <v>198</v>
      </c>
      <c r="F1163" s="3" t="str">
        <f>IFERROR( VLOOKUP(A1163,#REF!,2,0),"")</f>
        <v/>
      </c>
      <c r="G1163" s="3" t="str">
        <f t="array" ref="G1163">_xlfn.XLOOKUP(I1163,Base_Datos!D:D,Base_Datos!B:B,"")</f>
        <v>DFSK</v>
      </c>
      <c r="H1163" s="3" t="str">
        <f t="array" ref="H1163">IF(I1163="","",IFERROR(_xlfn.XLOOKUP(I1163,Base_Datos!$D$2:$D3876,Base_Datos!$C$2:$C3876),""))</f>
        <v>Serie Glory</v>
      </c>
      <c r="I1163" s="3" t="s">
        <v>112</v>
      </c>
      <c r="J1163" s="3" t="str">
        <f>IF(I1163="","",IFERROR(VLOOKUP(I1163,Base_Datos!$D$2:$E$72,2,0),""))</f>
        <v>(1.8L)</v>
      </c>
      <c r="K1163" s="3" t="s">
        <v>1782</v>
      </c>
      <c r="L1163" s="3"/>
      <c r="M1163" s="7">
        <v>8</v>
      </c>
      <c r="N1163" s="7">
        <v>0</v>
      </c>
    </row>
    <row r="1164" spans="1:14" ht="14.25" x14ac:dyDescent="0.2">
      <c r="A1164" s="3">
        <v>87000</v>
      </c>
      <c r="B1164" s="3" t="s">
        <v>3158</v>
      </c>
      <c r="C1164" s="3" t="s">
        <v>18</v>
      </c>
      <c r="D1164" s="6" t="s">
        <v>34</v>
      </c>
      <c r="E1164" s="6" t="s">
        <v>34</v>
      </c>
      <c r="F1164" s="3" t="str">
        <f>IFERROR( VLOOKUP(A1164,#REF!,2,0),"")</f>
        <v/>
      </c>
      <c r="G1164" s="3" t="str">
        <f t="array" ref="G1164">_xlfn.XLOOKUP(I1164,Base_Datos!D:D,Base_Datos!B:B,"")</f>
        <v>DFSK</v>
      </c>
      <c r="H1164" s="3" t="str">
        <f t="array" ref="H1164">IF(I1164="","",IFERROR(_xlfn.XLOOKUP(I1164,Base_Datos!$D$2:$D3876,Base_Datos!$C$2:$C3876),""))</f>
        <v>Serie Glory</v>
      </c>
      <c r="I1164" s="3" t="s">
        <v>1767</v>
      </c>
      <c r="J1164" s="3" t="str">
        <f>IF(I1164="","",IFERROR(VLOOKUP(I1164,Base_Datos!$D$2:$E$72,2,0),""))</f>
        <v>(1.5L)</v>
      </c>
      <c r="K1164" s="3" t="s">
        <v>1782</v>
      </c>
      <c r="L1164" s="3"/>
      <c r="M1164" s="7">
        <v>7</v>
      </c>
      <c r="N1164" s="7">
        <v>0</v>
      </c>
    </row>
    <row r="1165" spans="1:14" ht="14.25" x14ac:dyDescent="0.2">
      <c r="A1165" s="3">
        <v>87001</v>
      </c>
      <c r="B1165" s="3" t="s">
        <v>3159</v>
      </c>
      <c r="C1165" s="3" t="s">
        <v>18</v>
      </c>
      <c r="D1165" s="6" t="s">
        <v>35</v>
      </c>
      <c r="E1165" s="6" t="s">
        <v>35</v>
      </c>
      <c r="F1165" s="3" t="str">
        <f>IFERROR( VLOOKUP(A1165,#REF!,2,0),"")</f>
        <v/>
      </c>
      <c r="G1165" s="3" t="str">
        <f t="array" ref="G1165">_xlfn.XLOOKUP(I1165,Base_Datos!D:D,Base_Datos!B:B,"")</f>
        <v>DFSK</v>
      </c>
      <c r="H1165" s="3" t="str">
        <f t="array" ref="H1165">IF(I1165="","",IFERROR(_xlfn.XLOOKUP(I1165,Base_Datos!$D$2:$D3876,Base_Datos!$C$2:$C3876),""))</f>
        <v>Serie Glory</v>
      </c>
      <c r="I1165" s="3" t="s">
        <v>1767</v>
      </c>
      <c r="J1165" s="3" t="str">
        <f>IF(I1165="","",IFERROR(VLOOKUP(I1165,Base_Datos!$D$2:$E$72,2,0),""))</f>
        <v>(1.5L)</v>
      </c>
      <c r="K1165" s="3" t="s">
        <v>1782</v>
      </c>
      <c r="L1165" s="3"/>
      <c r="M1165" s="7">
        <v>7</v>
      </c>
      <c r="N1165" s="7">
        <v>0</v>
      </c>
    </row>
    <row r="1166" spans="1:14" ht="14.25" x14ac:dyDescent="0.2">
      <c r="A1166" s="3">
        <v>88000</v>
      </c>
      <c r="B1166" s="3" t="s">
        <v>3160</v>
      </c>
      <c r="C1166" s="3" t="s">
        <v>19</v>
      </c>
      <c r="D1166" s="6" t="s">
        <v>36</v>
      </c>
      <c r="E1166" s="6" t="s">
        <v>3161</v>
      </c>
      <c r="F1166" s="3" t="str">
        <f>IFERROR( VLOOKUP(A1166,#REF!,2,0),"")</f>
        <v/>
      </c>
      <c r="G1166" s="3" t="str">
        <f t="array" ref="G1166">_xlfn.XLOOKUP(I1166,Base_Datos!D:D,Base_Datos!B:B,"")</f>
        <v>DFSK</v>
      </c>
      <c r="H1166" s="3" t="str">
        <f t="array" ref="H1166">IF(I1166="","",IFERROR(_xlfn.XLOOKUP(I1166,Base_Datos!$D$2:$D3876,Base_Datos!$C$2:$C3876),""))</f>
        <v>Serie Glory</v>
      </c>
      <c r="I1166" s="3" t="s">
        <v>112</v>
      </c>
      <c r="J1166" s="3" t="str">
        <f>IF(I1166="","",IFERROR(VLOOKUP(I1166,Base_Datos!$D$2:$E$72,2,0),""))</f>
        <v>(1.8L)</v>
      </c>
      <c r="K1166" s="3" t="s">
        <v>1782</v>
      </c>
      <c r="L1166" s="3"/>
      <c r="M1166" s="7">
        <v>3</v>
      </c>
      <c r="N1166" s="7">
        <v>0</v>
      </c>
    </row>
    <row r="1167" spans="1:14" ht="14.25" x14ac:dyDescent="0.2">
      <c r="A1167" s="3">
        <v>88001</v>
      </c>
      <c r="B1167" s="3" t="s">
        <v>3162</v>
      </c>
      <c r="C1167" s="3" t="s">
        <v>19</v>
      </c>
      <c r="D1167" s="6" t="s">
        <v>37</v>
      </c>
      <c r="E1167" s="6" t="s">
        <v>3163</v>
      </c>
      <c r="F1167" s="3" t="str">
        <f>IFERROR( VLOOKUP(A1167,#REF!,2,0),"")</f>
        <v/>
      </c>
      <c r="G1167" s="3" t="str">
        <f t="array" ref="G1167">_xlfn.XLOOKUP(I1167,Base_Datos!D:D,Base_Datos!B:B,"")</f>
        <v>DFSK</v>
      </c>
      <c r="H1167" s="3" t="str">
        <f t="array" ref="H1167">IF(I1167="","",IFERROR(_xlfn.XLOOKUP(I1167,Base_Datos!$D$2:$D3876,Base_Datos!$C$2:$C3876),""))</f>
        <v>Serie Glory</v>
      </c>
      <c r="I1167" s="3" t="s">
        <v>112</v>
      </c>
      <c r="J1167" s="3" t="str">
        <f>IF(I1167="","",IFERROR(VLOOKUP(I1167,Base_Datos!$D$2:$E$72,2,0),""))</f>
        <v>(1.8L)</v>
      </c>
      <c r="K1167" s="3" t="s">
        <v>1782</v>
      </c>
      <c r="L1167" s="3"/>
      <c r="M1167" s="7">
        <v>2</v>
      </c>
      <c r="N1167" s="7">
        <v>0</v>
      </c>
    </row>
    <row r="1168" spans="1:14" ht="14.25" x14ac:dyDescent="0.2">
      <c r="A1168" s="3">
        <v>88002</v>
      </c>
      <c r="B1168" s="3" t="s">
        <v>3164</v>
      </c>
      <c r="C1168" s="3" t="s">
        <v>19</v>
      </c>
      <c r="D1168" s="6" t="s">
        <v>38</v>
      </c>
      <c r="E1168" s="6" t="s">
        <v>3165</v>
      </c>
      <c r="F1168" s="3" t="str">
        <f>IFERROR( VLOOKUP(A1168,#REF!,2,0),"")</f>
        <v/>
      </c>
      <c r="G1168" s="3" t="str">
        <f t="array" ref="G1168">_xlfn.XLOOKUP(I1168,Base_Datos!D:D,Base_Datos!B:B,"")</f>
        <v>DFSK</v>
      </c>
      <c r="H1168" s="3" t="str">
        <f t="array" ref="H1168">IF(I1168="","",IFERROR(_xlfn.XLOOKUP(I1168,Base_Datos!$D$2:$D3876,Base_Datos!$C$2:$C3876),""))</f>
        <v>Serie Glory</v>
      </c>
      <c r="I1168" s="3" t="s">
        <v>112</v>
      </c>
      <c r="J1168" s="3" t="str">
        <f>IF(I1168="","",IFERROR(VLOOKUP(I1168,Base_Datos!$D$2:$E$72,2,0),""))</f>
        <v>(1.8L)</v>
      </c>
      <c r="K1168" s="3" t="s">
        <v>1782</v>
      </c>
      <c r="L1168" s="3"/>
      <c r="M1168" s="7">
        <v>8</v>
      </c>
      <c r="N1168" s="7">
        <v>0</v>
      </c>
    </row>
    <row r="1169" spans="1:14" ht="14.25" x14ac:dyDescent="0.2">
      <c r="A1169" s="3">
        <v>88003</v>
      </c>
      <c r="B1169" s="3" t="s">
        <v>3166</v>
      </c>
      <c r="C1169" s="3" t="s">
        <v>19</v>
      </c>
      <c r="D1169" s="6" t="s">
        <v>39</v>
      </c>
      <c r="E1169" s="6" t="s">
        <v>3167</v>
      </c>
      <c r="F1169" s="3" t="str">
        <f>IFERROR( VLOOKUP(A1169,#REF!,2,0),"")</f>
        <v/>
      </c>
      <c r="G1169" s="3" t="str">
        <f t="array" ref="G1169">_xlfn.XLOOKUP(I1169,Base_Datos!D:D,Base_Datos!B:B,"")</f>
        <v>DFSK</v>
      </c>
      <c r="H1169" s="3" t="str">
        <f t="array" ref="H1169">IF(I1169="","",IFERROR(_xlfn.XLOOKUP(I1169,Base_Datos!$D$2:$D3876,Base_Datos!$C$2:$C3876),""))</f>
        <v>Serie Glory</v>
      </c>
      <c r="I1169" s="3" t="s">
        <v>112</v>
      </c>
      <c r="J1169" s="3" t="str">
        <f>IF(I1169="","",IFERROR(VLOOKUP(I1169,Base_Datos!$D$2:$E$72,2,0),""))</f>
        <v>(1.8L)</v>
      </c>
      <c r="K1169" s="3" t="s">
        <v>1782</v>
      </c>
      <c r="L1169" s="3"/>
      <c r="M1169" s="7">
        <v>3</v>
      </c>
      <c r="N1169" s="7">
        <v>0</v>
      </c>
    </row>
    <row r="1170" spans="1:14" ht="14.25" x14ac:dyDescent="0.2">
      <c r="A1170" s="3">
        <v>88004</v>
      </c>
      <c r="B1170" s="3" t="s">
        <v>3168</v>
      </c>
      <c r="C1170" s="3" t="s">
        <v>19</v>
      </c>
      <c r="D1170" s="6" t="s">
        <v>40</v>
      </c>
      <c r="E1170" s="6" t="s">
        <v>3169</v>
      </c>
      <c r="F1170" s="3" t="str">
        <f>IFERROR( VLOOKUP(A1170,#REF!,2,0),"")</f>
        <v/>
      </c>
      <c r="G1170" s="3" t="str">
        <f t="array" ref="G1170">_xlfn.XLOOKUP(I1170,Base_Datos!D:D,Base_Datos!B:B,"")</f>
        <v>DFSK</v>
      </c>
      <c r="H1170" s="3" t="str">
        <f t="array" ref="H1170">IF(I1170="","",IFERROR(_xlfn.XLOOKUP(I1170,Base_Datos!$D$2:$D3876,Base_Datos!$C$2:$C3876),""))</f>
        <v>Serie Glory</v>
      </c>
      <c r="I1170" s="3" t="s">
        <v>112</v>
      </c>
      <c r="J1170" s="3" t="str">
        <f>IF(I1170="","",IFERROR(VLOOKUP(I1170,Base_Datos!$D$2:$E$72,2,0),""))</f>
        <v>(1.8L)</v>
      </c>
      <c r="K1170" s="3" t="s">
        <v>1782</v>
      </c>
      <c r="L1170" s="3"/>
      <c r="M1170" s="7">
        <v>3</v>
      </c>
      <c r="N1170" s="7">
        <v>0</v>
      </c>
    </row>
    <row r="1171" spans="1:14" ht="14.25" x14ac:dyDescent="0.2">
      <c r="A1171" s="3">
        <v>88005</v>
      </c>
      <c r="B1171" s="3" t="s">
        <v>3170</v>
      </c>
      <c r="C1171" s="3" t="s">
        <v>19</v>
      </c>
      <c r="D1171" s="6" t="s">
        <v>41</v>
      </c>
      <c r="E1171" s="6" t="s">
        <v>41</v>
      </c>
      <c r="F1171" s="3" t="str">
        <f>IFERROR( VLOOKUP(A1171,#REF!,2,0),"")</f>
        <v/>
      </c>
      <c r="G1171" s="3" t="str">
        <f t="array" ref="G1171">_xlfn.XLOOKUP(I1171,Base_Datos!D:D,Base_Datos!B:B,"")</f>
        <v>DFSK</v>
      </c>
      <c r="H1171" s="3" t="str">
        <f t="array" ref="H1171">IF(I1171="","",IFERROR(_xlfn.XLOOKUP(I1171,Base_Datos!$D$2:$D3876,Base_Datos!$C$2:$C3876),""))</f>
        <v>Serie Glory</v>
      </c>
      <c r="I1171" s="3" t="s">
        <v>112</v>
      </c>
      <c r="J1171" s="3" t="str">
        <f>IF(I1171="","",IFERROR(VLOOKUP(I1171,Base_Datos!$D$2:$E$72,2,0),""))</f>
        <v>(1.8L)</v>
      </c>
      <c r="K1171" s="3" t="s">
        <v>1782</v>
      </c>
      <c r="L1171" s="3"/>
      <c r="M1171" s="7">
        <v>3</v>
      </c>
      <c r="N1171" s="7">
        <v>0</v>
      </c>
    </row>
    <row r="1172" spans="1:14" ht="14.25" x14ac:dyDescent="0.2">
      <c r="A1172" s="3">
        <v>88006</v>
      </c>
      <c r="B1172" s="3" t="s">
        <v>3171</v>
      </c>
      <c r="C1172" s="3" t="s">
        <v>19</v>
      </c>
      <c r="D1172" s="6" t="s">
        <v>42</v>
      </c>
      <c r="E1172" s="6" t="s">
        <v>42</v>
      </c>
      <c r="F1172" s="3" t="str">
        <f>IFERROR( VLOOKUP(A1172,#REF!,2,0),"")</f>
        <v/>
      </c>
      <c r="G1172" s="3" t="str">
        <f t="array" ref="G1172">_xlfn.XLOOKUP(I1172,Base_Datos!D:D,Base_Datos!B:B,"")</f>
        <v>DFSK</v>
      </c>
      <c r="H1172" s="3" t="str">
        <f t="array" ref="H1172">IF(I1172="","",IFERROR(_xlfn.XLOOKUP(I1172,Base_Datos!$D$2:$D3876,Base_Datos!$C$2:$C3876),""))</f>
        <v>Serie Glory</v>
      </c>
      <c r="I1172" s="3" t="s">
        <v>112</v>
      </c>
      <c r="J1172" s="3" t="str">
        <f>IF(I1172="","",IFERROR(VLOOKUP(I1172,Base_Datos!$D$2:$E$72,2,0),""))</f>
        <v>(1.8L)</v>
      </c>
      <c r="K1172" s="3" t="s">
        <v>1782</v>
      </c>
      <c r="L1172" s="3"/>
      <c r="M1172" s="7">
        <v>3</v>
      </c>
      <c r="N1172" s="7">
        <v>0</v>
      </c>
    </row>
    <row r="1173" spans="1:14" ht="14.25" x14ac:dyDescent="0.2">
      <c r="A1173" s="3">
        <v>88007</v>
      </c>
      <c r="B1173" s="3" t="s">
        <v>1892</v>
      </c>
      <c r="C1173" s="3" t="s">
        <v>19</v>
      </c>
      <c r="D1173" s="6" t="s">
        <v>43</v>
      </c>
      <c r="E1173" s="6" t="s">
        <v>43</v>
      </c>
      <c r="F1173" s="3" t="str">
        <f>IFERROR( VLOOKUP(A1173,#REF!,2,0),"")</f>
        <v/>
      </c>
      <c r="G1173" s="3" t="str">
        <f t="array" ref="G1173">_xlfn.XLOOKUP(I1173,Base_Datos!D:D,Base_Datos!B:B,"")</f>
        <v>DFSK</v>
      </c>
      <c r="H1173" s="3" t="str">
        <f t="array" ref="H1173">IF(I1173="","",IFERROR(_xlfn.XLOOKUP(I1173,Base_Datos!$D$2:$D3876,Base_Datos!$C$2:$C3876),""))</f>
        <v>Serie Glory</v>
      </c>
      <c r="I1173" s="3" t="s">
        <v>112</v>
      </c>
      <c r="J1173" s="3" t="str">
        <f>IF(I1173="","",IFERROR(VLOOKUP(I1173,Base_Datos!$D$2:$E$72,2,0),""))</f>
        <v>(1.8L)</v>
      </c>
      <c r="K1173" s="3" t="s">
        <v>1782</v>
      </c>
      <c r="L1173" s="3"/>
      <c r="M1173" s="7">
        <v>3</v>
      </c>
      <c r="N1173" s="7">
        <v>0</v>
      </c>
    </row>
    <row r="1174" spans="1:14" ht="14.25" x14ac:dyDescent="0.2">
      <c r="A1174" s="3">
        <v>88008</v>
      </c>
      <c r="B1174" s="3" t="s">
        <v>2271</v>
      </c>
      <c r="C1174" s="3" t="s">
        <v>19</v>
      </c>
      <c r="D1174" s="6" t="s">
        <v>44</v>
      </c>
      <c r="E1174" s="6" t="s">
        <v>3172</v>
      </c>
      <c r="F1174" s="3" t="str">
        <f>IFERROR( VLOOKUP(A1174,#REF!,2,0),"")</f>
        <v/>
      </c>
      <c r="G1174" s="3" t="str">
        <f t="array" ref="G1174">_xlfn.XLOOKUP(I1174,Base_Datos!D:D,Base_Datos!B:B,"")</f>
        <v>DFSK</v>
      </c>
      <c r="H1174" s="3" t="str">
        <f t="array" ref="H1174">IF(I1174="","",IFERROR(_xlfn.XLOOKUP(I1174,Base_Datos!$D$2:$D3876,Base_Datos!$C$2:$C3876),""))</f>
        <v>Serie Glory</v>
      </c>
      <c r="I1174" s="3" t="s">
        <v>112</v>
      </c>
      <c r="J1174" s="3" t="str">
        <f>IF(I1174="","",IFERROR(VLOOKUP(I1174,Base_Datos!$D$2:$E$72,2,0),""))</f>
        <v>(1.8L)</v>
      </c>
      <c r="K1174" s="3" t="s">
        <v>1782</v>
      </c>
      <c r="L1174" s="3"/>
      <c r="M1174" s="7">
        <v>3</v>
      </c>
      <c r="N1174" s="7">
        <v>0</v>
      </c>
    </row>
    <row r="1175" spans="1:14" ht="14.25" x14ac:dyDescent="0.2">
      <c r="A1175" s="3">
        <v>88009</v>
      </c>
      <c r="B1175" s="3" t="s">
        <v>3173</v>
      </c>
      <c r="C1175" s="3" t="s">
        <v>19</v>
      </c>
      <c r="D1175" s="6" t="s">
        <v>45</v>
      </c>
      <c r="E1175" s="6" t="s">
        <v>3174</v>
      </c>
      <c r="F1175" s="3" t="str">
        <f>IFERROR( VLOOKUP(A1175,#REF!,2,0),"")</f>
        <v/>
      </c>
      <c r="G1175" s="3" t="str">
        <f t="array" ref="G1175">_xlfn.XLOOKUP(I1175,Base_Datos!D:D,Base_Datos!B:B,"")</f>
        <v>DFSK</v>
      </c>
      <c r="H1175" s="3" t="str">
        <f t="array" ref="H1175">IF(I1175="","",IFERROR(_xlfn.XLOOKUP(I1175,Base_Datos!$D$2:$D3876,Base_Datos!$C$2:$C3876),""))</f>
        <v>Serie Glory</v>
      </c>
      <c r="I1175" s="3" t="s">
        <v>112</v>
      </c>
      <c r="J1175" s="3" t="str">
        <f>IF(I1175="","",IFERROR(VLOOKUP(I1175,Base_Datos!$D$2:$E$72,2,0),""))</f>
        <v>(1.8L)</v>
      </c>
      <c r="K1175" s="3" t="s">
        <v>1782</v>
      </c>
      <c r="L1175" s="3"/>
      <c r="M1175" s="7">
        <v>3</v>
      </c>
      <c r="N1175" s="7">
        <v>0</v>
      </c>
    </row>
    <row r="1176" spans="1:14" ht="14.25" x14ac:dyDescent="0.2">
      <c r="A1176" s="3">
        <v>88010</v>
      </c>
      <c r="B1176" s="3" t="s">
        <v>3175</v>
      </c>
      <c r="C1176" s="3" t="s">
        <v>19</v>
      </c>
      <c r="D1176" s="6" t="s">
        <v>46</v>
      </c>
      <c r="E1176" s="6" t="s">
        <v>46</v>
      </c>
      <c r="F1176" s="3" t="str">
        <f>IFERROR( VLOOKUP(A1176,#REF!,2,0),"")</f>
        <v/>
      </c>
      <c r="G1176" s="3" t="str">
        <f t="array" ref="G1176">_xlfn.XLOOKUP(I1176,Base_Datos!D:D,Base_Datos!B:B,"")</f>
        <v>DFSK</v>
      </c>
      <c r="H1176" s="3" t="str">
        <f t="array" ref="H1176">IF(I1176="","",IFERROR(_xlfn.XLOOKUP(I1176,Base_Datos!$D$2:$D3876,Base_Datos!$C$2:$C3876),""))</f>
        <v>Serie Glory</v>
      </c>
      <c r="I1176" s="3" t="s">
        <v>112</v>
      </c>
      <c r="J1176" s="3" t="str">
        <f>IF(I1176="","",IFERROR(VLOOKUP(I1176,Base_Datos!$D$2:$E$72,2,0),""))</f>
        <v>(1.8L)</v>
      </c>
      <c r="K1176" s="3" t="s">
        <v>1782</v>
      </c>
      <c r="L1176" s="3"/>
      <c r="M1176" s="7">
        <v>3</v>
      </c>
      <c r="N1176" s="7">
        <v>0</v>
      </c>
    </row>
    <row r="1177" spans="1:14" ht="14.25" x14ac:dyDescent="0.2">
      <c r="A1177" s="3">
        <v>88011</v>
      </c>
      <c r="B1177" s="3" t="s">
        <v>3027</v>
      </c>
      <c r="C1177" s="3" t="s">
        <v>19</v>
      </c>
      <c r="D1177" s="6" t="s">
        <v>47</v>
      </c>
      <c r="E1177" s="6" t="s">
        <v>3176</v>
      </c>
      <c r="F1177" s="3" t="str">
        <f>IFERROR( VLOOKUP(A1177,#REF!,2,0),"")</f>
        <v/>
      </c>
      <c r="G1177" s="3" t="str">
        <f t="array" ref="G1177">_xlfn.XLOOKUP(I1177,Base_Datos!D:D,Base_Datos!B:B,"")</f>
        <v>DFSK</v>
      </c>
      <c r="H1177" s="3" t="str">
        <f t="array" ref="H1177">IF(I1177="","",IFERROR(_xlfn.XLOOKUP(I1177,Base_Datos!$D$2:$D3876,Base_Datos!$C$2:$C3876),""))</f>
        <v>Serie Glory</v>
      </c>
      <c r="I1177" s="3" t="s">
        <v>112</v>
      </c>
      <c r="J1177" s="3" t="str">
        <f>IF(I1177="","",IFERROR(VLOOKUP(I1177,Base_Datos!$D$2:$E$72,2,0),""))</f>
        <v>(1.8L)</v>
      </c>
      <c r="K1177" s="3" t="s">
        <v>1782</v>
      </c>
      <c r="L1177" s="3"/>
      <c r="M1177" s="7">
        <v>3</v>
      </c>
      <c r="N1177" s="7">
        <v>0</v>
      </c>
    </row>
    <row r="1178" spans="1:14" ht="14.25" x14ac:dyDescent="0.2">
      <c r="A1178" s="3">
        <v>88012</v>
      </c>
      <c r="B1178" s="3" t="s">
        <v>3177</v>
      </c>
      <c r="C1178" s="3" t="s">
        <v>19</v>
      </c>
      <c r="D1178" s="6" t="s">
        <v>48</v>
      </c>
      <c r="E1178" s="6" t="s">
        <v>3178</v>
      </c>
      <c r="F1178" s="3" t="str">
        <f>IFERROR( VLOOKUP(A1178,#REF!,2,0),"")</f>
        <v/>
      </c>
      <c r="G1178" s="3" t="str">
        <f t="array" ref="G1178">_xlfn.XLOOKUP(I1178,Base_Datos!D:D,Base_Datos!B:B,"")</f>
        <v>DFSK</v>
      </c>
      <c r="H1178" s="3" t="str">
        <f t="array" ref="H1178">IF(I1178="","",IFERROR(_xlfn.XLOOKUP(I1178,Base_Datos!$D$2:$D3876,Base_Datos!$C$2:$C3876),""))</f>
        <v>Serie Glory</v>
      </c>
      <c r="I1178" s="3" t="s">
        <v>112</v>
      </c>
      <c r="J1178" s="3" t="str">
        <f>IF(I1178="","",IFERROR(VLOOKUP(I1178,Base_Datos!$D$2:$E$72,2,0),""))</f>
        <v>(1.8L)</v>
      </c>
      <c r="K1178" s="3" t="s">
        <v>1782</v>
      </c>
      <c r="L1178" s="3"/>
      <c r="M1178" s="7">
        <v>3</v>
      </c>
      <c r="N1178" s="7">
        <v>0</v>
      </c>
    </row>
    <row r="1179" spans="1:14" ht="14.25" x14ac:dyDescent="0.2">
      <c r="A1179" s="3">
        <v>88013</v>
      </c>
      <c r="B1179" s="3" t="s">
        <v>3179</v>
      </c>
      <c r="C1179" s="3" t="s">
        <v>19</v>
      </c>
      <c r="D1179" s="6" t="s">
        <v>49</v>
      </c>
      <c r="E1179" s="6" t="s">
        <v>49</v>
      </c>
      <c r="F1179" s="3" t="str">
        <f>IFERROR( VLOOKUP(A1179,#REF!,2,0),"")</f>
        <v/>
      </c>
      <c r="G1179" s="3" t="str">
        <f t="array" ref="G1179">_xlfn.XLOOKUP(I1179,Base_Datos!D:D,Base_Datos!B:B,"")</f>
        <v>DFSK</v>
      </c>
      <c r="H1179" s="3" t="str">
        <f t="array" ref="H1179">IF(I1179="","",IFERROR(_xlfn.XLOOKUP(I1179,Base_Datos!$D$2:$D3876,Base_Datos!$C$2:$C3876),""))</f>
        <v>Serie Glory</v>
      </c>
      <c r="I1179" s="3" t="s">
        <v>112</v>
      </c>
      <c r="J1179" s="3" t="str">
        <f>IF(I1179="","",IFERROR(VLOOKUP(I1179,Base_Datos!$D$2:$E$72,2,0),""))</f>
        <v>(1.8L)</v>
      </c>
      <c r="K1179" s="3" t="s">
        <v>1782</v>
      </c>
      <c r="L1179" s="3"/>
      <c r="M1179" s="7">
        <v>3</v>
      </c>
      <c r="N1179" s="7">
        <v>0</v>
      </c>
    </row>
    <row r="1180" spans="1:14" ht="14.25" x14ac:dyDescent="0.2">
      <c r="A1180" s="3">
        <v>88014</v>
      </c>
      <c r="B1180" s="3" t="s">
        <v>3180</v>
      </c>
      <c r="C1180" s="3" t="s">
        <v>19</v>
      </c>
      <c r="D1180" s="6" t="s">
        <v>50</v>
      </c>
      <c r="E1180" s="6" t="s">
        <v>3181</v>
      </c>
      <c r="F1180" s="3" t="str">
        <f>IFERROR( VLOOKUP(A1180,#REF!,2,0),"")</f>
        <v/>
      </c>
      <c r="G1180" s="3" t="str">
        <f t="array" ref="G1180">_xlfn.XLOOKUP(I1180,Base_Datos!D:D,Base_Datos!B:B,"")</f>
        <v>DFSK</v>
      </c>
      <c r="H1180" s="3" t="str">
        <f t="array" ref="H1180">IF(I1180="","",IFERROR(_xlfn.XLOOKUP(I1180,Base_Datos!$D$2:$D3876,Base_Datos!$C$2:$C3876),""))</f>
        <v>Serie Glory</v>
      </c>
      <c r="I1180" s="3" t="s">
        <v>112</v>
      </c>
      <c r="J1180" s="3" t="str">
        <f>IF(I1180="","",IFERROR(VLOOKUP(I1180,Base_Datos!$D$2:$E$72,2,0),""))</f>
        <v>(1.8L)</v>
      </c>
      <c r="K1180" s="3" t="s">
        <v>1782</v>
      </c>
      <c r="L1180" s="3"/>
      <c r="M1180" s="7">
        <v>3</v>
      </c>
      <c r="N1180" s="7">
        <v>0</v>
      </c>
    </row>
    <row r="1181" spans="1:14" ht="14.25" x14ac:dyDescent="0.2">
      <c r="A1181" s="3">
        <v>88015</v>
      </c>
      <c r="B1181" s="3" t="s">
        <v>2458</v>
      </c>
      <c r="C1181" s="3" t="s">
        <v>19</v>
      </c>
      <c r="D1181" s="6" t="s">
        <v>51</v>
      </c>
      <c r="E1181" s="6" t="s">
        <v>51</v>
      </c>
      <c r="F1181" s="3" t="str">
        <f>IFERROR( VLOOKUP(A1181,#REF!,2,0),"")</f>
        <v/>
      </c>
      <c r="G1181" s="3" t="str">
        <f t="array" ref="G1181">_xlfn.XLOOKUP(I1181,Base_Datos!D:D,Base_Datos!B:B,"")</f>
        <v>DFSK</v>
      </c>
      <c r="H1181" s="3" t="str">
        <f t="array" ref="H1181">IF(I1181="","",IFERROR(_xlfn.XLOOKUP(I1181,Base_Datos!$D$2:$D3876,Base_Datos!$C$2:$C3876),""))</f>
        <v>Serie Glory</v>
      </c>
      <c r="I1181" s="3" t="s">
        <v>112</v>
      </c>
      <c r="J1181" s="3" t="str">
        <f>IF(I1181="","",IFERROR(VLOOKUP(I1181,Base_Datos!$D$2:$E$72,2,0),""))</f>
        <v>(1.8L)</v>
      </c>
      <c r="K1181" s="3" t="s">
        <v>1782</v>
      </c>
      <c r="L1181" s="3"/>
      <c r="M1181" s="7">
        <v>3</v>
      </c>
      <c r="N1181" s="7">
        <v>0</v>
      </c>
    </row>
    <row r="1182" spans="1:14" ht="14.25" x14ac:dyDescent="0.2">
      <c r="A1182" s="3">
        <v>88016</v>
      </c>
      <c r="B1182" s="3" t="s">
        <v>3182</v>
      </c>
      <c r="C1182" s="3" t="s">
        <v>19</v>
      </c>
      <c r="D1182" s="6" t="s">
        <v>52</v>
      </c>
      <c r="E1182" s="6" t="s">
        <v>52</v>
      </c>
      <c r="F1182" s="3" t="str">
        <f>IFERROR( VLOOKUP(A1182,#REF!,2,0),"")</f>
        <v/>
      </c>
      <c r="G1182" s="3" t="str">
        <f t="array" ref="G1182">_xlfn.XLOOKUP(I1182,Base_Datos!D:D,Base_Datos!B:B,"")</f>
        <v>SHINERAY</v>
      </c>
      <c r="H1182" s="3" t="str">
        <f t="array" ref="H1182">IF(I1182="","",IFERROR(_xlfn.XLOOKUP(I1182,Base_Datos!$D$2:$D3876,Base_Datos!$C$2:$C3876),""))</f>
        <v>Serie X30</v>
      </c>
      <c r="I1182" s="3" t="s">
        <v>1771</v>
      </c>
      <c r="J1182" s="3" t="str">
        <f>IF(I1182="","",IFERROR(VLOOKUP(I1182,Base_Datos!$D$2:$E$72,2,0),""))</f>
        <v>(1.5L)</v>
      </c>
      <c r="K1182" s="3" t="s">
        <v>1782</v>
      </c>
      <c r="L1182" s="3"/>
      <c r="M1182" s="7">
        <v>8</v>
      </c>
      <c r="N1182" s="7">
        <v>0</v>
      </c>
    </row>
    <row r="1183" spans="1:14" ht="14.25" x14ac:dyDescent="0.2">
      <c r="A1183" s="3">
        <v>88017</v>
      </c>
      <c r="B1183" s="3" t="s">
        <v>3183</v>
      </c>
      <c r="C1183" s="3" t="s">
        <v>19</v>
      </c>
      <c r="D1183" s="6" t="s">
        <v>53</v>
      </c>
      <c r="E1183" s="6" t="s">
        <v>53</v>
      </c>
      <c r="F1183" s="3" t="str">
        <f>IFERROR( VLOOKUP(A1183,#REF!,2,0),"")</f>
        <v/>
      </c>
      <c r="G1183" s="3" t="str">
        <f t="array" ref="G1183">_xlfn.XLOOKUP(I1183,Base_Datos!D:D,Base_Datos!B:B,"")</f>
        <v>DFSK</v>
      </c>
      <c r="H1183" s="3" t="str">
        <f t="array" ref="H1183">IF(I1183="","",IFERROR(_xlfn.XLOOKUP(I1183,Base_Datos!$D$2:$D3876,Base_Datos!$C$2:$C3876),""))</f>
        <v>Serie Glory</v>
      </c>
      <c r="I1183" s="3" t="s">
        <v>112</v>
      </c>
      <c r="J1183" s="3" t="str">
        <f>IF(I1183="","",IFERROR(VLOOKUP(I1183,Base_Datos!$D$2:$E$72,2,0),""))</f>
        <v>(1.8L)</v>
      </c>
      <c r="K1183" s="3" t="s">
        <v>1782</v>
      </c>
      <c r="L1183" s="3"/>
      <c r="M1183" s="7">
        <v>3</v>
      </c>
      <c r="N1183" s="7">
        <v>0</v>
      </c>
    </row>
    <row r="1184" spans="1:14" ht="14.25" x14ac:dyDescent="0.2">
      <c r="A1184" s="3">
        <v>88018</v>
      </c>
      <c r="B1184" s="3" t="s">
        <v>3184</v>
      </c>
      <c r="C1184" s="3" t="s">
        <v>19</v>
      </c>
      <c r="D1184" s="6" t="s">
        <v>54</v>
      </c>
      <c r="E1184" s="6" t="s">
        <v>54</v>
      </c>
      <c r="F1184" s="3" t="str">
        <f>IFERROR( VLOOKUP(A1184,#REF!,2,0),"")</f>
        <v/>
      </c>
      <c r="G1184" s="3" t="str">
        <f t="array" ref="G1184">_xlfn.XLOOKUP(I1184,Base_Datos!D:D,Base_Datos!B:B,"")</f>
        <v>DFSK</v>
      </c>
      <c r="H1184" s="3" t="str">
        <f t="array" ref="H1184">IF(I1184="","",IFERROR(_xlfn.XLOOKUP(I1184,Base_Datos!$D$2:$D3876,Base_Datos!$C$2:$C3876),""))</f>
        <v>Serie Glory</v>
      </c>
      <c r="I1184" s="3" t="s">
        <v>112</v>
      </c>
      <c r="J1184" s="3" t="str">
        <f>IF(I1184="","",IFERROR(VLOOKUP(I1184,Base_Datos!$D$2:$E$72,2,0),""))</f>
        <v>(1.8L)</v>
      </c>
      <c r="K1184" s="3" t="s">
        <v>1782</v>
      </c>
      <c r="L1184" s="3"/>
      <c r="M1184" s="7">
        <v>3</v>
      </c>
      <c r="N1184" s="7">
        <v>0</v>
      </c>
    </row>
    <row r="1185" spans="1:14" ht="14.25" x14ac:dyDescent="0.2">
      <c r="A1185" s="3">
        <v>88019</v>
      </c>
      <c r="B1185" s="9" t="s">
        <v>2275</v>
      </c>
      <c r="C1185" s="3" t="s">
        <v>19</v>
      </c>
      <c r="D1185" s="6" t="s">
        <v>55</v>
      </c>
      <c r="E1185" s="6" t="s">
        <v>55</v>
      </c>
      <c r="F1185" s="3" t="str">
        <f>IFERROR( VLOOKUP(A1185,#REF!,2,0),"")</f>
        <v/>
      </c>
      <c r="G1185" s="3" t="str">
        <f t="array" ref="G1185">_xlfn.XLOOKUP(I1185,Base_Datos!D:D,Base_Datos!B:B,"")</f>
        <v>DFSK</v>
      </c>
      <c r="H1185" s="3" t="str">
        <f t="array" ref="H1185">IF(I1185="","",IFERROR(_xlfn.XLOOKUP(I1185,Base_Datos!$D$2:$D3876,Base_Datos!$C$2:$C3876),""))</f>
        <v>Serie Glory</v>
      </c>
      <c r="I1185" s="3" t="s">
        <v>112</v>
      </c>
      <c r="J1185" s="3" t="str">
        <f>IF(I1185="","",IFERROR(VLOOKUP(I1185,Base_Datos!$D$2:$E$72,2,0),""))</f>
        <v>(1.8L)</v>
      </c>
      <c r="K1185" s="3" t="s">
        <v>1782</v>
      </c>
      <c r="L1185" s="3"/>
      <c r="M1185" s="7">
        <v>0</v>
      </c>
      <c r="N1185" s="7">
        <v>0</v>
      </c>
    </row>
    <row r="1186" spans="1:14" ht="14.25" x14ac:dyDescent="0.2">
      <c r="A1186" s="3">
        <v>88020</v>
      </c>
      <c r="B1186" s="3" t="s">
        <v>3185</v>
      </c>
      <c r="C1186" s="3" t="s">
        <v>19</v>
      </c>
      <c r="D1186" s="6" t="s">
        <v>56</v>
      </c>
      <c r="E1186" s="6" t="s">
        <v>3186</v>
      </c>
      <c r="F1186" s="3" t="str">
        <f>IFERROR( VLOOKUP(A1186,#REF!,2,0),"")</f>
        <v/>
      </c>
      <c r="G1186" s="3" t="str">
        <f t="array" ref="G1186">_xlfn.XLOOKUP(I1186,Base_Datos!D:D,Base_Datos!B:B,"")</f>
        <v>SHINERAY</v>
      </c>
      <c r="H1186" s="3" t="str">
        <f t="array" ref="H1186">IF(I1186="","",IFERROR(_xlfn.XLOOKUP(I1186,Base_Datos!$D$2:$D3876,Base_Datos!$C$2:$C3876),""))</f>
        <v>Serie X30</v>
      </c>
      <c r="I1186" s="3" t="s">
        <v>1771</v>
      </c>
      <c r="J1186" s="3" t="str">
        <f>IF(I1186="","",IFERROR(VLOOKUP(I1186,Base_Datos!$D$2:$E$72,2,0),""))</f>
        <v>(1.5L)</v>
      </c>
      <c r="K1186" s="3" t="s">
        <v>1782</v>
      </c>
      <c r="L1186" s="3"/>
      <c r="M1186" s="7">
        <v>1</v>
      </c>
      <c r="N1186" s="7">
        <v>0</v>
      </c>
    </row>
    <row r="1187" spans="1:14" ht="14.25" x14ac:dyDescent="0.2">
      <c r="A1187" s="3">
        <v>88021</v>
      </c>
      <c r="B1187" s="3" t="s">
        <v>3187</v>
      </c>
      <c r="C1187" s="3" t="s">
        <v>19</v>
      </c>
      <c r="D1187" s="6" t="s">
        <v>57</v>
      </c>
      <c r="E1187" s="6" t="s">
        <v>3188</v>
      </c>
      <c r="F1187" s="3" t="str">
        <f>IFERROR( VLOOKUP(A1187,#REF!,2,0),"")</f>
        <v/>
      </c>
      <c r="G1187" s="3" t="str">
        <f t="array" ref="G1187">_xlfn.XLOOKUP(I1187,Base_Datos!D:D,Base_Datos!B:B,"")</f>
        <v>DFSK</v>
      </c>
      <c r="H1187" s="3" t="str">
        <f t="array" ref="H1187">IF(I1187="","",IFERROR(_xlfn.XLOOKUP(I1187,Base_Datos!$D$2:$D3876,Base_Datos!$C$2:$C3876),""))</f>
        <v>Serie Glory</v>
      </c>
      <c r="I1187" s="3" t="s">
        <v>112</v>
      </c>
      <c r="J1187" s="3" t="str">
        <f>IF(I1187="","",IFERROR(VLOOKUP(I1187,Base_Datos!$D$2:$E$72,2,0),""))</f>
        <v>(1.8L)</v>
      </c>
      <c r="K1187" s="3" t="s">
        <v>1782</v>
      </c>
      <c r="L1187" s="3"/>
      <c r="M1187" s="7">
        <v>2</v>
      </c>
      <c r="N1187" s="7">
        <v>0</v>
      </c>
    </row>
    <row r="1188" spans="1:14" ht="14.25" x14ac:dyDescent="0.2">
      <c r="A1188" s="3">
        <v>88022</v>
      </c>
      <c r="B1188" s="3" t="s">
        <v>3189</v>
      </c>
      <c r="C1188" s="3" t="s">
        <v>19</v>
      </c>
      <c r="D1188" s="6" t="s">
        <v>58</v>
      </c>
      <c r="E1188" s="6" t="s">
        <v>58</v>
      </c>
      <c r="F1188" s="3" t="str">
        <f>IFERROR( VLOOKUP(A1188,#REF!,2,0),"")</f>
        <v/>
      </c>
      <c r="G1188" s="3" t="str">
        <f t="array" ref="G1188">_xlfn.XLOOKUP(I1188,Base_Datos!D:D,Base_Datos!B:B,"")</f>
        <v>DFSK</v>
      </c>
      <c r="H1188" s="3" t="str">
        <f t="array" ref="H1188">IF(I1188="","",IFERROR(_xlfn.XLOOKUP(I1188,Base_Datos!$D$2:$D3876,Base_Datos!$C$2:$C3876),""))</f>
        <v>Serie Glory</v>
      </c>
      <c r="I1188" s="3" t="s">
        <v>112</v>
      </c>
      <c r="J1188" s="3" t="str">
        <f>IF(I1188="","",IFERROR(VLOOKUP(I1188,Base_Datos!$D$2:$E$72,2,0),""))</f>
        <v>(1.8L)</v>
      </c>
      <c r="K1188" s="3" t="s">
        <v>1782</v>
      </c>
      <c r="L1188" s="3"/>
      <c r="M1188" s="7">
        <v>3</v>
      </c>
      <c r="N1188" s="7">
        <v>0</v>
      </c>
    </row>
    <row r="1189" spans="1:14" ht="14.25" x14ac:dyDescent="0.2">
      <c r="A1189" s="3">
        <v>88023</v>
      </c>
      <c r="B1189" s="3" t="s">
        <v>3190</v>
      </c>
      <c r="C1189" s="3" t="s">
        <v>19</v>
      </c>
      <c r="D1189" s="6" t="s">
        <v>59</v>
      </c>
      <c r="E1189" s="6" t="s">
        <v>3191</v>
      </c>
      <c r="F1189" s="3" t="str">
        <f>IFERROR( VLOOKUP(A1189,#REF!,2,0),"")</f>
        <v/>
      </c>
      <c r="G1189" s="3" t="str">
        <f t="array" ref="G1189">_xlfn.XLOOKUP(I1189,Base_Datos!D:D,Base_Datos!B:B,"")</f>
        <v>DFSK</v>
      </c>
      <c r="H1189" s="3" t="str">
        <f t="array" ref="H1189">IF(I1189="","",IFERROR(_xlfn.XLOOKUP(I1189,Base_Datos!$D$2:$D3876,Base_Datos!$C$2:$C3876),""))</f>
        <v>Serie Glory</v>
      </c>
      <c r="I1189" s="3" t="s">
        <v>112</v>
      </c>
      <c r="J1189" s="3" t="str">
        <f>IF(I1189="","",IFERROR(VLOOKUP(I1189,Base_Datos!$D$2:$E$72,2,0),""))</f>
        <v>(1.8L)</v>
      </c>
      <c r="K1189" s="3" t="s">
        <v>1782</v>
      </c>
      <c r="L1189" s="3"/>
      <c r="M1189" s="7">
        <v>2</v>
      </c>
      <c r="N1189" s="7">
        <v>0</v>
      </c>
    </row>
    <row r="1190" spans="1:14" ht="14.25" x14ac:dyDescent="0.2">
      <c r="A1190" s="3">
        <v>88024</v>
      </c>
      <c r="B1190" s="3" t="s">
        <v>3192</v>
      </c>
      <c r="C1190" s="3" t="s">
        <v>19</v>
      </c>
      <c r="D1190" s="6" t="s">
        <v>60</v>
      </c>
      <c r="E1190" s="6" t="s">
        <v>3193</v>
      </c>
      <c r="F1190" s="3" t="str">
        <f>IFERROR( VLOOKUP(A1190,#REF!,2,0),"")</f>
        <v/>
      </c>
      <c r="G1190" s="3" t="str">
        <f t="array" ref="G1190">_xlfn.XLOOKUP(I1190,Base_Datos!D:D,Base_Datos!B:B,"")</f>
        <v>DFSK</v>
      </c>
      <c r="H1190" s="3" t="str">
        <f t="array" ref="H1190">IF(I1190="","",IFERROR(_xlfn.XLOOKUP(I1190,Base_Datos!$D$2:$D3876,Base_Datos!$C$2:$C3876),""))</f>
        <v>Serie Glory</v>
      </c>
      <c r="I1190" s="3" t="s">
        <v>112</v>
      </c>
      <c r="J1190" s="3" t="str">
        <f>IF(I1190="","",IFERROR(VLOOKUP(I1190,Base_Datos!$D$2:$E$72,2,0),""))</f>
        <v>(1.8L)</v>
      </c>
      <c r="K1190" s="3" t="s">
        <v>1782</v>
      </c>
      <c r="L1190" s="3"/>
      <c r="M1190" s="7">
        <v>5</v>
      </c>
      <c r="N1190" s="7">
        <v>0</v>
      </c>
    </row>
    <row r="1191" spans="1:14" ht="14.25" x14ac:dyDescent="0.2">
      <c r="A1191" s="3">
        <v>88025</v>
      </c>
      <c r="B1191" s="3" t="s">
        <v>3194</v>
      </c>
      <c r="C1191" s="3" t="s">
        <v>19</v>
      </c>
      <c r="D1191" s="6" t="s">
        <v>3195</v>
      </c>
      <c r="E1191" s="6" t="s">
        <v>3196</v>
      </c>
      <c r="F1191" s="3" t="str">
        <f>IFERROR( VLOOKUP(A1191,#REF!,2,0),"")</f>
        <v/>
      </c>
      <c r="G1191" s="3" t="str">
        <f t="array" ref="G1191">_xlfn.XLOOKUP(I1191,Base_Datos!D:D,Base_Datos!B:B,"")</f>
        <v>DFSK</v>
      </c>
      <c r="H1191" s="3" t="str">
        <f t="array" ref="H1191">IF(I1191="","",IFERROR(_xlfn.XLOOKUP(I1191,Base_Datos!$D$2:$D3876,Base_Datos!$C$2:$C3876),""))</f>
        <v>Serie Glory</v>
      </c>
      <c r="I1191" s="3" t="s">
        <v>112</v>
      </c>
      <c r="J1191" s="3" t="str">
        <f>IF(I1191="","",IFERROR(VLOOKUP(I1191,Base_Datos!$D$2:$E$72,2,0),""))</f>
        <v>(1.8L)</v>
      </c>
      <c r="K1191" s="3" t="s">
        <v>1782</v>
      </c>
      <c r="L1191" s="3"/>
      <c r="M1191" s="7">
        <v>1</v>
      </c>
      <c r="N1191" s="7">
        <v>0</v>
      </c>
    </row>
    <row r="1192" spans="1:14" ht="14.25" x14ac:dyDescent="0.2">
      <c r="A1192" s="3">
        <v>88026</v>
      </c>
      <c r="B1192" s="3" t="s">
        <v>3197</v>
      </c>
      <c r="C1192" s="3" t="s">
        <v>19</v>
      </c>
      <c r="D1192" s="6" t="s">
        <v>61</v>
      </c>
      <c r="E1192" s="6" t="s">
        <v>61</v>
      </c>
      <c r="F1192" s="3" t="str">
        <f>IFERROR( VLOOKUP(A1192,#REF!,2,0),"")</f>
        <v/>
      </c>
      <c r="G1192" s="3" t="str">
        <f t="array" ref="G1192">_xlfn.XLOOKUP(I1192,Base_Datos!D:D,Base_Datos!B:B,"")</f>
        <v>DFSK</v>
      </c>
      <c r="H1192" s="3" t="str">
        <f t="array" ref="H1192">IF(I1192="","",IFERROR(_xlfn.XLOOKUP(I1192,Base_Datos!$D$2:$D3876,Base_Datos!$C$2:$C3876),""))</f>
        <v>Serie Glory</v>
      </c>
      <c r="I1192" s="3" t="s">
        <v>112</v>
      </c>
      <c r="J1192" s="3" t="str">
        <f>IF(I1192="","",IFERROR(VLOOKUP(I1192,Base_Datos!$D$2:$E$72,2,0),""))</f>
        <v>(1.8L)</v>
      </c>
      <c r="K1192" s="3" t="s">
        <v>1782</v>
      </c>
      <c r="L1192" s="3"/>
      <c r="M1192" s="7">
        <v>1</v>
      </c>
      <c r="N1192" s="7">
        <v>0</v>
      </c>
    </row>
    <row r="1193" spans="1:14" ht="14.25" x14ac:dyDescent="0.2">
      <c r="A1193" s="3">
        <v>88027</v>
      </c>
      <c r="B1193" s="3" t="s">
        <v>3198</v>
      </c>
      <c r="C1193" s="3" t="s">
        <v>19</v>
      </c>
      <c r="D1193" s="6" t="s">
        <v>62</v>
      </c>
      <c r="E1193" s="6" t="s">
        <v>62</v>
      </c>
      <c r="F1193" s="3" t="str">
        <f>IFERROR( VLOOKUP(A1193,#REF!,2,0),"")</f>
        <v/>
      </c>
      <c r="G1193" s="3" t="str">
        <f t="array" ref="G1193">_xlfn.XLOOKUP(I1193,Base_Datos!D:D,Base_Datos!B:B,"")</f>
        <v>DFSK</v>
      </c>
      <c r="H1193" s="3" t="str">
        <f t="array" ref="H1193">IF(I1193="","",IFERROR(_xlfn.XLOOKUP(I1193,Base_Datos!$D$2:$D3876,Base_Datos!$C$2:$C3876),""))</f>
        <v>Serie Glory</v>
      </c>
      <c r="I1193" s="3" t="s">
        <v>112</v>
      </c>
      <c r="J1193" s="3" t="str">
        <f>IF(I1193="","",IFERROR(VLOOKUP(I1193,Base_Datos!$D$2:$E$72,2,0),""))</f>
        <v>(1.8L)</v>
      </c>
      <c r="K1193" s="3" t="s">
        <v>1782</v>
      </c>
      <c r="L1193" s="3"/>
      <c r="M1193" s="7">
        <v>1</v>
      </c>
      <c r="N1193" s="7">
        <v>0</v>
      </c>
    </row>
    <row r="1194" spans="1:14" ht="14.25" x14ac:dyDescent="0.2">
      <c r="A1194" s="3">
        <v>88028</v>
      </c>
      <c r="B1194" s="3" t="s">
        <v>3199</v>
      </c>
      <c r="C1194" s="3" t="s">
        <v>19</v>
      </c>
      <c r="D1194" s="6" t="s">
        <v>63</v>
      </c>
      <c r="E1194" s="6" t="s">
        <v>63</v>
      </c>
      <c r="F1194" s="3" t="str">
        <f>IFERROR( VLOOKUP(A1194,#REF!,2,0),"")</f>
        <v/>
      </c>
      <c r="G1194" s="3" t="str">
        <f t="array" ref="G1194">_xlfn.XLOOKUP(I1194,Base_Datos!D:D,Base_Datos!B:B,"")</f>
        <v>DFSK</v>
      </c>
      <c r="H1194" s="3" t="str">
        <f t="array" ref="H1194">IF(I1194="","",IFERROR(_xlfn.XLOOKUP(I1194,Base_Datos!$D$2:$D3876,Base_Datos!$C$2:$C3876),""))</f>
        <v>Serie Glory</v>
      </c>
      <c r="I1194" s="3" t="s">
        <v>112</v>
      </c>
      <c r="J1194" s="3" t="str">
        <f>IF(I1194="","",IFERROR(VLOOKUP(I1194,Base_Datos!$D$2:$E$72,2,0),""))</f>
        <v>(1.8L)</v>
      </c>
      <c r="K1194" s="3" t="s">
        <v>1782</v>
      </c>
      <c r="L1194" s="3"/>
      <c r="M1194" s="7">
        <v>0</v>
      </c>
      <c r="N1194" s="7">
        <v>0</v>
      </c>
    </row>
    <row r="1195" spans="1:14" ht="14.25" x14ac:dyDescent="0.2">
      <c r="A1195" s="3">
        <v>88029</v>
      </c>
      <c r="B1195" s="3" t="s">
        <v>3200</v>
      </c>
      <c r="C1195" s="3" t="s">
        <v>19</v>
      </c>
      <c r="D1195" s="6" t="s">
        <v>64</v>
      </c>
      <c r="E1195" s="6" t="s">
        <v>3201</v>
      </c>
      <c r="F1195" s="3" t="str">
        <f>IFERROR( VLOOKUP(A1195,#REF!,2,0),"")</f>
        <v/>
      </c>
      <c r="G1195" s="3" t="str">
        <f t="array" ref="G1195">_xlfn.XLOOKUP(I1195,Base_Datos!D:D,Base_Datos!B:B,"")</f>
        <v>DFSK</v>
      </c>
      <c r="H1195" s="3" t="str">
        <f t="array" ref="H1195">IF(I1195="","",IFERROR(_xlfn.XLOOKUP(I1195,Base_Datos!$D$2:$D3876,Base_Datos!$C$2:$C3876),""))</f>
        <v>Serie Glory</v>
      </c>
      <c r="I1195" s="3" t="s">
        <v>112</v>
      </c>
      <c r="J1195" s="3" t="str">
        <f>IF(I1195="","",IFERROR(VLOOKUP(I1195,Base_Datos!$D$2:$E$72,2,0),""))</f>
        <v>(1.8L)</v>
      </c>
      <c r="K1195" s="3" t="s">
        <v>1782</v>
      </c>
      <c r="L1195" s="3"/>
      <c r="M1195" s="7">
        <v>3</v>
      </c>
      <c r="N1195" s="7">
        <v>0</v>
      </c>
    </row>
    <row r="1196" spans="1:14" ht="14.25" x14ac:dyDescent="0.2">
      <c r="A1196" s="3">
        <v>88030</v>
      </c>
      <c r="B1196" s="3" t="s">
        <v>3202</v>
      </c>
      <c r="C1196" s="3" t="s">
        <v>19</v>
      </c>
      <c r="D1196" s="6" t="s">
        <v>65</v>
      </c>
      <c r="E1196" s="6" t="s">
        <v>3203</v>
      </c>
      <c r="F1196" s="3" t="str">
        <f>IFERROR( VLOOKUP(A1196,#REF!,2,0),"")</f>
        <v/>
      </c>
      <c r="G1196" s="3" t="str">
        <f t="array" ref="G1196">_xlfn.XLOOKUP(I1196,Base_Datos!D:D,Base_Datos!B:B,"")</f>
        <v>DFSK</v>
      </c>
      <c r="H1196" s="3" t="str">
        <f t="array" ref="H1196">IF(I1196="","",IFERROR(_xlfn.XLOOKUP(I1196,Base_Datos!$D$2:$D3876,Base_Datos!$C$2:$C3876),""))</f>
        <v>Serie Glory</v>
      </c>
      <c r="I1196" s="3" t="s">
        <v>112</v>
      </c>
      <c r="J1196" s="3" t="str">
        <f>IF(I1196="","",IFERROR(VLOOKUP(I1196,Base_Datos!$D$2:$E$72,2,0),""))</f>
        <v>(1.8L)</v>
      </c>
      <c r="K1196" s="3" t="s">
        <v>1782</v>
      </c>
      <c r="L1196" s="3"/>
      <c r="M1196" s="7">
        <v>3</v>
      </c>
      <c r="N1196" s="7">
        <v>0</v>
      </c>
    </row>
    <row r="1197" spans="1:14" ht="14.25" x14ac:dyDescent="0.2">
      <c r="A1197" s="3">
        <v>88031</v>
      </c>
      <c r="B1197" s="3" t="s">
        <v>1928</v>
      </c>
      <c r="C1197" s="3" t="s">
        <v>19</v>
      </c>
      <c r="D1197" s="6" t="s">
        <v>66</v>
      </c>
      <c r="E1197" s="6" t="s">
        <v>3204</v>
      </c>
      <c r="F1197" s="3" t="str">
        <f>IFERROR( VLOOKUP(A1197,#REF!,2,0),"")</f>
        <v/>
      </c>
      <c r="G1197" s="3" t="str">
        <f t="array" ref="G1197">_xlfn.XLOOKUP(I1197,Base_Datos!D:D,Base_Datos!B:B,"")</f>
        <v>SHINERAY</v>
      </c>
      <c r="H1197" s="3" t="str">
        <f t="array" ref="H1197">IF(I1197="","",IFERROR(_xlfn.XLOOKUP(I1197,Base_Datos!$D$2:$D3876,Base_Datos!$C$2:$C3876),""))</f>
        <v>Serie X30</v>
      </c>
      <c r="I1197" s="3" t="s">
        <v>1771</v>
      </c>
      <c r="J1197" s="3" t="str">
        <f>IF(I1197="","",IFERROR(VLOOKUP(I1197,Base_Datos!$D$2:$E$72,2,0),""))</f>
        <v>(1.5L)</v>
      </c>
      <c r="K1197" s="3" t="s">
        <v>1782</v>
      </c>
      <c r="L1197" s="3"/>
      <c r="M1197" s="7">
        <v>7</v>
      </c>
      <c r="N1197" s="7">
        <v>0</v>
      </c>
    </row>
    <row r="1198" spans="1:14" ht="14.25" x14ac:dyDescent="0.2">
      <c r="A1198" s="3">
        <v>88032</v>
      </c>
      <c r="B1198" s="3" t="s">
        <v>3205</v>
      </c>
      <c r="C1198" s="3" t="s">
        <v>19</v>
      </c>
      <c r="D1198" s="6" t="s">
        <v>67</v>
      </c>
      <c r="E1198" s="6" t="s">
        <v>3206</v>
      </c>
      <c r="F1198" s="3" t="str">
        <f>IFERROR( VLOOKUP(A1198,#REF!,2,0),"")</f>
        <v/>
      </c>
      <c r="G1198" s="3" t="str">
        <f t="array" ref="G1198">_xlfn.XLOOKUP(I1198,Base_Datos!D:D,Base_Datos!B:B,"")</f>
        <v>DFSK</v>
      </c>
      <c r="H1198" s="3" t="str">
        <f t="array" ref="H1198">IF(I1198="","",IFERROR(_xlfn.XLOOKUP(I1198,Base_Datos!$D$2:$D3876,Base_Datos!$C$2:$C3876),""))</f>
        <v>Serie Glory</v>
      </c>
      <c r="I1198" s="3" t="s">
        <v>112</v>
      </c>
      <c r="J1198" s="3" t="str">
        <f>IF(I1198="","",IFERROR(VLOOKUP(I1198,Base_Datos!$D$2:$E$72,2,0),""))</f>
        <v>(1.8L)</v>
      </c>
      <c r="K1198" s="3" t="s">
        <v>1782</v>
      </c>
      <c r="L1198" s="3"/>
      <c r="M1198" s="7">
        <v>24</v>
      </c>
      <c r="N1198" s="7">
        <v>0</v>
      </c>
    </row>
    <row r="1199" spans="1:14" ht="14.25" x14ac:dyDescent="0.2">
      <c r="A1199" s="3">
        <v>88033</v>
      </c>
      <c r="B1199" s="3" t="s">
        <v>3207</v>
      </c>
      <c r="C1199" s="3" t="s">
        <v>19</v>
      </c>
      <c r="D1199" s="6" t="s">
        <v>68</v>
      </c>
      <c r="E1199" s="6" t="s">
        <v>3208</v>
      </c>
      <c r="F1199" s="3" t="str">
        <f>IFERROR( VLOOKUP(A1199,#REF!,2,0),"")</f>
        <v/>
      </c>
      <c r="G1199" s="3" t="str">
        <f t="array" ref="G1199">_xlfn.XLOOKUP(I1199,Base_Datos!D:D,Base_Datos!B:B,"")</f>
        <v>DFSK</v>
      </c>
      <c r="H1199" s="3" t="str">
        <f t="array" ref="H1199">IF(I1199="","",IFERROR(_xlfn.XLOOKUP(I1199,Base_Datos!$D$2:$D3876,Base_Datos!$C$2:$C3876),""))</f>
        <v>Serie Glory</v>
      </c>
      <c r="I1199" s="3" t="s">
        <v>112</v>
      </c>
      <c r="J1199" s="3" t="str">
        <f>IF(I1199="","",IFERROR(VLOOKUP(I1199,Base_Datos!$D$2:$E$72,2,0),""))</f>
        <v>(1.8L)</v>
      </c>
      <c r="K1199" s="3" t="s">
        <v>1782</v>
      </c>
      <c r="L1199" s="3"/>
      <c r="M1199" s="7">
        <v>3</v>
      </c>
      <c r="N1199" s="7">
        <v>0</v>
      </c>
    </row>
    <row r="1200" spans="1:14" ht="14.25" x14ac:dyDescent="0.2">
      <c r="A1200" s="3">
        <v>88034</v>
      </c>
      <c r="B1200" s="3" t="s">
        <v>3209</v>
      </c>
      <c r="C1200" s="3" t="s">
        <v>19</v>
      </c>
      <c r="D1200" s="6" t="s">
        <v>69</v>
      </c>
      <c r="E1200" s="6" t="s">
        <v>3210</v>
      </c>
      <c r="F1200" s="3" t="str">
        <f>IFERROR( VLOOKUP(A1200,#REF!,2,0),"")</f>
        <v/>
      </c>
      <c r="G1200" s="3" t="str">
        <f t="array" ref="G1200">_xlfn.XLOOKUP(I1200,Base_Datos!D:D,Base_Datos!B:B,"")</f>
        <v>DFSK</v>
      </c>
      <c r="H1200" s="3" t="str">
        <f t="array" ref="H1200">IF(I1200="","",IFERROR(_xlfn.XLOOKUP(I1200,Base_Datos!$D$2:$D3876,Base_Datos!$C$2:$C3876),""))</f>
        <v>Serie Glory</v>
      </c>
      <c r="I1200" s="3" t="s">
        <v>112</v>
      </c>
      <c r="J1200" s="3" t="str">
        <f>IF(I1200="","",IFERROR(VLOOKUP(I1200,Base_Datos!$D$2:$E$72,2,0),""))</f>
        <v>(1.8L)</v>
      </c>
      <c r="K1200" s="3" t="s">
        <v>1782</v>
      </c>
      <c r="L1200" s="3"/>
      <c r="M1200" s="7">
        <v>1</v>
      </c>
      <c r="N1200" s="7">
        <v>0</v>
      </c>
    </row>
    <row r="1201" spans="1:14" ht="14.25" x14ac:dyDescent="0.2">
      <c r="A1201" s="3">
        <v>88035</v>
      </c>
      <c r="B1201" s="3" t="s">
        <v>3211</v>
      </c>
      <c r="C1201" s="3" t="s">
        <v>19</v>
      </c>
      <c r="D1201" s="6" t="s">
        <v>70</v>
      </c>
      <c r="E1201" s="6" t="s">
        <v>3212</v>
      </c>
      <c r="F1201" s="3" t="str">
        <f>IFERROR( VLOOKUP(A1201,#REF!,2,0),"")</f>
        <v/>
      </c>
      <c r="G1201" s="3" t="str">
        <f t="array" ref="G1201">_xlfn.XLOOKUP(I1201,Base_Datos!D:D,Base_Datos!B:B,"")</f>
        <v>DFSK</v>
      </c>
      <c r="H1201" s="3" t="str">
        <f t="array" ref="H1201">IF(I1201="","",IFERROR(_xlfn.XLOOKUP(I1201,Base_Datos!$D$2:$D3876,Base_Datos!$C$2:$C3876),""))</f>
        <v>Serie Glory</v>
      </c>
      <c r="I1201" s="3" t="s">
        <v>112</v>
      </c>
      <c r="J1201" s="3" t="str">
        <f>IF(I1201="","",IFERROR(VLOOKUP(I1201,Base_Datos!$D$2:$E$72,2,0),""))</f>
        <v>(1.8L)</v>
      </c>
      <c r="K1201" s="3" t="s">
        <v>1782</v>
      </c>
      <c r="L1201" s="3"/>
      <c r="M1201" s="7">
        <v>2</v>
      </c>
      <c r="N1201" s="7">
        <v>0</v>
      </c>
    </row>
    <row r="1202" spans="1:14" ht="14.25" x14ac:dyDescent="0.2">
      <c r="A1202" s="3">
        <v>88036</v>
      </c>
      <c r="B1202" s="3" t="s">
        <v>1828</v>
      </c>
      <c r="C1202" s="3" t="s">
        <v>19</v>
      </c>
      <c r="D1202" s="6" t="s">
        <v>71</v>
      </c>
      <c r="E1202" s="6" t="s">
        <v>3213</v>
      </c>
      <c r="F1202" s="3" t="str">
        <f>IFERROR( VLOOKUP(A1202,#REF!,2,0),"")</f>
        <v/>
      </c>
      <c r="G1202" s="3" t="str">
        <f t="array" ref="G1202">_xlfn.XLOOKUP(I1202,Base_Datos!D:D,Base_Datos!B:B,"")</f>
        <v>DFSK</v>
      </c>
      <c r="H1202" s="3" t="str">
        <f t="array" ref="H1202">IF(I1202="","",IFERROR(_xlfn.XLOOKUP(I1202,Base_Datos!$D$2:$D3876,Base_Datos!$C$2:$C3876),""))</f>
        <v>Serie Glory</v>
      </c>
      <c r="I1202" s="3" t="s">
        <v>112</v>
      </c>
      <c r="J1202" s="3" t="str">
        <f>IF(I1202="","",IFERROR(VLOOKUP(I1202,Base_Datos!$D$2:$E$72,2,0),""))</f>
        <v>(1.8L)</v>
      </c>
      <c r="K1202" s="3" t="s">
        <v>1782</v>
      </c>
      <c r="L1202" s="3"/>
      <c r="M1202" s="7">
        <v>2</v>
      </c>
      <c r="N1202" s="7">
        <v>0</v>
      </c>
    </row>
    <row r="1203" spans="1:14" ht="14.25" x14ac:dyDescent="0.2">
      <c r="A1203" s="3">
        <v>88037</v>
      </c>
      <c r="B1203" s="3" t="s">
        <v>3214</v>
      </c>
      <c r="C1203" s="3" t="s">
        <v>19</v>
      </c>
      <c r="D1203" s="6" t="s">
        <v>72</v>
      </c>
      <c r="E1203" s="6" t="s">
        <v>3215</v>
      </c>
      <c r="F1203" s="3" t="str">
        <f>IFERROR( VLOOKUP(A1203,#REF!,2,0),"")</f>
        <v/>
      </c>
      <c r="G1203" s="3" t="str">
        <f t="array" ref="G1203">_xlfn.XLOOKUP(I1203,Base_Datos!D:D,Base_Datos!B:B,"")</f>
        <v>DFSK</v>
      </c>
      <c r="H1203" s="3" t="str">
        <f t="array" ref="H1203">IF(I1203="","",IFERROR(_xlfn.XLOOKUP(I1203,Base_Datos!$D$2:$D3876,Base_Datos!$C$2:$C3876),""))</f>
        <v>Serie Glory</v>
      </c>
      <c r="I1203" s="3" t="s">
        <v>112</v>
      </c>
      <c r="J1203" s="3" t="str">
        <f>IF(I1203="","",IFERROR(VLOOKUP(I1203,Base_Datos!$D$2:$E$72,2,0),""))</f>
        <v>(1.8L)</v>
      </c>
      <c r="K1203" s="3" t="s">
        <v>1782</v>
      </c>
      <c r="L1203" s="3"/>
      <c r="M1203" s="7">
        <v>1</v>
      </c>
      <c r="N1203" s="7">
        <v>0</v>
      </c>
    </row>
    <row r="1204" spans="1:14" ht="14.25" x14ac:dyDescent="0.2">
      <c r="A1204" s="3">
        <v>88038</v>
      </c>
      <c r="B1204" s="3" t="s">
        <v>3216</v>
      </c>
      <c r="C1204" s="3" t="s">
        <v>19</v>
      </c>
      <c r="D1204" s="6" t="s">
        <v>73</v>
      </c>
      <c r="E1204" s="6" t="s">
        <v>3217</v>
      </c>
      <c r="F1204" s="3" t="str">
        <f>IFERROR( VLOOKUP(A1204,#REF!,2,0),"")</f>
        <v/>
      </c>
      <c r="G1204" s="3" t="str">
        <f t="array" ref="G1204">_xlfn.XLOOKUP(I1204,Base_Datos!D:D,Base_Datos!B:B,"")</f>
        <v>DFSK</v>
      </c>
      <c r="H1204" s="3" t="str">
        <f t="array" ref="H1204">IF(I1204="","",IFERROR(_xlfn.XLOOKUP(I1204,Base_Datos!$D$2:$D3876,Base_Datos!$C$2:$C3876),""))</f>
        <v>Serie Glory</v>
      </c>
      <c r="I1204" s="3" t="s">
        <v>112</v>
      </c>
      <c r="J1204" s="3" t="str">
        <f>IF(I1204="","",IFERROR(VLOOKUP(I1204,Base_Datos!$D$2:$E$72,2,0),""))</f>
        <v>(1.8L)</v>
      </c>
      <c r="K1204" s="3" t="s">
        <v>1782</v>
      </c>
      <c r="L1204" s="3"/>
      <c r="M1204" s="7">
        <v>1</v>
      </c>
      <c r="N1204" s="7">
        <v>0</v>
      </c>
    </row>
    <row r="1205" spans="1:14" ht="14.25" x14ac:dyDescent="0.2">
      <c r="A1205" s="3">
        <v>88039</v>
      </c>
      <c r="B1205" s="3" t="s">
        <v>3218</v>
      </c>
      <c r="C1205" s="3" t="s">
        <v>19</v>
      </c>
      <c r="D1205" s="6" t="s">
        <v>74</v>
      </c>
      <c r="E1205" s="6" t="s">
        <v>74</v>
      </c>
      <c r="F1205" s="3" t="str">
        <f>IFERROR( VLOOKUP(A1205,#REF!,2,0),"")</f>
        <v/>
      </c>
      <c r="G1205" s="3" t="str">
        <f t="array" ref="G1205">_xlfn.XLOOKUP(I1205,Base_Datos!D:D,Base_Datos!B:B,"")</f>
        <v>DFSK</v>
      </c>
      <c r="H1205" s="3" t="str">
        <f t="array" ref="H1205">IF(I1205="","",IFERROR(_xlfn.XLOOKUP(I1205,Base_Datos!$D$2:$D3876,Base_Datos!$C$2:$C3876),""))</f>
        <v>Serie Glory</v>
      </c>
      <c r="I1205" s="3" t="s">
        <v>112</v>
      </c>
      <c r="J1205" s="3" t="str">
        <f>IF(I1205="","",IFERROR(VLOOKUP(I1205,Base_Datos!$D$2:$E$72,2,0),""))</f>
        <v>(1.8L)</v>
      </c>
      <c r="K1205" s="3" t="s">
        <v>1782</v>
      </c>
      <c r="L1205" s="3"/>
      <c r="M1205" s="7">
        <v>1</v>
      </c>
      <c r="N1205" s="7">
        <v>0</v>
      </c>
    </row>
    <row r="1206" spans="1:14" ht="14.25" x14ac:dyDescent="0.2">
      <c r="A1206" s="3">
        <v>88040</v>
      </c>
      <c r="B1206" s="3" t="s">
        <v>3219</v>
      </c>
      <c r="C1206" s="3" t="s">
        <v>19</v>
      </c>
      <c r="D1206" s="6" t="s">
        <v>75</v>
      </c>
      <c r="E1206" s="6" t="s">
        <v>75</v>
      </c>
      <c r="F1206" s="3" t="str">
        <f>IFERROR( VLOOKUP(A1206,#REF!,2,0),"")</f>
        <v/>
      </c>
      <c r="G1206" s="3" t="str">
        <f t="array" ref="G1206">_xlfn.XLOOKUP(I1206,Base_Datos!D:D,Base_Datos!B:B,"")</f>
        <v>DFSK</v>
      </c>
      <c r="H1206" s="3" t="str">
        <f t="array" ref="H1206">IF(I1206="","",IFERROR(_xlfn.XLOOKUP(I1206,Base_Datos!$D$2:$D3876,Base_Datos!$C$2:$C3876),""))</f>
        <v>Serie Glory</v>
      </c>
      <c r="I1206" s="3" t="s">
        <v>112</v>
      </c>
      <c r="J1206" s="3" t="str">
        <f>IF(I1206="","",IFERROR(VLOOKUP(I1206,Base_Datos!$D$2:$E$72,2,0),""))</f>
        <v>(1.8L)</v>
      </c>
      <c r="K1206" s="3" t="s">
        <v>1782</v>
      </c>
      <c r="L1206" s="3"/>
      <c r="M1206" s="7">
        <v>0</v>
      </c>
      <c r="N1206" s="7">
        <v>0</v>
      </c>
    </row>
    <row r="1207" spans="1:14" ht="14.25" x14ac:dyDescent="0.2">
      <c r="A1207" s="3">
        <v>88041</v>
      </c>
      <c r="B1207" s="3" t="s">
        <v>3220</v>
      </c>
      <c r="C1207" s="3" t="s">
        <v>19</v>
      </c>
      <c r="D1207" s="6" t="s">
        <v>76</v>
      </c>
      <c r="E1207" s="6" t="s">
        <v>76</v>
      </c>
      <c r="F1207" s="3" t="str">
        <f>IFERROR( VLOOKUP(A1207,#REF!,2,0),"")</f>
        <v/>
      </c>
      <c r="G1207" s="3" t="str">
        <f t="array" ref="G1207">_xlfn.XLOOKUP(I1207,Base_Datos!D:D,Base_Datos!B:B,"")</f>
        <v>DFSK</v>
      </c>
      <c r="H1207" s="3" t="str">
        <f t="array" ref="H1207">IF(I1207="","",IFERROR(_xlfn.XLOOKUP(I1207,Base_Datos!$D$2:$D3876,Base_Datos!$C$2:$C3876),""))</f>
        <v>Serie Glory</v>
      </c>
      <c r="I1207" s="3" t="s">
        <v>112</v>
      </c>
      <c r="J1207" s="3" t="str">
        <f>IF(I1207="","",IFERROR(VLOOKUP(I1207,Base_Datos!$D$2:$E$72,2,0),""))</f>
        <v>(1.8L)</v>
      </c>
      <c r="K1207" s="3" t="s">
        <v>1782</v>
      </c>
      <c r="L1207" s="3"/>
      <c r="M1207" s="7">
        <v>0</v>
      </c>
      <c r="N1207" s="7">
        <v>0</v>
      </c>
    </row>
    <row r="1208" spans="1:14" ht="14.25" x14ac:dyDescent="0.2">
      <c r="A1208" s="3">
        <v>88042</v>
      </c>
      <c r="B1208" s="3" t="s">
        <v>3221</v>
      </c>
      <c r="C1208" s="3" t="s">
        <v>19</v>
      </c>
      <c r="D1208" s="6" t="s">
        <v>77</v>
      </c>
      <c r="E1208" s="6" t="s">
        <v>3222</v>
      </c>
      <c r="F1208" s="3" t="str">
        <f>IFERROR( VLOOKUP(A1208,#REF!,2,0),"")</f>
        <v/>
      </c>
      <c r="G1208" s="3" t="str">
        <f t="array" ref="G1208">_xlfn.XLOOKUP(I1208,Base_Datos!D:D,Base_Datos!B:B,"")</f>
        <v>DFSK</v>
      </c>
      <c r="H1208" s="3" t="str">
        <f t="array" ref="H1208">IF(I1208="","",IFERROR(_xlfn.XLOOKUP(I1208,Base_Datos!$D$2:$D3876,Base_Datos!$C$2:$C3876),""))</f>
        <v>Serie Glory</v>
      </c>
      <c r="I1208" s="3" t="s">
        <v>112</v>
      </c>
      <c r="J1208" s="3" t="str">
        <f>IF(I1208="","",IFERROR(VLOOKUP(I1208,Base_Datos!$D$2:$E$72,2,0),""))</f>
        <v>(1.8L)</v>
      </c>
      <c r="K1208" s="3" t="s">
        <v>1782</v>
      </c>
      <c r="L1208" s="3"/>
      <c r="M1208" s="7">
        <v>1</v>
      </c>
      <c r="N1208" s="7">
        <v>0</v>
      </c>
    </row>
    <row r="1209" spans="1:14" ht="14.25" x14ac:dyDescent="0.2">
      <c r="A1209" s="3">
        <v>88043</v>
      </c>
      <c r="B1209" s="3" t="s">
        <v>2280</v>
      </c>
      <c r="C1209" s="3" t="s">
        <v>19</v>
      </c>
      <c r="D1209" s="6" t="s">
        <v>78</v>
      </c>
      <c r="E1209" s="6" t="s">
        <v>3223</v>
      </c>
      <c r="F1209" s="3" t="str">
        <f>IFERROR( VLOOKUP(A1209,#REF!,2,0),"")</f>
        <v/>
      </c>
      <c r="G1209" s="3" t="str">
        <f t="array" ref="G1209">_xlfn.XLOOKUP(I1209,Base_Datos!D:D,Base_Datos!B:B,"")</f>
        <v>SHINERAY</v>
      </c>
      <c r="H1209" s="3" t="str">
        <f t="array" ref="H1209">IF(I1209="","",IFERROR(_xlfn.XLOOKUP(I1209,Base_Datos!$D$2:$D3876,Base_Datos!$C$2:$C3876),""))</f>
        <v>Serie X30</v>
      </c>
      <c r="I1209" s="3" t="s">
        <v>1771</v>
      </c>
      <c r="J1209" s="3" t="str">
        <f>IF(I1209="","",IFERROR(VLOOKUP(I1209,Base_Datos!$D$2:$E$72,2,0),""))</f>
        <v>(1.5L)</v>
      </c>
      <c r="K1209" s="3" t="s">
        <v>1782</v>
      </c>
      <c r="L1209" s="3"/>
      <c r="M1209" s="7">
        <v>2</v>
      </c>
      <c r="N1209" s="7">
        <v>0</v>
      </c>
    </row>
    <row r="1210" spans="1:14" ht="14.25" x14ac:dyDescent="0.2">
      <c r="A1210" s="3">
        <v>88044</v>
      </c>
      <c r="B1210" s="3" t="s">
        <v>3224</v>
      </c>
      <c r="C1210" s="3" t="s">
        <v>19</v>
      </c>
      <c r="D1210" s="6" t="s">
        <v>38</v>
      </c>
      <c r="E1210" s="6" t="s">
        <v>3225</v>
      </c>
      <c r="F1210" s="3" t="str">
        <f>IFERROR( VLOOKUP(A1210,#REF!,2,0),"")</f>
        <v/>
      </c>
      <c r="G1210" s="3" t="str">
        <f t="array" ref="G1210">_xlfn.XLOOKUP(I1210,Base_Datos!D:D,Base_Datos!B:B,"")</f>
        <v>DFSK</v>
      </c>
      <c r="H1210" s="3" t="str">
        <f t="array" ref="H1210">IF(I1210="","",IFERROR(_xlfn.XLOOKUP(I1210,Base_Datos!$D$2:$D3876,Base_Datos!$C$2:$C3876),""))</f>
        <v>Serie Glory</v>
      </c>
      <c r="I1210" s="3" t="s">
        <v>112</v>
      </c>
      <c r="J1210" s="3" t="str">
        <f>IF(I1210="","",IFERROR(VLOOKUP(I1210,Base_Datos!$D$2:$E$72,2,0),""))</f>
        <v>(1.8L)</v>
      </c>
      <c r="K1210" s="3" t="s">
        <v>1782</v>
      </c>
      <c r="L1210" s="3"/>
      <c r="M1210" s="7">
        <v>4</v>
      </c>
      <c r="N1210" s="7">
        <v>0</v>
      </c>
    </row>
    <row r="1211" spans="1:14" ht="14.25" x14ac:dyDescent="0.2">
      <c r="A1211" s="3">
        <v>88045</v>
      </c>
      <c r="B1211" s="3" t="s">
        <v>3226</v>
      </c>
      <c r="C1211" s="3" t="s">
        <v>19</v>
      </c>
      <c r="D1211" s="6" t="s">
        <v>79</v>
      </c>
      <c r="E1211" s="6" t="s">
        <v>3227</v>
      </c>
      <c r="F1211" s="3" t="str">
        <f>IFERROR( VLOOKUP(A1211,#REF!,2,0),"")</f>
        <v/>
      </c>
      <c r="G1211" s="3" t="str">
        <f t="array" ref="G1211">_xlfn.XLOOKUP(I1211,Base_Datos!D:D,Base_Datos!B:B,"")</f>
        <v>DFSK</v>
      </c>
      <c r="H1211" s="3" t="str">
        <f t="array" ref="H1211">IF(I1211="","",IFERROR(_xlfn.XLOOKUP(I1211,Base_Datos!$D$2:$D3876,Base_Datos!$C$2:$C3876),""))</f>
        <v>Serie Glory</v>
      </c>
      <c r="I1211" s="3" t="s">
        <v>112</v>
      </c>
      <c r="J1211" s="3" t="str">
        <f>IF(I1211="","",IFERROR(VLOOKUP(I1211,Base_Datos!$D$2:$E$72,2,0),""))</f>
        <v>(1.8L)</v>
      </c>
      <c r="K1211" s="3" t="s">
        <v>1782</v>
      </c>
      <c r="L1211" s="3"/>
      <c r="M1211" s="7">
        <v>3</v>
      </c>
      <c r="N1211" s="7">
        <v>0</v>
      </c>
    </row>
    <row r="1212" spans="1:14" ht="14.25" x14ac:dyDescent="0.2">
      <c r="A1212" s="3">
        <v>88046</v>
      </c>
      <c r="B1212" s="3" t="s">
        <v>2601</v>
      </c>
      <c r="C1212" s="3" t="s">
        <v>19</v>
      </c>
      <c r="D1212" s="6" t="s">
        <v>3228</v>
      </c>
      <c r="E1212" s="6" t="s">
        <v>3228</v>
      </c>
      <c r="F1212" s="3" t="str">
        <f>IFERROR( VLOOKUP(A1212,#REF!,2,0),"")</f>
        <v/>
      </c>
      <c r="G1212" s="3" t="str">
        <f t="array" ref="G1212">_xlfn.XLOOKUP(I1212,Base_Datos!D:D,Base_Datos!B:B,"")</f>
        <v>DFSK</v>
      </c>
      <c r="H1212" s="3" t="str">
        <f t="array" ref="H1212">IF(I1212="","",IFERROR(_xlfn.XLOOKUP(I1212,Base_Datos!$D$2:$D3876,Base_Datos!$C$2:$C3876),""))</f>
        <v>Serie Glory</v>
      </c>
      <c r="I1212" s="3" t="s">
        <v>112</v>
      </c>
      <c r="J1212" s="3" t="str">
        <f>IF(I1212="","",IFERROR(VLOOKUP(I1212,Base_Datos!$D$2:$E$72,2,0),""))</f>
        <v>(1.8L)</v>
      </c>
      <c r="K1212" s="3" t="s">
        <v>1782</v>
      </c>
      <c r="L1212" s="3"/>
      <c r="M1212" s="7">
        <v>3</v>
      </c>
      <c r="N1212" s="7">
        <v>0</v>
      </c>
    </row>
    <row r="1213" spans="1:14" ht="14.25" x14ac:dyDescent="0.2">
      <c r="A1213" s="3">
        <v>88047</v>
      </c>
      <c r="B1213" s="3" t="s">
        <v>1884</v>
      </c>
      <c r="C1213" s="3" t="s">
        <v>19</v>
      </c>
      <c r="D1213" s="6" t="s">
        <v>80</v>
      </c>
      <c r="E1213" s="6" t="s">
        <v>80</v>
      </c>
      <c r="F1213" s="3" t="str">
        <f>IFERROR( VLOOKUP(A1213,#REF!,2,0),"")</f>
        <v/>
      </c>
      <c r="G1213" s="3" t="str">
        <f t="array" ref="G1213">_xlfn.XLOOKUP(I1213,Base_Datos!D:D,Base_Datos!B:B,"")</f>
        <v>DFSK</v>
      </c>
      <c r="H1213" s="3" t="str">
        <f t="array" ref="H1213">IF(I1213="","",IFERROR(_xlfn.XLOOKUP(I1213,Base_Datos!$D$2:$D3876,Base_Datos!$C$2:$C3876),""))</f>
        <v>Serie Glory</v>
      </c>
      <c r="I1213" s="3" t="s">
        <v>112</v>
      </c>
      <c r="J1213" s="3" t="str">
        <f>IF(I1213="","",IFERROR(VLOOKUP(I1213,Base_Datos!$D$2:$E$72,2,0),""))</f>
        <v>(1.8L)</v>
      </c>
      <c r="K1213" s="3" t="s">
        <v>1782</v>
      </c>
      <c r="L1213" s="3"/>
      <c r="M1213" s="7">
        <v>3</v>
      </c>
      <c r="N1213" s="7">
        <v>0</v>
      </c>
    </row>
    <row r="1214" spans="1:14" ht="14.25" x14ac:dyDescent="0.2">
      <c r="A1214" s="3">
        <v>88048</v>
      </c>
      <c r="B1214" s="3" t="s">
        <v>3229</v>
      </c>
      <c r="C1214" s="3" t="s">
        <v>19</v>
      </c>
      <c r="D1214" s="6" t="s">
        <v>81</v>
      </c>
      <c r="E1214" s="6" t="s">
        <v>3230</v>
      </c>
      <c r="F1214" s="3" t="str">
        <f>IFERROR( VLOOKUP(A1214,#REF!,2,0),"")</f>
        <v/>
      </c>
      <c r="G1214" s="3" t="str">
        <f t="array" ref="G1214">_xlfn.XLOOKUP(I1214,Base_Datos!D:D,Base_Datos!B:B,"")</f>
        <v>DFSK</v>
      </c>
      <c r="H1214" s="3" t="str">
        <f t="array" ref="H1214">IF(I1214="","",IFERROR(_xlfn.XLOOKUP(I1214,Base_Datos!$D$2:$D3876,Base_Datos!$C$2:$C3876),""))</f>
        <v>Serie Glory</v>
      </c>
      <c r="I1214" s="3" t="s">
        <v>112</v>
      </c>
      <c r="J1214" s="3" t="str">
        <f>IF(I1214="","",IFERROR(VLOOKUP(I1214,Base_Datos!$D$2:$E$72,2,0),""))</f>
        <v>(1.8L)</v>
      </c>
      <c r="K1214" s="3" t="s">
        <v>1782</v>
      </c>
      <c r="L1214" s="3"/>
      <c r="M1214" s="7">
        <v>3</v>
      </c>
      <c r="N1214" s="7">
        <v>0</v>
      </c>
    </row>
    <row r="1215" spans="1:14" ht="14.25" x14ac:dyDescent="0.2">
      <c r="A1215" s="3">
        <v>88049</v>
      </c>
      <c r="B1215" s="3" t="s">
        <v>2507</v>
      </c>
      <c r="C1215" s="3" t="s">
        <v>19</v>
      </c>
      <c r="D1215" s="6" t="s">
        <v>82</v>
      </c>
      <c r="E1215" s="6" t="s">
        <v>82</v>
      </c>
      <c r="F1215" s="3" t="str">
        <f>IFERROR( VLOOKUP(A1215,#REF!,2,0),"")</f>
        <v/>
      </c>
      <c r="G1215" s="3" t="str">
        <f t="array" ref="G1215">_xlfn.XLOOKUP(I1215,Base_Datos!D:D,Base_Datos!B:B,"")</f>
        <v>DFSK</v>
      </c>
      <c r="H1215" s="3" t="str">
        <f t="array" ref="H1215">IF(I1215="","",IFERROR(_xlfn.XLOOKUP(I1215,Base_Datos!$D$2:$D3876,Base_Datos!$C$2:$C3876),""))</f>
        <v>Serie Glory</v>
      </c>
      <c r="I1215" s="3" t="s">
        <v>112</v>
      </c>
      <c r="J1215" s="3" t="str">
        <f>IF(I1215="","",IFERROR(VLOOKUP(I1215,Base_Datos!$D$2:$E$72,2,0),""))</f>
        <v>(1.8L)</v>
      </c>
      <c r="K1215" s="3" t="s">
        <v>1782</v>
      </c>
      <c r="L1215" s="3"/>
      <c r="M1215" s="7">
        <v>2</v>
      </c>
      <c r="N1215" s="7">
        <v>0</v>
      </c>
    </row>
    <row r="1216" spans="1:14" ht="14.25" x14ac:dyDescent="0.2">
      <c r="A1216" s="3">
        <v>88050</v>
      </c>
      <c r="B1216" s="3" t="s">
        <v>2059</v>
      </c>
      <c r="C1216" s="3" t="s">
        <v>19</v>
      </c>
      <c r="D1216" s="6" t="s">
        <v>83</v>
      </c>
      <c r="E1216" s="6" t="s">
        <v>3231</v>
      </c>
      <c r="F1216" s="3" t="str">
        <f>IFERROR( VLOOKUP(A1216,#REF!,2,0),"")</f>
        <v/>
      </c>
      <c r="G1216" s="3" t="str">
        <f t="array" ref="G1216">_xlfn.XLOOKUP(I1216,Base_Datos!D:D,Base_Datos!B:B,"")</f>
        <v>DFSK</v>
      </c>
      <c r="H1216" s="3" t="str">
        <f t="array" ref="H1216">IF(I1216="","",IFERROR(_xlfn.XLOOKUP(I1216,Base_Datos!$D$2:$D3876,Base_Datos!$C$2:$C3876),""))</f>
        <v>Serie Glory</v>
      </c>
      <c r="I1216" s="3" t="s">
        <v>112</v>
      </c>
      <c r="J1216" s="3" t="str">
        <f>IF(I1216="","",IFERROR(VLOOKUP(I1216,Base_Datos!$D$2:$E$72,2,0),""))</f>
        <v>(1.8L)</v>
      </c>
      <c r="K1216" s="3" t="s">
        <v>1782</v>
      </c>
      <c r="L1216" s="3"/>
      <c r="M1216" s="7">
        <v>3</v>
      </c>
      <c r="N1216" s="7">
        <v>0</v>
      </c>
    </row>
    <row r="1217" spans="1:14" ht="14.25" x14ac:dyDescent="0.2">
      <c r="A1217" s="3">
        <v>88051</v>
      </c>
      <c r="B1217" s="3" t="s">
        <v>2061</v>
      </c>
      <c r="C1217" s="3" t="s">
        <v>19</v>
      </c>
      <c r="D1217" s="6" t="s">
        <v>84</v>
      </c>
      <c r="E1217" s="6" t="s">
        <v>3232</v>
      </c>
      <c r="F1217" s="3" t="str">
        <f>IFERROR( VLOOKUP(A1217,#REF!,2,0),"")</f>
        <v/>
      </c>
      <c r="G1217" s="3" t="str">
        <f t="array" ref="G1217">_xlfn.XLOOKUP(I1217,Base_Datos!D:D,Base_Datos!B:B,"")</f>
        <v>DFSK</v>
      </c>
      <c r="H1217" s="3" t="str">
        <f t="array" ref="H1217">IF(I1217="","",IFERROR(_xlfn.XLOOKUP(I1217,Base_Datos!$D$2:$D3876,Base_Datos!$C$2:$C3876),""))</f>
        <v>Serie Glory</v>
      </c>
      <c r="I1217" s="3" t="s">
        <v>112</v>
      </c>
      <c r="J1217" s="3" t="str">
        <f>IF(I1217="","",IFERROR(VLOOKUP(I1217,Base_Datos!$D$2:$E$72,2,0),""))</f>
        <v>(1.8L)</v>
      </c>
      <c r="K1217" s="3" t="s">
        <v>1782</v>
      </c>
      <c r="L1217" s="3"/>
      <c r="M1217" s="7">
        <v>3</v>
      </c>
      <c r="N1217" s="7">
        <v>0</v>
      </c>
    </row>
    <row r="1218" spans="1:14" ht="14.25" x14ac:dyDescent="0.2">
      <c r="A1218" s="3">
        <v>88052</v>
      </c>
      <c r="B1218" s="3" t="s">
        <v>3233</v>
      </c>
      <c r="C1218" s="3" t="s">
        <v>19</v>
      </c>
      <c r="D1218" s="6" t="s">
        <v>85</v>
      </c>
      <c r="E1218" s="6" t="s">
        <v>3234</v>
      </c>
      <c r="F1218" s="3" t="str">
        <f>IFERROR( VLOOKUP(A1218,#REF!,2,0),"")</f>
        <v/>
      </c>
      <c r="G1218" s="3" t="str">
        <f t="array" ref="G1218">_xlfn.XLOOKUP(I1218,Base_Datos!D:D,Base_Datos!B:B,"")</f>
        <v>DFSK</v>
      </c>
      <c r="H1218" s="3" t="str">
        <f t="array" ref="H1218">IF(I1218="","",IFERROR(_xlfn.XLOOKUP(I1218,Base_Datos!$D$2:$D3876,Base_Datos!$C$2:$C3876),""))</f>
        <v>Serie Glory</v>
      </c>
      <c r="I1218" s="3" t="s">
        <v>112</v>
      </c>
      <c r="J1218" s="3" t="str">
        <f>IF(I1218="","",IFERROR(VLOOKUP(I1218,Base_Datos!$D$2:$E$72,2,0),""))</f>
        <v>(1.8L)</v>
      </c>
      <c r="K1218" s="3" t="s">
        <v>1782</v>
      </c>
      <c r="L1218" s="3"/>
      <c r="M1218" s="7">
        <v>3</v>
      </c>
      <c r="N1218" s="7">
        <v>0</v>
      </c>
    </row>
    <row r="1219" spans="1:14" ht="14.25" x14ac:dyDescent="0.2">
      <c r="A1219" s="3">
        <v>88053</v>
      </c>
      <c r="B1219" s="3" t="s">
        <v>3235</v>
      </c>
      <c r="C1219" s="3" t="s">
        <v>19</v>
      </c>
      <c r="D1219" s="6" t="s">
        <v>87</v>
      </c>
      <c r="E1219" s="6" t="s">
        <v>3236</v>
      </c>
      <c r="F1219" s="3" t="str">
        <f>IFERROR( VLOOKUP(A1219,#REF!,2,0),"")</f>
        <v/>
      </c>
      <c r="G1219" s="3" t="str">
        <f t="array" ref="G1219">_xlfn.XLOOKUP(I1219,Base_Datos!D:D,Base_Datos!B:B,"")</f>
        <v>DFSK</v>
      </c>
      <c r="H1219" s="3" t="str">
        <f t="array" ref="H1219">IF(I1219="","",IFERROR(_xlfn.XLOOKUP(I1219,Base_Datos!$D$2:$D3876,Base_Datos!$C$2:$C3876),""))</f>
        <v>Serie Glory</v>
      </c>
      <c r="I1219" s="3" t="s">
        <v>112</v>
      </c>
      <c r="J1219" s="3" t="str">
        <f>IF(I1219="","",IFERROR(VLOOKUP(I1219,Base_Datos!$D$2:$E$72,2,0),""))</f>
        <v>(1.8L)</v>
      </c>
      <c r="K1219" s="3" t="s">
        <v>1782</v>
      </c>
      <c r="L1219" s="3"/>
      <c r="M1219" s="7">
        <v>3</v>
      </c>
      <c r="N1219" s="7">
        <v>0</v>
      </c>
    </row>
    <row r="1220" spans="1:14" ht="14.25" x14ac:dyDescent="0.2">
      <c r="A1220" s="3">
        <v>88054</v>
      </c>
      <c r="B1220" s="3" t="s">
        <v>2678</v>
      </c>
      <c r="C1220" s="3" t="s">
        <v>19</v>
      </c>
      <c r="D1220" s="6" t="s">
        <v>88</v>
      </c>
      <c r="E1220" s="6" t="s">
        <v>88</v>
      </c>
      <c r="F1220" s="3" t="str">
        <f>IFERROR( VLOOKUP(A1220,#REF!,2,0),"")</f>
        <v/>
      </c>
      <c r="G1220" s="3" t="str">
        <f t="array" ref="G1220">_xlfn.XLOOKUP(I1220,Base_Datos!D:D,Base_Datos!B:B,"")</f>
        <v>DFSK</v>
      </c>
      <c r="H1220" s="3" t="str">
        <f t="array" ref="H1220">IF(I1220="","",IFERROR(_xlfn.XLOOKUP(I1220,Base_Datos!$D$2:$D3876,Base_Datos!$C$2:$C3876),""))</f>
        <v>Serie Glory</v>
      </c>
      <c r="I1220" s="3" t="s">
        <v>112</v>
      </c>
      <c r="J1220" s="3" t="str">
        <f>IF(I1220="","",IFERROR(VLOOKUP(I1220,Base_Datos!$D$2:$E$72,2,0),""))</f>
        <v>(1.8L)</v>
      </c>
      <c r="K1220" s="3" t="s">
        <v>1782</v>
      </c>
      <c r="L1220" s="3"/>
      <c r="M1220" s="7">
        <v>1</v>
      </c>
      <c r="N1220" s="7">
        <v>0</v>
      </c>
    </row>
    <row r="1221" spans="1:14" ht="14.25" x14ac:dyDescent="0.2">
      <c r="A1221" s="3">
        <v>88055</v>
      </c>
      <c r="B1221" s="3" t="s">
        <v>3237</v>
      </c>
      <c r="C1221" s="3" t="s">
        <v>19</v>
      </c>
      <c r="D1221" s="6" t="s">
        <v>89</v>
      </c>
      <c r="E1221" s="6" t="s">
        <v>89</v>
      </c>
      <c r="F1221" s="3" t="str">
        <f>IFERROR( VLOOKUP(A1221,#REF!,2,0),"")</f>
        <v/>
      </c>
      <c r="G1221" s="3" t="str">
        <f t="array" ref="G1221">_xlfn.XLOOKUP(I1221,Base_Datos!D:D,Base_Datos!B:B,"")</f>
        <v>DFSK</v>
      </c>
      <c r="H1221" s="3" t="str">
        <f t="array" ref="H1221">IF(I1221="","",IFERROR(_xlfn.XLOOKUP(I1221,Base_Datos!$D$2:$D3876,Base_Datos!$C$2:$C3876),""))</f>
        <v>Serie Glory</v>
      </c>
      <c r="I1221" s="3" t="s">
        <v>112</v>
      </c>
      <c r="J1221" s="3" t="str">
        <f>IF(I1221="","",IFERROR(VLOOKUP(I1221,Base_Datos!$D$2:$E$72,2,0),""))</f>
        <v>(1.8L)</v>
      </c>
      <c r="K1221" s="3" t="s">
        <v>1782</v>
      </c>
      <c r="L1221" s="3"/>
      <c r="M1221" s="7">
        <v>0</v>
      </c>
      <c r="N1221" s="7">
        <v>0</v>
      </c>
    </row>
    <row r="1222" spans="1:14" ht="14.25" x14ac:dyDescent="0.2">
      <c r="A1222" s="3">
        <v>88056</v>
      </c>
      <c r="B1222" s="3" t="s">
        <v>3238</v>
      </c>
      <c r="C1222" s="3" t="s">
        <v>19</v>
      </c>
      <c r="D1222" s="6" t="s">
        <v>90</v>
      </c>
      <c r="E1222" s="6" t="s">
        <v>90</v>
      </c>
      <c r="F1222" s="3" t="str">
        <f>IFERROR( VLOOKUP(A1222,#REF!,2,0),"")</f>
        <v/>
      </c>
      <c r="G1222" s="3" t="str">
        <f t="array" ref="G1222">_xlfn.XLOOKUP(I1222,Base_Datos!D:D,Base_Datos!B:B,"")</f>
        <v>DFSK</v>
      </c>
      <c r="H1222" s="3" t="str">
        <f t="array" ref="H1222">IF(I1222="","",IFERROR(_xlfn.XLOOKUP(I1222,Base_Datos!$D$2:$D3876,Base_Datos!$C$2:$C3876),""))</f>
        <v>Serie Glory</v>
      </c>
      <c r="I1222" s="3" t="s">
        <v>112</v>
      </c>
      <c r="J1222" s="3" t="str">
        <f>IF(I1222="","",IFERROR(VLOOKUP(I1222,Base_Datos!$D$2:$E$72,2,0),""))</f>
        <v>(1.8L)</v>
      </c>
      <c r="K1222" s="3" t="s">
        <v>1782</v>
      </c>
      <c r="L1222" s="3"/>
      <c r="M1222" s="7">
        <v>0</v>
      </c>
      <c r="N1222" s="7">
        <v>0</v>
      </c>
    </row>
    <row r="1223" spans="1:14" ht="14.25" x14ac:dyDescent="0.2">
      <c r="A1223" s="3">
        <v>88057</v>
      </c>
      <c r="B1223" s="3" t="s">
        <v>3239</v>
      </c>
      <c r="C1223" s="3" t="s">
        <v>19</v>
      </c>
      <c r="D1223" s="6" t="s">
        <v>91</v>
      </c>
      <c r="E1223" s="6" t="s">
        <v>91</v>
      </c>
      <c r="F1223" s="3" t="str">
        <f>IFERROR( VLOOKUP(A1223,#REF!,2,0),"")</f>
        <v/>
      </c>
      <c r="G1223" s="3" t="str">
        <f t="array" ref="G1223">_xlfn.XLOOKUP(I1223,Base_Datos!D:D,Base_Datos!B:B,"")</f>
        <v>DFSK</v>
      </c>
      <c r="H1223" s="3" t="str">
        <f t="array" ref="H1223">IF(I1223="","",IFERROR(_xlfn.XLOOKUP(I1223,Base_Datos!$D$2:$D3876,Base_Datos!$C$2:$C3876),""))</f>
        <v>Serie Glory</v>
      </c>
      <c r="I1223" s="3" t="s">
        <v>112</v>
      </c>
      <c r="J1223" s="3" t="str">
        <f>IF(I1223="","",IFERROR(VLOOKUP(I1223,Base_Datos!$D$2:$E$72,2,0),""))</f>
        <v>(1.8L)</v>
      </c>
      <c r="K1223" s="3" t="s">
        <v>1782</v>
      </c>
      <c r="L1223" s="3"/>
      <c r="M1223" s="7">
        <v>2</v>
      </c>
      <c r="N1223" s="7">
        <v>0</v>
      </c>
    </row>
    <row r="1224" spans="1:14" ht="14.25" x14ac:dyDescent="0.2">
      <c r="A1224" s="3">
        <v>88058</v>
      </c>
      <c r="B1224" s="3" t="s">
        <v>3240</v>
      </c>
      <c r="C1224" s="3" t="s">
        <v>19</v>
      </c>
      <c r="D1224" s="6" t="s">
        <v>92</v>
      </c>
      <c r="E1224" s="6" t="s">
        <v>92</v>
      </c>
      <c r="F1224" s="3" t="str">
        <f>IFERROR( VLOOKUP(A1224,#REF!,2,0),"")</f>
        <v/>
      </c>
      <c r="G1224" s="3" t="str">
        <f t="array" ref="G1224">_xlfn.XLOOKUP(I1224,Base_Datos!D:D,Base_Datos!B:B,"")</f>
        <v>SHINERAY</v>
      </c>
      <c r="H1224" s="3" t="str">
        <f t="array" ref="H1224">IF(I1224="","",IFERROR(_xlfn.XLOOKUP(I1224,Base_Datos!$D$2:$D3876,Base_Datos!$C$2:$C3876),""))</f>
        <v>Serie X30</v>
      </c>
      <c r="I1224" s="3" t="s">
        <v>1771</v>
      </c>
      <c r="J1224" s="3" t="str">
        <f>IF(I1224="","",IFERROR(VLOOKUP(I1224,Base_Datos!$D$2:$E$72,2,0),""))</f>
        <v>(1.5L)</v>
      </c>
      <c r="K1224" s="3" t="s">
        <v>1782</v>
      </c>
      <c r="L1224" s="3"/>
      <c r="M1224" s="7">
        <v>3</v>
      </c>
      <c r="N1224" s="7">
        <v>0</v>
      </c>
    </row>
    <row r="1225" spans="1:14" ht="14.25" x14ac:dyDescent="0.2">
      <c r="A1225" s="3">
        <v>88059</v>
      </c>
      <c r="B1225" s="3" t="s">
        <v>3241</v>
      </c>
      <c r="C1225" s="3" t="s">
        <v>19</v>
      </c>
      <c r="D1225" s="6" t="s">
        <v>93</v>
      </c>
      <c r="E1225" s="6" t="s">
        <v>3242</v>
      </c>
      <c r="F1225" s="3" t="str">
        <f>IFERROR( VLOOKUP(A1225,#REF!,2,0),"")</f>
        <v/>
      </c>
      <c r="G1225" s="3" t="str">
        <f t="array" ref="G1225">_xlfn.XLOOKUP(I1225,Base_Datos!D:D,Base_Datos!B:B,"")</f>
        <v>DFSK</v>
      </c>
      <c r="H1225" s="3" t="str">
        <f t="array" ref="H1225">IF(I1225="","",IFERROR(_xlfn.XLOOKUP(I1225,Base_Datos!$D$2:$D3876,Base_Datos!$C$2:$C3876),""))</f>
        <v>Serie Glory</v>
      </c>
      <c r="I1225" s="3" t="s">
        <v>112</v>
      </c>
      <c r="J1225" s="3" t="str">
        <f>IF(I1225="","",IFERROR(VLOOKUP(I1225,Base_Datos!$D$2:$E$72,2,0),""))</f>
        <v>(1.8L)</v>
      </c>
      <c r="K1225" s="3" t="s">
        <v>1782</v>
      </c>
      <c r="L1225" s="3"/>
      <c r="M1225" s="7">
        <v>5</v>
      </c>
      <c r="N1225" s="7">
        <v>0</v>
      </c>
    </row>
    <row r="1226" spans="1:14" ht="14.25" x14ac:dyDescent="0.2">
      <c r="A1226" s="3">
        <v>88060</v>
      </c>
      <c r="B1226" s="3" t="s">
        <v>3243</v>
      </c>
      <c r="C1226" s="3" t="s">
        <v>19</v>
      </c>
      <c r="D1226" s="6" t="s">
        <v>94</v>
      </c>
      <c r="E1226" s="6" t="s">
        <v>3244</v>
      </c>
      <c r="F1226" s="3" t="str">
        <f>IFERROR( VLOOKUP(A1226,#REF!,2,0),"")</f>
        <v/>
      </c>
      <c r="G1226" s="3" t="str">
        <f t="array" ref="G1226">_xlfn.XLOOKUP(I1226,Base_Datos!D:D,Base_Datos!B:B,"")</f>
        <v>DFSK</v>
      </c>
      <c r="H1226" s="3" t="str">
        <f t="array" ref="H1226">IF(I1226="","",IFERROR(_xlfn.XLOOKUP(I1226,Base_Datos!$D$2:$D3876,Base_Datos!$C$2:$C3876),""))</f>
        <v>Serie Glory</v>
      </c>
      <c r="I1226" s="3" t="s">
        <v>112</v>
      </c>
      <c r="J1226" s="3" t="str">
        <f>IF(I1226="","",IFERROR(VLOOKUP(I1226,Base_Datos!$D$2:$E$72,2,0),""))</f>
        <v>(1.8L)</v>
      </c>
      <c r="K1226" s="3" t="s">
        <v>1782</v>
      </c>
      <c r="L1226" s="3"/>
      <c r="M1226" s="7">
        <v>3</v>
      </c>
      <c r="N1226" s="7">
        <v>0</v>
      </c>
    </row>
    <row r="1227" spans="1:14" ht="14.25" x14ac:dyDescent="0.2">
      <c r="A1227" s="3">
        <v>88061</v>
      </c>
      <c r="B1227" s="3" t="s">
        <v>3245</v>
      </c>
      <c r="C1227" s="3" t="s">
        <v>19</v>
      </c>
      <c r="D1227" s="6" t="s">
        <v>95</v>
      </c>
      <c r="E1227" s="6" t="s">
        <v>3246</v>
      </c>
      <c r="F1227" s="3" t="str">
        <f>IFERROR( VLOOKUP(A1227,#REF!,2,0),"")</f>
        <v/>
      </c>
      <c r="G1227" s="3" t="str">
        <f t="array" ref="G1227">_xlfn.XLOOKUP(I1227,Base_Datos!D:D,Base_Datos!B:B,"")</f>
        <v>DFSK</v>
      </c>
      <c r="H1227" s="3" t="str">
        <f t="array" ref="H1227">IF(I1227="","",IFERROR(_xlfn.XLOOKUP(I1227,Base_Datos!$D$2:$D3876,Base_Datos!$C$2:$C3876),""))</f>
        <v>Serie Glory</v>
      </c>
      <c r="I1227" s="3" t="s">
        <v>112</v>
      </c>
      <c r="J1227" s="3" t="str">
        <f>IF(I1227="","",IFERROR(VLOOKUP(I1227,Base_Datos!$D$2:$E$72,2,0),""))</f>
        <v>(1.8L)</v>
      </c>
      <c r="K1227" s="3" t="s">
        <v>1782</v>
      </c>
      <c r="L1227" s="3"/>
      <c r="M1227" s="7">
        <v>5</v>
      </c>
      <c r="N1227" s="7">
        <v>0</v>
      </c>
    </row>
    <row r="1228" spans="1:14" ht="14.25" x14ac:dyDescent="0.2">
      <c r="A1228" s="3">
        <v>88062</v>
      </c>
      <c r="B1228" s="3" t="s">
        <v>3247</v>
      </c>
      <c r="C1228" s="3" t="s">
        <v>19</v>
      </c>
      <c r="D1228" s="6" t="s">
        <v>96</v>
      </c>
      <c r="E1228" s="6" t="s">
        <v>3248</v>
      </c>
      <c r="F1228" s="3" t="str">
        <f>IFERROR( VLOOKUP(A1228,#REF!,2,0),"")</f>
        <v/>
      </c>
      <c r="G1228" s="3" t="str">
        <f t="array" ref="G1228">_xlfn.XLOOKUP(I1228,Base_Datos!D:D,Base_Datos!B:B,"")</f>
        <v>DFSK</v>
      </c>
      <c r="H1228" s="3" t="str">
        <f t="array" ref="H1228">IF(I1228="","",IFERROR(_xlfn.XLOOKUP(I1228,Base_Datos!$D$2:$D3876,Base_Datos!$C$2:$C3876),""))</f>
        <v>Serie Glory</v>
      </c>
      <c r="I1228" s="3" t="s">
        <v>112</v>
      </c>
      <c r="J1228" s="3" t="str">
        <f>IF(I1228="","",IFERROR(VLOOKUP(I1228,Base_Datos!$D$2:$E$72,2,0),""))</f>
        <v>(1.8L)</v>
      </c>
      <c r="K1228" s="3" t="s">
        <v>1782</v>
      </c>
      <c r="L1228" s="3"/>
      <c r="M1228" s="7">
        <v>2</v>
      </c>
      <c r="N1228" s="7">
        <v>0</v>
      </c>
    </row>
    <row r="1229" spans="1:14" ht="14.25" x14ac:dyDescent="0.2">
      <c r="A1229" s="3">
        <v>88063</v>
      </c>
      <c r="B1229" s="3" t="s">
        <v>3249</v>
      </c>
      <c r="C1229" s="3" t="s">
        <v>19</v>
      </c>
      <c r="D1229" s="6" t="s">
        <v>97</v>
      </c>
      <c r="E1229" s="6" t="s">
        <v>97</v>
      </c>
      <c r="F1229" s="3" t="str">
        <f>IFERROR( VLOOKUP(A1229,#REF!,2,0),"")</f>
        <v/>
      </c>
      <c r="G1229" s="3" t="str">
        <f t="array" ref="G1229">_xlfn.XLOOKUP(I1229,Base_Datos!D:D,Base_Datos!B:B,"")</f>
        <v>DFSK</v>
      </c>
      <c r="H1229" s="3" t="str">
        <f t="array" ref="H1229">IF(I1229="","",IFERROR(_xlfn.XLOOKUP(I1229,Base_Datos!$D$2:$D3876,Base_Datos!$C$2:$C3876),""))</f>
        <v>Serie Glory</v>
      </c>
      <c r="I1229" s="3" t="s">
        <v>112</v>
      </c>
      <c r="J1229" s="3" t="str">
        <f>IF(I1229="","",IFERROR(VLOOKUP(I1229,Base_Datos!$D$2:$E$72,2,0),""))</f>
        <v>(1.8L)</v>
      </c>
      <c r="K1229" s="3" t="s">
        <v>1782</v>
      </c>
      <c r="L1229" s="3"/>
      <c r="M1229" s="7">
        <v>2</v>
      </c>
      <c r="N1229" s="7">
        <v>0</v>
      </c>
    </row>
    <row r="1230" spans="1:14" ht="14.25" x14ac:dyDescent="0.2">
      <c r="A1230" s="3">
        <v>88064</v>
      </c>
      <c r="B1230" s="3" t="s">
        <v>3250</v>
      </c>
      <c r="C1230" s="3" t="s">
        <v>19</v>
      </c>
      <c r="D1230" s="6" t="s">
        <v>98</v>
      </c>
      <c r="E1230" s="6" t="s">
        <v>98</v>
      </c>
      <c r="F1230" s="3" t="str">
        <f>IFERROR( VLOOKUP(A1230,#REF!,2,0),"")</f>
        <v/>
      </c>
      <c r="G1230" s="3" t="str">
        <f t="array" ref="G1230">_xlfn.XLOOKUP(I1230,Base_Datos!D:D,Base_Datos!B:B,"")</f>
        <v>DFSK</v>
      </c>
      <c r="H1230" s="3" t="str">
        <f t="array" ref="H1230">IF(I1230="","",IFERROR(_xlfn.XLOOKUP(I1230,Base_Datos!$D$2:$D3876,Base_Datos!$C$2:$C3876),""))</f>
        <v>Serie Glory</v>
      </c>
      <c r="I1230" s="3" t="s">
        <v>112</v>
      </c>
      <c r="J1230" s="3" t="str">
        <f>IF(I1230="","",IFERROR(VLOOKUP(I1230,Base_Datos!$D$2:$E$72,2,0),""))</f>
        <v>(1.8L)</v>
      </c>
      <c r="K1230" s="3" t="s">
        <v>1782</v>
      </c>
      <c r="L1230" s="3"/>
      <c r="M1230" s="7">
        <v>1</v>
      </c>
      <c r="N1230" s="7">
        <v>0</v>
      </c>
    </row>
    <row r="1231" spans="1:14" ht="14.25" x14ac:dyDescent="0.2">
      <c r="A1231" s="3">
        <v>88065</v>
      </c>
      <c r="B1231" s="3" t="s">
        <v>3251</v>
      </c>
      <c r="C1231" s="3" t="s">
        <v>19</v>
      </c>
      <c r="D1231" s="6" t="s">
        <v>99</v>
      </c>
      <c r="E1231" s="6" t="s">
        <v>99</v>
      </c>
      <c r="F1231" s="3" t="str">
        <f>IFERROR( VLOOKUP(A1231,#REF!,2,0),"")</f>
        <v/>
      </c>
      <c r="G1231" s="3" t="str">
        <f t="array" ref="G1231">_xlfn.XLOOKUP(I1231,Base_Datos!D:D,Base_Datos!B:B,"")</f>
        <v>DFSK</v>
      </c>
      <c r="H1231" s="3" t="str">
        <f t="array" ref="H1231">IF(I1231="","",IFERROR(_xlfn.XLOOKUP(I1231,Base_Datos!$D$2:$D3876,Base_Datos!$C$2:$C3876),""))</f>
        <v>Serie Glory</v>
      </c>
      <c r="I1231" s="3" t="s">
        <v>112</v>
      </c>
      <c r="J1231" s="3" t="str">
        <f>IF(I1231="","",IFERROR(VLOOKUP(I1231,Base_Datos!$D$2:$E$72,2,0),""))</f>
        <v>(1.8L)</v>
      </c>
      <c r="K1231" s="3" t="s">
        <v>1782</v>
      </c>
      <c r="L1231" s="3"/>
      <c r="M1231" s="7">
        <v>1</v>
      </c>
      <c r="N1231" s="7">
        <v>0</v>
      </c>
    </row>
    <row r="1232" spans="1:14" ht="14.25" x14ac:dyDescent="0.2">
      <c r="A1232" s="3">
        <v>88066</v>
      </c>
      <c r="B1232" s="3" t="s">
        <v>3252</v>
      </c>
      <c r="C1232" s="3" t="s">
        <v>19</v>
      </c>
      <c r="D1232" s="6" t="s">
        <v>100</v>
      </c>
      <c r="E1232" s="6" t="s">
        <v>100</v>
      </c>
      <c r="F1232" s="3" t="str">
        <f>IFERROR( VLOOKUP(A1232,#REF!,2,0),"")</f>
        <v/>
      </c>
      <c r="G1232" s="3" t="str">
        <f t="array" ref="G1232">_xlfn.XLOOKUP(I1232,Base_Datos!D:D,Base_Datos!B:B,"")</f>
        <v>DFSK</v>
      </c>
      <c r="H1232" s="3" t="str">
        <f t="array" ref="H1232">IF(I1232="","",IFERROR(_xlfn.XLOOKUP(I1232,Base_Datos!$D$2:$D3876,Base_Datos!$C$2:$C3876),""))</f>
        <v>Serie Glory</v>
      </c>
      <c r="I1232" s="3" t="s">
        <v>112</v>
      </c>
      <c r="J1232" s="3" t="str">
        <f>IF(I1232="","",IFERROR(VLOOKUP(I1232,Base_Datos!$D$2:$E$72,2,0),""))</f>
        <v>(1.8L)</v>
      </c>
      <c r="K1232" s="3" t="s">
        <v>1782</v>
      </c>
      <c r="L1232" s="3"/>
      <c r="M1232" s="7">
        <v>0</v>
      </c>
      <c r="N1232" s="7">
        <v>0</v>
      </c>
    </row>
    <row r="1233" spans="1:14" ht="14.25" x14ac:dyDescent="0.2">
      <c r="A1233" s="3">
        <v>88067</v>
      </c>
      <c r="B1233" s="3" t="s">
        <v>3253</v>
      </c>
      <c r="C1233" s="3" t="s">
        <v>19</v>
      </c>
      <c r="D1233" s="6" t="s">
        <v>101</v>
      </c>
      <c r="E1233" s="6" t="s">
        <v>3254</v>
      </c>
      <c r="F1233" s="3" t="str">
        <f>IFERROR( VLOOKUP(A1233,#REF!,2,0),"")</f>
        <v/>
      </c>
      <c r="G1233" s="3" t="str">
        <f t="array" ref="G1233">_xlfn.XLOOKUP(I1233,Base_Datos!D:D,Base_Datos!B:B,"")</f>
        <v>DFSK</v>
      </c>
      <c r="H1233" s="3" t="str">
        <f t="array" ref="H1233">IF(I1233="","",IFERROR(_xlfn.XLOOKUP(I1233,Base_Datos!$D$2:$D3876,Base_Datos!$C$2:$C3876),""))</f>
        <v>Serie Glory</v>
      </c>
      <c r="I1233" s="3" t="s">
        <v>112</v>
      </c>
      <c r="J1233" s="3" t="str">
        <f>IF(I1233="","",IFERROR(VLOOKUP(I1233,Base_Datos!$D$2:$E$72,2,0),""))</f>
        <v>(1.8L)</v>
      </c>
      <c r="K1233" s="3" t="s">
        <v>1782</v>
      </c>
      <c r="L1233" s="3"/>
      <c r="M1233" s="7">
        <v>2</v>
      </c>
      <c r="N1233" s="7">
        <v>0</v>
      </c>
    </row>
    <row r="1234" spans="1:14" ht="14.25" x14ac:dyDescent="0.2">
      <c r="A1234" s="3">
        <v>88068</v>
      </c>
      <c r="B1234" s="3" t="s">
        <v>3255</v>
      </c>
      <c r="C1234" s="3" t="s">
        <v>19</v>
      </c>
      <c r="D1234" s="6" t="s">
        <v>102</v>
      </c>
      <c r="E1234" s="6" t="s">
        <v>3256</v>
      </c>
      <c r="F1234" s="3" t="str">
        <f>IFERROR( VLOOKUP(A1234,#REF!,2,0),"")</f>
        <v/>
      </c>
      <c r="G1234" s="3" t="str">
        <f t="array" ref="G1234">_xlfn.XLOOKUP(I1234,Base_Datos!D:D,Base_Datos!B:B,"")</f>
        <v>DFSK</v>
      </c>
      <c r="H1234" s="3" t="str">
        <f t="array" ref="H1234">IF(I1234="","",IFERROR(_xlfn.XLOOKUP(I1234,Base_Datos!$D$2:$D3876,Base_Datos!$C$2:$C3876),""))</f>
        <v>Serie Glory</v>
      </c>
      <c r="I1234" s="3" t="s">
        <v>112</v>
      </c>
      <c r="J1234" s="3" t="str">
        <f>IF(I1234="","",IFERROR(VLOOKUP(I1234,Base_Datos!$D$2:$E$72,2,0),""))</f>
        <v>(1.8L)</v>
      </c>
      <c r="K1234" s="3" t="s">
        <v>1782</v>
      </c>
      <c r="L1234" s="3"/>
      <c r="M1234" s="7">
        <v>1</v>
      </c>
      <c r="N1234" s="7">
        <v>0</v>
      </c>
    </row>
    <row r="1235" spans="1:14" ht="14.25" x14ac:dyDescent="0.2">
      <c r="A1235" s="3">
        <v>88069</v>
      </c>
      <c r="B1235" s="3" t="s">
        <v>1927</v>
      </c>
      <c r="C1235" s="3" t="s">
        <v>19</v>
      </c>
      <c r="D1235" s="6" t="s">
        <v>103</v>
      </c>
      <c r="E1235" s="6" t="s">
        <v>3257</v>
      </c>
      <c r="F1235" s="3" t="str">
        <f>IFERROR( VLOOKUP(A1235,#REF!,2,0),"")</f>
        <v/>
      </c>
      <c r="G1235" s="3" t="str">
        <f t="array" ref="G1235">_xlfn.XLOOKUP(I1235,Base_Datos!D:D,Base_Datos!B:B,"")</f>
        <v>DFSK</v>
      </c>
      <c r="H1235" s="3" t="str">
        <f t="array" ref="H1235">IF(I1235="","",IFERROR(_xlfn.XLOOKUP(I1235,Base_Datos!$D$2:$D3876,Base_Datos!$C$2:$C3876),""))</f>
        <v>Serie Glory</v>
      </c>
      <c r="I1235" s="3" t="s">
        <v>112</v>
      </c>
      <c r="J1235" s="3" t="str">
        <f>IF(I1235="","",IFERROR(VLOOKUP(I1235,Base_Datos!$D$2:$E$72,2,0),""))</f>
        <v>(1.8L)</v>
      </c>
      <c r="K1235" s="3" t="s">
        <v>1782</v>
      </c>
      <c r="L1235" s="3"/>
      <c r="M1235" s="7">
        <v>1</v>
      </c>
      <c r="N1235" s="7">
        <v>0</v>
      </c>
    </row>
    <row r="1236" spans="1:14" ht="14.25" x14ac:dyDescent="0.2">
      <c r="A1236" s="3">
        <v>88070</v>
      </c>
      <c r="B1236" s="3" t="s">
        <v>3258</v>
      </c>
      <c r="C1236" s="3" t="s">
        <v>19</v>
      </c>
      <c r="D1236" s="6" t="s">
        <v>104</v>
      </c>
      <c r="E1236" s="6" t="s">
        <v>3259</v>
      </c>
      <c r="F1236" s="3" t="str">
        <f>IFERROR( VLOOKUP(A1236,#REF!,2,0),"")</f>
        <v/>
      </c>
      <c r="G1236" s="3" t="str">
        <f t="array" ref="G1236">_xlfn.XLOOKUP(I1236,Base_Datos!D:D,Base_Datos!B:B,"")</f>
        <v>DFSK</v>
      </c>
      <c r="H1236" s="3" t="str">
        <f t="array" ref="H1236">IF(I1236="","",IFERROR(_xlfn.XLOOKUP(I1236,Base_Datos!$D$2:$D3876,Base_Datos!$C$2:$C3876),""))</f>
        <v>Serie Glory</v>
      </c>
      <c r="I1236" s="3" t="s">
        <v>112</v>
      </c>
      <c r="J1236" s="3" t="str">
        <f>IF(I1236="","",IFERROR(VLOOKUP(I1236,Base_Datos!$D$2:$E$72,2,0),""))</f>
        <v>(1.8L)</v>
      </c>
      <c r="K1236" s="3" t="s">
        <v>1782</v>
      </c>
      <c r="L1236" s="3"/>
      <c r="M1236" s="7">
        <v>2</v>
      </c>
      <c r="N1236" s="7">
        <v>0</v>
      </c>
    </row>
    <row r="1237" spans="1:14" ht="14.25" x14ac:dyDescent="0.2">
      <c r="A1237" s="3">
        <v>88071</v>
      </c>
      <c r="B1237" s="3" t="s">
        <v>3260</v>
      </c>
      <c r="C1237" s="3" t="s">
        <v>19</v>
      </c>
      <c r="D1237" s="6" t="s">
        <v>105</v>
      </c>
      <c r="E1237" s="6" t="s">
        <v>3261</v>
      </c>
      <c r="F1237" s="3" t="str">
        <f>IFERROR( VLOOKUP(A1237,#REF!,2,0),"")</f>
        <v/>
      </c>
      <c r="G1237" s="3" t="str">
        <f t="array" ref="G1237">_xlfn.XLOOKUP(I1237,Base_Datos!D:D,Base_Datos!B:B,"")</f>
        <v>DFSK</v>
      </c>
      <c r="H1237" s="3" t="str">
        <f t="array" ref="H1237">IF(I1237="","",IFERROR(_xlfn.XLOOKUP(I1237,Base_Datos!$D$2:$D3876,Base_Datos!$C$2:$C3876),""))</f>
        <v>Serie Glory</v>
      </c>
      <c r="I1237" s="3" t="s">
        <v>112</v>
      </c>
      <c r="J1237" s="3" t="str">
        <f>IF(I1237="","",IFERROR(VLOOKUP(I1237,Base_Datos!$D$2:$E$72,2,0),""))</f>
        <v>(1.8L)</v>
      </c>
      <c r="K1237" s="3" t="s">
        <v>1782</v>
      </c>
      <c r="L1237" s="3"/>
      <c r="M1237" s="7">
        <v>2</v>
      </c>
      <c r="N1237" s="7">
        <v>0</v>
      </c>
    </row>
    <row r="1238" spans="1:14" ht="14.25" x14ac:dyDescent="0.2">
      <c r="A1238" s="3">
        <v>88072</v>
      </c>
      <c r="B1238" s="3" t="s">
        <v>3262</v>
      </c>
      <c r="C1238" s="3" t="s">
        <v>19</v>
      </c>
      <c r="D1238" s="6" t="s">
        <v>106</v>
      </c>
      <c r="E1238" s="6" t="s">
        <v>3263</v>
      </c>
      <c r="F1238" s="3" t="str">
        <f>IFERROR( VLOOKUP(A1238,#REF!,2,0),"")</f>
        <v/>
      </c>
      <c r="G1238" s="3" t="str">
        <f t="array" ref="G1238">_xlfn.XLOOKUP(I1238,Base_Datos!D:D,Base_Datos!B:B,"")</f>
        <v>DFSK</v>
      </c>
      <c r="H1238" s="3" t="str">
        <f t="array" ref="H1238">IF(I1238="","",IFERROR(_xlfn.XLOOKUP(I1238,Base_Datos!$D$2:$D3876,Base_Datos!$C$2:$C3876),""))</f>
        <v>Serie Glory</v>
      </c>
      <c r="I1238" s="3" t="s">
        <v>112</v>
      </c>
      <c r="J1238" s="3" t="str">
        <f>IF(I1238="","",IFERROR(VLOOKUP(I1238,Base_Datos!$D$2:$E$72,2,0),""))</f>
        <v>(1.8L)</v>
      </c>
      <c r="K1238" s="3" t="s">
        <v>1782</v>
      </c>
      <c r="L1238" s="3"/>
      <c r="M1238" s="7">
        <v>5</v>
      </c>
      <c r="N1238" s="7">
        <v>0</v>
      </c>
    </row>
    <row r="1239" spans="1:14" ht="14.25" x14ac:dyDescent="0.2">
      <c r="A1239" s="3">
        <v>88073</v>
      </c>
      <c r="B1239" s="3" t="s">
        <v>3264</v>
      </c>
      <c r="C1239" s="3" t="s">
        <v>19</v>
      </c>
      <c r="D1239" s="6" t="s">
        <v>86</v>
      </c>
      <c r="E1239" s="6" t="s">
        <v>3265</v>
      </c>
      <c r="F1239" s="3" t="str">
        <f>IFERROR( VLOOKUP(A1239,#REF!,2,0),"")</f>
        <v/>
      </c>
      <c r="G1239" s="3" t="str">
        <f t="array" ref="G1239">_xlfn.XLOOKUP(I1239,Base_Datos!D:D,Base_Datos!B:B,"")</f>
        <v>DFSK</v>
      </c>
      <c r="H1239" s="3" t="str">
        <f t="array" ref="H1239">IF(I1239="","",IFERROR(_xlfn.XLOOKUP(I1239,Base_Datos!$D$2:$D3876,Base_Datos!$C$2:$C3876),""))</f>
        <v>Serie Glory</v>
      </c>
      <c r="I1239" s="3" t="s">
        <v>112</v>
      </c>
      <c r="J1239" s="3" t="str">
        <f>IF(I1239="","",IFERROR(VLOOKUP(I1239,Base_Datos!$D$2:$E$72,2,0),""))</f>
        <v>(1.8L)</v>
      </c>
      <c r="K1239" s="3" t="s">
        <v>1782</v>
      </c>
      <c r="L1239" s="3"/>
      <c r="M1239" s="7">
        <v>2</v>
      </c>
      <c r="N1239" s="7">
        <v>0</v>
      </c>
    </row>
    <row r="1240" spans="1:14" ht="14.25" x14ac:dyDescent="0.2">
      <c r="A1240" s="3">
        <v>88074</v>
      </c>
      <c r="B1240" s="3" t="s">
        <v>3266</v>
      </c>
      <c r="C1240" s="3" t="s">
        <v>19</v>
      </c>
      <c r="D1240" s="6" t="s">
        <v>107</v>
      </c>
      <c r="E1240" s="6" t="s">
        <v>3267</v>
      </c>
      <c r="F1240" s="3" t="str">
        <f>IFERROR( VLOOKUP(A1240,#REF!,2,0),"")</f>
        <v/>
      </c>
      <c r="G1240" s="3" t="str">
        <f t="array" ref="G1240">_xlfn.XLOOKUP(I1240,Base_Datos!D:D,Base_Datos!B:B,"")</f>
        <v>DFSK</v>
      </c>
      <c r="H1240" s="3" t="str">
        <f t="array" ref="H1240">IF(I1240="","",IFERROR(_xlfn.XLOOKUP(I1240,Base_Datos!$D$2:$D3876,Base_Datos!$C$2:$C3876),""))</f>
        <v>Serie Glory</v>
      </c>
      <c r="I1240" s="3" t="s">
        <v>112</v>
      </c>
      <c r="J1240" s="3" t="str">
        <f>IF(I1240="","",IFERROR(VLOOKUP(I1240,Base_Datos!$D$2:$E$72,2,0),""))</f>
        <v>(1.8L)</v>
      </c>
      <c r="K1240" s="3" t="s">
        <v>1782</v>
      </c>
      <c r="L1240" s="3"/>
      <c r="M1240" s="7">
        <v>4</v>
      </c>
      <c r="N1240" s="7">
        <v>0</v>
      </c>
    </row>
    <row r="1241" spans="1:14" ht="14.25" x14ac:dyDescent="0.2">
      <c r="A1241" s="3">
        <v>88075</v>
      </c>
      <c r="B1241" s="3" t="s">
        <v>3268</v>
      </c>
      <c r="C1241" s="3" t="s">
        <v>19</v>
      </c>
      <c r="D1241" s="6" t="s">
        <v>108</v>
      </c>
      <c r="E1241" s="6" t="s">
        <v>3269</v>
      </c>
      <c r="F1241" s="3" t="str">
        <f>IFERROR( VLOOKUP(A1241,#REF!,2,0),"")</f>
        <v/>
      </c>
      <c r="G1241" s="3" t="str">
        <f t="array" ref="G1241">_xlfn.XLOOKUP(I1241,Base_Datos!D:D,Base_Datos!B:B,"")</f>
        <v>DFSK</v>
      </c>
      <c r="H1241" s="3" t="str">
        <f t="array" ref="H1241">IF(I1241="","",IFERROR(_xlfn.XLOOKUP(I1241,Base_Datos!$D$2:$D3876,Base_Datos!$C$2:$C3876),""))</f>
        <v>Serie Glory</v>
      </c>
      <c r="I1241" s="3" t="s">
        <v>112</v>
      </c>
      <c r="J1241" s="3" t="str">
        <f>IF(I1241="","",IFERROR(VLOOKUP(I1241,Base_Datos!$D$2:$E$72,2,0),""))</f>
        <v>(1.8L)</v>
      </c>
      <c r="K1241" s="3" t="s">
        <v>1782</v>
      </c>
      <c r="L1241" s="3"/>
      <c r="M1241" s="7">
        <v>2</v>
      </c>
      <c r="N1241" s="7">
        <v>0</v>
      </c>
    </row>
    <row r="1242" spans="1:14" ht="14.25" x14ac:dyDescent="0.2">
      <c r="A1242" s="3">
        <v>88076</v>
      </c>
      <c r="B1242" s="3" t="s">
        <v>3270</v>
      </c>
      <c r="C1242" s="3" t="s">
        <v>19</v>
      </c>
      <c r="D1242" s="6" t="s">
        <v>109</v>
      </c>
      <c r="E1242" s="6" t="s">
        <v>3271</v>
      </c>
      <c r="F1242" s="3" t="str">
        <f>IFERROR( VLOOKUP(A1242,#REF!,2,0),"")</f>
        <v/>
      </c>
      <c r="G1242" s="3" t="str">
        <f t="array" ref="G1242">_xlfn.XLOOKUP(I1242,Base_Datos!D:D,Base_Datos!B:B,"")</f>
        <v>DFSK</v>
      </c>
      <c r="H1242" s="3" t="str">
        <f t="array" ref="H1242">IF(I1242="","",IFERROR(_xlfn.XLOOKUP(I1242,Base_Datos!$D$2:$D3876,Base_Datos!$C$2:$C3876),""))</f>
        <v>Serie Glory</v>
      </c>
      <c r="I1242" s="3" t="s">
        <v>112</v>
      </c>
      <c r="J1242" s="3" t="str">
        <f>IF(I1242="","",IFERROR(VLOOKUP(I1242,Base_Datos!$D$2:$E$72,2,0),""))</f>
        <v>(1.8L)</v>
      </c>
      <c r="K1242" s="3" t="s">
        <v>1782</v>
      </c>
      <c r="L1242" s="3"/>
      <c r="M1242" s="7">
        <v>2</v>
      </c>
      <c r="N1242" s="7">
        <v>0</v>
      </c>
    </row>
    <row r="1243" spans="1:14" ht="14.25" x14ac:dyDescent="0.2">
      <c r="A1243" s="3">
        <v>88077</v>
      </c>
      <c r="B1243" s="3" t="s">
        <v>3272</v>
      </c>
      <c r="C1243" s="3" t="s">
        <v>19</v>
      </c>
      <c r="D1243" s="6" t="s">
        <v>79</v>
      </c>
      <c r="E1243" s="6" t="s">
        <v>3273</v>
      </c>
      <c r="F1243" s="3" t="str">
        <f>IFERROR( VLOOKUP(A1243,#REF!,2,0),"")</f>
        <v/>
      </c>
      <c r="G1243" s="3" t="str">
        <f t="array" ref="G1243">_xlfn.XLOOKUP(I1243,Base_Datos!D:D,Base_Datos!B:B,"")</f>
        <v>DFSK</v>
      </c>
      <c r="H1243" s="3" t="str">
        <f t="array" ref="H1243">IF(I1243="","",IFERROR(_xlfn.XLOOKUP(I1243,Base_Datos!$D$2:$D3876,Base_Datos!$C$2:$C3876),""))</f>
        <v>Serie Glory</v>
      </c>
      <c r="I1243" s="3" t="s">
        <v>112</v>
      </c>
      <c r="J1243" s="3" t="str">
        <f>IF(I1243="","",IFERROR(VLOOKUP(I1243,Base_Datos!$D$2:$E$72,2,0),""))</f>
        <v>(1.8L)</v>
      </c>
      <c r="K1243" s="3" t="s">
        <v>1782</v>
      </c>
      <c r="L1243" s="3"/>
      <c r="M1243" s="7">
        <v>2</v>
      </c>
      <c r="N1243" s="7">
        <v>0</v>
      </c>
    </row>
    <row r="1244" spans="1:14" ht="14.25" x14ac:dyDescent="0.2">
      <c r="A1244" s="3">
        <v>88078</v>
      </c>
      <c r="B1244" s="3" t="s">
        <v>3274</v>
      </c>
      <c r="C1244" s="3" t="s">
        <v>19</v>
      </c>
      <c r="D1244" s="6" t="s">
        <v>110</v>
      </c>
      <c r="E1244" s="6" t="s">
        <v>3275</v>
      </c>
      <c r="F1244" s="3" t="str">
        <f>IFERROR( VLOOKUP(A1244,#REF!,2,0),"")</f>
        <v/>
      </c>
      <c r="G1244" s="3" t="str">
        <f t="array" ref="G1244">_xlfn.XLOOKUP(I1244,Base_Datos!D:D,Base_Datos!B:B,"")</f>
        <v>DFSK</v>
      </c>
      <c r="H1244" s="3" t="str">
        <f t="array" ref="H1244">IF(I1244="","",IFERROR(_xlfn.XLOOKUP(I1244,Base_Datos!$D$2:$D3876,Base_Datos!$C$2:$C3876),""))</f>
        <v>Serie Glory</v>
      </c>
      <c r="I1244" s="3" t="s">
        <v>112</v>
      </c>
      <c r="J1244" s="3" t="str">
        <f>IF(I1244="","",IFERROR(VLOOKUP(I1244,Base_Datos!$D$2:$E$72,2,0),""))</f>
        <v>(1.8L)</v>
      </c>
      <c r="K1244" s="3" t="s">
        <v>1782</v>
      </c>
      <c r="L1244" s="3"/>
      <c r="M1244" s="7">
        <v>1</v>
      </c>
      <c r="N1244" s="7">
        <v>0</v>
      </c>
    </row>
    <row r="1245" spans="1:14" ht="14.25" x14ac:dyDescent="0.2">
      <c r="A1245" s="3">
        <v>88079</v>
      </c>
      <c r="B1245" s="3" t="s">
        <v>3276</v>
      </c>
      <c r="C1245" s="3" t="s">
        <v>19</v>
      </c>
      <c r="D1245" s="6" t="s">
        <v>3277</v>
      </c>
      <c r="E1245" s="6" t="s">
        <v>3277</v>
      </c>
      <c r="F1245" s="3" t="str">
        <f>IFERROR( VLOOKUP(A1245,#REF!,2,0),"")</f>
        <v/>
      </c>
      <c r="G1245" s="3" t="str">
        <f t="array" ref="G1245">_xlfn.XLOOKUP(I1245,Base_Datos!D:D,Base_Datos!B:B,"")</f>
        <v>DFSK</v>
      </c>
      <c r="H1245" s="3" t="str">
        <f t="array" ref="H1245">IF(I1245="","",IFERROR(_xlfn.XLOOKUP(I1245,Base_Datos!$D$2:$D3876,Base_Datos!$C$2:$C3876),""))</f>
        <v>Serie Glory</v>
      </c>
      <c r="I1245" s="3" t="s">
        <v>112</v>
      </c>
      <c r="J1245" s="3" t="str">
        <f>IF(I1245="","",IFERROR(VLOOKUP(I1245,Base_Datos!$D$2:$E$72,2,0),""))</f>
        <v>(1.8L)</v>
      </c>
      <c r="K1245" s="3" t="s">
        <v>1782</v>
      </c>
      <c r="L1245" s="3"/>
      <c r="M1245" s="7">
        <v>1</v>
      </c>
      <c r="N1245" s="7">
        <v>0</v>
      </c>
    </row>
    <row r="1246" spans="1:14" ht="14.25" x14ac:dyDescent="0.2">
      <c r="A1246" s="3">
        <v>88080</v>
      </c>
      <c r="B1246" s="3" t="s">
        <v>3278</v>
      </c>
      <c r="C1246" s="3" t="s">
        <v>19</v>
      </c>
      <c r="D1246" s="6" t="s">
        <v>111</v>
      </c>
      <c r="E1246" s="6" t="s">
        <v>3279</v>
      </c>
      <c r="F1246" s="3" t="str">
        <f>IFERROR( VLOOKUP(A1246,#REF!,2,0),"")</f>
        <v/>
      </c>
      <c r="G1246" s="3" t="str">
        <f t="array" ref="G1246">_xlfn.XLOOKUP(I1246,Base_Datos!D:D,Base_Datos!B:B,"")</f>
        <v>DFSK</v>
      </c>
      <c r="H1246" s="3" t="str">
        <f t="array" ref="H1246">IF(I1246="","",IFERROR(_xlfn.XLOOKUP(I1246,Base_Datos!$D$2:$D3876,Base_Datos!$C$2:$C3876),""))</f>
        <v>Serie Glory</v>
      </c>
      <c r="I1246" s="3" t="s">
        <v>112</v>
      </c>
      <c r="J1246" s="3" t="str">
        <f>IF(I1246="","",IFERROR(VLOOKUP(I1246,Base_Datos!$D$2:$E$72,2,0),""))</f>
        <v>(1.8L)</v>
      </c>
      <c r="K1246" s="3" t="s">
        <v>1782</v>
      </c>
      <c r="L1246" s="3"/>
      <c r="M1246" s="7">
        <v>4</v>
      </c>
      <c r="N1246" s="7">
        <v>0</v>
      </c>
    </row>
    <row r="1247" spans="1:14" ht="14.25" x14ac:dyDescent="0.2">
      <c r="A1247" s="3">
        <v>88081</v>
      </c>
      <c r="B1247" s="3" t="s">
        <v>2855</v>
      </c>
      <c r="C1247" s="3" t="s">
        <v>19</v>
      </c>
      <c r="D1247" s="6" t="s">
        <v>113</v>
      </c>
      <c r="E1247" s="6" t="s">
        <v>3280</v>
      </c>
      <c r="F1247" s="3" t="str">
        <f>IFERROR( VLOOKUP(A1247,#REF!,2,0),"")</f>
        <v/>
      </c>
      <c r="G1247" s="3" t="str">
        <f t="array" ref="G1247">_xlfn.XLOOKUP(I1247,Base_Datos!D:D,Base_Datos!B:B,"")</f>
        <v>DFSK</v>
      </c>
      <c r="H1247" s="3" t="str">
        <f t="array" ref="H1247">IF(I1247="","",IFERROR(_xlfn.XLOOKUP(I1247,Base_Datos!$D$2:$D3876,Base_Datos!$C$2:$C3876),""))</f>
        <v>Serie Glory</v>
      </c>
      <c r="I1247" s="3" t="s">
        <v>112</v>
      </c>
      <c r="J1247" s="3" t="str">
        <f>IF(I1247="","",IFERROR(VLOOKUP(I1247,Base_Datos!$D$2:$E$72,2,0),""))</f>
        <v>(1.8L)</v>
      </c>
      <c r="K1247" s="3" t="s">
        <v>1782</v>
      </c>
      <c r="L1247" s="3"/>
      <c r="M1247" s="7">
        <v>4</v>
      </c>
      <c r="N1247" s="7">
        <v>0</v>
      </c>
    </row>
    <row r="1248" spans="1:14" ht="14.25" x14ac:dyDescent="0.2">
      <c r="A1248" s="3">
        <v>88082</v>
      </c>
      <c r="B1248" s="3" t="s">
        <v>3281</v>
      </c>
      <c r="C1248" s="3" t="s">
        <v>19</v>
      </c>
      <c r="D1248" s="6" t="s">
        <v>114</v>
      </c>
      <c r="E1248" s="6" t="s">
        <v>3282</v>
      </c>
      <c r="F1248" s="3" t="str">
        <f>IFERROR( VLOOKUP(A1248,#REF!,2,0),"")</f>
        <v/>
      </c>
      <c r="G1248" s="3" t="str">
        <f t="array" ref="G1248">_xlfn.XLOOKUP(I1248,Base_Datos!D:D,Base_Datos!B:B,"")</f>
        <v>DFSK</v>
      </c>
      <c r="H1248" s="3" t="str">
        <f t="array" ref="H1248">IF(I1248="","",IFERROR(_xlfn.XLOOKUP(I1248,Base_Datos!$D$2:$D3876,Base_Datos!$C$2:$C3876),""))</f>
        <v>Serie Glory</v>
      </c>
      <c r="I1248" s="3" t="s">
        <v>112</v>
      </c>
      <c r="J1248" s="3" t="str">
        <f>IF(I1248="","",IFERROR(VLOOKUP(I1248,Base_Datos!$D$2:$E$72,2,0),""))</f>
        <v>(1.8L)</v>
      </c>
      <c r="K1248" s="3" t="s">
        <v>1782</v>
      </c>
      <c r="L1248" s="3"/>
      <c r="M1248" s="7">
        <v>4</v>
      </c>
      <c r="N1248" s="7">
        <v>0</v>
      </c>
    </row>
    <row r="1249" spans="1:14" ht="14.25" x14ac:dyDescent="0.2">
      <c r="A1249" s="3">
        <v>88083</v>
      </c>
      <c r="B1249" s="3" t="s">
        <v>3283</v>
      </c>
      <c r="C1249" s="3" t="s">
        <v>19</v>
      </c>
      <c r="D1249" s="6" t="s">
        <v>115</v>
      </c>
      <c r="E1249" s="6" t="s">
        <v>3284</v>
      </c>
      <c r="F1249" s="3" t="str">
        <f>IFERROR( VLOOKUP(A1249,#REF!,2,0),"")</f>
        <v/>
      </c>
      <c r="G1249" s="3" t="str">
        <f t="array" ref="G1249">_xlfn.XLOOKUP(I1249,Base_Datos!D:D,Base_Datos!B:B,"")</f>
        <v>DFSK</v>
      </c>
      <c r="H1249" s="3" t="str">
        <f t="array" ref="H1249">IF(I1249="","",IFERROR(_xlfn.XLOOKUP(I1249,Base_Datos!$D$2:$D3876,Base_Datos!$C$2:$C3876),""))</f>
        <v>Serie Glory</v>
      </c>
      <c r="I1249" s="3" t="s">
        <v>112</v>
      </c>
      <c r="J1249" s="3" t="str">
        <f>IF(I1249="","",IFERROR(VLOOKUP(I1249,Base_Datos!$D$2:$E$72,2,0),""))</f>
        <v>(1.8L)</v>
      </c>
      <c r="K1249" s="3" t="s">
        <v>1782</v>
      </c>
      <c r="L1249" s="3"/>
      <c r="M1249" s="7">
        <v>2</v>
      </c>
      <c r="N1249" s="7">
        <v>0</v>
      </c>
    </row>
    <row r="1250" spans="1:14" ht="14.25" x14ac:dyDescent="0.2">
      <c r="A1250" s="3">
        <v>88084</v>
      </c>
      <c r="B1250" s="3" t="s">
        <v>3285</v>
      </c>
      <c r="C1250" s="3" t="s">
        <v>19</v>
      </c>
      <c r="D1250" s="6" t="s">
        <v>110</v>
      </c>
      <c r="E1250" s="6" t="s">
        <v>3286</v>
      </c>
      <c r="F1250" s="3" t="str">
        <f>IFERROR( VLOOKUP(A1250,#REF!,2,0),"")</f>
        <v/>
      </c>
      <c r="G1250" s="3" t="str">
        <f t="array" ref="G1250">_xlfn.XLOOKUP(I1250,Base_Datos!D:D,Base_Datos!B:B,"")</f>
        <v>DFSK</v>
      </c>
      <c r="H1250" s="3" t="str">
        <f t="array" ref="H1250">IF(I1250="","",IFERROR(_xlfn.XLOOKUP(I1250,Base_Datos!$D$2:$D3876,Base_Datos!$C$2:$C3876),""))</f>
        <v>Serie Glory</v>
      </c>
      <c r="I1250" s="3" t="s">
        <v>112</v>
      </c>
      <c r="J1250" s="3" t="str">
        <f>IF(I1250="","",IFERROR(VLOOKUP(I1250,Base_Datos!$D$2:$E$72,2,0),""))</f>
        <v>(1.8L)</v>
      </c>
      <c r="K1250" s="3" t="s">
        <v>1782</v>
      </c>
      <c r="L1250" s="3"/>
      <c r="M1250" s="7">
        <v>1</v>
      </c>
      <c r="N1250" s="7">
        <v>0</v>
      </c>
    </row>
    <row r="1251" spans="1:14" ht="14.25" x14ac:dyDescent="0.2">
      <c r="A1251" s="3">
        <v>88085</v>
      </c>
      <c r="B1251" s="3" t="s">
        <v>3287</v>
      </c>
      <c r="C1251" s="3" t="s">
        <v>19</v>
      </c>
      <c r="D1251" s="6" t="s">
        <v>116</v>
      </c>
      <c r="E1251" s="6" t="s">
        <v>3288</v>
      </c>
      <c r="F1251" s="3" t="str">
        <f>IFERROR( VLOOKUP(A1251,#REF!,2,0),"")</f>
        <v/>
      </c>
      <c r="G1251" s="3" t="str">
        <f t="array" ref="G1251">_xlfn.XLOOKUP(I1251,Base_Datos!D:D,Base_Datos!B:B,"")</f>
        <v>DFSK</v>
      </c>
      <c r="H1251" s="3" t="str">
        <f t="array" ref="H1251">IF(I1251="","",IFERROR(_xlfn.XLOOKUP(I1251,Base_Datos!$D$2:$D3876,Base_Datos!$C$2:$C3876),""))</f>
        <v>Serie Glory</v>
      </c>
      <c r="I1251" s="3" t="s">
        <v>112</v>
      </c>
      <c r="J1251" s="3" t="str">
        <f>IF(I1251="","",IFERROR(VLOOKUP(I1251,Base_Datos!$D$2:$E$72,2,0),""))</f>
        <v>(1.8L)</v>
      </c>
      <c r="K1251" s="3" t="s">
        <v>1782</v>
      </c>
      <c r="L1251" s="3"/>
      <c r="M1251" s="7">
        <v>3</v>
      </c>
      <c r="N1251" s="7">
        <v>0</v>
      </c>
    </row>
    <row r="1252" spans="1:14" ht="14.25" x14ac:dyDescent="0.2">
      <c r="A1252" s="3">
        <v>88086</v>
      </c>
      <c r="B1252" s="3" t="s">
        <v>2245</v>
      </c>
      <c r="C1252" s="3" t="s">
        <v>19</v>
      </c>
      <c r="D1252" s="6" t="s">
        <v>117</v>
      </c>
      <c r="E1252" s="6" t="s">
        <v>3289</v>
      </c>
      <c r="F1252" s="3" t="str">
        <f>IFERROR( VLOOKUP(A1252,#REF!,2,0),"")</f>
        <v/>
      </c>
      <c r="G1252" s="3" t="str">
        <f t="array" ref="G1252">_xlfn.XLOOKUP(I1252,Base_Datos!D:D,Base_Datos!B:B,"")</f>
        <v>DFSK</v>
      </c>
      <c r="H1252" s="3" t="str">
        <f t="array" ref="H1252">IF(I1252="","",IFERROR(_xlfn.XLOOKUP(I1252,Base_Datos!$D$2:$D3876,Base_Datos!$C$2:$C3876),""))</f>
        <v>Serie Glory</v>
      </c>
      <c r="I1252" s="3" t="s">
        <v>112</v>
      </c>
      <c r="J1252" s="3" t="str">
        <f>IF(I1252="","",IFERROR(VLOOKUP(I1252,Base_Datos!$D$2:$E$72,2,0),""))</f>
        <v>(1.8L)</v>
      </c>
      <c r="K1252" s="3" t="s">
        <v>1782</v>
      </c>
      <c r="L1252" s="3"/>
      <c r="M1252" s="7">
        <v>0</v>
      </c>
      <c r="N1252" s="7">
        <v>0</v>
      </c>
    </row>
    <row r="1253" spans="1:14" ht="14.25" x14ac:dyDescent="0.2">
      <c r="A1253" s="3">
        <v>88087</v>
      </c>
      <c r="B1253" s="3" t="s">
        <v>3290</v>
      </c>
      <c r="C1253" s="3" t="s">
        <v>19</v>
      </c>
      <c r="D1253" s="6" t="s">
        <v>118</v>
      </c>
      <c r="E1253" s="6" t="s">
        <v>3291</v>
      </c>
      <c r="F1253" s="3" t="str">
        <f>IFERROR( VLOOKUP(A1253,#REF!,2,0),"")</f>
        <v/>
      </c>
      <c r="G1253" s="3" t="str">
        <f t="array" ref="G1253">_xlfn.XLOOKUP(I1253,Base_Datos!D:D,Base_Datos!B:B,"")</f>
        <v>SHINERAY</v>
      </c>
      <c r="H1253" s="3" t="str">
        <f t="array" ref="H1253">IF(I1253="","",IFERROR(_xlfn.XLOOKUP(I1253,Base_Datos!$D$2:$D3876,Base_Datos!$C$2:$C3876),""))</f>
        <v>Serie X30</v>
      </c>
      <c r="I1253" s="3" t="s">
        <v>1771</v>
      </c>
      <c r="J1253" s="3" t="str">
        <f>IF(I1253="","",IFERROR(VLOOKUP(I1253,Base_Datos!$D$2:$E$72,2,0),""))</f>
        <v>(1.5L)</v>
      </c>
      <c r="K1253" s="3" t="s">
        <v>1782</v>
      </c>
      <c r="L1253" s="3"/>
      <c r="M1253" s="7">
        <v>2</v>
      </c>
      <c r="N1253" s="7">
        <v>0</v>
      </c>
    </row>
    <row r="1254" spans="1:14" ht="14.25" x14ac:dyDescent="0.2">
      <c r="A1254" s="3">
        <v>88088</v>
      </c>
      <c r="B1254" s="3" t="s">
        <v>1878</v>
      </c>
      <c r="C1254" s="3" t="s">
        <v>19</v>
      </c>
      <c r="D1254" s="6" t="s">
        <v>119</v>
      </c>
      <c r="E1254" s="6" t="s">
        <v>3292</v>
      </c>
      <c r="F1254" s="3" t="str">
        <f>IFERROR( VLOOKUP(A1254,#REF!,2,0),"")</f>
        <v/>
      </c>
      <c r="G1254" s="3" t="str">
        <f t="array" ref="G1254">_xlfn.XLOOKUP(I1254,Base_Datos!D:D,Base_Datos!B:B,"")</f>
        <v>DFSK</v>
      </c>
      <c r="H1254" s="3" t="str">
        <f t="array" ref="H1254">IF(I1254="","",IFERROR(_xlfn.XLOOKUP(I1254,Base_Datos!$D$2:$D3876,Base_Datos!$C$2:$C3876),""))</f>
        <v>Serie Glory</v>
      </c>
      <c r="I1254" s="3" t="s">
        <v>112</v>
      </c>
      <c r="J1254" s="3" t="str">
        <f>IF(I1254="","",IFERROR(VLOOKUP(I1254,Base_Datos!$D$2:$E$72,2,0),""))</f>
        <v>(1.8L)</v>
      </c>
      <c r="K1254" s="3" t="s">
        <v>1782</v>
      </c>
      <c r="L1254" s="3"/>
      <c r="M1254" s="7">
        <v>3</v>
      </c>
      <c r="N1254" s="7">
        <v>0</v>
      </c>
    </row>
    <row r="1255" spans="1:14" ht="14.25" x14ac:dyDescent="0.2">
      <c r="A1255" s="3">
        <v>88089</v>
      </c>
      <c r="B1255" s="3" t="s">
        <v>3293</v>
      </c>
      <c r="C1255" s="3" t="s">
        <v>19</v>
      </c>
      <c r="D1255" s="6" t="s">
        <v>120</v>
      </c>
      <c r="E1255" s="6" t="s">
        <v>3294</v>
      </c>
      <c r="F1255" s="3" t="str">
        <f>IFERROR( VLOOKUP(A1255,#REF!,2,0),"")</f>
        <v/>
      </c>
      <c r="G1255" s="3" t="str">
        <f t="array" ref="G1255">_xlfn.XLOOKUP(I1255,Base_Datos!D:D,Base_Datos!B:B,"")</f>
        <v>DFSK</v>
      </c>
      <c r="H1255" s="3" t="str">
        <f t="array" ref="H1255">IF(I1255="","",IFERROR(_xlfn.XLOOKUP(I1255,Base_Datos!$D$2:$D3876,Base_Datos!$C$2:$C3876),""))</f>
        <v>Serie Glory</v>
      </c>
      <c r="I1255" s="3" t="s">
        <v>112</v>
      </c>
      <c r="J1255" s="3" t="str">
        <f>IF(I1255="","",IFERROR(VLOOKUP(I1255,Base_Datos!$D$2:$E$72,2,0),""))</f>
        <v>(1.8L)</v>
      </c>
      <c r="K1255" s="3" t="s">
        <v>1782</v>
      </c>
      <c r="L1255" s="3"/>
      <c r="M1255" s="7">
        <v>4</v>
      </c>
      <c r="N1255" s="7">
        <v>0</v>
      </c>
    </row>
    <row r="1256" spans="1:14" ht="14.25" x14ac:dyDescent="0.2">
      <c r="A1256" s="3">
        <v>88090</v>
      </c>
      <c r="B1256" s="3" t="s">
        <v>3295</v>
      </c>
      <c r="C1256" s="3" t="s">
        <v>19</v>
      </c>
      <c r="D1256" s="6" t="s">
        <v>121</v>
      </c>
      <c r="E1256" s="6" t="s">
        <v>3296</v>
      </c>
      <c r="F1256" s="3" t="str">
        <f>IFERROR( VLOOKUP(A1256,#REF!,2,0),"")</f>
        <v/>
      </c>
      <c r="G1256" s="3" t="str">
        <f t="array" ref="G1256">_xlfn.XLOOKUP(I1256,Base_Datos!D:D,Base_Datos!B:B,"")</f>
        <v>DFSK</v>
      </c>
      <c r="H1256" s="3" t="str">
        <f t="array" ref="H1256">IF(I1256="","",IFERROR(_xlfn.XLOOKUP(I1256,Base_Datos!$D$2:$D3876,Base_Datos!$C$2:$C3876),""))</f>
        <v>Serie Glory</v>
      </c>
      <c r="I1256" s="3" t="s">
        <v>112</v>
      </c>
      <c r="J1256" s="3" t="str">
        <f>IF(I1256="","",IFERROR(VLOOKUP(I1256,Base_Datos!$D$2:$E$72,2,0),""))</f>
        <v>(1.8L)</v>
      </c>
      <c r="K1256" s="3" t="s">
        <v>1782</v>
      </c>
      <c r="L1256" s="3"/>
      <c r="M1256" s="7">
        <v>3</v>
      </c>
      <c r="N1256" s="7">
        <v>0</v>
      </c>
    </row>
    <row r="1257" spans="1:14" ht="14.25" x14ac:dyDescent="0.2">
      <c r="A1257" s="3">
        <v>88091</v>
      </c>
      <c r="B1257" s="3" t="s">
        <v>3297</v>
      </c>
      <c r="C1257" s="3" t="s">
        <v>19</v>
      </c>
      <c r="D1257" s="6" t="s">
        <v>122</v>
      </c>
      <c r="E1257" s="6" t="s">
        <v>2457</v>
      </c>
      <c r="F1257" s="3" t="str">
        <f>IFERROR( VLOOKUP(A1257,#REF!,2,0),"")</f>
        <v/>
      </c>
      <c r="G1257" s="3" t="str">
        <f t="array" ref="G1257">_xlfn.XLOOKUP(I1257,Base_Datos!D:D,Base_Datos!B:B,"")</f>
        <v>DFSK</v>
      </c>
      <c r="H1257" s="3" t="str">
        <f t="array" ref="H1257">IF(I1257="","",IFERROR(_xlfn.XLOOKUP(I1257,Base_Datos!$D$2:$D3876,Base_Datos!$C$2:$C3876),""))</f>
        <v>Serie Glory</v>
      </c>
      <c r="I1257" s="3" t="s">
        <v>112</v>
      </c>
      <c r="J1257" s="3" t="str">
        <f>IF(I1257="","",IFERROR(VLOOKUP(I1257,Base_Datos!$D$2:$E$72,2,0),""))</f>
        <v>(1.8L)</v>
      </c>
      <c r="K1257" s="3" t="s">
        <v>1782</v>
      </c>
      <c r="L1257" s="3"/>
      <c r="M1257" s="7">
        <v>2</v>
      </c>
      <c r="N1257" s="7">
        <v>0</v>
      </c>
    </row>
    <row r="1258" spans="1:14" ht="14.25" x14ac:dyDescent="0.2">
      <c r="A1258" s="3">
        <v>88092</v>
      </c>
      <c r="B1258" s="3" t="s">
        <v>3298</v>
      </c>
      <c r="C1258" s="3" t="s">
        <v>19</v>
      </c>
      <c r="D1258" s="6" t="s">
        <v>3299</v>
      </c>
      <c r="E1258" s="6" t="s">
        <v>1782</v>
      </c>
      <c r="F1258" s="3" t="str">
        <f>IFERROR( VLOOKUP(A1258,#REF!,2,0),"")</f>
        <v/>
      </c>
      <c r="G1258" s="3" t="str">
        <f t="array" ref="G1258">_xlfn.XLOOKUP(I1258,Base_Datos!D:D,Base_Datos!B:B,"")</f>
        <v>SHINERAY</v>
      </c>
      <c r="H1258" s="3" t="str">
        <f t="array" ref="H1258">IF(I1258="","",IFERROR(_xlfn.XLOOKUP(I1258,Base_Datos!$D$2:$D3876,Base_Datos!$C$2:$C3876),""))</f>
        <v>Serie X30</v>
      </c>
      <c r="I1258" s="3" t="s">
        <v>1771</v>
      </c>
      <c r="J1258" s="3" t="str">
        <f>IF(I1258="","",IFERROR(VLOOKUP(I1258,Base_Datos!$D$2:$E$72,2,0),""))</f>
        <v>(1.5L)</v>
      </c>
      <c r="K1258" s="3" t="s">
        <v>1782</v>
      </c>
      <c r="L1258" s="3"/>
      <c r="M1258" s="7">
        <v>5</v>
      </c>
      <c r="N1258" s="7">
        <v>0</v>
      </c>
    </row>
    <row r="1259" spans="1:14" ht="14.25" x14ac:dyDescent="0.2">
      <c r="A1259" s="3">
        <v>88093</v>
      </c>
      <c r="B1259" s="3" t="s">
        <v>3300</v>
      </c>
      <c r="C1259" s="3" t="s">
        <v>19</v>
      </c>
      <c r="D1259" s="6" t="s">
        <v>3301</v>
      </c>
      <c r="E1259" s="6" t="s">
        <v>3301</v>
      </c>
      <c r="F1259" s="3" t="str">
        <f>IFERROR( VLOOKUP(A1259,#REF!,2,0),"")</f>
        <v/>
      </c>
      <c r="G1259" s="3" t="str">
        <f t="array" ref="G1259">_xlfn.XLOOKUP(I1259,Base_Datos!D:D,Base_Datos!B:B,"")</f>
        <v>SHINERAY</v>
      </c>
      <c r="H1259" s="3" t="str">
        <f t="array" ref="H1259">IF(I1259="","",IFERROR(_xlfn.XLOOKUP(I1259,Base_Datos!$D$2:$D3876,Base_Datos!$C$2:$C3876),""))</f>
        <v>Serie X30</v>
      </c>
      <c r="I1259" s="3" t="s">
        <v>1771</v>
      </c>
      <c r="J1259" s="3" t="str">
        <f>IF(I1259="","",IFERROR(VLOOKUP(I1259,Base_Datos!$D$2:$E$72,2,0),""))</f>
        <v>(1.5L)</v>
      </c>
      <c r="K1259" s="3" t="s">
        <v>1782</v>
      </c>
      <c r="L1259" s="3"/>
      <c r="M1259" s="7">
        <v>3</v>
      </c>
      <c r="N1259" s="7">
        <v>0</v>
      </c>
    </row>
    <row r="1260" spans="1:14" ht="14.25" x14ac:dyDescent="0.2">
      <c r="A1260" s="3">
        <v>88094</v>
      </c>
      <c r="B1260" s="3" t="s">
        <v>3302</v>
      </c>
      <c r="C1260" s="3" t="s">
        <v>19</v>
      </c>
      <c r="D1260" s="6" t="s">
        <v>3303</v>
      </c>
      <c r="E1260" s="6" t="s">
        <v>3303</v>
      </c>
      <c r="F1260" s="3" t="str">
        <f>IFERROR( VLOOKUP(A1260,#REF!,2,0),"")</f>
        <v/>
      </c>
      <c r="G1260" s="3" t="str">
        <f t="array" ref="G1260">_xlfn.XLOOKUP(I1260,Base_Datos!D:D,Base_Datos!B:B,"")</f>
        <v>SHINERAY</v>
      </c>
      <c r="H1260" s="3" t="str">
        <f t="array" ref="H1260">IF(I1260="","",IFERROR(_xlfn.XLOOKUP(I1260,Base_Datos!$D$2:$D3876,Base_Datos!$C$2:$C3876),""))</f>
        <v>Serie X30</v>
      </c>
      <c r="I1260" s="3" t="s">
        <v>1771</v>
      </c>
      <c r="J1260" s="3" t="str">
        <f>IF(I1260="","",IFERROR(VLOOKUP(I1260,Base_Datos!$D$2:$E$72,2,0),""))</f>
        <v>(1.5L)</v>
      </c>
      <c r="K1260" s="3" t="s">
        <v>1782</v>
      </c>
      <c r="L1260" s="3"/>
      <c r="M1260" s="7">
        <v>4</v>
      </c>
      <c r="N1260" s="7">
        <v>0</v>
      </c>
    </row>
    <row r="1261" spans="1:14" ht="14.25" x14ac:dyDescent="0.2">
      <c r="A1261" s="3">
        <v>88095</v>
      </c>
      <c r="B1261" s="3" t="s">
        <v>3304</v>
      </c>
      <c r="C1261" s="3" t="s">
        <v>19</v>
      </c>
      <c r="D1261" s="6" t="s">
        <v>3305</v>
      </c>
      <c r="E1261" s="6" t="s">
        <v>3305</v>
      </c>
      <c r="F1261" s="3" t="str">
        <f>IFERROR( VLOOKUP(A1261,#REF!,2,0),"")</f>
        <v/>
      </c>
      <c r="G1261" s="3" t="str">
        <f t="array" ref="G1261">_xlfn.XLOOKUP(I1261,Base_Datos!D:D,Base_Datos!B:B,"")</f>
        <v>SHINERAY</v>
      </c>
      <c r="H1261" s="3" t="str">
        <f t="array" ref="H1261">IF(I1261="","",IFERROR(_xlfn.XLOOKUP(I1261,Base_Datos!$D$2:$D3876,Base_Datos!$C$2:$C3876),""))</f>
        <v>Serie X30</v>
      </c>
      <c r="I1261" s="3" t="s">
        <v>1771</v>
      </c>
      <c r="J1261" s="3" t="str">
        <f>IF(I1261="","",IFERROR(VLOOKUP(I1261,Base_Datos!$D$2:$E$72,2,0),""))</f>
        <v>(1.5L)</v>
      </c>
      <c r="K1261" s="3" t="s">
        <v>1782</v>
      </c>
      <c r="L1261" s="3"/>
      <c r="M1261" s="7">
        <v>10</v>
      </c>
      <c r="N1261" s="7">
        <v>0</v>
      </c>
    </row>
    <row r="1262" spans="1:14" ht="14.25" x14ac:dyDescent="0.2">
      <c r="A1262" s="3">
        <v>88096</v>
      </c>
      <c r="B1262" s="3" t="s">
        <v>3304</v>
      </c>
      <c r="C1262" s="3" t="s">
        <v>19</v>
      </c>
      <c r="D1262" s="6" t="s">
        <v>3306</v>
      </c>
      <c r="E1262" s="6" t="s">
        <v>3306</v>
      </c>
      <c r="F1262" s="3" t="str">
        <f>IFERROR( VLOOKUP(A1262,#REF!,2,0),"")</f>
        <v/>
      </c>
      <c r="G1262" s="3" t="str">
        <f t="array" ref="G1262">_xlfn.XLOOKUP(I1262,Base_Datos!D:D,Base_Datos!B:B,"")</f>
        <v>SHINERAY</v>
      </c>
      <c r="H1262" s="3" t="str">
        <f t="array" ref="H1262">IF(I1262="","",IFERROR(_xlfn.XLOOKUP(I1262,Base_Datos!$D$2:$D3876,Base_Datos!$C$2:$C3876),""))</f>
        <v>Serie X30</v>
      </c>
      <c r="I1262" s="3" t="s">
        <v>1771</v>
      </c>
      <c r="J1262" s="3" t="str">
        <f>IF(I1262="","",IFERROR(VLOOKUP(I1262,Base_Datos!$D$2:$E$72,2,0),""))</f>
        <v>(1.5L)</v>
      </c>
      <c r="K1262" s="3" t="s">
        <v>1782</v>
      </c>
      <c r="L1262" s="3"/>
      <c r="M1262" s="7">
        <v>10</v>
      </c>
      <c r="N1262" s="7">
        <v>0</v>
      </c>
    </row>
    <row r="1263" spans="1:14" ht="14.25" x14ac:dyDescent="0.2">
      <c r="A1263" s="3">
        <v>88097</v>
      </c>
      <c r="B1263" s="3" t="s">
        <v>3307</v>
      </c>
      <c r="C1263" s="3" t="s">
        <v>19</v>
      </c>
      <c r="D1263" s="6" t="s">
        <v>3308</v>
      </c>
      <c r="E1263" s="6" t="s">
        <v>3308</v>
      </c>
      <c r="F1263" s="3" t="str">
        <f>IFERROR( VLOOKUP(A1263,#REF!,2,0),"")</f>
        <v/>
      </c>
      <c r="G1263" s="3" t="str">
        <f t="array" ref="G1263">_xlfn.XLOOKUP(I1263,Base_Datos!D:D,Base_Datos!B:B,"")</f>
        <v>SHINERAY</v>
      </c>
      <c r="H1263" s="3" t="str">
        <f t="array" ref="H1263">IF(I1263="","",IFERROR(_xlfn.XLOOKUP(I1263,Base_Datos!$D$2:$D3876,Base_Datos!$C$2:$C3876),""))</f>
        <v>Serie X30</v>
      </c>
      <c r="I1263" s="3" t="s">
        <v>1771</v>
      </c>
      <c r="J1263" s="3" t="str">
        <f>IF(I1263="","",IFERROR(VLOOKUP(I1263,Base_Datos!$D$2:$E$72,2,0),""))</f>
        <v>(1.5L)</v>
      </c>
      <c r="K1263" s="3" t="s">
        <v>1782</v>
      </c>
      <c r="L1263" s="3"/>
      <c r="M1263" s="7">
        <v>2</v>
      </c>
      <c r="N1263" s="7">
        <v>0</v>
      </c>
    </row>
    <row r="1264" spans="1:14" ht="14.25" x14ac:dyDescent="0.2">
      <c r="A1264" s="3">
        <v>88098</v>
      </c>
      <c r="B1264" s="3" t="s">
        <v>3309</v>
      </c>
      <c r="C1264" s="3" t="s">
        <v>19</v>
      </c>
      <c r="D1264" s="6" t="s">
        <v>3310</v>
      </c>
      <c r="E1264" s="6" t="s">
        <v>3310</v>
      </c>
      <c r="F1264" s="3" t="str">
        <f>IFERROR( VLOOKUP(A1264,#REF!,2,0),"")</f>
        <v/>
      </c>
      <c r="G1264" s="3" t="str">
        <f t="array" ref="G1264">_xlfn.XLOOKUP(I1264,Base_Datos!D:D,Base_Datos!B:B,"")</f>
        <v>SHINERAY</v>
      </c>
      <c r="H1264" s="3" t="str">
        <f t="array" ref="H1264">IF(I1264="","",IFERROR(_xlfn.XLOOKUP(I1264,Base_Datos!$D$2:$D3876,Base_Datos!$C$2:$C3876),""))</f>
        <v>Serie X30</v>
      </c>
      <c r="I1264" s="3" t="s">
        <v>1771</v>
      </c>
      <c r="J1264" s="3" t="str">
        <f>IF(I1264="","",IFERROR(VLOOKUP(I1264,Base_Datos!$D$2:$E$72,2,0),""))</f>
        <v>(1.5L)</v>
      </c>
      <c r="K1264" s="3" t="s">
        <v>1782</v>
      </c>
      <c r="L1264" s="3"/>
      <c r="M1264" s="7">
        <v>2</v>
      </c>
      <c r="N1264" s="7">
        <v>0</v>
      </c>
    </row>
    <row r="1265" spans="1:14" ht="14.25" x14ac:dyDescent="0.2">
      <c r="A1265" s="3">
        <v>88099</v>
      </c>
      <c r="B1265" s="3" t="s">
        <v>3311</v>
      </c>
      <c r="C1265" s="3" t="s">
        <v>19</v>
      </c>
      <c r="D1265" s="6" t="s">
        <v>3312</v>
      </c>
      <c r="E1265" s="6" t="s">
        <v>3312</v>
      </c>
      <c r="F1265" s="3" t="str">
        <f>IFERROR( VLOOKUP(A1265,#REF!,2,0),"")</f>
        <v/>
      </c>
      <c r="G1265" s="3" t="str">
        <f t="array" ref="G1265">_xlfn.XLOOKUP(I1265,Base_Datos!D:D,Base_Datos!B:B,"")</f>
        <v>SHINERAY</v>
      </c>
      <c r="H1265" s="3" t="str">
        <f t="array" ref="H1265">IF(I1265="","",IFERROR(_xlfn.XLOOKUP(I1265,Base_Datos!$D$2:$D3876,Base_Datos!$C$2:$C3876),""))</f>
        <v>Serie X30</v>
      </c>
      <c r="I1265" s="3" t="s">
        <v>1771</v>
      </c>
      <c r="J1265" s="3" t="str">
        <f>IF(I1265="","",IFERROR(VLOOKUP(I1265,Base_Datos!$D$2:$E$72,2,0),""))</f>
        <v>(1.5L)</v>
      </c>
      <c r="K1265" s="3" t="s">
        <v>1782</v>
      </c>
      <c r="L1265" s="3"/>
      <c r="M1265" s="7">
        <v>2</v>
      </c>
      <c r="N1265" s="7">
        <v>0</v>
      </c>
    </row>
    <row r="1266" spans="1:14" ht="14.25" x14ac:dyDescent="0.2">
      <c r="A1266" s="3">
        <v>88100</v>
      </c>
      <c r="B1266" s="3" t="s">
        <v>3313</v>
      </c>
      <c r="C1266" s="3" t="s">
        <v>19</v>
      </c>
      <c r="D1266" s="6" t="s">
        <v>3314</v>
      </c>
      <c r="E1266" s="6" t="s">
        <v>3314</v>
      </c>
      <c r="F1266" s="3" t="str">
        <f>IFERROR( VLOOKUP(A1266,#REF!,2,0),"")</f>
        <v/>
      </c>
      <c r="G1266" s="3" t="str">
        <f t="array" ref="G1266">_xlfn.XLOOKUP(I1266,Base_Datos!D:D,Base_Datos!B:B,"")</f>
        <v>SHINERAY</v>
      </c>
      <c r="H1266" s="3" t="str">
        <f t="array" ref="H1266">IF(I1266="","",IFERROR(_xlfn.XLOOKUP(I1266,Base_Datos!$D$2:$D3876,Base_Datos!$C$2:$C3876),""))</f>
        <v>Serie X30</v>
      </c>
      <c r="I1266" s="3" t="s">
        <v>1771</v>
      </c>
      <c r="J1266" s="3" t="str">
        <f>IF(I1266="","",IFERROR(VLOOKUP(I1266,Base_Datos!$D$2:$E$72,2,0),""))</f>
        <v>(1.5L)</v>
      </c>
      <c r="K1266" s="3" t="s">
        <v>1782</v>
      </c>
      <c r="L1266" s="3"/>
      <c r="M1266" s="7">
        <v>1</v>
      </c>
      <c r="N1266" s="7">
        <v>0</v>
      </c>
    </row>
    <row r="1267" spans="1:14" ht="14.25" x14ac:dyDescent="0.2">
      <c r="A1267" s="3">
        <v>88101</v>
      </c>
      <c r="B1267" s="3" t="s">
        <v>3315</v>
      </c>
      <c r="C1267" s="3" t="s">
        <v>19</v>
      </c>
      <c r="D1267" s="6" t="s">
        <v>3316</v>
      </c>
      <c r="E1267" s="6" t="s">
        <v>3316</v>
      </c>
      <c r="F1267" s="3" t="str">
        <f>IFERROR( VLOOKUP(A1267,#REF!,2,0),"")</f>
        <v/>
      </c>
      <c r="G1267" s="3" t="str">
        <f t="array" ref="G1267">_xlfn.XLOOKUP(I1267,Base_Datos!D:D,Base_Datos!B:B,"")</f>
        <v>SHINERAY</v>
      </c>
      <c r="H1267" s="3" t="str">
        <f t="array" ref="H1267">IF(I1267="","",IFERROR(_xlfn.XLOOKUP(I1267,Base_Datos!$D$2:$D3876,Base_Datos!$C$2:$C3876),""))</f>
        <v>Serie X30</v>
      </c>
      <c r="I1267" s="3" t="s">
        <v>1771</v>
      </c>
      <c r="J1267" s="3" t="str">
        <f>IF(I1267="","",IFERROR(VLOOKUP(I1267,Base_Datos!$D$2:$E$72,2,0),""))</f>
        <v>(1.5L)</v>
      </c>
      <c r="K1267" s="3" t="s">
        <v>1782</v>
      </c>
      <c r="L1267" s="3"/>
      <c r="M1267" s="7">
        <v>1</v>
      </c>
      <c r="N1267" s="7">
        <v>0</v>
      </c>
    </row>
    <row r="1268" spans="1:14" ht="14.25" x14ac:dyDescent="0.2">
      <c r="A1268" s="3">
        <v>88102</v>
      </c>
      <c r="B1268" s="3" t="s">
        <v>3245</v>
      </c>
      <c r="C1268" s="3" t="s">
        <v>19</v>
      </c>
      <c r="D1268" s="6" t="s">
        <v>3317</v>
      </c>
      <c r="E1268" s="6" t="s">
        <v>3317</v>
      </c>
      <c r="F1268" s="3" t="str">
        <f>IFERROR( VLOOKUP(A1268,#REF!,2,0),"")</f>
        <v/>
      </c>
      <c r="G1268" s="3" t="str">
        <f t="array" ref="G1268">_xlfn.XLOOKUP(I1268,Base_Datos!D:D,Base_Datos!B:B,"")</f>
        <v>SHINERAY</v>
      </c>
      <c r="H1268" s="3" t="str">
        <f t="array" ref="H1268">IF(I1268="","",IFERROR(_xlfn.XLOOKUP(I1268,Base_Datos!$D$2:$D3876,Base_Datos!$C$2:$C3876),""))</f>
        <v>Serie X30</v>
      </c>
      <c r="I1268" s="3" t="s">
        <v>1771</v>
      </c>
      <c r="J1268" s="3" t="str">
        <f>IF(I1268="","",IFERROR(VLOOKUP(I1268,Base_Datos!$D$2:$E$72,2,0),""))</f>
        <v>(1.5L)</v>
      </c>
      <c r="K1268" s="3" t="s">
        <v>1782</v>
      </c>
      <c r="L1268" s="3"/>
      <c r="M1268" s="7">
        <v>1</v>
      </c>
      <c r="N1268" s="7">
        <v>0</v>
      </c>
    </row>
    <row r="1269" spans="1:14" ht="14.25" x14ac:dyDescent="0.2">
      <c r="A1269" s="3">
        <v>88103</v>
      </c>
      <c r="B1269" s="3" t="s">
        <v>3241</v>
      </c>
      <c r="C1269" s="3" t="s">
        <v>19</v>
      </c>
      <c r="D1269" s="6" t="s">
        <v>3318</v>
      </c>
      <c r="E1269" s="6" t="s">
        <v>3318</v>
      </c>
      <c r="F1269" s="3" t="str">
        <f>IFERROR( VLOOKUP(A1269,#REF!,2,0),"")</f>
        <v/>
      </c>
      <c r="G1269" s="3" t="str">
        <f t="array" ref="G1269">_xlfn.XLOOKUP(I1269,Base_Datos!D:D,Base_Datos!B:B,"")</f>
        <v>SHINERAY</v>
      </c>
      <c r="H1269" s="3" t="str">
        <f t="array" ref="H1269">IF(I1269="","",IFERROR(_xlfn.XLOOKUP(I1269,Base_Datos!$D$2:$D3876,Base_Datos!$C$2:$C3876),""))</f>
        <v>Serie X30</v>
      </c>
      <c r="I1269" s="3" t="s">
        <v>1771</v>
      </c>
      <c r="J1269" s="3" t="str">
        <f>IF(I1269="","",IFERROR(VLOOKUP(I1269,Base_Datos!$D$2:$E$72,2,0),""))</f>
        <v>(1.5L)</v>
      </c>
      <c r="K1269" s="3" t="s">
        <v>1782</v>
      </c>
      <c r="L1269" s="3"/>
      <c r="M1269" s="7">
        <v>1</v>
      </c>
      <c r="N1269" s="7">
        <v>0</v>
      </c>
    </row>
    <row r="1270" spans="1:14" ht="14.25" x14ac:dyDescent="0.2">
      <c r="A1270" s="3">
        <v>88104</v>
      </c>
      <c r="B1270" s="3" t="s">
        <v>3319</v>
      </c>
      <c r="C1270" s="3" t="s">
        <v>19</v>
      </c>
      <c r="D1270" s="6" t="s">
        <v>3320</v>
      </c>
      <c r="E1270" s="6" t="s">
        <v>3320</v>
      </c>
      <c r="F1270" s="3" t="str">
        <f>IFERROR( VLOOKUP(A1270,#REF!,2,0),"")</f>
        <v/>
      </c>
      <c r="G1270" s="3" t="str">
        <f t="array" ref="G1270">_xlfn.XLOOKUP(I1270,Base_Datos!D:D,Base_Datos!B:B,"")</f>
        <v>SHINERAY</v>
      </c>
      <c r="H1270" s="3" t="str">
        <f t="array" ref="H1270">IF(I1270="","",IFERROR(_xlfn.XLOOKUP(I1270,Base_Datos!$D$2:$D3876,Base_Datos!$C$2:$C3876),""))</f>
        <v>Serie X30</v>
      </c>
      <c r="I1270" s="3" t="s">
        <v>1771</v>
      </c>
      <c r="J1270" s="3" t="str">
        <f>IF(I1270="","",IFERROR(VLOOKUP(I1270,Base_Datos!$D$2:$E$72,2,0),""))</f>
        <v>(1.5L)</v>
      </c>
      <c r="K1270" s="3" t="s">
        <v>1782</v>
      </c>
      <c r="L1270" s="3"/>
      <c r="M1270" s="7">
        <v>4</v>
      </c>
      <c r="N1270" s="7">
        <v>0</v>
      </c>
    </row>
    <row r="1271" spans="1:14" ht="14.25" x14ac:dyDescent="0.2">
      <c r="A1271" s="3">
        <v>88105</v>
      </c>
      <c r="B1271" s="3" t="s">
        <v>3321</v>
      </c>
      <c r="C1271" s="3" t="s">
        <v>19</v>
      </c>
      <c r="D1271" s="6" t="s">
        <v>3322</v>
      </c>
      <c r="E1271" s="6" t="s">
        <v>3322</v>
      </c>
      <c r="F1271" s="3" t="str">
        <f>IFERROR( VLOOKUP(A1271,#REF!,2,0),"")</f>
        <v/>
      </c>
      <c r="G1271" s="3" t="str">
        <f t="array" ref="G1271">_xlfn.XLOOKUP(I1271,Base_Datos!D:D,Base_Datos!B:B,"")</f>
        <v>SHINERAY</v>
      </c>
      <c r="H1271" s="3" t="str">
        <f t="array" ref="H1271">IF(I1271="","",IFERROR(_xlfn.XLOOKUP(I1271,Base_Datos!$D$2:$D3876,Base_Datos!$C$2:$C3876),""))</f>
        <v>Serie X30</v>
      </c>
      <c r="I1271" s="3" t="s">
        <v>1771</v>
      </c>
      <c r="J1271" s="3" t="str">
        <f>IF(I1271="","",IFERROR(VLOOKUP(I1271,Base_Datos!$D$2:$E$72,2,0),""))</f>
        <v>(1.5L)</v>
      </c>
      <c r="K1271" s="3" t="s">
        <v>1782</v>
      </c>
      <c r="L1271" s="3"/>
      <c r="M1271" s="7">
        <v>1</v>
      </c>
      <c r="N1271" s="7">
        <v>0</v>
      </c>
    </row>
    <row r="1272" spans="1:14" ht="14.25" x14ac:dyDescent="0.2">
      <c r="A1272" s="3">
        <v>88106</v>
      </c>
      <c r="B1272" s="3" t="s">
        <v>3323</v>
      </c>
      <c r="C1272" s="3" t="s">
        <v>19</v>
      </c>
      <c r="D1272" s="6" t="s">
        <v>3324</v>
      </c>
      <c r="E1272" s="6" t="s">
        <v>3324</v>
      </c>
      <c r="F1272" s="3" t="str">
        <f>IFERROR( VLOOKUP(A1272,#REF!,2,0),"")</f>
        <v/>
      </c>
      <c r="G1272" s="3" t="str">
        <f t="array" ref="G1272">_xlfn.XLOOKUP(I1272,Base_Datos!D:D,Base_Datos!B:B,"")</f>
        <v>SHINERAY</v>
      </c>
      <c r="H1272" s="3" t="str">
        <f t="array" ref="H1272">IF(I1272="","",IFERROR(_xlfn.XLOOKUP(I1272,Base_Datos!$D$2:$D3876,Base_Datos!$C$2:$C3876),""))</f>
        <v>Serie X30</v>
      </c>
      <c r="I1272" s="3" t="s">
        <v>1771</v>
      </c>
      <c r="J1272" s="3" t="str">
        <f>IF(I1272="","",IFERROR(VLOOKUP(I1272,Base_Datos!$D$2:$E$72,2,0),""))</f>
        <v>(1.5L)</v>
      </c>
      <c r="K1272" s="3" t="s">
        <v>1782</v>
      </c>
      <c r="L1272" s="3"/>
      <c r="M1272" s="7">
        <v>1</v>
      </c>
      <c r="N1272" s="7">
        <v>0</v>
      </c>
    </row>
    <row r="1273" spans="1:14" ht="14.25" x14ac:dyDescent="0.2">
      <c r="A1273" s="3">
        <v>88107</v>
      </c>
      <c r="B1273" s="3" t="s">
        <v>3325</v>
      </c>
      <c r="C1273" s="3" t="s">
        <v>19</v>
      </c>
      <c r="D1273" s="6" t="s">
        <v>3326</v>
      </c>
      <c r="E1273" s="6" t="s">
        <v>3326</v>
      </c>
      <c r="F1273" s="3" t="str">
        <f>IFERROR( VLOOKUP(A1273,#REF!,2,0),"")</f>
        <v/>
      </c>
      <c r="G1273" s="3" t="str">
        <f t="array" ref="G1273">_xlfn.XLOOKUP(I1273,Base_Datos!D:D,Base_Datos!B:B,"")</f>
        <v>SHINERAY</v>
      </c>
      <c r="H1273" s="3" t="str">
        <f t="array" ref="H1273">IF(I1273="","",IFERROR(_xlfn.XLOOKUP(I1273,Base_Datos!$D$2:$D3876,Base_Datos!$C$2:$C3876),""))</f>
        <v>Serie X30</v>
      </c>
      <c r="I1273" s="3" t="s">
        <v>1771</v>
      </c>
      <c r="J1273" s="3" t="str">
        <f>IF(I1273="","",IFERROR(VLOOKUP(I1273,Base_Datos!$D$2:$E$72,2,0),""))</f>
        <v>(1.5L)</v>
      </c>
      <c r="K1273" s="3" t="s">
        <v>1782</v>
      </c>
      <c r="L1273" s="3"/>
      <c r="M1273" s="7">
        <v>7</v>
      </c>
      <c r="N1273" s="7">
        <v>0</v>
      </c>
    </row>
    <row r="1274" spans="1:14" ht="14.25" x14ac:dyDescent="0.2">
      <c r="A1274" s="3">
        <v>88108</v>
      </c>
      <c r="B1274" s="3" t="s">
        <v>3327</v>
      </c>
      <c r="C1274" s="3" t="s">
        <v>19</v>
      </c>
      <c r="D1274" s="6" t="s">
        <v>3328</v>
      </c>
      <c r="E1274" s="6" t="s">
        <v>3328</v>
      </c>
      <c r="F1274" s="3" t="str">
        <f>IFERROR( VLOOKUP(A1274,#REF!,2,0),"")</f>
        <v/>
      </c>
      <c r="G1274" s="3" t="str">
        <f t="array" ref="G1274">_xlfn.XLOOKUP(I1274,Base_Datos!D:D,Base_Datos!B:B,"")</f>
        <v>SHINERAY</v>
      </c>
      <c r="H1274" s="3" t="str">
        <f t="array" ref="H1274">IF(I1274="","",IFERROR(_xlfn.XLOOKUP(I1274,Base_Datos!$D$2:$D3876,Base_Datos!$C$2:$C3876),""))</f>
        <v>Serie X30</v>
      </c>
      <c r="I1274" s="3" t="s">
        <v>1771</v>
      </c>
      <c r="J1274" s="3" t="str">
        <f>IF(I1274="","",IFERROR(VLOOKUP(I1274,Base_Datos!$D$2:$E$72,2,0),""))</f>
        <v>(1.5L)</v>
      </c>
      <c r="K1274" s="3" t="s">
        <v>1782</v>
      </c>
      <c r="L1274" s="3"/>
      <c r="M1274" s="7">
        <v>18</v>
      </c>
      <c r="N1274" s="7">
        <v>0</v>
      </c>
    </row>
    <row r="1275" spans="1:14" ht="14.25" x14ac:dyDescent="0.2">
      <c r="A1275" s="3">
        <v>88109</v>
      </c>
      <c r="B1275" s="3" t="s">
        <v>3329</v>
      </c>
      <c r="C1275" s="3" t="s">
        <v>19</v>
      </c>
      <c r="D1275" s="6" t="s">
        <v>3330</v>
      </c>
      <c r="E1275" s="6" t="s">
        <v>3330</v>
      </c>
      <c r="F1275" s="3" t="str">
        <f>IFERROR( VLOOKUP(A1275,#REF!,2,0),"")</f>
        <v/>
      </c>
      <c r="G1275" s="3" t="str">
        <f t="array" ref="G1275">_xlfn.XLOOKUP(I1275,Base_Datos!D:D,Base_Datos!B:B,"")</f>
        <v>SHINERAY</v>
      </c>
      <c r="H1275" s="3" t="str">
        <f t="array" ref="H1275">IF(I1275="","",IFERROR(_xlfn.XLOOKUP(I1275,Base_Datos!$D$2:$D3876,Base_Datos!$C$2:$C3876),""))</f>
        <v>Serie X30</v>
      </c>
      <c r="I1275" s="3" t="s">
        <v>1771</v>
      </c>
      <c r="J1275" s="3" t="str">
        <f>IF(I1275="","",IFERROR(VLOOKUP(I1275,Base_Datos!$D$2:$E$72,2,0),""))</f>
        <v>(1.5L)</v>
      </c>
      <c r="K1275" s="3" t="s">
        <v>1782</v>
      </c>
      <c r="L1275" s="3"/>
      <c r="M1275" s="7">
        <v>10</v>
      </c>
      <c r="N1275" s="7">
        <v>0</v>
      </c>
    </row>
    <row r="1276" spans="1:14" ht="14.25" x14ac:dyDescent="0.2">
      <c r="A1276" s="3">
        <v>88110</v>
      </c>
      <c r="B1276" s="3" t="s">
        <v>3331</v>
      </c>
      <c r="C1276" s="3" t="s">
        <v>19</v>
      </c>
      <c r="D1276" s="6" t="s">
        <v>3332</v>
      </c>
      <c r="E1276" s="6" t="s">
        <v>3332</v>
      </c>
      <c r="F1276" s="3" t="str">
        <f>IFERROR( VLOOKUP(A1276,#REF!,2,0),"")</f>
        <v/>
      </c>
      <c r="G1276" s="3" t="str">
        <f t="array" ref="G1276">_xlfn.XLOOKUP(I1276,Base_Datos!D:D,Base_Datos!B:B,"")</f>
        <v>SHINERAY</v>
      </c>
      <c r="H1276" s="3" t="str">
        <f t="array" ref="H1276">IF(I1276="","",IFERROR(_xlfn.XLOOKUP(I1276,Base_Datos!$D$2:$D3876,Base_Datos!$C$2:$C3876),""))</f>
        <v>Serie X30</v>
      </c>
      <c r="I1276" s="3" t="s">
        <v>1771</v>
      </c>
      <c r="J1276" s="3" t="str">
        <f>IF(I1276="","",IFERROR(VLOOKUP(I1276,Base_Datos!$D$2:$E$72,2,0),""))</f>
        <v>(1.5L)</v>
      </c>
      <c r="K1276" s="3" t="s">
        <v>1782</v>
      </c>
      <c r="L1276" s="3"/>
      <c r="M1276" s="7">
        <v>2</v>
      </c>
      <c r="N1276" s="7">
        <v>0</v>
      </c>
    </row>
    <row r="1277" spans="1:14" ht="14.25" x14ac:dyDescent="0.2">
      <c r="A1277" s="3">
        <v>88111</v>
      </c>
      <c r="B1277" s="3" t="s">
        <v>3333</v>
      </c>
      <c r="C1277" s="3" t="s">
        <v>19</v>
      </c>
      <c r="D1277" s="6" t="s">
        <v>3334</v>
      </c>
      <c r="E1277" s="6" t="s">
        <v>3334</v>
      </c>
      <c r="F1277" s="3" t="str">
        <f>IFERROR( VLOOKUP(A1277,#REF!,2,0),"")</f>
        <v/>
      </c>
      <c r="G1277" s="3" t="str">
        <f t="array" ref="G1277">_xlfn.XLOOKUP(I1277,Base_Datos!D:D,Base_Datos!B:B,"")</f>
        <v>SHINERAY</v>
      </c>
      <c r="H1277" s="3" t="str">
        <f t="array" ref="H1277">IF(I1277="","",IFERROR(_xlfn.XLOOKUP(I1277,Base_Datos!$D$2:$D3876,Base_Datos!$C$2:$C3876),""))</f>
        <v>Serie X30</v>
      </c>
      <c r="I1277" s="3" t="s">
        <v>1771</v>
      </c>
      <c r="J1277" s="3" t="str">
        <f>IF(I1277="","",IFERROR(VLOOKUP(I1277,Base_Datos!$D$2:$E$72,2,0),""))</f>
        <v>(1.5L)</v>
      </c>
      <c r="K1277" s="3" t="s">
        <v>1782</v>
      </c>
      <c r="L1277" s="3"/>
      <c r="M1277" s="7">
        <v>2</v>
      </c>
      <c r="N1277" s="7">
        <v>0</v>
      </c>
    </row>
    <row r="1278" spans="1:14" ht="14.25" x14ac:dyDescent="0.2">
      <c r="A1278" s="3">
        <v>88112</v>
      </c>
      <c r="B1278" s="3" t="s">
        <v>3335</v>
      </c>
      <c r="C1278" s="3" t="s">
        <v>19</v>
      </c>
      <c r="D1278" s="6" t="s">
        <v>3336</v>
      </c>
      <c r="E1278" s="6" t="s">
        <v>3336</v>
      </c>
      <c r="F1278" s="3" t="str">
        <f>IFERROR( VLOOKUP(A1278,#REF!,2,0),"")</f>
        <v/>
      </c>
      <c r="G1278" s="3" t="str">
        <f t="array" ref="G1278">_xlfn.XLOOKUP(I1278,Base_Datos!D:D,Base_Datos!B:B,"")</f>
        <v>SHINERAY</v>
      </c>
      <c r="H1278" s="3" t="str">
        <f t="array" ref="H1278">IF(I1278="","",IFERROR(_xlfn.XLOOKUP(I1278,Base_Datos!$D$2:$D3876,Base_Datos!$C$2:$C3876),""))</f>
        <v>Serie X30</v>
      </c>
      <c r="I1278" s="3" t="s">
        <v>1771</v>
      </c>
      <c r="J1278" s="3" t="str">
        <f>IF(I1278="","",IFERROR(VLOOKUP(I1278,Base_Datos!$D$2:$E$72,2,0),""))</f>
        <v>(1.5L)</v>
      </c>
      <c r="K1278" s="3" t="s">
        <v>1782</v>
      </c>
      <c r="L1278" s="3"/>
      <c r="M1278" s="7">
        <v>0</v>
      </c>
      <c r="N1278" s="7">
        <v>0</v>
      </c>
    </row>
    <row r="1279" spans="1:14" ht="14.25" x14ac:dyDescent="0.2">
      <c r="A1279" s="3">
        <v>88113</v>
      </c>
      <c r="B1279" s="3" t="s">
        <v>3337</v>
      </c>
      <c r="C1279" s="3" t="s">
        <v>19</v>
      </c>
      <c r="D1279" s="6" t="s">
        <v>3338</v>
      </c>
      <c r="E1279" s="6" t="s">
        <v>3338</v>
      </c>
      <c r="F1279" s="3" t="str">
        <f>IFERROR( VLOOKUP(A1279,#REF!,2,0),"")</f>
        <v/>
      </c>
      <c r="G1279" s="3" t="str">
        <f t="array" ref="G1279">_xlfn.XLOOKUP(I1279,Base_Datos!D:D,Base_Datos!B:B,"")</f>
        <v>SHINERAY</v>
      </c>
      <c r="H1279" s="3" t="str">
        <f t="array" ref="H1279">IF(I1279="","",IFERROR(_xlfn.XLOOKUP(I1279,Base_Datos!$D$2:$D3876,Base_Datos!$C$2:$C3876),""))</f>
        <v>Serie X30</v>
      </c>
      <c r="I1279" s="3" t="s">
        <v>1771</v>
      </c>
      <c r="J1279" s="3" t="str">
        <f>IF(I1279="","",IFERROR(VLOOKUP(I1279,Base_Datos!$D$2:$E$72,2,0),""))</f>
        <v>(1.5L)</v>
      </c>
      <c r="K1279" s="3" t="s">
        <v>1782</v>
      </c>
      <c r="L1279" s="3"/>
      <c r="M1279" s="7">
        <v>2</v>
      </c>
      <c r="N1279" s="7">
        <v>0</v>
      </c>
    </row>
    <row r="1280" spans="1:14" ht="14.25" x14ac:dyDescent="0.2">
      <c r="A1280" s="3">
        <v>88114</v>
      </c>
      <c r="B1280" s="3" t="s">
        <v>3339</v>
      </c>
      <c r="C1280" s="3" t="s">
        <v>19</v>
      </c>
      <c r="D1280" s="6" t="s">
        <v>3340</v>
      </c>
      <c r="E1280" s="6" t="s">
        <v>3340</v>
      </c>
      <c r="F1280" s="3" t="str">
        <f>IFERROR( VLOOKUP(A1280,#REF!,2,0),"")</f>
        <v/>
      </c>
      <c r="G1280" s="3" t="str">
        <f t="array" ref="G1280">_xlfn.XLOOKUP(I1280,Base_Datos!D:D,Base_Datos!B:B,"")</f>
        <v>SHINERAY</v>
      </c>
      <c r="H1280" s="3" t="str">
        <f t="array" ref="H1280">IF(I1280="","",IFERROR(_xlfn.XLOOKUP(I1280,Base_Datos!$D$2:$D3876,Base_Datos!$C$2:$C3876),""))</f>
        <v>Serie X30</v>
      </c>
      <c r="I1280" s="3" t="s">
        <v>1771</v>
      </c>
      <c r="J1280" s="3" t="str">
        <f>IF(I1280="","",IFERROR(VLOOKUP(I1280,Base_Datos!$D$2:$E$72,2,0),""))</f>
        <v>(1.5L)</v>
      </c>
      <c r="K1280" s="3" t="s">
        <v>1782</v>
      </c>
      <c r="L1280" s="3"/>
      <c r="M1280" s="7">
        <v>1</v>
      </c>
      <c r="N1280" s="7">
        <v>0</v>
      </c>
    </row>
    <row r="1281" spans="1:14" ht="14.25" x14ac:dyDescent="0.2">
      <c r="A1281" s="3">
        <v>88115</v>
      </c>
      <c r="B1281" s="3" t="s">
        <v>3341</v>
      </c>
      <c r="C1281" s="3" t="s">
        <v>19</v>
      </c>
      <c r="D1281" s="6" t="s">
        <v>3342</v>
      </c>
      <c r="E1281" s="6" t="s">
        <v>3342</v>
      </c>
      <c r="F1281" s="3" t="str">
        <f>IFERROR( VLOOKUP(A1281,#REF!,2,0),"")</f>
        <v/>
      </c>
      <c r="G1281" s="3" t="str">
        <f t="array" ref="G1281">_xlfn.XLOOKUP(I1281,Base_Datos!D:D,Base_Datos!B:B,"")</f>
        <v>SHINERAY</v>
      </c>
      <c r="H1281" s="3" t="str">
        <f t="array" ref="H1281">IF(I1281="","",IFERROR(_xlfn.XLOOKUP(I1281,Base_Datos!$D$2:$D3876,Base_Datos!$C$2:$C3876),""))</f>
        <v>Serie X30</v>
      </c>
      <c r="I1281" s="3" t="s">
        <v>1771</v>
      </c>
      <c r="J1281" s="3" t="str">
        <f>IF(I1281="","",IFERROR(VLOOKUP(I1281,Base_Datos!$D$2:$E$72,2,0),""))</f>
        <v>(1.5L)</v>
      </c>
      <c r="K1281" s="3" t="s">
        <v>1782</v>
      </c>
      <c r="L1281" s="3"/>
      <c r="M1281" s="7">
        <v>1</v>
      </c>
      <c r="N1281" s="7">
        <v>0</v>
      </c>
    </row>
    <row r="1282" spans="1:14" ht="14.25" x14ac:dyDescent="0.2">
      <c r="A1282" s="3">
        <v>88116</v>
      </c>
      <c r="B1282" s="3" t="s">
        <v>3343</v>
      </c>
      <c r="C1282" s="3" t="s">
        <v>19</v>
      </c>
      <c r="D1282" s="6" t="s">
        <v>3344</v>
      </c>
      <c r="E1282" s="6" t="s">
        <v>3344</v>
      </c>
      <c r="F1282" s="3" t="str">
        <f>IFERROR( VLOOKUP(A1282,#REF!,2,0),"")</f>
        <v/>
      </c>
      <c r="G1282" s="3" t="str">
        <f t="array" ref="G1282">_xlfn.XLOOKUP(I1282,Base_Datos!D:D,Base_Datos!B:B,"")</f>
        <v>SHINERAY</v>
      </c>
      <c r="H1282" s="3" t="str">
        <f t="array" ref="H1282">IF(I1282="","",IFERROR(_xlfn.XLOOKUP(I1282,Base_Datos!$D$2:$D3876,Base_Datos!$C$2:$C3876),""))</f>
        <v>Serie X30</v>
      </c>
      <c r="I1282" s="3" t="s">
        <v>1771</v>
      </c>
      <c r="J1282" s="3" t="str">
        <f>IF(I1282="","",IFERROR(VLOOKUP(I1282,Base_Datos!$D$2:$E$72,2,0),""))</f>
        <v>(1.5L)</v>
      </c>
      <c r="K1282" s="3" t="s">
        <v>1782</v>
      </c>
      <c r="L1282" s="3"/>
      <c r="M1282" s="7">
        <v>3</v>
      </c>
      <c r="N1282" s="7">
        <v>0</v>
      </c>
    </row>
    <row r="1283" spans="1:14" ht="14.25" x14ac:dyDescent="0.2">
      <c r="A1283" s="3">
        <v>88117</v>
      </c>
      <c r="B1283" s="3" t="s">
        <v>3345</v>
      </c>
      <c r="C1283" s="3" t="s">
        <v>19</v>
      </c>
      <c r="D1283" s="6" t="s">
        <v>3346</v>
      </c>
      <c r="E1283" s="6" t="s">
        <v>3346</v>
      </c>
      <c r="F1283" s="3" t="str">
        <f>IFERROR( VLOOKUP(A1283,#REF!,2,0),"")</f>
        <v/>
      </c>
      <c r="G1283" s="3" t="str">
        <f t="array" ref="G1283">_xlfn.XLOOKUP(I1283,Base_Datos!D:D,Base_Datos!B:B,"")</f>
        <v>SHINERAY</v>
      </c>
      <c r="H1283" s="3" t="str">
        <f t="array" ref="H1283">IF(I1283="","",IFERROR(_xlfn.XLOOKUP(I1283,Base_Datos!$D$2:$D3876,Base_Datos!$C$2:$C3876),""))</f>
        <v>Serie X30</v>
      </c>
      <c r="I1283" s="3" t="s">
        <v>1771</v>
      </c>
      <c r="J1283" s="3" t="str">
        <f>IF(I1283="","",IFERROR(VLOOKUP(I1283,Base_Datos!$D$2:$E$72,2,0),""))</f>
        <v>(1.5L)</v>
      </c>
      <c r="K1283" s="3" t="s">
        <v>1782</v>
      </c>
      <c r="L1283" s="3"/>
      <c r="M1283" s="7">
        <v>3</v>
      </c>
      <c r="N1283" s="7">
        <v>0</v>
      </c>
    </row>
    <row r="1284" spans="1:14" ht="14.25" x14ac:dyDescent="0.2">
      <c r="A1284" s="3">
        <v>88118</v>
      </c>
      <c r="B1284" s="3" t="s">
        <v>3347</v>
      </c>
      <c r="C1284" s="3" t="s">
        <v>19</v>
      </c>
      <c r="D1284" s="6" t="s">
        <v>3348</v>
      </c>
      <c r="E1284" s="6" t="s">
        <v>3348</v>
      </c>
      <c r="F1284" s="3" t="str">
        <f>IFERROR( VLOOKUP(A1284,#REF!,2,0),"")</f>
        <v/>
      </c>
      <c r="G1284" s="3" t="str">
        <f t="array" ref="G1284">_xlfn.XLOOKUP(I1284,Base_Datos!D:D,Base_Datos!B:B,"")</f>
        <v>SHINERAY</v>
      </c>
      <c r="H1284" s="3" t="str">
        <f t="array" ref="H1284">IF(I1284="","",IFERROR(_xlfn.XLOOKUP(I1284,Base_Datos!$D$2:$D3876,Base_Datos!$C$2:$C3876),""))</f>
        <v>Serie X30</v>
      </c>
      <c r="I1284" s="3" t="s">
        <v>1771</v>
      </c>
      <c r="J1284" s="3" t="str">
        <f>IF(I1284="","",IFERROR(VLOOKUP(I1284,Base_Datos!$D$2:$E$72,2,0),""))</f>
        <v>(1.5L)</v>
      </c>
      <c r="K1284" s="3" t="s">
        <v>1782</v>
      </c>
      <c r="L1284" s="3"/>
      <c r="M1284" s="7">
        <v>0</v>
      </c>
      <c r="N1284" s="7">
        <v>0</v>
      </c>
    </row>
    <row r="1285" spans="1:14" ht="14.25" x14ac:dyDescent="0.2">
      <c r="A1285" s="3">
        <v>88119</v>
      </c>
      <c r="B1285" s="3" t="s">
        <v>3349</v>
      </c>
      <c r="C1285" s="3" t="s">
        <v>19</v>
      </c>
      <c r="D1285" s="6" t="s">
        <v>3350</v>
      </c>
      <c r="E1285" s="6" t="s">
        <v>3350</v>
      </c>
      <c r="F1285" s="3" t="str">
        <f>IFERROR( VLOOKUP(A1285,#REF!,2,0),"")</f>
        <v/>
      </c>
      <c r="G1285" s="3" t="str">
        <f t="array" ref="G1285">_xlfn.XLOOKUP(I1285,Base_Datos!D:D,Base_Datos!B:B,"")</f>
        <v>SHINERAY</v>
      </c>
      <c r="H1285" s="3" t="str">
        <f t="array" ref="H1285">IF(I1285="","",IFERROR(_xlfn.XLOOKUP(I1285,Base_Datos!$D$2:$D3876,Base_Datos!$C$2:$C3876),""))</f>
        <v>Serie X30</v>
      </c>
      <c r="I1285" s="3" t="s">
        <v>1771</v>
      </c>
      <c r="J1285" s="3" t="str">
        <f>IF(I1285="","",IFERROR(VLOOKUP(I1285,Base_Datos!$D$2:$E$72,2,0),""))</f>
        <v>(1.5L)</v>
      </c>
      <c r="K1285" s="3" t="s">
        <v>1782</v>
      </c>
      <c r="L1285" s="3"/>
      <c r="M1285" s="7">
        <v>0</v>
      </c>
      <c r="N1285" s="7">
        <v>0</v>
      </c>
    </row>
    <row r="1286" spans="1:14" ht="14.25" x14ac:dyDescent="0.2">
      <c r="A1286" s="3">
        <v>88120</v>
      </c>
      <c r="B1286" s="3" t="s">
        <v>3351</v>
      </c>
      <c r="C1286" s="3" t="s">
        <v>19</v>
      </c>
      <c r="D1286" s="6" t="s">
        <v>3352</v>
      </c>
      <c r="E1286" s="6" t="s">
        <v>3352</v>
      </c>
      <c r="F1286" s="3" t="str">
        <f>IFERROR( VLOOKUP(A1286,#REF!,2,0),"")</f>
        <v/>
      </c>
      <c r="G1286" s="3" t="str">
        <f t="array" ref="G1286">_xlfn.XLOOKUP(I1286,Base_Datos!D:D,Base_Datos!B:B,"")</f>
        <v>SHINERAY</v>
      </c>
      <c r="H1286" s="3" t="str">
        <f t="array" ref="H1286">IF(I1286="","",IFERROR(_xlfn.XLOOKUP(I1286,Base_Datos!$D$2:$D3876,Base_Datos!$C$2:$C3876),""))</f>
        <v>Serie X30</v>
      </c>
      <c r="I1286" s="3" t="s">
        <v>1771</v>
      </c>
      <c r="J1286" s="3" t="str">
        <f>IF(I1286="","",IFERROR(VLOOKUP(I1286,Base_Datos!$D$2:$E$72,2,0),""))</f>
        <v>(1.5L)</v>
      </c>
      <c r="K1286" s="3" t="s">
        <v>1782</v>
      </c>
      <c r="L1286" s="3"/>
      <c r="M1286" s="7">
        <v>1</v>
      </c>
      <c r="N1286" s="7">
        <v>0</v>
      </c>
    </row>
    <row r="1287" spans="1:14" ht="14.25" x14ac:dyDescent="0.2">
      <c r="A1287" s="3">
        <v>88121</v>
      </c>
      <c r="B1287" s="3" t="s">
        <v>3353</v>
      </c>
      <c r="C1287" s="3" t="s">
        <v>19</v>
      </c>
      <c r="D1287" s="6" t="s">
        <v>3354</v>
      </c>
      <c r="E1287" s="6" t="s">
        <v>3354</v>
      </c>
      <c r="F1287" s="3" t="str">
        <f>IFERROR( VLOOKUP(A1287,#REF!,2,0),"")</f>
        <v/>
      </c>
      <c r="G1287" s="3" t="str">
        <f t="array" ref="G1287">_xlfn.XLOOKUP(I1287,Base_Datos!D:D,Base_Datos!B:B,"")</f>
        <v>SHINERAY</v>
      </c>
      <c r="H1287" s="3" t="str">
        <f t="array" ref="H1287">IF(I1287="","",IFERROR(_xlfn.XLOOKUP(I1287,Base_Datos!$D$2:$D3876,Base_Datos!$C$2:$C3876),""))</f>
        <v>Serie X30</v>
      </c>
      <c r="I1287" s="3" t="s">
        <v>1771</v>
      </c>
      <c r="J1287" s="3" t="str">
        <f>IF(I1287="","",IFERROR(VLOOKUP(I1287,Base_Datos!$D$2:$E$72,2,0),""))</f>
        <v>(1.5L)</v>
      </c>
      <c r="K1287" s="3" t="s">
        <v>1782</v>
      </c>
      <c r="L1287" s="3"/>
      <c r="M1287" s="7">
        <v>1</v>
      </c>
      <c r="N1287" s="7">
        <v>0</v>
      </c>
    </row>
    <row r="1288" spans="1:14" ht="14.25" x14ac:dyDescent="0.2">
      <c r="A1288" s="3">
        <v>88122</v>
      </c>
      <c r="B1288" s="3" t="s">
        <v>3355</v>
      </c>
      <c r="C1288" s="3" t="s">
        <v>19</v>
      </c>
      <c r="D1288" s="6" t="s">
        <v>3356</v>
      </c>
      <c r="E1288" s="6" t="s">
        <v>3356</v>
      </c>
      <c r="F1288" s="3" t="str">
        <f>IFERROR( VLOOKUP(A1288,#REF!,2,0),"")</f>
        <v/>
      </c>
      <c r="G1288" s="3" t="str">
        <f t="array" ref="G1288">_xlfn.XLOOKUP(I1288,Base_Datos!D:D,Base_Datos!B:B,"")</f>
        <v>SHINERAY</v>
      </c>
      <c r="H1288" s="3" t="str">
        <f t="array" ref="H1288">IF(I1288="","",IFERROR(_xlfn.XLOOKUP(I1288,Base_Datos!$D$2:$D3876,Base_Datos!$C$2:$C3876),""))</f>
        <v>Serie X30</v>
      </c>
      <c r="I1288" s="3" t="s">
        <v>1771</v>
      </c>
      <c r="J1288" s="3" t="str">
        <f>IF(I1288="","",IFERROR(VLOOKUP(I1288,Base_Datos!$D$2:$E$72,2,0),""))</f>
        <v>(1.5L)</v>
      </c>
      <c r="K1288" s="3" t="s">
        <v>1782</v>
      </c>
      <c r="L1288" s="3"/>
      <c r="M1288" s="7">
        <v>1</v>
      </c>
      <c r="N1288" s="7">
        <v>0</v>
      </c>
    </row>
    <row r="1289" spans="1:14" ht="14.25" x14ac:dyDescent="0.2">
      <c r="A1289" s="3">
        <v>88123</v>
      </c>
      <c r="B1289" s="3" t="s">
        <v>3357</v>
      </c>
      <c r="C1289" s="3" t="s">
        <v>19</v>
      </c>
      <c r="D1289" s="6" t="s">
        <v>3358</v>
      </c>
      <c r="E1289" s="6" t="s">
        <v>3358</v>
      </c>
      <c r="F1289" s="3" t="str">
        <f>IFERROR( VLOOKUP(A1289,#REF!,2,0),"")</f>
        <v/>
      </c>
      <c r="G1289" s="3" t="str">
        <f t="array" ref="G1289">_xlfn.XLOOKUP(I1289,Base_Datos!D:D,Base_Datos!B:B,"")</f>
        <v>SHINERAY</v>
      </c>
      <c r="H1289" s="3" t="str">
        <f t="array" ref="H1289">IF(I1289="","",IFERROR(_xlfn.XLOOKUP(I1289,Base_Datos!$D$2:$D3876,Base_Datos!$C$2:$C3876),""))</f>
        <v>Serie X30</v>
      </c>
      <c r="I1289" s="3" t="s">
        <v>1771</v>
      </c>
      <c r="J1289" s="3" t="str">
        <f>IF(I1289="","",IFERROR(VLOOKUP(I1289,Base_Datos!$D$2:$E$72,2,0),""))</f>
        <v>(1.5L)</v>
      </c>
      <c r="K1289" s="3" t="s">
        <v>1782</v>
      </c>
      <c r="L1289" s="3"/>
      <c r="M1289" s="7">
        <v>2</v>
      </c>
      <c r="N1289" s="7">
        <v>0</v>
      </c>
    </row>
    <row r="1290" spans="1:14" ht="14.25" x14ac:dyDescent="0.2">
      <c r="A1290" s="3">
        <v>88124</v>
      </c>
      <c r="B1290" s="3" t="s">
        <v>3359</v>
      </c>
      <c r="C1290" s="3" t="s">
        <v>19</v>
      </c>
      <c r="D1290" s="6" t="s">
        <v>3360</v>
      </c>
      <c r="E1290" s="6" t="s">
        <v>3360</v>
      </c>
      <c r="F1290" s="3" t="str">
        <f>IFERROR( VLOOKUP(A1290,#REF!,2,0),"")</f>
        <v/>
      </c>
      <c r="G1290" s="3" t="str">
        <f t="array" ref="G1290">_xlfn.XLOOKUP(I1290,Base_Datos!D:D,Base_Datos!B:B,"")</f>
        <v>SHINERAY</v>
      </c>
      <c r="H1290" s="3" t="str">
        <f t="array" ref="H1290">IF(I1290="","",IFERROR(_xlfn.XLOOKUP(I1290,Base_Datos!$D$2:$D3876,Base_Datos!$C$2:$C3876),""))</f>
        <v>Serie X30</v>
      </c>
      <c r="I1290" s="3" t="s">
        <v>1771</v>
      </c>
      <c r="J1290" s="3" t="str">
        <f>IF(I1290="","",IFERROR(VLOOKUP(I1290,Base_Datos!$D$2:$E$72,2,0),""))</f>
        <v>(1.5L)</v>
      </c>
      <c r="K1290" s="3" t="s">
        <v>1782</v>
      </c>
      <c r="L1290" s="3"/>
      <c r="M1290" s="7">
        <v>2</v>
      </c>
      <c r="N1290" s="7">
        <v>0</v>
      </c>
    </row>
    <row r="1291" spans="1:14" ht="14.25" x14ac:dyDescent="0.2">
      <c r="A1291" s="3">
        <v>88125</v>
      </c>
      <c r="B1291" s="3" t="s">
        <v>3361</v>
      </c>
      <c r="C1291" s="3" t="s">
        <v>19</v>
      </c>
      <c r="D1291" s="6" t="s">
        <v>3362</v>
      </c>
      <c r="E1291" s="6" t="s">
        <v>3362</v>
      </c>
      <c r="F1291" s="3" t="str">
        <f>IFERROR( VLOOKUP(A1291,#REF!,2,0),"")</f>
        <v/>
      </c>
      <c r="G1291" s="3" t="str">
        <f t="array" ref="G1291">_xlfn.XLOOKUP(I1291,Base_Datos!D:D,Base_Datos!B:B,"")</f>
        <v>SHINERAY</v>
      </c>
      <c r="H1291" s="3" t="str">
        <f t="array" ref="H1291">IF(I1291="","",IFERROR(_xlfn.XLOOKUP(I1291,Base_Datos!$D$2:$D3876,Base_Datos!$C$2:$C3876),""))</f>
        <v>Serie X30</v>
      </c>
      <c r="I1291" s="3" t="s">
        <v>1771</v>
      </c>
      <c r="J1291" s="3" t="str">
        <f>IF(I1291="","",IFERROR(VLOOKUP(I1291,Base_Datos!$D$2:$E$72,2,0),""))</f>
        <v>(1.5L)</v>
      </c>
      <c r="K1291" s="3" t="s">
        <v>1782</v>
      </c>
      <c r="L1291" s="3"/>
      <c r="M1291" s="7">
        <v>1</v>
      </c>
      <c r="N1291" s="7">
        <v>0</v>
      </c>
    </row>
    <row r="1292" spans="1:14" ht="14.25" x14ac:dyDescent="0.2">
      <c r="A1292" s="3">
        <v>88126</v>
      </c>
      <c r="B1292" s="3" t="s">
        <v>3363</v>
      </c>
      <c r="C1292" s="3" t="s">
        <v>19</v>
      </c>
      <c r="D1292" s="6" t="s">
        <v>3364</v>
      </c>
      <c r="E1292" s="6" t="s">
        <v>3364</v>
      </c>
      <c r="F1292" s="3" t="str">
        <f>IFERROR( VLOOKUP(A1292,#REF!,2,0),"")</f>
        <v/>
      </c>
      <c r="G1292" s="3" t="str">
        <f t="array" ref="G1292">_xlfn.XLOOKUP(I1292,Base_Datos!D:D,Base_Datos!B:B,"")</f>
        <v>SHINERAY</v>
      </c>
      <c r="H1292" s="3" t="str">
        <f t="array" ref="H1292">IF(I1292="","",IFERROR(_xlfn.XLOOKUP(I1292,Base_Datos!$D$2:$D3876,Base_Datos!$C$2:$C3876),""))</f>
        <v>Serie X30</v>
      </c>
      <c r="I1292" s="3" t="s">
        <v>1771</v>
      </c>
      <c r="J1292" s="3" t="str">
        <f>IF(I1292="","",IFERROR(VLOOKUP(I1292,Base_Datos!$D$2:$E$72,2,0),""))</f>
        <v>(1.5L)</v>
      </c>
      <c r="K1292" s="3" t="s">
        <v>1782</v>
      </c>
      <c r="L1292" s="3"/>
      <c r="M1292" s="7">
        <v>1</v>
      </c>
      <c r="N1292" s="7">
        <v>0</v>
      </c>
    </row>
    <row r="1293" spans="1:14" ht="14.25" x14ac:dyDescent="0.2">
      <c r="A1293" s="3">
        <v>88127</v>
      </c>
      <c r="B1293" s="3" t="s">
        <v>3361</v>
      </c>
      <c r="C1293" s="3" t="s">
        <v>19</v>
      </c>
      <c r="D1293" s="6" t="s">
        <v>3365</v>
      </c>
      <c r="E1293" s="6" t="s">
        <v>3365</v>
      </c>
      <c r="F1293" s="3" t="str">
        <f>IFERROR( VLOOKUP(A1293,#REF!,2,0),"")</f>
        <v/>
      </c>
      <c r="G1293" s="3" t="str">
        <f t="array" ref="G1293">_xlfn.XLOOKUP(I1293,Base_Datos!D:D,Base_Datos!B:B,"")</f>
        <v>SHINERAY</v>
      </c>
      <c r="H1293" s="3" t="str">
        <f t="array" ref="H1293">IF(I1293="","",IFERROR(_xlfn.XLOOKUP(I1293,Base_Datos!$D$2:$D3876,Base_Datos!$C$2:$C3876),""))</f>
        <v>Serie X30</v>
      </c>
      <c r="I1293" s="3" t="s">
        <v>1771</v>
      </c>
      <c r="J1293" s="3" t="str">
        <f>IF(I1293="","",IFERROR(VLOOKUP(I1293,Base_Datos!$D$2:$E$72,2,0),""))</f>
        <v>(1.5L)</v>
      </c>
      <c r="K1293" s="3" t="s">
        <v>1782</v>
      </c>
      <c r="L1293" s="3"/>
      <c r="M1293" s="7">
        <v>1</v>
      </c>
      <c r="N1293" s="7">
        <v>0</v>
      </c>
    </row>
    <row r="1294" spans="1:14" ht="14.25" x14ac:dyDescent="0.2">
      <c r="A1294" s="3">
        <v>88128</v>
      </c>
      <c r="B1294" s="3" t="s">
        <v>3361</v>
      </c>
      <c r="C1294" s="3" t="s">
        <v>19</v>
      </c>
      <c r="D1294" s="6" t="s">
        <v>3366</v>
      </c>
      <c r="E1294" s="6" t="s">
        <v>3366</v>
      </c>
      <c r="F1294" s="3" t="str">
        <f>IFERROR( VLOOKUP(A1294,#REF!,2,0),"")</f>
        <v/>
      </c>
      <c r="G1294" s="3" t="str">
        <f t="array" ref="G1294">_xlfn.XLOOKUP(I1294,Base_Datos!D:D,Base_Datos!B:B,"")</f>
        <v>SHINERAY</v>
      </c>
      <c r="H1294" s="3" t="str">
        <f t="array" ref="H1294">IF(I1294="","",IFERROR(_xlfn.XLOOKUP(I1294,Base_Datos!$D$2:$D3876,Base_Datos!$C$2:$C3876),""))</f>
        <v>Serie X30</v>
      </c>
      <c r="I1294" s="3" t="s">
        <v>1771</v>
      </c>
      <c r="J1294" s="3" t="str">
        <f>IF(I1294="","",IFERROR(VLOOKUP(I1294,Base_Datos!$D$2:$E$72,2,0),""))</f>
        <v>(1.5L)</v>
      </c>
      <c r="K1294" s="3" t="s">
        <v>1782</v>
      </c>
      <c r="L1294" s="3"/>
      <c r="M1294" s="7">
        <v>1</v>
      </c>
      <c r="N1294" s="7">
        <v>0</v>
      </c>
    </row>
    <row r="1295" spans="1:14" ht="14.25" x14ac:dyDescent="0.2">
      <c r="A1295" s="3">
        <v>88129</v>
      </c>
      <c r="B1295" s="3" t="s">
        <v>3367</v>
      </c>
      <c r="C1295" s="3" t="s">
        <v>19</v>
      </c>
      <c r="D1295" s="6" t="s">
        <v>3368</v>
      </c>
      <c r="E1295" s="6" t="s">
        <v>3368</v>
      </c>
      <c r="F1295" s="3" t="str">
        <f>IFERROR( VLOOKUP(A1295,#REF!,2,0),"")</f>
        <v/>
      </c>
      <c r="G1295" s="3" t="str">
        <f t="array" ref="G1295">_xlfn.XLOOKUP(I1295,Base_Datos!D:D,Base_Datos!B:B,"")</f>
        <v>SHINERAY</v>
      </c>
      <c r="H1295" s="3" t="str">
        <f t="array" ref="H1295">IF(I1295="","",IFERROR(_xlfn.XLOOKUP(I1295,Base_Datos!$D$2:$D3876,Base_Datos!$C$2:$C3876),""))</f>
        <v>Serie X30</v>
      </c>
      <c r="I1295" s="3" t="s">
        <v>1771</v>
      </c>
      <c r="J1295" s="3" t="str">
        <f>IF(I1295="","",IFERROR(VLOOKUP(I1295,Base_Datos!$D$2:$E$72,2,0),""))</f>
        <v>(1.5L)</v>
      </c>
      <c r="K1295" s="3" t="s">
        <v>1782</v>
      </c>
      <c r="L1295" s="3"/>
      <c r="M1295" s="7">
        <v>2</v>
      </c>
      <c r="N1295" s="7">
        <v>0</v>
      </c>
    </row>
    <row r="1296" spans="1:14" ht="14.25" x14ac:dyDescent="0.2">
      <c r="A1296" s="3">
        <v>88130</v>
      </c>
      <c r="B1296" s="3" t="s">
        <v>3369</v>
      </c>
      <c r="C1296" s="3" t="s">
        <v>19</v>
      </c>
      <c r="D1296" s="6" t="s">
        <v>3370</v>
      </c>
      <c r="E1296" s="6" t="s">
        <v>3370</v>
      </c>
      <c r="F1296" s="3" t="str">
        <f>IFERROR( VLOOKUP(A1296,#REF!,2,0),"")</f>
        <v/>
      </c>
      <c r="G1296" s="3" t="str">
        <f t="array" ref="G1296">_xlfn.XLOOKUP(I1296,Base_Datos!D:D,Base_Datos!B:B,"")</f>
        <v>SHINERAY</v>
      </c>
      <c r="H1296" s="3" t="str">
        <f t="array" ref="H1296">IF(I1296="","",IFERROR(_xlfn.XLOOKUP(I1296,Base_Datos!$D$2:$D3876,Base_Datos!$C$2:$C3876),""))</f>
        <v>Serie X30</v>
      </c>
      <c r="I1296" s="3" t="s">
        <v>1771</v>
      </c>
      <c r="J1296" s="3" t="str">
        <f>IF(I1296="","",IFERROR(VLOOKUP(I1296,Base_Datos!$D$2:$E$72,2,0),""))</f>
        <v>(1.5L)</v>
      </c>
      <c r="K1296" s="3" t="s">
        <v>1782</v>
      </c>
      <c r="L1296" s="3"/>
      <c r="M1296" s="7">
        <v>2</v>
      </c>
      <c r="N1296" s="7">
        <v>0</v>
      </c>
    </row>
    <row r="1297" spans="1:14" ht="14.25" x14ac:dyDescent="0.2">
      <c r="A1297" s="3">
        <v>88131</v>
      </c>
      <c r="B1297" s="3" t="s">
        <v>3371</v>
      </c>
      <c r="C1297" s="3" t="s">
        <v>19</v>
      </c>
      <c r="D1297" s="6" t="s">
        <v>3372</v>
      </c>
      <c r="E1297" s="6" t="s">
        <v>3372</v>
      </c>
      <c r="F1297" s="3" t="str">
        <f>IFERROR( VLOOKUP(A1297,#REF!,2,0),"")</f>
        <v/>
      </c>
      <c r="G1297" s="3" t="str">
        <f t="array" ref="G1297">_xlfn.XLOOKUP(I1297,Base_Datos!D:D,Base_Datos!B:B,"")</f>
        <v>SHINERAY</v>
      </c>
      <c r="H1297" s="3" t="str">
        <f t="array" ref="H1297">IF(I1297="","",IFERROR(_xlfn.XLOOKUP(I1297,Base_Datos!$D$2:$D3876,Base_Datos!$C$2:$C3876),""))</f>
        <v>Serie X30</v>
      </c>
      <c r="I1297" s="3" t="s">
        <v>1771</v>
      </c>
      <c r="J1297" s="3" t="str">
        <f>IF(I1297="","",IFERROR(VLOOKUP(I1297,Base_Datos!$D$2:$E$72,2,0),""))</f>
        <v>(1.5L)</v>
      </c>
      <c r="K1297" s="3" t="s">
        <v>1782</v>
      </c>
      <c r="L1297" s="3"/>
      <c r="M1297" s="7">
        <v>4</v>
      </c>
      <c r="N1297" s="7">
        <v>0</v>
      </c>
    </row>
    <row r="1298" spans="1:14" ht="14.25" x14ac:dyDescent="0.2">
      <c r="A1298" s="3">
        <v>88132</v>
      </c>
      <c r="B1298" s="3" t="s">
        <v>3373</v>
      </c>
      <c r="C1298" s="3" t="s">
        <v>19</v>
      </c>
      <c r="D1298" s="6" t="s">
        <v>3374</v>
      </c>
      <c r="E1298" s="6" t="s">
        <v>3374</v>
      </c>
      <c r="F1298" s="3" t="str">
        <f>IFERROR( VLOOKUP(A1298,#REF!,2,0),"")</f>
        <v/>
      </c>
      <c r="G1298" s="3" t="str">
        <f t="array" ref="G1298">_xlfn.XLOOKUP(I1298,Base_Datos!D:D,Base_Datos!B:B,"")</f>
        <v>SHINERAY</v>
      </c>
      <c r="H1298" s="3" t="str">
        <f t="array" ref="H1298">IF(I1298="","",IFERROR(_xlfn.XLOOKUP(I1298,Base_Datos!$D$2:$D3876,Base_Datos!$C$2:$C3876),""))</f>
        <v>Serie X30</v>
      </c>
      <c r="I1298" s="3" t="s">
        <v>1771</v>
      </c>
      <c r="J1298" s="3" t="str">
        <f>IF(I1298="","",IFERROR(VLOOKUP(I1298,Base_Datos!$D$2:$E$72,2,0),""))</f>
        <v>(1.5L)</v>
      </c>
      <c r="K1298" s="3" t="s">
        <v>1782</v>
      </c>
      <c r="L1298" s="3"/>
      <c r="M1298" s="7">
        <v>4</v>
      </c>
      <c r="N1298" s="7">
        <v>0</v>
      </c>
    </row>
    <row r="1299" spans="1:14" ht="14.25" x14ac:dyDescent="0.2">
      <c r="A1299" s="3">
        <v>88252</v>
      </c>
      <c r="B1299" s="3" t="s">
        <v>2929</v>
      </c>
      <c r="C1299" s="3" t="s">
        <v>18</v>
      </c>
      <c r="D1299" s="6" t="s">
        <v>125</v>
      </c>
      <c r="E1299" s="6" t="s">
        <v>125</v>
      </c>
      <c r="F1299" s="3" t="str">
        <f>IFERROR( VLOOKUP(A1299,#REF!,2,0),"")</f>
        <v/>
      </c>
      <c r="G1299" s="3" t="str">
        <f t="array" ref="G1299">_xlfn.XLOOKUP(I1299,Base_Datos!D:D,Base_Datos!B:B,"")</f>
        <v>DFSK</v>
      </c>
      <c r="H1299" s="3" t="str">
        <f t="array" ref="H1299">IF(I1299="","",IFERROR(_xlfn.XLOOKUP(I1299,Base_Datos!$D$2:$D3876,Base_Datos!$C$2:$C3876),""))</f>
        <v>Serie D</v>
      </c>
      <c r="I1299" s="3" t="s">
        <v>145</v>
      </c>
      <c r="J1299" s="3" t="str">
        <f>IF(I1299="","",IFERROR(VLOOKUP(I1299,Base_Datos!$D$2:$E$72,2,0),""))</f>
        <v>(2.4L)</v>
      </c>
      <c r="K1299" s="3" t="s">
        <v>3375</v>
      </c>
      <c r="L1299" s="3"/>
      <c r="M1299" s="7">
        <v>45</v>
      </c>
      <c r="N1299" s="7">
        <v>0</v>
      </c>
    </row>
    <row r="1300" spans="1:14" ht="14.25" x14ac:dyDescent="0.2">
      <c r="A1300" s="3">
        <v>88255</v>
      </c>
      <c r="B1300" s="3" t="s">
        <v>2914</v>
      </c>
      <c r="C1300" s="3" t="s">
        <v>18</v>
      </c>
      <c r="D1300" s="6" t="s">
        <v>128</v>
      </c>
      <c r="E1300" s="6" t="s">
        <v>128</v>
      </c>
      <c r="F1300" s="3" t="str">
        <f>IFERROR( VLOOKUP(A1300,#REF!,2,0),"")</f>
        <v/>
      </c>
      <c r="G1300" s="3" t="str">
        <f t="array" ref="G1300">_xlfn.XLOOKUP(I1300,Base_Datos!D:D,Base_Datos!B:B,"")</f>
        <v>DFSK</v>
      </c>
      <c r="H1300" s="3" t="str">
        <f t="array" ref="H1300">IF(I1300="","",IFERROR(_xlfn.XLOOKUP(I1300,Base_Datos!$D$2:$D3876,Base_Datos!$C$2:$C3876),""))</f>
        <v>Serie D</v>
      </c>
      <c r="I1300" s="3" t="s">
        <v>145</v>
      </c>
      <c r="J1300" s="3" t="str">
        <f>IF(I1300="","",IFERROR(VLOOKUP(I1300,Base_Datos!$D$2:$E$72,2,0),""))</f>
        <v>(2.4L)</v>
      </c>
      <c r="K1300" s="3" t="s">
        <v>1782</v>
      </c>
      <c r="L1300" s="3"/>
      <c r="M1300" s="7">
        <v>53</v>
      </c>
      <c r="N1300" s="7">
        <v>0</v>
      </c>
    </row>
    <row r="1301" spans="1:14" ht="14.25" x14ac:dyDescent="0.2">
      <c r="A1301" s="3">
        <v>88256</v>
      </c>
      <c r="B1301" s="3" t="s">
        <v>2912</v>
      </c>
      <c r="C1301" s="3" t="s">
        <v>18</v>
      </c>
      <c r="D1301" s="6" t="s">
        <v>129</v>
      </c>
      <c r="E1301" s="6" t="s">
        <v>129</v>
      </c>
      <c r="F1301" s="3" t="str">
        <f>IFERROR( VLOOKUP(A1301,#REF!,2,0),"")</f>
        <v/>
      </c>
      <c r="G1301" s="3" t="str">
        <f t="array" ref="G1301">_xlfn.XLOOKUP(I1301,Base_Datos!D:D,Base_Datos!B:B,"")</f>
        <v>DFSK</v>
      </c>
      <c r="H1301" s="3" t="str">
        <f t="array" ref="H1301">IF(I1301="","",IFERROR(_xlfn.XLOOKUP(I1301,Base_Datos!$D$2:$D3876,Base_Datos!$C$2:$C3876),""))</f>
        <v>Serie D</v>
      </c>
      <c r="I1301" s="3" t="s">
        <v>145</v>
      </c>
      <c r="J1301" s="3" t="str">
        <f>IF(I1301="","",IFERROR(VLOOKUP(I1301,Base_Datos!$D$2:$E$72,2,0),""))</f>
        <v>(2.4L)</v>
      </c>
      <c r="K1301" s="3" t="s">
        <v>1782</v>
      </c>
      <c r="L1301" s="3"/>
      <c r="M1301" s="7">
        <v>53</v>
      </c>
      <c r="N1301" s="7">
        <v>0</v>
      </c>
    </row>
    <row r="1302" spans="1:14" ht="14.25" x14ac:dyDescent="0.2">
      <c r="A1302" s="3">
        <v>88257</v>
      </c>
      <c r="B1302" s="3" t="s">
        <v>1965</v>
      </c>
      <c r="C1302" s="3" t="s">
        <v>18</v>
      </c>
      <c r="D1302" s="6" t="s">
        <v>130</v>
      </c>
      <c r="E1302" s="6" t="s">
        <v>130</v>
      </c>
      <c r="F1302" s="3" t="str">
        <f>IFERROR( VLOOKUP(A1302,#REF!,2,0),"")</f>
        <v/>
      </c>
      <c r="G1302" s="3" t="str">
        <f t="array" ref="G1302">_xlfn.XLOOKUP(I1302,Base_Datos!D:D,Base_Datos!B:B,"")</f>
        <v>DFSK</v>
      </c>
      <c r="H1302" s="3" t="str">
        <f t="array" ref="H1302">IF(I1302="","",IFERROR(_xlfn.XLOOKUP(I1302,Base_Datos!$D$2:$D3876,Base_Datos!$C$2:$C3876),""))</f>
        <v>Serie D</v>
      </c>
      <c r="I1302" s="3" t="s">
        <v>145</v>
      </c>
      <c r="J1302" s="3" t="str">
        <f>IF(I1302="","",IFERROR(VLOOKUP(I1302,Base_Datos!$D$2:$E$72,2,0),""))</f>
        <v>(2.4L)</v>
      </c>
      <c r="K1302" s="3" t="s">
        <v>1782</v>
      </c>
      <c r="L1302" s="3"/>
      <c r="M1302" s="7">
        <v>14</v>
      </c>
      <c r="N1302" s="7">
        <v>0</v>
      </c>
    </row>
    <row r="1303" spans="1:14" ht="14.25" x14ac:dyDescent="0.2">
      <c r="A1303" s="3">
        <v>88258</v>
      </c>
      <c r="B1303" s="3" t="s">
        <v>2280</v>
      </c>
      <c r="C1303" s="3" t="s">
        <v>18</v>
      </c>
      <c r="D1303" s="6" t="s">
        <v>131</v>
      </c>
      <c r="E1303" s="6" t="s">
        <v>131</v>
      </c>
      <c r="F1303" s="3" t="str">
        <f>IFERROR( VLOOKUP(A1303,#REF!,2,0),"")</f>
        <v/>
      </c>
      <c r="G1303" s="3" t="str">
        <f t="array" ref="G1303">_xlfn.XLOOKUP(I1303,Base_Datos!D:D,Base_Datos!B:B,"")</f>
        <v>DFSK</v>
      </c>
      <c r="H1303" s="3" t="str">
        <f t="array" ref="H1303">IF(I1303="","",IFERROR(_xlfn.XLOOKUP(I1303,Base_Datos!$D$2:$D3876,Base_Datos!$C$2:$C3876),""))</f>
        <v>Serie D</v>
      </c>
      <c r="I1303" s="3" t="s">
        <v>145</v>
      </c>
      <c r="J1303" s="3" t="str">
        <f>IF(I1303="","",IFERROR(VLOOKUP(I1303,Base_Datos!$D$2:$E$72,2,0),""))</f>
        <v>(2.4L)</v>
      </c>
      <c r="K1303" s="3" t="s">
        <v>1782</v>
      </c>
      <c r="L1303" s="3"/>
      <c r="M1303" s="7">
        <v>91</v>
      </c>
      <c r="N1303" s="7">
        <v>0</v>
      </c>
    </row>
    <row r="1304" spans="1:14" ht="14.25" x14ac:dyDescent="0.2">
      <c r="A1304" s="3">
        <v>88262</v>
      </c>
      <c r="B1304" s="3" t="s">
        <v>1840</v>
      </c>
      <c r="C1304" s="3" t="s">
        <v>18</v>
      </c>
      <c r="D1304" s="6" t="s">
        <v>134</v>
      </c>
      <c r="E1304" s="6" t="s">
        <v>3376</v>
      </c>
      <c r="F1304" s="3" t="str">
        <f>IFERROR( VLOOKUP(A1304,#REF!,2,0),"")</f>
        <v/>
      </c>
      <c r="G1304" s="3" t="str">
        <f t="array" ref="G1304">_xlfn.XLOOKUP(I1304,Base_Datos!D:D,Base_Datos!B:B,"")</f>
        <v>DFSK</v>
      </c>
      <c r="H1304" s="3" t="str">
        <f t="array" ref="H1304">IF(I1304="","",IFERROR(_xlfn.XLOOKUP(I1304,Base_Datos!$D$2:$D3876,Base_Datos!$C$2:$C3876),""))</f>
        <v>Serie D</v>
      </c>
      <c r="I1304" s="3" t="s">
        <v>145</v>
      </c>
      <c r="J1304" s="3" t="str">
        <f>IF(I1304="","",IFERROR(VLOOKUP(I1304,Base_Datos!$D$2:$E$72,2,0),""))</f>
        <v>(2.4L)</v>
      </c>
      <c r="K1304" s="3" t="s">
        <v>1782</v>
      </c>
      <c r="L1304" s="3"/>
      <c r="M1304" s="7">
        <v>9</v>
      </c>
      <c r="N1304" s="7">
        <v>0</v>
      </c>
    </row>
    <row r="1305" spans="1:14" ht="14.25" x14ac:dyDescent="0.2">
      <c r="A1305" s="3">
        <v>88263</v>
      </c>
      <c r="B1305" s="3" t="s">
        <v>2415</v>
      </c>
      <c r="C1305" s="3" t="s">
        <v>18</v>
      </c>
      <c r="D1305" s="6" t="s">
        <v>135</v>
      </c>
      <c r="E1305" s="6" t="s">
        <v>3377</v>
      </c>
      <c r="F1305" s="3" t="str">
        <f>IFERROR( VLOOKUP(A1305,#REF!,2,0),"")</f>
        <v/>
      </c>
      <c r="G1305" s="3" t="str">
        <f t="array" ref="G1305">_xlfn.XLOOKUP(I1305,Base_Datos!D:D,Base_Datos!B:B,"")</f>
        <v>DFSK</v>
      </c>
      <c r="H1305" s="3" t="str">
        <f t="array" ref="H1305">IF(I1305="","",IFERROR(_xlfn.XLOOKUP(I1305,Base_Datos!$D$2:$D3876,Base_Datos!$C$2:$C3876),""))</f>
        <v>Serie D</v>
      </c>
      <c r="I1305" s="3" t="s">
        <v>145</v>
      </c>
      <c r="J1305" s="3" t="str">
        <f>IF(I1305="","",IFERROR(VLOOKUP(I1305,Base_Datos!$D$2:$E$72,2,0),""))</f>
        <v>(2.4L)</v>
      </c>
      <c r="K1305" s="3" t="s">
        <v>1782</v>
      </c>
      <c r="L1305" s="3"/>
      <c r="M1305" s="7">
        <v>19</v>
      </c>
      <c r="N1305" s="7">
        <v>0</v>
      </c>
    </row>
    <row r="1306" spans="1:14" ht="14.25" x14ac:dyDescent="0.2">
      <c r="A1306" s="3">
        <v>88266</v>
      </c>
      <c r="B1306" s="3" t="s">
        <v>3378</v>
      </c>
      <c r="C1306" s="3" t="s">
        <v>18</v>
      </c>
      <c r="D1306" s="6" t="s">
        <v>137</v>
      </c>
      <c r="E1306" s="6" t="s">
        <v>3379</v>
      </c>
      <c r="F1306" s="3" t="str">
        <f>IFERROR( VLOOKUP(A1306,#REF!,2,0),"")</f>
        <v/>
      </c>
      <c r="G1306" s="3" t="str">
        <f t="array" ref="G1306">_xlfn.XLOOKUP(I1306,Base_Datos!D:D,Base_Datos!B:B,"")</f>
        <v>DFSK</v>
      </c>
      <c r="H1306" s="3" t="str">
        <f t="array" ref="H1306">IF(I1306="","",IFERROR(_xlfn.XLOOKUP(I1306,Base_Datos!$D$2:$D3876,Base_Datos!$C$2:$C3876),""))</f>
        <v>Serie D</v>
      </c>
      <c r="I1306" s="3" t="s">
        <v>145</v>
      </c>
      <c r="J1306" s="3" t="str">
        <f>IF(I1306="","",IFERROR(VLOOKUP(I1306,Base_Datos!$D$2:$E$72,2,0),""))</f>
        <v>(2.4L)</v>
      </c>
      <c r="K1306" s="3" t="s">
        <v>1782</v>
      </c>
      <c r="L1306" s="3"/>
      <c r="M1306" s="7">
        <v>23</v>
      </c>
      <c r="N1306" s="7">
        <v>0</v>
      </c>
    </row>
    <row r="1307" spans="1:14" ht="14.25" x14ac:dyDescent="0.2">
      <c r="A1307" s="3">
        <v>88267</v>
      </c>
      <c r="B1307" s="3" t="s">
        <v>1877</v>
      </c>
      <c r="C1307" s="3" t="s">
        <v>18</v>
      </c>
      <c r="D1307" s="6" t="s">
        <v>1031</v>
      </c>
      <c r="E1307" s="6" t="s">
        <v>1031</v>
      </c>
      <c r="F1307" s="3" t="str">
        <f>IFERROR( VLOOKUP(A1307,#REF!,2,0),"")</f>
        <v/>
      </c>
      <c r="G1307" s="3" t="str">
        <f t="array" ref="G1307">_xlfn.XLOOKUP(I1307,Base_Datos!D:D,Base_Datos!B:B,"")</f>
        <v>DFSK</v>
      </c>
      <c r="H1307" s="3" t="str">
        <f t="array" ref="H1307">IF(I1307="","",IFERROR(_xlfn.XLOOKUP(I1307,Base_Datos!$D$2:$D3876,Base_Datos!$C$2:$C3876),""))</f>
        <v>Serie D</v>
      </c>
      <c r="I1307" s="3" t="s">
        <v>145</v>
      </c>
      <c r="J1307" s="3" t="str">
        <f>IF(I1307="","",IFERROR(VLOOKUP(I1307,Base_Datos!$D$2:$E$72,2,0),""))</f>
        <v>(2.4L)</v>
      </c>
      <c r="K1307" s="3" t="s">
        <v>1782</v>
      </c>
      <c r="L1307" s="3"/>
      <c r="M1307" s="7">
        <v>22</v>
      </c>
      <c r="N1307" s="7">
        <v>0</v>
      </c>
    </row>
    <row r="1308" spans="1:14" ht="14.25" x14ac:dyDescent="0.2">
      <c r="A1308" s="3">
        <v>88269</v>
      </c>
      <c r="B1308" s="3" t="s">
        <v>3380</v>
      </c>
      <c r="C1308" s="3" t="s">
        <v>18</v>
      </c>
      <c r="D1308" s="6" t="s">
        <v>138</v>
      </c>
      <c r="E1308" s="6" t="s">
        <v>138</v>
      </c>
      <c r="F1308" s="3" t="str">
        <f>IFERROR( VLOOKUP(A1308,#REF!,2,0),"")</f>
        <v/>
      </c>
      <c r="G1308" s="3" t="str">
        <f t="array" ref="G1308">_xlfn.XLOOKUP(I1308,Base_Datos!D:D,Base_Datos!B:B,"")</f>
        <v>DFSK</v>
      </c>
      <c r="H1308" s="3" t="str">
        <f t="array" ref="H1308">IF(I1308="","",IFERROR(_xlfn.XLOOKUP(I1308,Base_Datos!$D$2:$D3876,Base_Datos!$C$2:$C3876),""))</f>
        <v>Serie D</v>
      </c>
      <c r="I1308" s="3" t="s">
        <v>145</v>
      </c>
      <c r="J1308" s="3" t="str">
        <f>IF(I1308="","",IFERROR(VLOOKUP(I1308,Base_Datos!$D$2:$E$72,2,0),""))</f>
        <v>(2.4L)</v>
      </c>
      <c r="K1308" s="3" t="s">
        <v>1782</v>
      </c>
      <c r="L1308" s="3"/>
      <c r="M1308" s="7">
        <v>28</v>
      </c>
      <c r="N1308" s="7">
        <v>0</v>
      </c>
    </row>
    <row r="1309" spans="1:14" ht="14.25" x14ac:dyDescent="0.2">
      <c r="A1309" s="3">
        <v>88270</v>
      </c>
      <c r="B1309" s="3" t="s">
        <v>1796</v>
      </c>
      <c r="C1309" s="3" t="s">
        <v>18</v>
      </c>
      <c r="D1309" s="6" t="s">
        <v>139</v>
      </c>
      <c r="E1309" s="6" t="s">
        <v>139</v>
      </c>
      <c r="F1309" s="3" t="str">
        <f>IFERROR( VLOOKUP(A1309,#REF!,2,0),"")</f>
        <v/>
      </c>
      <c r="G1309" s="3" t="str">
        <f t="array" ref="G1309">_xlfn.XLOOKUP(I1309,Base_Datos!D:D,Base_Datos!B:B,"")</f>
        <v>DFSK</v>
      </c>
      <c r="H1309" s="3" t="str">
        <f t="array" ref="H1309">IF(I1309="","",IFERROR(_xlfn.XLOOKUP(I1309,Base_Datos!$D$2:$D3876,Base_Datos!$C$2:$C3876),""))</f>
        <v>Serie D</v>
      </c>
      <c r="I1309" s="3" t="s">
        <v>145</v>
      </c>
      <c r="J1309" s="3" t="str">
        <f>IF(I1309="","",IFERROR(VLOOKUP(I1309,Base_Datos!$D$2:$E$72,2,0),""))</f>
        <v>(2.4L)</v>
      </c>
      <c r="K1309" s="3" t="s">
        <v>1782</v>
      </c>
      <c r="L1309" s="3"/>
      <c r="M1309" s="7">
        <v>126</v>
      </c>
      <c r="N1309" s="7">
        <v>0</v>
      </c>
    </row>
    <row r="1310" spans="1:14" ht="14.25" x14ac:dyDescent="0.2">
      <c r="A1310" s="3">
        <v>88273</v>
      </c>
      <c r="B1310" s="3" t="s">
        <v>3381</v>
      </c>
      <c r="C1310" s="3" t="s">
        <v>18</v>
      </c>
      <c r="D1310" s="6" t="s">
        <v>140</v>
      </c>
      <c r="E1310" s="6" t="s">
        <v>140</v>
      </c>
      <c r="F1310" s="3" t="str">
        <f>IFERROR( VLOOKUP(A1310,#REF!,2,0),"")</f>
        <v/>
      </c>
      <c r="G1310" s="3" t="str">
        <f t="array" ref="G1310">_xlfn.XLOOKUP(I1310,Base_Datos!D:D,Base_Datos!B:B,"")</f>
        <v>DFSK</v>
      </c>
      <c r="H1310" s="3" t="str">
        <f t="array" ref="H1310">IF(I1310="","",IFERROR(_xlfn.XLOOKUP(I1310,Base_Datos!$D$2:$D3876,Base_Datos!$C$2:$C3876),""))</f>
        <v>Serie Glory</v>
      </c>
      <c r="I1310" s="3" t="s">
        <v>1765</v>
      </c>
      <c r="J1310" s="3" t="str">
        <f>IF(I1310="","",IFERROR(VLOOKUP(I1310,Base_Datos!$D$2:$E$72,2,0),""))</f>
        <v>(1.5L)</v>
      </c>
      <c r="K1310" s="3" t="s">
        <v>2881</v>
      </c>
      <c r="L1310" s="3"/>
      <c r="M1310" s="7">
        <v>42</v>
      </c>
      <c r="N1310" s="7">
        <v>0</v>
      </c>
    </row>
    <row r="1311" spans="1:14" ht="14.25" x14ac:dyDescent="0.2">
      <c r="A1311" s="3">
        <v>88276</v>
      </c>
      <c r="B1311" s="3" t="s">
        <v>2507</v>
      </c>
      <c r="C1311" s="3" t="s">
        <v>18</v>
      </c>
      <c r="D1311" s="6" t="s">
        <v>143</v>
      </c>
      <c r="E1311" s="6" t="s">
        <v>143</v>
      </c>
      <c r="F1311" s="3" t="str">
        <f>IFERROR( VLOOKUP(A1311,#REF!,2,0),"")</f>
        <v/>
      </c>
      <c r="G1311" s="3" t="str">
        <f t="array" ref="G1311">_xlfn.XLOOKUP(I1311,Base_Datos!D:D,Base_Datos!B:B,"")</f>
        <v>DFSK</v>
      </c>
      <c r="H1311" s="3" t="str">
        <f t="array" ref="H1311">IF(I1311="","",IFERROR(_xlfn.XLOOKUP(I1311,Base_Datos!$D$2:$D3876,Base_Datos!$C$2:$C3876),""))</f>
        <v>Serie D</v>
      </c>
      <c r="I1311" s="3" t="s">
        <v>145</v>
      </c>
      <c r="J1311" s="3" t="str">
        <f>IF(I1311="","",IFERROR(VLOOKUP(I1311,Base_Datos!$D$2:$E$72,2,0),""))</f>
        <v>(2.4L)</v>
      </c>
      <c r="K1311" s="3" t="s">
        <v>1782</v>
      </c>
      <c r="L1311" s="3"/>
      <c r="M1311" s="7">
        <v>10</v>
      </c>
      <c r="N1311" s="7">
        <v>0</v>
      </c>
    </row>
    <row r="1312" spans="1:14" ht="14.25" x14ac:dyDescent="0.2">
      <c r="A1312" s="3">
        <v>88277</v>
      </c>
      <c r="B1312" s="3" t="s">
        <v>1870</v>
      </c>
      <c r="C1312" s="3" t="s">
        <v>18</v>
      </c>
      <c r="D1312" s="6" t="s">
        <v>144</v>
      </c>
      <c r="E1312" s="6" t="s">
        <v>144</v>
      </c>
      <c r="F1312" s="3" t="str">
        <f>IFERROR( VLOOKUP(A1312,#REF!,2,0),"")</f>
        <v/>
      </c>
      <c r="G1312" s="3" t="str">
        <f t="array" ref="G1312">_xlfn.XLOOKUP(I1312,Base_Datos!D:D,Base_Datos!B:B,"")</f>
        <v>DFSK</v>
      </c>
      <c r="H1312" s="3" t="str">
        <f t="array" ref="H1312">IF(I1312="","",IFERROR(_xlfn.XLOOKUP(I1312,Base_Datos!$D$2:$D3876,Base_Datos!$C$2:$C3876),""))</f>
        <v>Serie D</v>
      </c>
      <c r="I1312" s="3" t="s">
        <v>145</v>
      </c>
      <c r="J1312" s="3" t="str">
        <f>IF(I1312="","",IFERROR(VLOOKUP(I1312,Base_Datos!$D$2:$E$72,2,0),""))</f>
        <v>(2.4L)</v>
      </c>
      <c r="K1312" s="3" t="s">
        <v>1782</v>
      </c>
      <c r="L1312" s="3"/>
      <c r="M1312" s="7">
        <v>69</v>
      </c>
      <c r="N1312" s="7">
        <v>0</v>
      </c>
    </row>
    <row r="1313" spans="1:14" ht="14.25" x14ac:dyDescent="0.2">
      <c r="A1313" s="3">
        <v>88278</v>
      </c>
      <c r="B1313" s="3" t="s">
        <v>1830</v>
      </c>
      <c r="C1313" s="3" t="s">
        <v>18</v>
      </c>
      <c r="D1313" s="6" t="s">
        <v>146</v>
      </c>
      <c r="E1313" s="6" t="s">
        <v>146</v>
      </c>
      <c r="F1313" s="3" t="str">
        <f>IFERROR( VLOOKUP(A1313,#REF!,2,0),"")</f>
        <v/>
      </c>
      <c r="G1313" s="3" t="str">
        <f t="array" ref="G1313">_xlfn.XLOOKUP(I1313,Base_Datos!D:D,Base_Datos!B:B,"")</f>
        <v>DFSK</v>
      </c>
      <c r="H1313" s="3" t="str">
        <f t="array" ref="H1313">IF(I1313="","",IFERROR(_xlfn.XLOOKUP(I1313,Base_Datos!$D$2:$D3876,Base_Datos!$C$2:$C3876),""))</f>
        <v>Serie D</v>
      </c>
      <c r="I1313" s="3" t="s">
        <v>145</v>
      </c>
      <c r="J1313" s="3" t="str">
        <f>IF(I1313="","",IFERROR(VLOOKUP(I1313,Base_Datos!$D$2:$E$72,2,0),""))</f>
        <v>(2.4L)</v>
      </c>
      <c r="K1313" s="3" t="s">
        <v>1782</v>
      </c>
      <c r="L1313" s="3"/>
      <c r="M1313" s="7">
        <v>73</v>
      </c>
      <c r="N1313" s="7">
        <v>0</v>
      </c>
    </row>
    <row r="1314" spans="1:14" ht="14.25" x14ac:dyDescent="0.2">
      <c r="A1314" s="3">
        <v>88280</v>
      </c>
      <c r="B1314" s="3" t="s">
        <v>1925</v>
      </c>
      <c r="C1314" s="3" t="s">
        <v>16</v>
      </c>
      <c r="D1314" s="6" t="s">
        <v>147</v>
      </c>
      <c r="E1314" s="6" t="s">
        <v>3382</v>
      </c>
      <c r="F1314" s="3" t="str">
        <f>IFERROR( VLOOKUP(A1314,#REF!,2,0),"")</f>
        <v/>
      </c>
      <c r="G1314" s="3" t="str">
        <f t="array" ref="G1314">_xlfn.XLOOKUP(I1314,Base_Datos!D:D,Base_Datos!B:B,"")</f>
        <v>GAC</v>
      </c>
      <c r="H1314" s="3" t="str">
        <f t="array" ref="H1314">IF(I1314="","",IFERROR(_xlfn.XLOOKUP(I1314,Base_Datos!$D$2:$D3876,Base_Datos!$C$2:$C3876),""))</f>
        <v>Serie GS</v>
      </c>
      <c r="I1314" s="3" t="s">
        <v>1487</v>
      </c>
      <c r="J1314" s="3" t="str">
        <f>IF(I1314="","",IFERROR(VLOOKUP(I1314,Base_Datos!$D$2:$E$72,2,0),""))</f>
        <v>(2.0L)</v>
      </c>
      <c r="K1314" s="3" t="s">
        <v>1782</v>
      </c>
      <c r="L1314" s="3"/>
      <c r="M1314" s="7">
        <v>1</v>
      </c>
      <c r="N1314" s="7">
        <v>0</v>
      </c>
    </row>
    <row r="1315" spans="1:14" ht="14.25" x14ac:dyDescent="0.2">
      <c r="A1315" s="3">
        <v>88281</v>
      </c>
      <c r="B1315" s="3" t="s">
        <v>1928</v>
      </c>
      <c r="C1315" s="3" t="s">
        <v>18</v>
      </c>
      <c r="D1315" s="6" t="s">
        <v>148</v>
      </c>
      <c r="E1315" s="6" t="s">
        <v>3383</v>
      </c>
      <c r="F1315" s="3" t="str">
        <f>IFERROR( VLOOKUP(A1315,#REF!,2,0),"")</f>
        <v/>
      </c>
      <c r="G1315" s="3" t="str">
        <f t="array" ref="G1315">_xlfn.XLOOKUP(I1315,Base_Datos!D:D,Base_Datos!B:B,"")</f>
        <v>DFSK</v>
      </c>
      <c r="H1315" s="3" t="str">
        <f t="array" ref="H1315">IF(I1315="","",IFERROR(_xlfn.XLOOKUP(I1315,Base_Datos!$D$2:$D3876,Base_Datos!$C$2:$C3876),""))</f>
        <v>Serie D</v>
      </c>
      <c r="I1315" s="3" t="s">
        <v>145</v>
      </c>
      <c r="J1315" s="3" t="str">
        <f>IF(I1315="","",IFERROR(VLOOKUP(I1315,Base_Datos!$D$2:$E$72,2,0),""))</f>
        <v>(2.4L)</v>
      </c>
      <c r="K1315" s="3" t="s">
        <v>1782</v>
      </c>
      <c r="L1315" s="3"/>
      <c r="M1315" s="7">
        <v>66</v>
      </c>
      <c r="N1315" s="7">
        <v>0</v>
      </c>
    </row>
    <row r="1316" spans="1:14" ht="14.25" x14ac:dyDescent="0.2">
      <c r="A1316" s="3">
        <v>88282</v>
      </c>
      <c r="B1316" s="3" t="s">
        <v>3384</v>
      </c>
      <c r="C1316" s="3" t="s">
        <v>18</v>
      </c>
      <c r="D1316" s="6" t="s">
        <v>149</v>
      </c>
      <c r="E1316" s="6" t="s">
        <v>149</v>
      </c>
      <c r="F1316" s="3" t="str">
        <f>IFERROR( VLOOKUP(A1316,#REF!,2,0),"")</f>
        <v/>
      </c>
      <c r="G1316" s="3" t="str">
        <f t="array" ref="G1316">_xlfn.XLOOKUP(I1316,Base_Datos!D:D,Base_Datos!B:B,"")</f>
        <v>DFSK</v>
      </c>
      <c r="H1316" s="3" t="str">
        <f t="array" ref="H1316">IF(I1316="","",IFERROR(_xlfn.XLOOKUP(I1316,Base_Datos!$D$2:$D3876,Base_Datos!$C$2:$C3876),""))</f>
        <v>Serie D</v>
      </c>
      <c r="I1316" s="3" t="s">
        <v>145</v>
      </c>
      <c r="J1316" s="3" t="str">
        <f>IF(I1316="","",IFERROR(VLOOKUP(I1316,Base_Datos!$D$2:$E$72,2,0),""))</f>
        <v>(2.4L)</v>
      </c>
      <c r="K1316" s="3" t="s">
        <v>1782</v>
      </c>
      <c r="L1316" s="3"/>
      <c r="M1316" s="7">
        <v>23</v>
      </c>
      <c r="N1316" s="7">
        <v>0</v>
      </c>
    </row>
    <row r="1317" spans="1:14" ht="14.25" x14ac:dyDescent="0.2">
      <c r="A1317" s="3">
        <v>88283</v>
      </c>
      <c r="B1317" s="3" t="s">
        <v>3385</v>
      </c>
      <c r="C1317" s="3" t="s">
        <v>18</v>
      </c>
      <c r="D1317" s="6" t="s">
        <v>150</v>
      </c>
      <c r="E1317" s="6" t="s">
        <v>150</v>
      </c>
      <c r="F1317" s="3" t="str">
        <f>IFERROR( VLOOKUP(A1317,#REF!,2,0),"")</f>
        <v/>
      </c>
      <c r="G1317" s="3" t="str">
        <f t="array" ref="G1317">_xlfn.XLOOKUP(I1317,Base_Datos!D:D,Base_Datos!B:B,"")</f>
        <v>DFSK</v>
      </c>
      <c r="H1317" s="3" t="str">
        <f t="array" ref="H1317">IF(I1317="","",IFERROR(_xlfn.XLOOKUP(I1317,Base_Datos!$D$2:$D3876,Base_Datos!$C$2:$C3876),""))</f>
        <v>Serie D</v>
      </c>
      <c r="I1317" s="3" t="s">
        <v>145</v>
      </c>
      <c r="J1317" s="3" t="str">
        <f>IF(I1317="","",IFERROR(VLOOKUP(I1317,Base_Datos!$D$2:$E$72,2,0),""))</f>
        <v>(2.4L)</v>
      </c>
      <c r="K1317" s="3" t="s">
        <v>1782</v>
      </c>
      <c r="L1317" s="3"/>
      <c r="M1317" s="7">
        <v>21</v>
      </c>
      <c r="N1317" s="7">
        <v>0</v>
      </c>
    </row>
    <row r="1318" spans="1:14" ht="14.25" x14ac:dyDescent="0.2">
      <c r="A1318" s="3">
        <v>88284</v>
      </c>
      <c r="B1318" s="3" t="s">
        <v>2448</v>
      </c>
      <c r="C1318" s="3" t="s">
        <v>18</v>
      </c>
      <c r="D1318" s="6" t="s">
        <v>151</v>
      </c>
      <c r="E1318" s="6" t="s">
        <v>3386</v>
      </c>
      <c r="F1318" s="3" t="str">
        <f>IFERROR( VLOOKUP(A1318,#REF!,2,0),"")</f>
        <v/>
      </c>
      <c r="G1318" s="3" t="str">
        <f t="array" ref="G1318">_xlfn.XLOOKUP(I1318,Base_Datos!D:D,Base_Datos!B:B,"")</f>
        <v>DFSK</v>
      </c>
      <c r="H1318" s="3" t="str">
        <f t="array" ref="H1318">IF(I1318="","",IFERROR(_xlfn.XLOOKUP(I1318,Base_Datos!$D$2:$D3876,Base_Datos!$C$2:$C3876),""))</f>
        <v>Serie D</v>
      </c>
      <c r="I1318" s="3" t="s">
        <v>145</v>
      </c>
      <c r="J1318" s="3" t="str">
        <f>IF(I1318="","",IFERROR(VLOOKUP(I1318,Base_Datos!$D$2:$E$72,2,0),""))</f>
        <v>(2.4L)</v>
      </c>
      <c r="K1318" s="3" t="s">
        <v>1782</v>
      </c>
      <c r="L1318" s="3"/>
      <c r="M1318" s="7">
        <v>21</v>
      </c>
      <c r="N1318" s="7">
        <v>0</v>
      </c>
    </row>
    <row r="1319" spans="1:14" ht="14.25" x14ac:dyDescent="0.2">
      <c r="A1319" s="3">
        <v>88285</v>
      </c>
      <c r="B1319" s="3" t="s">
        <v>1827</v>
      </c>
      <c r="C1319" s="3" t="s">
        <v>18</v>
      </c>
      <c r="D1319" s="6" t="s">
        <v>152</v>
      </c>
      <c r="E1319" s="6" t="s">
        <v>152</v>
      </c>
      <c r="F1319" s="3" t="str">
        <f>IFERROR( VLOOKUP(A1319,#REF!,2,0),"")</f>
        <v/>
      </c>
      <c r="G1319" s="3" t="str">
        <f t="array" ref="G1319">_xlfn.XLOOKUP(I1319,Base_Datos!D:D,Base_Datos!B:B,"")</f>
        <v>DFSK</v>
      </c>
      <c r="H1319" s="3" t="str">
        <f t="array" ref="H1319">IF(I1319="","",IFERROR(_xlfn.XLOOKUP(I1319,Base_Datos!$D$2:$D3876,Base_Datos!$C$2:$C3876),""))</f>
        <v>Serie D</v>
      </c>
      <c r="I1319" s="3" t="s">
        <v>145</v>
      </c>
      <c r="J1319" s="3" t="str">
        <f>IF(I1319="","",IFERROR(VLOOKUP(I1319,Base_Datos!$D$2:$E$72,2,0),""))</f>
        <v>(2.4L)</v>
      </c>
      <c r="K1319" s="3" t="s">
        <v>1782</v>
      </c>
      <c r="L1319" s="3"/>
      <c r="M1319" s="7">
        <v>22</v>
      </c>
      <c r="N1319" s="7">
        <v>0</v>
      </c>
    </row>
    <row r="1320" spans="1:14" ht="14.25" x14ac:dyDescent="0.2">
      <c r="A1320" s="3">
        <v>88288</v>
      </c>
      <c r="B1320" s="3" t="s">
        <v>3387</v>
      </c>
      <c r="C1320" s="3" t="s">
        <v>18</v>
      </c>
      <c r="D1320" s="6" t="s">
        <v>155</v>
      </c>
      <c r="E1320" s="6" t="s">
        <v>3388</v>
      </c>
      <c r="F1320" s="3" t="str">
        <f>IFERROR( VLOOKUP(A1320,#REF!,2,0),"")</f>
        <v/>
      </c>
      <c r="G1320" s="3" t="str">
        <f t="array" ref="G1320">_xlfn.XLOOKUP(I1320,Base_Datos!D:D,Base_Datos!B:B,"")</f>
        <v>DFSK</v>
      </c>
      <c r="H1320" s="3" t="str">
        <f t="array" ref="H1320">IF(I1320="","",IFERROR(_xlfn.XLOOKUP(I1320,Base_Datos!$D$2:$D3876,Base_Datos!$C$2:$C3876),""))</f>
        <v>Serie D</v>
      </c>
      <c r="I1320" s="3" t="s">
        <v>145</v>
      </c>
      <c r="J1320" s="3" t="str">
        <f>IF(I1320="","",IFERROR(VLOOKUP(I1320,Base_Datos!$D$2:$E$72,2,0),""))</f>
        <v>(2.4L)</v>
      </c>
      <c r="K1320" s="3" t="s">
        <v>1782</v>
      </c>
      <c r="L1320" s="3"/>
      <c r="M1320" s="7">
        <v>3</v>
      </c>
      <c r="N1320" s="7">
        <v>0</v>
      </c>
    </row>
    <row r="1321" spans="1:14" ht="14.25" x14ac:dyDescent="0.2">
      <c r="A1321" s="3">
        <v>88289</v>
      </c>
      <c r="B1321" s="3" t="s">
        <v>3389</v>
      </c>
      <c r="C1321" s="3" t="s">
        <v>18</v>
      </c>
      <c r="D1321" s="6" t="s">
        <v>156</v>
      </c>
      <c r="E1321" s="6" t="s">
        <v>156</v>
      </c>
      <c r="F1321" s="3" t="str">
        <f>IFERROR( VLOOKUP(A1321,#REF!,2,0),"")</f>
        <v/>
      </c>
      <c r="G1321" s="3" t="str">
        <f t="array" ref="G1321">_xlfn.XLOOKUP(I1321,Base_Datos!D:D,Base_Datos!B:B,"")</f>
        <v>DFSK</v>
      </c>
      <c r="H1321" s="3" t="str">
        <f t="array" ref="H1321">IF(I1321="","",IFERROR(_xlfn.XLOOKUP(I1321,Base_Datos!$D$2:$D3876,Base_Datos!$C$2:$C3876),""))</f>
        <v>Serie D</v>
      </c>
      <c r="I1321" s="3" t="s">
        <v>145</v>
      </c>
      <c r="J1321" s="3" t="str">
        <f>IF(I1321="","",IFERROR(VLOOKUP(I1321,Base_Datos!$D$2:$E$72,2,0),""))</f>
        <v>(2.4L)</v>
      </c>
      <c r="K1321" s="3" t="s">
        <v>1782</v>
      </c>
      <c r="L1321" s="3"/>
      <c r="M1321" s="7">
        <v>3</v>
      </c>
      <c r="N1321" s="7">
        <v>0</v>
      </c>
    </row>
    <row r="1322" spans="1:14" ht="14.25" x14ac:dyDescent="0.2">
      <c r="A1322" s="3">
        <v>88293</v>
      </c>
      <c r="B1322" s="3" t="s">
        <v>2245</v>
      </c>
      <c r="C1322" s="3" t="s">
        <v>18</v>
      </c>
      <c r="D1322" s="6" t="s">
        <v>160</v>
      </c>
      <c r="E1322" s="6" t="s">
        <v>160</v>
      </c>
      <c r="F1322" s="3" t="str">
        <f>IFERROR( VLOOKUP(A1322,#REF!,2,0),"")</f>
        <v/>
      </c>
      <c r="G1322" s="3" t="str">
        <f t="array" ref="G1322">_xlfn.XLOOKUP(I1322,Base_Datos!D:D,Base_Datos!B:B,"")</f>
        <v>DFSK</v>
      </c>
      <c r="H1322" s="3" t="str">
        <f t="array" ref="H1322">IF(I1322="","",IFERROR(_xlfn.XLOOKUP(I1322,Base_Datos!$D$2:$D3876,Base_Datos!$C$2:$C3876),""))</f>
        <v>Serie D</v>
      </c>
      <c r="I1322" s="3" t="s">
        <v>145</v>
      </c>
      <c r="J1322" s="3" t="str">
        <f>IF(I1322="","",IFERROR(VLOOKUP(I1322,Base_Datos!$D$2:$E$72,2,0),""))</f>
        <v>(2.4L)</v>
      </c>
      <c r="K1322" s="3" t="s">
        <v>1782</v>
      </c>
      <c r="L1322" s="3"/>
      <c r="M1322" s="7">
        <v>10</v>
      </c>
      <c r="N1322" s="7">
        <v>0</v>
      </c>
    </row>
    <row r="1323" spans="1:14" ht="14.25" x14ac:dyDescent="0.2">
      <c r="A1323" s="3">
        <v>88294</v>
      </c>
      <c r="B1323" s="3" t="s">
        <v>1807</v>
      </c>
      <c r="C1323" s="3" t="s">
        <v>18</v>
      </c>
      <c r="D1323" s="6" t="s">
        <v>161</v>
      </c>
      <c r="E1323" s="6" t="s">
        <v>161</v>
      </c>
      <c r="F1323" s="3" t="str">
        <f>IFERROR( VLOOKUP(A1323,#REF!,2,0),"")</f>
        <v/>
      </c>
      <c r="G1323" s="3" t="str">
        <f t="array" ref="G1323">_xlfn.XLOOKUP(I1323,Base_Datos!D:D,Base_Datos!B:B,"")</f>
        <v>DFSK</v>
      </c>
      <c r="H1323" s="3" t="str">
        <f t="array" ref="H1323">IF(I1323="","",IFERROR(_xlfn.XLOOKUP(I1323,Base_Datos!$D$2:$D3876,Base_Datos!$C$2:$C3876),""))</f>
        <v>Serie D</v>
      </c>
      <c r="I1323" s="3" t="s">
        <v>145</v>
      </c>
      <c r="J1323" s="3" t="str">
        <f>IF(I1323="","",IFERROR(VLOOKUP(I1323,Base_Datos!$D$2:$E$72,2,0),""))</f>
        <v>(2.4L)</v>
      </c>
      <c r="K1323" s="3" t="s">
        <v>1782</v>
      </c>
      <c r="L1323" s="3"/>
      <c r="M1323" s="7">
        <v>4</v>
      </c>
      <c r="N1323" s="7">
        <v>0</v>
      </c>
    </row>
    <row r="1324" spans="1:14" ht="14.25" x14ac:dyDescent="0.2">
      <c r="A1324" s="3">
        <v>88295</v>
      </c>
      <c r="B1324" s="3" t="s">
        <v>3390</v>
      </c>
      <c r="C1324" s="3" t="s">
        <v>18</v>
      </c>
      <c r="D1324" s="6" t="s">
        <v>162</v>
      </c>
      <c r="E1324" s="6" t="s">
        <v>2466</v>
      </c>
      <c r="F1324" s="3" t="str">
        <f>IFERROR( VLOOKUP(A1324,#REF!,2,0),"")</f>
        <v/>
      </c>
      <c r="G1324" s="3" t="str">
        <f t="array" ref="G1324">_xlfn.XLOOKUP(I1324,Base_Datos!D:D,Base_Datos!B:B,"")</f>
        <v>DFSK</v>
      </c>
      <c r="H1324" s="3" t="str">
        <f t="array" ref="H1324">IF(I1324="","",IFERROR(_xlfn.XLOOKUP(I1324,Base_Datos!$D$2:$D3876,Base_Datos!$C$2:$C3876),""))</f>
        <v>Serie D</v>
      </c>
      <c r="I1324" s="3" t="s">
        <v>145</v>
      </c>
      <c r="J1324" s="3" t="str">
        <f>IF(I1324="","",IFERROR(VLOOKUP(I1324,Base_Datos!$D$2:$E$72,2,0),""))</f>
        <v>(2.4L)</v>
      </c>
      <c r="K1324" s="3" t="s">
        <v>1782</v>
      </c>
      <c r="L1324" s="3"/>
      <c r="M1324" s="7">
        <v>47</v>
      </c>
      <c r="N1324" s="7">
        <v>0</v>
      </c>
    </row>
    <row r="1325" spans="1:14" ht="14.25" x14ac:dyDescent="0.2">
      <c r="A1325" s="3">
        <v>88296</v>
      </c>
      <c r="B1325" s="3" t="s">
        <v>3391</v>
      </c>
      <c r="C1325" s="3" t="s">
        <v>18</v>
      </c>
      <c r="D1325" s="6" t="s">
        <v>163</v>
      </c>
      <c r="E1325" s="6" t="s">
        <v>163</v>
      </c>
      <c r="F1325" s="3" t="str">
        <f>IFERROR( VLOOKUP(A1325,#REF!,2,0),"")</f>
        <v/>
      </c>
      <c r="G1325" s="3" t="str">
        <f t="array" ref="G1325">_xlfn.XLOOKUP(I1325,Base_Datos!D:D,Base_Datos!B:B,"")</f>
        <v>DFSK</v>
      </c>
      <c r="H1325" s="3" t="str">
        <f t="array" ref="H1325">IF(I1325="","",IFERROR(_xlfn.XLOOKUP(I1325,Base_Datos!$D$2:$D3876,Base_Datos!$C$2:$C3876),""))</f>
        <v>Serie D</v>
      </c>
      <c r="I1325" s="3" t="s">
        <v>145</v>
      </c>
      <c r="J1325" s="3" t="str">
        <f>IF(I1325="","",IFERROR(VLOOKUP(I1325,Base_Datos!$D$2:$E$72,2,0),""))</f>
        <v>(2.4L)</v>
      </c>
      <c r="K1325" s="3" t="s">
        <v>1782</v>
      </c>
      <c r="L1325" s="3"/>
      <c r="M1325" s="7">
        <v>11</v>
      </c>
      <c r="N1325" s="7">
        <v>0</v>
      </c>
    </row>
    <row r="1326" spans="1:14" ht="14.25" x14ac:dyDescent="0.2">
      <c r="A1326" s="3">
        <v>88299</v>
      </c>
      <c r="B1326" s="3" t="s">
        <v>2256</v>
      </c>
      <c r="C1326" s="3" t="s">
        <v>18</v>
      </c>
      <c r="D1326" s="6" t="s">
        <v>165</v>
      </c>
      <c r="E1326" s="6" t="s">
        <v>165</v>
      </c>
      <c r="F1326" s="3" t="str">
        <f>IFERROR( VLOOKUP(A1326,#REF!,2,0),"")</f>
        <v/>
      </c>
      <c r="G1326" s="3" t="str">
        <f t="array" ref="G1326">_xlfn.XLOOKUP(I1326,Base_Datos!D:D,Base_Datos!B:B,"")</f>
        <v>DFSK</v>
      </c>
      <c r="H1326" s="3" t="str">
        <f t="array" ref="H1326">IF(I1326="","",IFERROR(_xlfn.XLOOKUP(I1326,Base_Datos!$D$2:$D3876,Base_Datos!$C$2:$C3876),""))</f>
        <v>Serie D</v>
      </c>
      <c r="I1326" s="3" t="s">
        <v>145</v>
      </c>
      <c r="J1326" s="3" t="str">
        <f>IF(I1326="","",IFERROR(VLOOKUP(I1326,Base_Datos!$D$2:$E$72,2,0),""))</f>
        <v>(2.4L)</v>
      </c>
      <c r="K1326" s="3" t="s">
        <v>1782</v>
      </c>
      <c r="L1326" s="3"/>
      <c r="M1326" s="7">
        <v>6</v>
      </c>
      <c r="N1326" s="7">
        <v>0</v>
      </c>
    </row>
    <row r="1327" spans="1:14" ht="14.25" x14ac:dyDescent="0.2">
      <c r="A1327" s="3">
        <v>88300</v>
      </c>
      <c r="B1327" s="3" t="s">
        <v>3126</v>
      </c>
      <c r="C1327" s="3" t="s">
        <v>18</v>
      </c>
      <c r="D1327" s="6" t="s">
        <v>166</v>
      </c>
      <c r="E1327" s="6" t="s">
        <v>3392</v>
      </c>
      <c r="F1327" s="3" t="str">
        <f>IFERROR( VLOOKUP(A1327,#REF!,2,0),"")</f>
        <v/>
      </c>
      <c r="G1327" s="3" t="str">
        <f t="array" ref="G1327">_xlfn.XLOOKUP(I1327,Base_Datos!D:D,Base_Datos!B:B,"")</f>
        <v>DFSK</v>
      </c>
      <c r="H1327" s="3" t="str">
        <f t="array" ref="H1327">IF(I1327="","",IFERROR(_xlfn.XLOOKUP(I1327,Base_Datos!$D$2:$D3876,Base_Datos!$C$2:$C3876),""))</f>
        <v>Serie D</v>
      </c>
      <c r="I1327" s="3" t="s">
        <v>145</v>
      </c>
      <c r="J1327" s="3" t="str">
        <f>IF(I1327="","",IFERROR(VLOOKUP(I1327,Base_Datos!$D$2:$E$72,2,0),""))</f>
        <v>(2.4L)</v>
      </c>
      <c r="K1327" s="3" t="s">
        <v>1782</v>
      </c>
      <c r="L1327" s="3"/>
      <c r="M1327" s="7">
        <v>7</v>
      </c>
      <c r="N1327" s="7">
        <v>0</v>
      </c>
    </row>
    <row r="1328" spans="1:14" ht="14.25" x14ac:dyDescent="0.2">
      <c r="A1328" s="3">
        <v>88301</v>
      </c>
      <c r="B1328" s="3" t="s">
        <v>3393</v>
      </c>
      <c r="C1328" s="3" t="s">
        <v>18</v>
      </c>
      <c r="D1328" s="6" t="s">
        <v>167</v>
      </c>
      <c r="E1328" s="6" t="s">
        <v>167</v>
      </c>
      <c r="F1328" s="3" t="str">
        <f>IFERROR( VLOOKUP(A1328,#REF!,2,0),"")</f>
        <v/>
      </c>
      <c r="G1328" s="3" t="str">
        <f t="array" ref="G1328">_xlfn.XLOOKUP(I1328,Base_Datos!D:D,Base_Datos!B:B,"")</f>
        <v>DFSK</v>
      </c>
      <c r="H1328" s="3" t="str">
        <f t="array" ref="H1328">IF(I1328="","",IFERROR(_xlfn.XLOOKUP(I1328,Base_Datos!$D$2:$D3876,Base_Datos!$C$2:$C3876),""))</f>
        <v>Serie D</v>
      </c>
      <c r="I1328" s="3" t="s">
        <v>145</v>
      </c>
      <c r="J1328" s="3" t="str">
        <f>IF(I1328="","",IFERROR(VLOOKUP(I1328,Base_Datos!$D$2:$E$72,2,0),""))</f>
        <v>(2.4L)</v>
      </c>
      <c r="K1328" s="3" t="s">
        <v>1782</v>
      </c>
      <c r="L1328" s="3"/>
      <c r="M1328" s="7">
        <v>5</v>
      </c>
      <c r="N1328" s="7">
        <v>0</v>
      </c>
    </row>
    <row r="1329" spans="1:14" ht="14.25" x14ac:dyDescent="0.2">
      <c r="A1329" s="3">
        <v>88302</v>
      </c>
      <c r="B1329" s="3" t="s">
        <v>3394</v>
      </c>
      <c r="C1329" s="3" t="s">
        <v>18</v>
      </c>
      <c r="D1329" s="6" t="s">
        <v>168</v>
      </c>
      <c r="E1329" s="6" t="s">
        <v>168</v>
      </c>
      <c r="F1329" s="3" t="str">
        <f>IFERROR( VLOOKUP(A1329,#REF!,2,0),"")</f>
        <v/>
      </c>
      <c r="G1329" s="3" t="str">
        <f t="array" ref="G1329">_xlfn.XLOOKUP(I1329,Base_Datos!D:D,Base_Datos!B:B,"")</f>
        <v>DFSK</v>
      </c>
      <c r="H1329" s="3" t="str">
        <f t="array" ref="H1329">IF(I1329="","",IFERROR(_xlfn.XLOOKUP(I1329,Base_Datos!$D$2:$D3876,Base_Datos!$C$2:$C3876),""))</f>
        <v>Serie D</v>
      </c>
      <c r="I1329" s="3" t="s">
        <v>145</v>
      </c>
      <c r="J1329" s="3" t="str">
        <f>IF(I1329="","",IFERROR(VLOOKUP(I1329,Base_Datos!$D$2:$E$72,2,0),""))</f>
        <v>(2.4L)</v>
      </c>
      <c r="K1329" s="3" t="s">
        <v>1782</v>
      </c>
      <c r="L1329" s="3"/>
      <c r="M1329" s="7">
        <v>7</v>
      </c>
      <c r="N1329" s="7">
        <v>0</v>
      </c>
    </row>
    <row r="1330" spans="1:14" ht="14.25" x14ac:dyDescent="0.2">
      <c r="A1330" s="3">
        <v>88305</v>
      </c>
      <c r="B1330" s="3" t="s">
        <v>3395</v>
      </c>
      <c r="C1330" s="3" t="s">
        <v>18</v>
      </c>
      <c r="D1330" s="6" t="s">
        <v>170</v>
      </c>
      <c r="E1330" s="6" t="s">
        <v>170</v>
      </c>
      <c r="F1330" s="3" t="str">
        <f>IFERROR( VLOOKUP(A1330,#REF!,2,0),"")</f>
        <v/>
      </c>
      <c r="G1330" s="3" t="str">
        <f t="array" ref="G1330">_xlfn.XLOOKUP(I1330,Base_Datos!D:D,Base_Datos!B:B,"")</f>
        <v>DFSK</v>
      </c>
      <c r="H1330" s="3" t="str">
        <f t="array" ref="H1330">IF(I1330="","",IFERROR(_xlfn.XLOOKUP(I1330,Base_Datos!$D$2:$D3876,Base_Datos!$C$2:$C3876),""))</f>
        <v>Serie D</v>
      </c>
      <c r="I1330" s="3" t="s">
        <v>145</v>
      </c>
      <c r="J1330" s="3" t="str">
        <f>IF(I1330="","",IFERROR(VLOOKUP(I1330,Base_Datos!$D$2:$E$72,2,0),""))</f>
        <v>(2.4L)</v>
      </c>
      <c r="K1330" s="3" t="s">
        <v>1782</v>
      </c>
      <c r="L1330" s="3"/>
      <c r="M1330" s="7">
        <v>11</v>
      </c>
      <c r="N1330" s="7">
        <v>0</v>
      </c>
    </row>
    <row r="1331" spans="1:14" ht="14.25" x14ac:dyDescent="0.2">
      <c r="A1331" s="3">
        <v>88306</v>
      </c>
      <c r="B1331" s="3" t="s">
        <v>3396</v>
      </c>
      <c r="C1331" s="3" t="s">
        <v>18</v>
      </c>
      <c r="D1331" s="6" t="s">
        <v>171</v>
      </c>
      <c r="E1331" s="6" t="s">
        <v>171</v>
      </c>
      <c r="F1331" s="3" t="str">
        <f>IFERROR( VLOOKUP(A1331,#REF!,2,0),"")</f>
        <v/>
      </c>
      <c r="G1331" s="3" t="str">
        <f t="array" ref="G1331">_xlfn.XLOOKUP(I1331,Base_Datos!D:D,Base_Datos!B:B,"")</f>
        <v>DFSK</v>
      </c>
      <c r="H1331" s="3" t="str">
        <f t="array" ref="H1331">IF(I1331="","",IFERROR(_xlfn.XLOOKUP(I1331,Base_Datos!$D$2:$D3876,Base_Datos!$C$2:$C3876),""))</f>
        <v>Serie D</v>
      </c>
      <c r="I1331" s="3" t="s">
        <v>145</v>
      </c>
      <c r="J1331" s="3" t="str">
        <f>IF(I1331="","",IFERROR(VLOOKUP(I1331,Base_Datos!$D$2:$E$72,2,0),""))</f>
        <v>(2.4L)</v>
      </c>
      <c r="K1331" s="3" t="s">
        <v>1782</v>
      </c>
      <c r="L1331" s="3"/>
      <c r="M1331" s="7">
        <v>10</v>
      </c>
      <c r="N1331" s="7">
        <v>0</v>
      </c>
    </row>
    <row r="1332" spans="1:14" ht="14.25" x14ac:dyDescent="0.2">
      <c r="A1332" s="3">
        <v>88311</v>
      </c>
      <c r="B1332" s="3" t="s">
        <v>1856</v>
      </c>
      <c r="C1332" s="3" t="s">
        <v>18</v>
      </c>
      <c r="D1332" s="6" t="s">
        <v>175</v>
      </c>
      <c r="E1332" s="6" t="s">
        <v>1097</v>
      </c>
      <c r="F1332" s="3" t="str">
        <f>IFERROR( VLOOKUP(A1332,#REF!,2,0),"")</f>
        <v/>
      </c>
      <c r="G1332" s="3" t="str">
        <f t="array" ref="G1332">_xlfn.XLOOKUP(I1332,Base_Datos!D:D,Base_Datos!B:B,"")</f>
        <v>DFSK</v>
      </c>
      <c r="H1332" s="3" t="str">
        <f t="array" ref="H1332">IF(I1332="","",IFERROR(_xlfn.XLOOKUP(I1332,Base_Datos!$D$2:$D3876,Base_Datos!$C$2:$C3876),""))</f>
        <v>Serie D</v>
      </c>
      <c r="I1332" s="3" t="s">
        <v>145</v>
      </c>
      <c r="J1332" s="3" t="str">
        <f>IF(I1332="","",IFERROR(VLOOKUP(I1332,Base_Datos!$D$2:$E$72,2,0),""))</f>
        <v>(2.4L)</v>
      </c>
      <c r="K1332" s="3" t="s">
        <v>1782</v>
      </c>
      <c r="L1332" s="3"/>
      <c r="M1332" s="7">
        <v>43</v>
      </c>
      <c r="N1332" s="7">
        <v>0</v>
      </c>
    </row>
    <row r="1333" spans="1:14" ht="14.25" x14ac:dyDescent="0.2">
      <c r="A1333" s="3">
        <v>88312</v>
      </c>
      <c r="B1333" s="3" t="s">
        <v>1857</v>
      </c>
      <c r="C1333" s="3" t="s">
        <v>18</v>
      </c>
      <c r="D1333" s="6" t="s">
        <v>176</v>
      </c>
      <c r="E1333" s="6" t="s">
        <v>3397</v>
      </c>
      <c r="F1333" s="3" t="str">
        <f>IFERROR( VLOOKUP(A1333,#REF!,2,0),"")</f>
        <v/>
      </c>
      <c r="G1333" s="3" t="str">
        <f t="array" ref="G1333">_xlfn.XLOOKUP(I1333,Base_Datos!D:D,Base_Datos!B:B,"")</f>
        <v>DFSK</v>
      </c>
      <c r="H1333" s="3" t="str">
        <f t="array" ref="H1333">IF(I1333="","",IFERROR(_xlfn.XLOOKUP(I1333,Base_Datos!$D$2:$D3876,Base_Datos!$C$2:$C3876),""))</f>
        <v>Serie D</v>
      </c>
      <c r="I1333" s="3" t="s">
        <v>145</v>
      </c>
      <c r="J1333" s="3" t="str">
        <f>IF(I1333="","",IFERROR(VLOOKUP(I1333,Base_Datos!$D$2:$E$72,2,0),""))</f>
        <v>(2.4L)</v>
      </c>
      <c r="K1333" s="3" t="s">
        <v>1782</v>
      </c>
      <c r="L1333" s="3"/>
      <c r="M1333" s="7">
        <v>46</v>
      </c>
      <c r="N1333" s="7">
        <v>0</v>
      </c>
    </row>
    <row r="1334" spans="1:14" ht="14.25" x14ac:dyDescent="0.2">
      <c r="A1334" s="3">
        <v>88313</v>
      </c>
      <c r="B1334" s="3" t="s">
        <v>3398</v>
      </c>
      <c r="C1334" s="3" t="s">
        <v>18</v>
      </c>
      <c r="D1334" s="6" t="s">
        <v>177</v>
      </c>
      <c r="E1334" s="6" t="s">
        <v>177</v>
      </c>
      <c r="F1334" s="3" t="str">
        <f>IFERROR( VLOOKUP(A1334,#REF!,2,0),"")</f>
        <v/>
      </c>
      <c r="G1334" s="3" t="str">
        <f t="array" ref="G1334">_xlfn.XLOOKUP(I1334,Base_Datos!D:D,Base_Datos!B:B,"")</f>
        <v>DFSK</v>
      </c>
      <c r="H1334" s="3" t="str">
        <f t="array" ref="H1334">IF(I1334="","",IFERROR(_xlfn.XLOOKUP(I1334,Base_Datos!$D$2:$D3876,Base_Datos!$C$2:$C3876),""))</f>
        <v>Serie D</v>
      </c>
      <c r="I1334" s="3" t="s">
        <v>145</v>
      </c>
      <c r="J1334" s="3" t="str">
        <f>IF(I1334="","",IFERROR(VLOOKUP(I1334,Base_Datos!$D$2:$E$72,2,0),""))</f>
        <v>(2.4L)</v>
      </c>
      <c r="K1334" s="3" t="s">
        <v>1782</v>
      </c>
      <c r="L1334" s="3"/>
      <c r="M1334" s="7">
        <v>5</v>
      </c>
      <c r="N1334" s="7">
        <v>0</v>
      </c>
    </row>
    <row r="1335" spans="1:14" ht="14.25" x14ac:dyDescent="0.2">
      <c r="A1335" s="3">
        <v>88325</v>
      </c>
      <c r="B1335" s="3" t="s">
        <v>3399</v>
      </c>
      <c r="C1335" s="3" t="s">
        <v>18</v>
      </c>
      <c r="D1335" s="6" t="s">
        <v>3400</v>
      </c>
      <c r="E1335" s="6" t="s">
        <v>3400</v>
      </c>
      <c r="F1335" s="3" t="str">
        <f>IFERROR( VLOOKUP(A1335,#REF!,2,0),"")</f>
        <v/>
      </c>
      <c r="G1335" s="3" t="str">
        <f t="array" ref="G1335">_xlfn.XLOOKUP(I1335,Base_Datos!D:D,Base_Datos!B:B,"")</f>
        <v>DFSK</v>
      </c>
      <c r="H1335" s="3" t="str">
        <f t="array" ref="H1335">IF(I1335="","",IFERROR(_xlfn.XLOOKUP(I1335,Base_Datos!$D$2:$D3876,Base_Datos!$C$2:$C3876),""))</f>
        <v>Serie D</v>
      </c>
      <c r="I1335" s="3" t="s">
        <v>145</v>
      </c>
      <c r="J1335" s="3" t="str">
        <f>IF(I1335="","",IFERROR(VLOOKUP(I1335,Base_Datos!$D$2:$E$72,2,0),""))</f>
        <v>(2.4L)</v>
      </c>
      <c r="K1335" s="3" t="s">
        <v>1782</v>
      </c>
      <c r="L1335" s="3"/>
      <c r="M1335" s="7">
        <v>0</v>
      </c>
      <c r="N1335" s="7">
        <v>0</v>
      </c>
    </row>
    <row r="1336" spans="1:14" ht="14.25" x14ac:dyDescent="0.2">
      <c r="A1336" s="3">
        <v>88326</v>
      </c>
      <c r="B1336" s="3" t="s">
        <v>3398</v>
      </c>
      <c r="C1336" s="3" t="s">
        <v>18</v>
      </c>
      <c r="D1336" s="6" t="s">
        <v>177</v>
      </c>
      <c r="E1336" s="6" t="s">
        <v>177</v>
      </c>
      <c r="F1336" s="3" t="str">
        <f>IFERROR( VLOOKUP(A1336,#REF!,2,0),"")</f>
        <v/>
      </c>
      <c r="G1336" s="3" t="str">
        <f t="array" ref="G1336">_xlfn.XLOOKUP(I1336,Base_Datos!D:D,Base_Datos!B:B,"")</f>
        <v>DFSK</v>
      </c>
      <c r="H1336" s="3" t="str">
        <f t="array" ref="H1336">IF(I1336="","",IFERROR(_xlfn.XLOOKUP(I1336,Base_Datos!$D$2:$D3876,Base_Datos!$C$2:$C3876),""))</f>
        <v>Serie D</v>
      </c>
      <c r="I1336" s="3" t="s">
        <v>145</v>
      </c>
      <c r="J1336" s="3" t="str">
        <f>IF(I1336="","",IFERROR(VLOOKUP(I1336,Base_Datos!$D$2:$E$72,2,0),""))</f>
        <v>(2.4L)</v>
      </c>
      <c r="K1336" s="3" t="s">
        <v>1782</v>
      </c>
      <c r="L1336" s="3"/>
      <c r="M1336" s="7">
        <v>0</v>
      </c>
      <c r="N1336" s="7">
        <v>0</v>
      </c>
    </row>
    <row r="1337" spans="1:14" ht="14.25" x14ac:dyDescent="0.2">
      <c r="A1337" s="3">
        <v>88327</v>
      </c>
      <c r="B1337" s="3" t="s">
        <v>3398</v>
      </c>
      <c r="C1337" s="3" t="s">
        <v>18</v>
      </c>
      <c r="D1337" s="6" t="s">
        <v>177</v>
      </c>
      <c r="E1337" s="6" t="s">
        <v>177</v>
      </c>
      <c r="F1337" s="3" t="str">
        <f>IFERROR( VLOOKUP(A1337,#REF!,2,0),"")</f>
        <v/>
      </c>
      <c r="G1337" s="3" t="str">
        <f t="array" ref="G1337">_xlfn.XLOOKUP(I1337,Base_Datos!D:D,Base_Datos!B:B,"")</f>
        <v>DFSK</v>
      </c>
      <c r="H1337" s="3" t="str">
        <f t="array" ref="H1337">IF(I1337="","",IFERROR(_xlfn.XLOOKUP(I1337,Base_Datos!$D$2:$D3876,Base_Datos!$C$2:$C3876),""))</f>
        <v>Serie D</v>
      </c>
      <c r="I1337" s="3" t="s">
        <v>145</v>
      </c>
      <c r="J1337" s="3" t="str">
        <f>IF(I1337="","",IFERROR(VLOOKUP(I1337,Base_Datos!$D$2:$E$72,2,0),""))</f>
        <v>(2.4L)</v>
      </c>
      <c r="K1337" s="3" t="s">
        <v>1782</v>
      </c>
      <c r="L1337" s="3"/>
      <c r="M1337" s="7">
        <v>0</v>
      </c>
      <c r="N1337" s="7">
        <v>0</v>
      </c>
    </row>
    <row r="1338" spans="1:14" ht="14.25" x14ac:dyDescent="0.2">
      <c r="A1338" s="3">
        <v>88328</v>
      </c>
      <c r="B1338" s="3" t="s">
        <v>3398</v>
      </c>
      <c r="C1338" s="3" t="s">
        <v>18</v>
      </c>
      <c r="D1338" s="6" t="s">
        <v>177</v>
      </c>
      <c r="E1338" s="6" t="s">
        <v>177</v>
      </c>
      <c r="F1338" s="3" t="str">
        <f>IFERROR( VLOOKUP(A1338,#REF!,2,0),"")</f>
        <v/>
      </c>
      <c r="G1338" s="3" t="str">
        <f t="array" ref="G1338">_xlfn.XLOOKUP(I1338,Base_Datos!D:D,Base_Datos!B:B,"")</f>
        <v>DFSK</v>
      </c>
      <c r="H1338" s="3" t="str">
        <f t="array" ref="H1338">IF(I1338="","",IFERROR(_xlfn.XLOOKUP(I1338,Base_Datos!$D$2:$D3876,Base_Datos!$C$2:$C3876),""))</f>
        <v>Serie D</v>
      </c>
      <c r="I1338" s="3" t="s">
        <v>145</v>
      </c>
      <c r="J1338" s="3" t="str">
        <f>IF(I1338="","",IFERROR(VLOOKUP(I1338,Base_Datos!$D$2:$E$72,2,0),""))</f>
        <v>(2.4L)</v>
      </c>
      <c r="K1338" s="3" t="s">
        <v>1782</v>
      </c>
      <c r="L1338" s="3"/>
      <c r="M1338" s="7">
        <v>0</v>
      </c>
      <c r="N1338" s="7">
        <v>0</v>
      </c>
    </row>
    <row r="1339" spans="1:14" ht="14.25" x14ac:dyDescent="0.2">
      <c r="A1339" s="3">
        <v>88329</v>
      </c>
      <c r="B1339" s="9" t="s">
        <v>2275</v>
      </c>
      <c r="C1339" s="3" t="s">
        <v>18</v>
      </c>
      <c r="D1339" s="6" t="s">
        <v>178</v>
      </c>
      <c r="E1339" s="6" t="s">
        <v>3401</v>
      </c>
      <c r="F1339" s="3" t="str">
        <f>IFERROR( VLOOKUP(A1339,#REF!,2,0),"")</f>
        <v/>
      </c>
      <c r="G1339" s="3" t="str">
        <f t="array" ref="G1339">_xlfn.XLOOKUP(I1339,Base_Datos!D:D,Base_Datos!B:B,"")</f>
        <v>DFSK</v>
      </c>
      <c r="H1339" s="3" t="str">
        <f t="array" ref="H1339">IF(I1339="","",IFERROR(_xlfn.XLOOKUP(I1339,Base_Datos!$D$2:$D3876,Base_Datos!$C$2:$C3876),""))</f>
        <v>Serie D</v>
      </c>
      <c r="I1339" s="3" t="s">
        <v>145</v>
      </c>
      <c r="J1339" s="3" t="str">
        <f>IF(I1339="","",IFERROR(VLOOKUP(I1339,Base_Datos!$D$2:$E$72,2,0),""))</f>
        <v>(2.4L)</v>
      </c>
      <c r="K1339" s="3" t="s">
        <v>3375</v>
      </c>
      <c r="L1339" s="3"/>
      <c r="M1339" s="7">
        <v>531</v>
      </c>
      <c r="N1339" s="7">
        <v>0</v>
      </c>
    </row>
    <row r="1340" spans="1:14" ht="14.25" x14ac:dyDescent="0.2">
      <c r="A1340" s="3">
        <v>88330</v>
      </c>
      <c r="B1340" s="3" t="s">
        <v>3402</v>
      </c>
      <c r="C1340" s="3" t="s">
        <v>18</v>
      </c>
      <c r="D1340" s="6" t="s">
        <v>1116</v>
      </c>
      <c r="E1340" s="6" t="s">
        <v>1116</v>
      </c>
      <c r="F1340" s="3" t="str">
        <f>IFERROR( VLOOKUP(A1340,#REF!,2,0),"")</f>
        <v/>
      </c>
      <c r="G1340" s="3" t="str">
        <f t="array" ref="G1340">_xlfn.XLOOKUP(I1340,Base_Datos!D:D,Base_Datos!B:B,"")</f>
        <v>DFSK</v>
      </c>
      <c r="H1340" s="3" t="str">
        <f t="array" ref="H1340">IF(I1340="","",IFERROR(_xlfn.XLOOKUP(I1340,Base_Datos!$D$2:$D3876,Base_Datos!$C$2:$C3876),""))</f>
        <v>Serie D</v>
      </c>
      <c r="I1340" s="3" t="s">
        <v>145</v>
      </c>
      <c r="J1340" s="3" t="str">
        <f>IF(I1340="","",IFERROR(VLOOKUP(I1340,Base_Datos!$D$2:$E$72,2,0),""))</f>
        <v>(2.4L)</v>
      </c>
      <c r="K1340" s="3" t="s">
        <v>1782</v>
      </c>
      <c r="L1340" s="3"/>
      <c r="M1340" s="7">
        <v>10</v>
      </c>
      <c r="N1340" s="7">
        <v>0</v>
      </c>
    </row>
    <row r="1341" spans="1:14" ht="14.25" x14ac:dyDescent="0.2">
      <c r="A1341" s="3">
        <v>88331</v>
      </c>
      <c r="B1341" s="3" t="s">
        <v>3403</v>
      </c>
      <c r="C1341" s="3" t="s">
        <v>18</v>
      </c>
      <c r="D1341" s="6" t="s">
        <v>1100</v>
      </c>
      <c r="E1341" s="6" t="s">
        <v>1100</v>
      </c>
      <c r="F1341" s="3" t="str">
        <f>IFERROR( VLOOKUP(A1341,#REF!,2,0),"")</f>
        <v/>
      </c>
      <c r="G1341" s="3" t="str">
        <f t="array" ref="G1341">_xlfn.XLOOKUP(I1341,Base_Datos!D:D,Base_Datos!B:B,"")</f>
        <v>DFSK</v>
      </c>
      <c r="H1341" s="3" t="str">
        <f t="array" ref="H1341">IF(I1341="","",IFERROR(_xlfn.XLOOKUP(I1341,Base_Datos!$D$2:$D3876,Base_Datos!$C$2:$C3876),""))</f>
        <v>Serie D</v>
      </c>
      <c r="I1341" s="3" t="s">
        <v>145</v>
      </c>
      <c r="J1341" s="3" t="str">
        <f>IF(I1341="","",IFERROR(VLOOKUP(I1341,Base_Datos!$D$2:$E$72,2,0),""))</f>
        <v>(2.4L)</v>
      </c>
      <c r="K1341" s="3" t="s">
        <v>1782</v>
      </c>
      <c r="L1341" s="3"/>
      <c r="M1341" s="7">
        <v>1</v>
      </c>
      <c r="N1341" s="7">
        <v>0</v>
      </c>
    </row>
    <row r="1342" spans="1:14" ht="14.25" x14ac:dyDescent="0.2">
      <c r="A1342" s="3">
        <v>88332</v>
      </c>
      <c r="B1342" s="3" t="s">
        <v>3404</v>
      </c>
      <c r="C1342" s="3" t="s">
        <v>18</v>
      </c>
      <c r="D1342" s="6" t="s">
        <v>1125</v>
      </c>
      <c r="E1342" s="6" t="s">
        <v>1782</v>
      </c>
      <c r="F1342" s="3" t="str">
        <f>IFERROR( VLOOKUP(A1342,#REF!,2,0),"")</f>
        <v/>
      </c>
      <c r="G1342" s="3">
        <f t="array" ref="G1342">_xlfn.XLOOKUP(I1342,Base_Datos!D:D,Base_Datos!B:B,"")</f>
        <v>0</v>
      </c>
      <c r="H1342" s="3" t="str">
        <f t="array" ref="H1342">IF(I1342="","",IFERROR(_xlfn.XLOOKUP(I1342,Base_Datos!$D$2:$D3876,Base_Datos!$C$2:$C3876),""))</f>
        <v/>
      </c>
      <c r="I1342" s="3"/>
      <c r="J1342" s="3" t="str">
        <f>IF(I1342="","",IFERROR(VLOOKUP(I1342,Base_Datos!$D$2:$E$72,2,0),""))</f>
        <v/>
      </c>
      <c r="K1342" s="3" t="s">
        <v>1782</v>
      </c>
      <c r="L1342" s="3"/>
      <c r="M1342" s="7">
        <v>60</v>
      </c>
      <c r="N1342" s="7">
        <v>0</v>
      </c>
    </row>
    <row r="1343" spans="1:14" ht="14.25" x14ac:dyDescent="0.2">
      <c r="A1343" s="3">
        <v>88333</v>
      </c>
      <c r="B1343" s="3" t="s">
        <v>3405</v>
      </c>
      <c r="C1343" s="3" t="s">
        <v>18</v>
      </c>
      <c r="D1343" s="6" t="s">
        <v>1117</v>
      </c>
      <c r="E1343" s="6" t="s">
        <v>1117</v>
      </c>
      <c r="F1343" s="3" t="str">
        <f>IFERROR( VLOOKUP(A1343,#REF!,2,0),"")</f>
        <v/>
      </c>
      <c r="G1343" s="3" t="str">
        <f t="array" ref="G1343">_xlfn.XLOOKUP(I1343,Base_Datos!D:D,Base_Datos!B:B,"")</f>
        <v>DFSK</v>
      </c>
      <c r="H1343" s="3" t="str">
        <f t="array" ref="H1343">IF(I1343="","",IFERROR(_xlfn.XLOOKUP(I1343,Base_Datos!$D$2:$D3876,Base_Datos!$C$2:$C3876),""))</f>
        <v>Serie D</v>
      </c>
      <c r="I1343" s="3" t="s">
        <v>145</v>
      </c>
      <c r="J1343" s="3" t="str">
        <f>IF(I1343="","",IFERROR(VLOOKUP(I1343,Base_Datos!$D$2:$E$72,2,0),""))</f>
        <v>(2.4L)</v>
      </c>
      <c r="K1343" s="3" t="s">
        <v>1782</v>
      </c>
      <c r="L1343" s="3"/>
      <c r="M1343" s="7">
        <v>43</v>
      </c>
      <c r="N1343" s="7">
        <v>0</v>
      </c>
    </row>
    <row r="1344" spans="1:14" ht="14.25" x14ac:dyDescent="0.2">
      <c r="A1344" s="3">
        <v>88334</v>
      </c>
      <c r="B1344" s="3" t="s">
        <v>3406</v>
      </c>
      <c r="C1344" s="3" t="s">
        <v>18</v>
      </c>
      <c r="D1344" s="6" t="s">
        <v>1137</v>
      </c>
      <c r="E1344" s="6" t="s">
        <v>1137</v>
      </c>
      <c r="F1344" s="3" t="str">
        <f>IFERROR( VLOOKUP(A1344,#REF!,2,0),"")</f>
        <v/>
      </c>
      <c r="G1344" s="3" t="str">
        <f t="array" ref="G1344">_xlfn.XLOOKUP(I1344,Base_Datos!D:D,Base_Datos!B:B,"")</f>
        <v>DFSK</v>
      </c>
      <c r="H1344" s="3" t="str">
        <f t="array" ref="H1344">IF(I1344="","",IFERROR(_xlfn.XLOOKUP(I1344,Base_Datos!$D$2:$D3876,Base_Datos!$C$2:$C3876),""))</f>
        <v>Serie D</v>
      </c>
      <c r="I1344" s="3" t="s">
        <v>145</v>
      </c>
      <c r="J1344" s="3" t="str">
        <f>IF(I1344="","",IFERROR(VLOOKUP(I1344,Base_Datos!$D$2:$E$72,2,0),""))</f>
        <v>(2.4L)</v>
      </c>
      <c r="K1344" s="3" t="s">
        <v>1782</v>
      </c>
      <c r="L1344" s="3"/>
      <c r="M1344" s="7">
        <v>10</v>
      </c>
      <c r="N1344" s="7">
        <v>0</v>
      </c>
    </row>
    <row r="1345" spans="1:14" ht="14.25" x14ac:dyDescent="0.2">
      <c r="A1345" s="3">
        <v>88335</v>
      </c>
      <c r="B1345" s="3" t="s">
        <v>2023</v>
      </c>
      <c r="C1345" s="3" t="s">
        <v>18</v>
      </c>
      <c r="D1345" s="6" t="s">
        <v>1145</v>
      </c>
      <c r="E1345" s="6" t="s">
        <v>1145</v>
      </c>
      <c r="F1345" s="3" t="str">
        <f>IFERROR( VLOOKUP(A1345,#REF!,2,0),"")</f>
        <v/>
      </c>
      <c r="G1345" s="3" t="str">
        <f t="array" ref="G1345">_xlfn.XLOOKUP(I1345,Base_Datos!D:D,Base_Datos!B:B,"")</f>
        <v>DFSK</v>
      </c>
      <c r="H1345" s="3" t="str">
        <f t="array" ref="H1345">IF(I1345="","",IFERROR(_xlfn.XLOOKUP(I1345,Base_Datos!$D$2:$D3876,Base_Datos!$C$2:$C3876),""))</f>
        <v>Serie D</v>
      </c>
      <c r="I1345" s="3" t="s">
        <v>145</v>
      </c>
      <c r="J1345" s="3" t="str">
        <f>IF(I1345="","",IFERROR(VLOOKUP(I1345,Base_Datos!$D$2:$E$72,2,0),""))</f>
        <v>(2.4L)</v>
      </c>
      <c r="K1345" s="3" t="s">
        <v>1782</v>
      </c>
      <c r="L1345" s="3"/>
      <c r="M1345" s="7">
        <v>30</v>
      </c>
      <c r="N1345" s="7">
        <v>0</v>
      </c>
    </row>
    <row r="1346" spans="1:14" ht="14.25" x14ac:dyDescent="0.2">
      <c r="A1346" s="3">
        <v>88336</v>
      </c>
      <c r="B1346" s="3" t="s">
        <v>3407</v>
      </c>
      <c r="C1346" s="3" t="s">
        <v>18</v>
      </c>
      <c r="D1346" s="6" t="s">
        <v>1168</v>
      </c>
      <c r="E1346" s="6" t="s">
        <v>1168</v>
      </c>
      <c r="F1346" s="3" t="str">
        <f>IFERROR( VLOOKUP(A1346,#REF!,2,0),"")</f>
        <v/>
      </c>
      <c r="G1346" s="3" t="str">
        <f t="array" ref="G1346">_xlfn.XLOOKUP(I1346,Base_Datos!D:D,Base_Datos!B:B,"")</f>
        <v>DFSK</v>
      </c>
      <c r="H1346" s="3" t="str">
        <f t="array" ref="H1346">IF(I1346="","",IFERROR(_xlfn.XLOOKUP(I1346,Base_Datos!$D$2:$D3876,Base_Datos!$C$2:$C3876),""))</f>
        <v>Serie D</v>
      </c>
      <c r="I1346" s="3" t="s">
        <v>145</v>
      </c>
      <c r="J1346" s="3" t="str">
        <f>IF(I1346="","",IFERROR(VLOOKUP(I1346,Base_Datos!$D$2:$E$72,2,0),""))</f>
        <v>(2.4L)</v>
      </c>
      <c r="K1346" s="3" t="s">
        <v>1782</v>
      </c>
      <c r="L1346" s="3"/>
      <c r="M1346" s="7">
        <v>15</v>
      </c>
      <c r="N1346" s="7">
        <v>0</v>
      </c>
    </row>
    <row r="1347" spans="1:14" ht="14.25" x14ac:dyDescent="0.2">
      <c r="A1347" s="3">
        <v>88337</v>
      </c>
      <c r="B1347" s="3" t="s">
        <v>3408</v>
      </c>
      <c r="C1347" s="3" t="s">
        <v>18</v>
      </c>
      <c r="D1347" s="6" t="s">
        <v>1135</v>
      </c>
      <c r="E1347" s="6" t="s">
        <v>3193</v>
      </c>
      <c r="F1347" s="3" t="str">
        <f>IFERROR( VLOOKUP(A1347,#REF!,2,0),"")</f>
        <v/>
      </c>
      <c r="G1347" s="3">
        <f t="array" ref="G1347">_xlfn.XLOOKUP(I1347,Base_Datos!D:D,Base_Datos!B:B,"")</f>
        <v>0</v>
      </c>
      <c r="H1347" s="3" t="str">
        <f t="array" ref="H1347">IF(I1347="","",IFERROR(_xlfn.XLOOKUP(I1347,Base_Datos!$D$2:$D3876,Base_Datos!$C$2:$C3876),""))</f>
        <v/>
      </c>
      <c r="I1347" s="3"/>
      <c r="J1347" s="3" t="str">
        <f>IF(I1347="","",IFERROR(VLOOKUP(I1347,Base_Datos!$D$2:$E$72,2,0),""))</f>
        <v/>
      </c>
      <c r="K1347" s="3" t="s">
        <v>1782</v>
      </c>
      <c r="L1347" s="3"/>
      <c r="M1347" s="7">
        <v>40</v>
      </c>
      <c r="N1347" s="7">
        <v>0</v>
      </c>
    </row>
    <row r="1348" spans="1:14" ht="14.25" x14ac:dyDescent="0.2">
      <c r="A1348" s="3">
        <v>88338</v>
      </c>
      <c r="B1348" s="3" t="s">
        <v>3409</v>
      </c>
      <c r="C1348" s="3" t="s">
        <v>18</v>
      </c>
      <c r="D1348" s="6" t="s">
        <v>1173</v>
      </c>
      <c r="E1348" s="6" t="s">
        <v>1173</v>
      </c>
      <c r="F1348" s="3" t="str">
        <f>IFERROR( VLOOKUP(A1348,#REF!,2,0),"")</f>
        <v/>
      </c>
      <c r="G1348" s="3" t="str">
        <f t="array" ref="G1348">_xlfn.XLOOKUP(I1348,Base_Datos!D:D,Base_Datos!B:B,"")</f>
        <v>DFSK</v>
      </c>
      <c r="H1348" s="3" t="str">
        <f t="array" ref="H1348">IF(I1348="","",IFERROR(_xlfn.XLOOKUP(I1348,Base_Datos!$D$2:$D3876,Base_Datos!$C$2:$C3876),""))</f>
        <v>Serie D</v>
      </c>
      <c r="I1348" s="3" t="s">
        <v>145</v>
      </c>
      <c r="J1348" s="3" t="str">
        <f>IF(I1348="","",IFERROR(VLOOKUP(I1348,Base_Datos!$D$2:$E$72,2,0),""))</f>
        <v>(2.4L)</v>
      </c>
      <c r="K1348" s="3" t="s">
        <v>1782</v>
      </c>
      <c r="L1348" s="3"/>
      <c r="M1348" s="7">
        <v>15</v>
      </c>
      <c r="N1348" s="7">
        <v>0</v>
      </c>
    </row>
    <row r="1349" spans="1:14" ht="14.25" x14ac:dyDescent="0.2">
      <c r="A1349" s="3">
        <v>88339</v>
      </c>
      <c r="B1349" s="3" t="s">
        <v>3190</v>
      </c>
      <c r="C1349" s="3" t="s">
        <v>18</v>
      </c>
      <c r="D1349" s="6" t="s">
        <v>1088</v>
      </c>
      <c r="E1349" s="6" t="s">
        <v>1088</v>
      </c>
      <c r="F1349" s="3" t="str">
        <f>IFERROR( VLOOKUP(A1349,#REF!,2,0),"")</f>
        <v/>
      </c>
      <c r="G1349" s="3" t="str">
        <f t="array" ref="G1349">_xlfn.XLOOKUP(I1349,Base_Datos!D:D,Base_Datos!B:B,"")</f>
        <v>DFSK</v>
      </c>
      <c r="H1349" s="3" t="str">
        <f t="array" ref="H1349">IF(I1349="","",IFERROR(_xlfn.XLOOKUP(I1349,Base_Datos!$D$2:$D3876,Base_Datos!$C$2:$C3876),""))</f>
        <v>Serie D</v>
      </c>
      <c r="I1349" s="3" t="s">
        <v>145</v>
      </c>
      <c r="J1349" s="3" t="str">
        <f>IF(I1349="","",IFERROR(VLOOKUP(I1349,Base_Datos!$D$2:$E$72,2,0),""))</f>
        <v>(2.4L)</v>
      </c>
      <c r="K1349" s="3" t="s">
        <v>1782</v>
      </c>
      <c r="L1349" s="3"/>
      <c r="M1349" s="7">
        <v>4</v>
      </c>
      <c r="N1349" s="7">
        <v>0</v>
      </c>
    </row>
    <row r="1350" spans="1:14" ht="14.25" x14ac:dyDescent="0.2">
      <c r="A1350" s="3">
        <v>88340</v>
      </c>
      <c r="B1350" s="3" t="s">
        <v>3410</v>
      </c>
      <c r="C1350" s="3" t="s">
        <v>18</v>
      </c>
      <c r="D1350" s="6" t="s">
        <v>1169</v>
      </c>
      <c r="E1350" s="6" t="s">
        <v>1169</v>
      </c>
      <c r="F1350" s="3" t="str">
        <f>IFERROR( VLOOKUP(A1350,#REF!,2,0),"")</f>
        <v/>
      </c>
      <c r="G1350" s="3" t="str">
        <f t="array" ref="G1350">_xlfn.XLOOKUP(I1350,Base_Datos!D:D,Base_Datos!B:B,"")</f>
        <v>DFSK</v>
      </c>
      <c r="H1350" s="3" t="str">
        <f t="array" ref="H1350">IF(I1350="","",IFERROR(_xlfn.XLOOKUP(I1350,Base_Datos!$D$2:$D3876,Base_Datos!$C$2:$C3876),""))</f>
        <v>Serie D</v>
      </c>
      <c r="I1350" s="3" t="s">
        <v>145</v>
      </c>
      <c r="J1350" s="3" t="str">
        <f>IF(I1350="","",IFERROR(VLOOKUP(I1350,Base_Datos!$D$2:$E$72,2,0),""))</f>
        <v>(2.4L)</v>
      </c>
      <c r="K1350" s="3" t="s">
        <v>1782</v>
      </c>
      <c r="L1350" s="3"/>
      <c r="M1350" s="7">
        <v>18</v>
      </c>
      <c r="N1350" s="7">
        <v>0</v>
      </c>
    </row>
    <row r="1351" spans="1:14" ht="14.25" x14ac:dyDescent="0.2">
      <c r="A1351" s="3">
        <v>88341</v>
      </c>
      <c r="B1351" s="3" t="s">
        <v>3411</v>
      </c>
      <c r="C1351" s="3" t="s">
        <v>18</v>
      </c>
      <c r="D1351" s="6" t="s">
        <v>1118</v>
      </c>
      <c r="E1351" s="6" t="s">
        <v>1118</v>
      </c>
      <c r="F1351" s="3" t="str">
        <f>IFERROR( VLOOKUP(A1351,#REF!,2,0),"")</f>
        <v/>
      </c>
      <c r="G1351" s="3" t="str">
        <f t="array" ref="G1351">_xlfn.XLOOKUP(I1351,Base_Datos!D:D,Base_Datos!B:B,"")</f>
        <v>DFSK</v>
      </c>
      <c r="H1351" s="3" t="str">
        <f t="array" ref="H1351">IF(I1351="","",IFERROR(_xlfn.XLOOKUP(I1351,Base_Datos!$D$2:$D3876,Base_Datos!$C$2:$C3876),""))</f>
        <v>Serie D</v>
      </c>
      <c r="I1351" s="3" t="s">
        <v>145</v>
      </c>
      <c r="J1351" s="3" t="str">
        <f>IF(I1351="","",IFERROR(VLOOKUP(I1351,Base_Datos!$D$2:$E$72,2,0),""))</f>
        <v>(2.4L)</v>
      </c>
      <c r="K1351" s="3" t="s">
        <v>1782</v>
      </c>
      <c r="L1351" s="3"/>
      <c r="M1351" s="7">
        <v>6</v>
      </c>
      <c r="N1351" s="7">
        <v>0</v>
      </c>
    </row>
    <row r="1352" spans="1:14" ht="14.25" x14ac:dyDescent="0.2">
      <c r="A1352" s="3">
        <v>88342</v>
      </c>
      <c r="B1352" s="3" t="s">
        <v>1828</v>
      </c>
      <c r="C1352" s="3" t="s">
        <v>18</v>
      </c>
      <c r="D1352" s="6" t="s">
        <v>939</v>
      </c>
      <c r="E1352" s="6" t="s">
        <v>939</v>
      </c>
      <c r="F1352" s="3" t="str">
        <f>IFERROR( VLOOKUP(A1352,#REF!,2,0),"")</f>
        <v/>
      </c>
      <c r="G1352" s="3" t="str">
        <f t="array" ref="G1352">_xlfn.XLOOKUP(I1352,Base_Datos!D:D,Base_Datos!B:B,"")</f>
        <v>DFSK</v>
      </c>
      <c r="H1352" s="3" t="str">
        <f t="array" ref="H1352">IF(I1352="","",IFERROR(_xlfn.XLOOKUP(I1352,Base_Datos!$D$2:$D3876,Base_Datos!$C$2:$C3876),""))</f>
        <v>Serie D</v>
      </c>
      <c r="I1352" s="3" t="s">
        <v>145</v>
      </c>
      <c r="J1352" s="3" t="str">
        <f>IF(I1352="","",IFERROR(VLOOKUP(I1352,Base_Datos!$D$2:$E$72,2,0),""))</f>
        <v>(2.4L)</v>
      </c>
      <c r="K1352" s="3" t="s">
        <v>1782</v>
      </c>
      <c r="L1352" s="3"/>
      <c r="M1352" s="7">
        <v>9</v>
      </c>
      <c r="N1352" s="7">
        <v>0</v>
      </c>
    </row>
    <row r="1353" spans="1:14" ht="14.25" x14ac:dyDescent="0.2">
      <c r="A1353" s="3">
        <v>88343</v>
      </c>
      <c r="B1353" s="3" t="s">
        <v>2713</v>
      </c>
      <c r="C1353" s="3" t="s">
        <v>18</v>
      </c>
      <c r="D1353" s="6" t="s">
        <v>1094</v>
      </c>
      <c r="E1353" s="6" t="s">
        <v>1094</v>
      </c>
      <c r="F1353" s="3" t="str">
        <f>IFERROR( VLOOKUP(A1353,#REF!,2,0),"")</f>
        <v/>
      </c>
      <c r="G1353" s="3" t="str">
        <f t="array" ref="G1353">_xlfn.XLOOKUP(I1353,Base_Datos!D:D,Base_Datos!B:B,"")</f>
        <v>DFSK</v>
      </c>
      <c r="H1353" s="3" t="str">
        <f t="array" ref="H1353">IF(I1353="","",IFERROR(_xlfn.XLOOKUP(I1353,Base_Datos!$D$2:$D3876,Base_Datos!$C$2:$C3876),""))</f>
        <v>Serie D</v>
      </c>
      <c r="I1353" s="3" t="s">
        <v>145</v>
      </c>
      <c r="J1353" s="3" t="str">
        <f>IF(I1353="","",IFERROR(VLOOKUP(I1353,Base_Datos!$D$2:$E$72,2,0),""))</f>
        <v>(2.4L)</v>
      </c>
      <c r="K1353" s="3" t="s">
        <v>1782</v>
      </c>
      <c r="L1353" s="3"/>
      <c r="M1353" s="7">
        <v>18</v>
      </c>
      <c r="N1353" s="7">
        <v>0</v>
      </c>
    </row>
    <row r="1354" spans="1:14" ht="14.25" x14ac:dyDescent="0.2">
      <c r="A1354" s="3">
        <v>88344</v>
      </c>
      <c r="B1354" s="3" t="s">
        <v>3412</v>
      </c>
      <c r="C1354" s="3" t="s">
        <v>18</v>
      </c>
      <c r="D1354" s="6" t="s">
        <v>1177</v>
      </c>
      <c r="E1354" s="6" t="s">
        <v>1177</v>
      </c>
      <c r="F1354" s="3" t="str">
        <f>IFERROR( VLOOKUP(A1354,#REF!,2,0),"")</f>
        <v/>
      </c>
      <c r="G1354" s="3" t="str">
        <f t="array" ref="G1354">_xlfn.XLOOKUP(I1354,Base_Datos!D:D,Base_Datos!B:B,"")</f>
        <v>DFSK</v>
      </c>
      <c r="H1354" s="3" t="str">
        <f t="array" ref="H1354">IF(I1354="","",IFERROR(_xlfn.XLOOKUP(I1354,Base_Datos!$D$2:$D3876,Base_Datos!$C$2:$C3876),""))</f>
        <v>Serie D</v>
      </c>
      <c r="I1354" s="3" t="s">
        <v>145</v>
      </c>
      <c r="J1354" s="3" t="str">
        <f>IF(I1354="","",IFERROR(VLOOKUP(I1354,Base_Datos!$D$2:$E$72,2,0),""))</f>
        <v>(2.4L)</v>
      </c>
      <c r="K1354" s="3" t="s">
        <v>1782</v>
      </c>
      <c r="L1354" s="3"/>
      <c r="M1354" s="7">
        <v>100</v>
      </c>
      <c r="N1354" s="7">
        <v>0</v>
      </c>
    </row>
    <row r="1355" spans="1:14" ht="14.25" x14ac:dyDescent="0.2">
      <c r="A1355" s="3">
        <v>88345</v>
      </c>
      <c r="B1355" s="3" t="s">
        <v>3413</v>
      </c>
      <c r="C1355" s="3" t="s">
        <v>18</v>
      </c>
      <c r="D1355" s="6" t="s">
        <v>1122</v>
      </c>
      <c r="E1355" s="6" t="s">
        <v>1122</v>
      </c>
      <c r="F1355" s="3" t="str">
        <f>IFERROR( VLOOKUP(A1355,#REF!,2,0),"")</f>
        <v/>
      </c>
      <c r="G1355" s="3" t="str">
        <f t="array" ref="G1355">_xlfn.XLOOKUP(I1355,Base_Datos!D:D,Base_Datos!B:B,"")</f>
        <v>DFSK</v>
      </c>
      <c r="H1355" s="3" t="str">
        <f t="array" ref="H1355">IF(I1355="","",IFERROR(_xlfn.XLOOKUP(I1355,Base_Datos!$D$2:$D3876,Base_Datos!$C$2:$C3876),""))</f>
        <v>Serie D</v>
      </c>
      <c r="I1355" s="3" t="s">
        <v>145</v>
      </c>
      <c r="J1355" s="3" t="str">
        <f>IF(I1355="","",IFERROR(VLOOKUP(I1355,Base_Datos!$D$2:$E$72,2,0),""))</f>
        <v>(2.4L)</v>
      </c>
      <c r="K1355" s="3" t="s">
        <v>1782</v>
      </c>
      <c r="L1355" s="3"/>
      <c r="M1355" s="7">
        <v>100</v>
      </c>
      <c r="N1355" s="7">
        <v>0</v>
      </c>
    </row>
    <row r="1356" spans="1:14" ht="14.25" x14ac:dyDescent="0.2">
      <c r="A1356" s="3">
        <v>88346</v>
      </c>
      <c r="B1356" s="3" t="s">
        <v>3414</v>
      </c>
      <c r="C1356" s="3" t="s">
        <v>18</v>
      </c>
      <c r="D1356" s="6" t="s">
        <v>1101</v>
      </c>
      <c r="E1356" s="6" t="s">
        <v>1101</v>
      </c>
      <c r="F1356" s="3" t="str">
        <f>IFERROR( VLOOKUP(A1356,#REF!,2,0),"")</f>
        <v/>
      </c>
      <c r="G1356" s="3" t="str">
        <f t="array" ref="G1356">_xlfn.XLOOKUP(I1356,Base_Datos!D:D,Base_Datos!B:B,"")</f>
        <v>DFSK</v>
      </c>
      <c r="H1356" s="3" t="str">
        <f t="array" ref="H1356">IF(I1356="","",IFERROR(_xlfn.XLOOKUP(I1356,Base_Datos!$D$2:$D3876,Base_Datos!$C$2:$C3876),""))</f>
        <v>Serie D</v>
      </c>
      <c r="I1356" s="3" t="s">
        <v>145</v>
      </c>
      <c r="J1356" s="3" t="str">
        <f>IF(I1356="","",IFERROR(VLOOKUP(I1356,Base_Datos!$D$2:$E$72,2,0),""))</f>
        <v>(2.4L)</v>
      </c>
      <c r="K1356" s="3" t="s">
        <v>1782</v>
      </c>
      <c r="L1356" s="3"/>
      <c r="M1356" s="7">
        <v>71</v>
      </c>
      <c r="N1356" s="7">
        <v>0</v>
      </c>
    </row>
    <row r="1357" spans="1:14" ht="14.25" x14ac:dyDescent="0.2">
      <c r="A1357" s="3">
        <v>88347</v>
      </c>
      <c r="B1357" s="3" t="s">
        <v>1787</v>
      </c>
      <c r="C1357" s="3" t="s">
        <v>18</v>
      </c>
      <c r="D1357" s="6" t="s">
        <v>1144</v>
      </c>
      <c r="E1357" s="6" t="s">
        <v>1782</v>
      </c>
      <c r="F1357" s="3" t="str">
        <f>IFERROR( VLOOKUP(A1357,#REF!,2,0),"")</f>
        <v/>
      </c>
      <c r="G1357" s="3">
        <f t="array" ref="G1357">_xlfn.XLOOKUP(I1357,Base_Datos!D:D,Base_Datos!B:B,"")</f>
        <v>0</v>
      </c>
      <c r="H1357" s="3" t="str">
        <f t="array" ref="H1357">IF(I1357="","",IFERROR(_xlfn.XLOOKUP(I1357,Base_Datos!$D$2:$D3876,Base_Datos!$C$2:$C3876),""))</f>
        <v/>
      </c>
      <c r="I1357" s="3"/>
      <c r="J1357" s="3" t="str">
        <f>IF(I1357="","",IFERROR(VLOOKUP(I1357,Base_Datos!$D$2:$E$72,2,0),""))</f>
        <v/>
      </c>
      <c r="K1357" s="3" t="s">
        <v>1782</v>
      </c>
      <c r="L1357" s="3"/>
      <c r="M1357" s="7">
        <v>20</v>
      </c>
      <c r="N1357" s="7">
        <v>0</v>
      </c>
    </row>
    <row r="1358" spans="1:14" ht="14.25" x14ac:dyDescent="0.2">
      <c r="A1358" s="3">
        <v>88348</v>
      </c>
      <c r="B1358" s="3" t="s">
        <v>3415</v>
      </c>
      <c r="C1358" s="3" t="s">
        <v>18</v>
      </c>
      <c r="D1358" s="6" t="s">
        <v>1123</v>
      </c>
      <c r="E1358" s="6" t="s">
        <v>1123</v>
      </c>
      <c r="F1358" s="3" t="str">
        <f>IFERROR( VLOOKUP(A1358,#REF!,2,0),"")</f>
        <v/>
      </c>
      <c r="G1358" s="3" t="str">
        <f t="array" ref="G1358">_xlfn.XLOOKUP(I1358,Base_Datos!D:D,Base_Datos!B:B,"")</f>
        <v>DFSK</v>
      </c>
      <c r="H1358" s="3" t="str">
        <f t="array" ref="H1358">IF(I1358="","",IFERROR(_xlfn.XLOOKUP(I1358,Base_Datos!$D$2:$D3876,Base_Datos!$C$2:$C3876),""))</f>
        <v>Serie D</v>
      </c>
      <c r="I1358" s="3" t="s">
        <v>145</v>
      </c>
      <c r="J1358" s="3" t="str">
        <f>IF(I1358="","",IFERROR(VLOOKUP(I1358,Base_Datos!$D$2:$E$72,2,0),""))</f>
        <v>(2.4L)</v>
      </c>
      <c r="K1358" s="3" t="s">
        <v>1782</v>
      </c>
      <c r="L1358" s="3"/>
      <c r="M1358" s="7">
        <v>3</v>
      </c>
      <c r="N1358" s="7">
        <v>0</v>
      </c>
    </row>
    <row r="1359" spans="1:14" ht="14.25" x14ac:dyDescent="0.2">
      <c r="A1359" s="3">
        <v>88349</v>
      </c>
      <c r="B1359" s="3" t="s">
        <v>3416</v>
      </c>
      <c r="C1359" s="3" t="s">
        <v>18</v>
      </c>
      <c r="D1359" s="6" t="s">
        <v>1176</v>
      </c>
      <c r="E1359" s="6" t="s">
        <v>1176</v>
      </c>
      <c r="F1359" s="3" t="str">
        <f>IFERROR( VLOOKUP(A1359,#REF!,2,0),"")</f>
        <v/>
      </c>
      <c r="G1359" s="3" t="str">
        <f t="array" ref="G1359">_xlfn.XLOOKUP(I1359,Base_Datos!D:D,Base_Datos!B:B,"")</f>
        <v>DFSK</v>
      </c>
      <c r="H1359" s="3" t="str">
        <f t="array" ref="H1359">IF(I1359="","",IFERROR(_xlfn.XLOOKUP(I1359,Base_Datos!$D$2:$D3876,Base_Datos!$C$2:$C3876),""))</f>
        <v>Serie D</v>
      </c>
      <c r="I1359" s="3" t="s">
        <v>145</v>
      </c>
      <c r="J1359" s="3" t="str">
        <f>IF(I1359="","",IFERROR(VLOOKUP(I1359,Base_Datos!$D$2:$E$72,2,0),""))</f>
        <v>(2.4L)</v>
      </c>
      <c r="K1359" s="3" t="s">
        <v>1782</v>
      </c>
      <c r="L1359" s="3"/>
      <c r="M1359" s="7">
        <v>2</v>
      </c>
      <c r="N1359" s="7">
        <v>0</v>
      </c>
    </row>
    <row r="1360" spans="1:14" ht="14.25" x14ac:dyDescent="0.2">
      <c r="A1360" s="3">
        <v>88350</v>
      </c>
      <c r="B1360" s="3" t="s">
        <v>3417</v>
      </c>
      <c r="C1360" s="3" t="s">
        <v>18</v>
      </c>
      <c r="D1360" s="6" t="s">
        <v>1113</v>
      </c>
      <c r="E1360" s="6" t="s">
        <v>1113</v>
      </c>
      <c r="F1360" s="3" t="str">
        <f>IFERROR( VLOOKUP(A1360,#REF!,2,0),"")</f>
        <v/>
      </c>
      <c r="G1360" s="3" t="str">
        <f t="array" ref="G1360">_xlfn.XLOOKUP(I1360,Base_Datos!D:D,Base_Datos!B:B,"")</f>
        <v>DFSK</v>
      </c>
      <c r="H1360" s="3" t="str">
        <f t="array" ref="H1360">IF(I1360="","",IFERROR(_xlfn.XLOOKUP(I1360,Base_Datos!$D$2:$D3876,Base_Datos!$C$2:$C3876),""))</f>
        <v>Serie D</v>
      </c>
      <c r="I1360" s="3" t="s">
        <v>145</v>
      </c>
      <c r="J1360" s="3" t="str">
        <f>IF(I1360="","",IFERROR(VLOOKUP(I1360,Base_Datos!$D$2:$E$72,2,0),""))</f>
        <v>(2.4L)</v>
      </c>
      <c r="K1360" s="3" t="s">
        <v>1782</v>
      </c>
      <c r="L1360" s="3"/>
      <c r="M1360" s="7">
        <v>6</v>
      </c>
      <c r="N1360" s="7">
        <v>0</v>
      </c>
    </row>
    <row r="1361" spans="1:14" ht="14.25" x14ac:dyDescent="0.2">
      <c r="A1361" s="3">
        <v>88351</v>
      </c>
      <c r="B1361" s="3" t="s">
        <v>3418</v>
      </c>
      <c r="C1361" s="3" t="s">
        <v>18</v>
      </c>
      <c r="D1361" s="6" t="s">
        <v>1129</v>
      </c>
      <c r="E1361" s="6" t="s">
        <v>1129</v>
      </c>
      <c r="F1361" s="3" t="str">
        <f>IFERROR( VLOOKUP(A1361,#REF!,2,0),"")</f>
        <v/>
      </c>
      <c r="G1361" s="3" t="str">
        <f t="array" ref="G1361">_xlfn.XLOOKUP(I1361,Base_Datos!D:D,Base_Datos!B:B,"")</f>
        <v>DFSK</v>
      </c>
      <c r="H1361" s="3" t="str">
        <f t="array" ref="H1361">IF(I1361="","",IFERROR(_xlfn.XLOOKUP(I1361,Base_Datos!$D$2:$D3876,Base_Datos!$C$2:$C3876),""))</f>
        <v>Serie D</v>
      </c>
      <c r="I1361" s="3" t="s">
        <v>145</v>
      </c>
      <c r="J1361" s="3" t="str">
        <f>IF(I1361="","",IFERROR(VLOOKUP(I1361,Base_Datos!$D$2:$E$72,2,0),""))</f>
        <v>(2.4L)</v>
      </c>
      <c r="K1361" s="3" t="s">
        <v>1782</v>
      </c>
      <c r="L1361" s="3"/>
      <c r="M1361" s="7">
        <v>3</v>
      </c>
      <c r="N1361" s="7">
        <v>0</v>
      </c>
    </row>
    <row r="1362" spans="1:14" ht="14.25" x14ac:dyDescent="0.2">
      <c r="A1362" s="3">
        <v>88352</v>
      </c>
      <c r="B1362" s="3" t="s">
        <v>3419</v>
      </c>
      <c r="C1362" s="3" t="s">
        <v>18</v>
      </c>
      <c r="D1362" s="6" t="s">
        <v>1130</v>
      </c>
      <c r="E1362" s="6" t="s">
        <v>1130</v>
      </c>
      <c r="F1362" s="3" t="str">
        <f>IFERROR( VLOOKUP(A1362,#REF!,2,0),"")</f>
        <v/>
      </c>
      <c r="G1362" s="3" t="str">
        <f t="array" ref="G1362">_xlfn.XLOOKUP(I1362,Base_Datos!D:D,Base_Datos!B:B,"")</f>
        <v>DFSK</v>
      </c>
      <c r="H1362" s="3" t="str">
        <f t="array" ref="H1362">IF(I1362="","",IFERROR(_xlfn.XLOOKUP(I1362,Base_Datos!$D$2:$D3876,Base_Datos!$C$2:$C3876),""))</f>
        <v>Serie D</v>
      </c>
      <c r="I1362" s="3" t="s">
        <v>145</v>
      </c>
      <c r="J1362" s="3" t="str">
        <f>IF(I1362="","",IFERROR(VLOOKUP(I1362,Base_Datos!$D$2:$E$72,2,0),""))</f>
        <v>(2.4L)</v>
      </c>
      <c r="K1362" s="3" t="s">
        <v>1782</v>
      </c>
      <c r="L1362" s="3"/>
      <c r="M1362" s="7">
        <v>2</v>
      </c>
      <c r="N1362" s="7">
        <v>0</v>
      </c>
    </row>
    <row r="1363" spans="1:14" ht="14.25" x14ac:dyDescent="0.2">
      <c r="A1363" s="3">
        <v>88353</v>
      </c>
      <c r="B1363" s="3" t="s">
        <v>3420</v>
      </c>
      <c r="C1363" s="3" t="s">
        <v>18</v>
      </c>
      <c r="D1363" s="6" t="s">
        <v>1131</v>
      </c>
      <c r="E1363" s="6" t="s">
        <v>1131</v>
      </c>
      <c r="F1363" s="3" t="str">
        <f>IFERROR( VLOOKUP(A1363,#REF!,2,0),"")</f>
        <v/>
      </c>
      <c r="G1363" s="3" t="str">
        <f t="array" ref="G1363">_xlfn.XLOOKUP(I1363,Base_Datos!D:D,Base_Datos!B:B,"")</f>
        <v>DFSK</v>
      </c>
      <c r="H1363" s="3" t="str">
        <f t="array" ref="H1363">IF(I1363="","",IFERROR(_xlfn.XLOOKUP(I1363,Base_Datos!$D$2:$D3876,Base_Datos!$C$2:$C3876),""))</f>
        <v>Serie D</v>
      </c>
      <c r="I1363" s="3" t="s">
        <v>145</v>
      </c>
      <c r="J1363" s="3" t="str">
        <f>IF(I1363="","",IFERROR(VLOOKUP(I1363,Base_Datos!$D$2:$E$72,2,0),""))</f>
        <v>(2.4L)</v>
      </c>
      <c r="K1363" s="3" t="s">
        <v>1782</v>
      </c>
      <c r="L1363" s="3"/>
      <c r="M1363" s="7">
        <v>2</v>
      </c>
      <c r="N1363" s="7">
        <v>0</v>
      </c>
    </row>
    <row r="1364" spans="1:14" ht="14.25" x14ac:dyDescent="0.2">
      <c r="A1364" s="3">
        <v>88354</v>
      </c>
      <c r="B1364" s="3" t="s">
        <v>3421</v>
      </c>
      <c r="C1364" s="3" t="s">
        <v>18</v>
      </c>
      <c r="D1364" s="6" t="s">
        <v>1132</v>
      </c>
      <c r="E1364" s="6" t="s">
        <v>1132</v>
      </c>
      <c r="F1364" s="3" t="str">
        <f>IFERROR( VLOOKUP(A1364,#REF!,2,0),"")</f>
        <v/>
      </c>
      <c r="G1364" s="3" t="str">
        <f t="array" ref="G1364">_xlfn.XLOOKUP(I1364,Base_Datos!D:D,Base_Datos!B:B,"")</f>
        <v>DFSK</v>
      </c>
      <c r="H1364" s="3" t="str">
        <f t="array" ref="H1364">IF(I1364="","",IFERROR(_xlfn.XLOOKUP(I1364,Base_Datos!$D$2:$D3876,Base_Datos!$C$2:$C3876),""))</f>
        <v>Serie D</v>
      </c>
      <c r="I1364" s="3" t="s">
        <v>145</v>
      </c>
      <c r="J1364" s="3" t="str">
        <f>IF(I1364="","",IFERROR(VLOOKUP(I1364,Base_Datos!$D$2:$E$72,2,0),""))</f>
        <v>(2.4L)</v>
      </c>
      <c r="K1364" s="3" t="s">
        <v>1782</v>
      </c>
      <c r="L1364" s="3"/>
      <c r="M1364" s="7">
        <v>2</v>
      </c>
      <c r="N1364" s="7">
        <v>0</v>
      </c>
    </row>
    <row r="1365" spans="1:14" ht="14.25" x14ac:dyDescent="0.2">
      <c r="A1365" s="3">
        <v>88355</v>
      </c>
      <c r="B1365" s="3" t="s">
        <v>3422</v>
      </c>
      <c r="C1365" s="3" t="s">
        <v>18</v>
      </c>
      <c r="D1365" s="6" t="s">
        <v>1138</v>
      </c>
      <c r="E1365" s="6" t="s">
        <v>1138</v>
      </c>
      <c r="F1365" s="3" t="str">
        <f>IFERROR( VLOOKUP(A1365,#REF!,2,0),"")</f>
        <v/>
      </c>
      <c r="G1365" s="3" t="str">
        <f t="array" ref="G1365">_xlfn.XLOOKUP(I1365,Base_Datos!D:D,Base_Datos!B:B,"")</f>
        <v>DFSK</v>
      </c>
      <c r="H1365" s="3" t="str">
        <f t="array" ref="H1365">IF(I1365="","",IFERROR(_xlfn.XLOOKUP(I1365,Base_Datos!$D$2:$D3876,Base_Datos!$C$2:$C3876),""))</f>
        <v>Serie D</v>
      </c>
      <c r="I1365" s="3" t="s">
        <v>145</v>
      </c>
      <c r="J1365" s="3" t="str">
        <f>IF(I1365="","",IFERROR(VLOOKUP(I1365,Base_Datos!$D$2:$E$72,2,0),""))</f>
        <v>(2.4L)</v>
      </c>
      <c r="K1365" s="3" t="s">
        <v>1782</v>
      </c>
      <c r="L1365" s="3"/>
      <c r="M1365" s="7">
        <v>2</v>
      </c>
      <c r="N1365" s="7">
        <v>0</v>
      </c>
    </row>
    <row r="1366" spans="1:14" ht="14.25" x14ac:dyDescent="0.2">
      <c r="A1366" s="3">
        <v>88356</v>
      </c>
      <c r="B1366" s="3" t="s">
        <v>3423</v>
      </c>
      <c r="C1366" s="3" t="s">
        <v>18</v>
      </c>
      <c r="D1366" s="6" t="s">
        <v>1114</v>
      </c>
      <c r="E1366" s="6" t="s">
        <v>1114</v>
      </c>
      <c r="F1366" s="3" t="str">
        <f>IFERROR( VLOOKUP(A1366,#REF!,2,0),"")</f>
        <v/>
      </c>
      <c r="G1366" s="3" t="str">
        <f t="array" ref="G1366">_xlfn.XLOOKUP(I1366,Base_Datos!D:D,Base_Datos!B:B,"")</f>
        <v>DFSK</v>
      </c>
      <c r="H1366" s="3" t="str">
        <f t="array" ref="H1366">IF(I1366="","",IFERROR(_xlfn.XLOOKUP(I1366,Base_Datos!$D$2:$D3876,Base_Datos!$C$2:$C3876),""))</f>
        <v>Serie D</v>
      </c>
      <c r="I1366" s="3" t="s">
        <v>145</v>
      </c>
      <c r="J1366" s="3" t="str">
        <f>IF(I1366="","",IFERROR(VLOOKUP(I1366,Base_Datos!$D$2:$E$72,2,0),""))</f>
        <v>(2.4L)</v>
      </c>
      <c r="K1366" s="3" t="s">
        <v>1782</v>
      </c>
      <c r="L1366" s="3"/>
      <c r="M1366" s="7">
        <v>2</v>
      </c>
      <c r="N1366" s="7">
        <v>0</v>
      </c>
    </row>
    <row r="1367" spans="1:14" ht="14.25" x14ac:dyDescent="0.2">
      <c r="A1367" s="3">
        <v>88357</v>
      </c>
      <c r="B1367" s="3" t="s">
        <v>3424</v>
      </c>
      <c r="C1367" s="3" t="s">
        <v>18</v>
      </c>
      <c r="D1367" s="6" t="s">
        <v>1126</v>
      </c>
      <c r="E1367" s="6" t="s">
        <v>1126</v>
      </c>
      <c r="F1367" s="3" t="str">
        <f>IFERROR( VLOOKUP(A1367,#REF!,2,0),"")</f>
        <v/>
      </c>
      <c r="G1367" s="3" t="str">
        <f t="array" ref="G1367">_xlfn.XLOOKUP(I1367,Base_Datos!D:D,Base_Datos!B:B,"")</f>
        <v>DFSK</v>
      </c>
      <c r="H1367" s="3" t="str">
        <f t="array" ref="H1367">IF(I1367="","",IFERROR(_xlfn.XLOOKUP(I1367,Base_Datos!$D$2:$D3876,Base_Datos!$C$2:$C3876),""))</f>
        <v>Serie D</v>
      </c>
      <c r="I1367" s="3" t="s">
        <v>145</v>
      </c>
      <c r="J1367" s="3" t="str">
        <f>IF(I1367="","",IFERROR(VLOOKUP(I1367,Base_Datos!$D$2:$E$72,2,0),""))</f>
        <v>(2.4L)</v>
      </c>
      <c r="K1367" s="3" t="s">
        <v>1782</v>
      </c>
      <c r="L1367" s="3"/>
      <c r="M1367" s="7">
        <v>2</v>
      </c>
      <c r="N1367" s="7">
        <v>0</v>
      </c>
    </row>
    <row r="1368" spans="1:14" ht="14.25" x14ac:dyDescent="0.2">
      <c r="A1368" s="3">
        <v>88358</v>
      </c>
      <c r="B1368" s="3" t="s">
        <v>3425</v>
      </c>
      <c r="C1368" s="3" t="s">
        <v>18</v>
      </c>
      <c r="D1368" s="6" t="s">
        <v>1143</v>
      </c>
      <c r="E1368" s="6" t="s">
        <v>1143</v>
      </c>
      <c r="F1368" s="3" t="str">
        <f>IFERROR( VLOOKUP(A1368,#REF!,2,0),"")</f>
        <v/>
      </c>
      <c r="G1368" s="3" t="str">
        <f t="array" ref="G1368">_xlfn.XLOOKUP(I1368,Base_Datos!D:D,Base_Datos!B:B,"")</f>
        <v>DFSK</v>
      </c>
      <c r="H1368" s="3" t="str">
        <f t="array" ref="H1368">IF(I1368="","",IFERROR(_xlfn.XLOOKUP(I1368,Base_Datos!$D$2:$D3876,Base_Datos!$C$2:$C3876),""))</f>
        <v>Serie D</v>
      </c>
      <c r="I1368" s="3" t="s">
        <v>145</v>
      </c>
      <c r="J1368" s="3" t="str">
        <f>IF(I1368="","",IFERROR(VLOOKUP(I1368,Base_Datos!$D$2:$E$72,2,0),""))</f>
        <v>(2.4L)</v>
      </c>
      <c r="K1368" s="3" t="s">
        <v>1782</v>
      </c>
      <c r="L1368" s="3"/>
      <c r="M1368" s="7">
        <v>40</v>
      </c>
      <c r="N1368" s="7">
        <v>0</v>
      </c>
    </row>
    <row r="1369" spans="1:14" ht="14.25" x14ac:dyDescent="0.2">
      <c r="A1369" s="3">
        <v>88359</v>
      </c>
      <c r="B1369" s="3" t="s">
        <v>3426</v>
      </c>
      <c r="C1369" s="3" t="s">
        <v>18</v>
      </c>
      <c r="D1369" s="6" t="s">
        <v>1133</v>
      </c>
      <c r="E1369" s="6" t="s">
        <v>1133</v>
      </c>
      <c r="F1369" s="3" t="str">
        <f>IFERROR( VLOOKUP(A1369,#REF!,2,0),"")</f>
        <v/>
      </c>
      <c r="G1369" s="3" t="str">
        <f t="array" ref="G1369">_xlfn.XLOOKUP(I1369,Base_Datos!D:D,Base_Datos!B:B,"")</f>
        <v>DFSK</v>
      </c>
      <c r="H1369" s="3" t="str">
        <f t="array" ref="H1369">IF(I1369="","",IFERROR(_xlfn.XLOOKUP(I1369,Base_Datos!$D$2:$D3876,Base_Datos!$C$2:$C3876),""))</f>
        <v>Serie D</v>
      </c>
      <c r="I1369" s="3" t="s">
        <v>145</v>
      </c>
      <c r="J1369" s="3" t="str">
        <f>IF(I1369="","",IFERROR(VLOOKUP(I1369,Base_Datos!$D$2:$E$72,2,0),""))</f>
        <v>(2.4L)</v>
      </c>
      <c r="K1369" s="3" t="s">
        <v>1782</v>
      </c>
      <c r="L1369" s="3"/>
      <c r="M1369" s="7">
        <v>10</v>
      </c>
      <c r="N1369" s="7">
        <v>0</v>
      </c>
    </row>
    <row r="1370" spans="1:14" ht="14.25" x14ac:dyDescent="0.2">
      <c r="A1370" s="3">
        <v>88360</v>
      </c>
      <c r="B1370" s="3" t="s">
        <v>3427</v>
      </c>
      <c r="C1370" s="3" t="s">
        <v>18</v>
      </c>
      <c r="D1370" s="6" t="s">
        <v>1154</v>
      </c>
      <c r="E1370" s="6" t="s">
        <v>1154</v>
      </c>
      <c r="F1370" s="3" t="str">
        <f>IFERROR( VLOOKUP(A1370,#REF!,2,0),"")</f>
        <v/>
      </c>
      <c r="G1370" s="3" t="str">
        <f t="array" ref="G1370">_xlfn.XLOOKUP(I1370,Base_Datos!D:D,Base_Datos!B:B,"")</f>
        <v>DFSK</v>
      </c>
      <c r="H1370" s="3" t="str">
        <f t="array" ref="H1370">IF(I1370="","",IFERROR(_xlfn.XLOOKUP(I1370,Base_Datos!$D$2:$D3876,Base_Datos!$C$2:$C3876),""))</f>
        <v>Serie D</v>
      </c>
      <c r="I1370" s="3" t="s">
        <v>145</v>
      </c>
      <c r="J1370" s="3" t="str">
        <f>IF(I1370="","",IFERROR(VLOOKUP(I1370,Base_Datos!$D$2:$E$72,2,0),""))</f>
        <v>(2.4L)</v>
      </c>
      <c r="K1370" s="3" t="s">
        <v>1782</v>
      </c>
      <c r="L1370" s="3"/>
      <c r="M1370" s="7">
        <v>10</v>
      </c>
      <c r="N1370" s="7">
        <v>0</v>
      </c>
    </row>
    <row r="1371" spans="1:14" ht="14.25" x14ac:dyDescent="0.2">
      <c r="A1371" s="3">
        <v>88361</v>
      </c>
      <c r="B1371" s="3" t="s">
        <v>3428</v>
      </c>
      <c r="C1371" s="3" t="s">
        <v>18</v>
      </c>
      <c r="D1371" s="6" t="s">
        <v>1111</v>
      </c>
      <c r="E1371" s="6" t="s">
        <v>1111</v>
      </c>
      <c r="F1371" s="3" t="str">
        <f>IFERROR( VLOOKUP(A1371,#REF!,2,0),"")</f>
        <v/>
      </c>
      <c r="G1371" s="3" t="str">
        <f t="array" ref="G1371">_xlfn.XLOOKUP(I1371,Base_Datos!D:D,Base_Datos!B:B,"")</f>
        <v>DFSK</v>
      </c>
      <c r="H1371" s="3" t="str">
        <f t="array" ref="H1371">IF(I1371="","",IFERROR(_xlfn.XLOOKUP(I1371,Base_Datos!$D$2:$D3876,Base_Datos!$C$2:$C3876),""))</f>
        <v>Serie D</v>
      </c>
      <c r="I1371" s="3" t="s">
        <v>145</v>
      </c>
      <c r="J1371" s="3" t="str">
        <f>IF(I1371="","",IFERROR(VLOOKUP(I1371,Base_Datos!$D$2:$E$72,2,0),""))</f>
        <v>(2.4L)</v>
      </c>
      <c r="K1371" s="3" t="s">
        <v>1782</v>
      </c>
      <c r="L1371" s="3"/>
      <c r="M1371" s="7">
        <v>10</v>
      </c>
      <c r="N1371" s="7">
        <v>0</v>
      </c>
    </row>
    <row r="1372" spans="1:14" ht="14.25" x14ac:dyDescent="0.2">
      <c r="A1372" s="3">
        <v>88362</v>
      </c>
      <c r="B1372" s="3" t="s">
        <v>3429</v>
      </c>
      <c r="C1372" s="3" t="s">
        <v>18</v>
      </c>
      <c r="D1372" s="6" t="s">
        <v>1112</v>
      </c>
      <c r="E1372" s="6" t="s">
        <v>1112</v>
      </c>
      <c r="F1372" s="3" t="str">
        <f>IFERROR( VLOOKUP(A1372,#REF!,2,0),"")</f>
        <v/>
      </c>
      <c r="G1372" s="3" t="str">
        <f t="array" ref="G1372">_xlfn.XLOOKUP(I1372,Base_Datos!D:D,Base_Datos!B:B,"")</f>
        <v>DFSK</v>
      </c>
      <c r="H1372" s="3" t="str">
        <f t="array" ref="H1372">IF(I1372="","",IFERROR(_xlfn.XLOOKUP(I1372,Base_Datos!$D$2:$D3876,Base_Datos!$C$2:$C3876),""))</f>
        <v>Serie D</v>
      </c>
      <c r="I1372" s="3" t="s">
        <v>145</v>
      </c>
      <c r="J1372" s="3" t="str">
        <f>IF(I1372="","",IFERROR(VLOOKUP(I1372,Base_Datos!$D$2:$E$72,2,0),""))</f>
        <v>(2.4L)</v>
      </c>
      <c r="K1372" s="3" t="s">
        <v>1782</v>
      </c>
      <c r="L1372" s="3"/>
      <c r="M1372" s="7">
        <v>10</v>
      </c>
      <c r="N1372" s="7">
        <v>0</v>
      </c>
    </row>
    <row r="1373" spans="1:14" ht="15.75" customHeight="1" x14ac:dyDescent="0.2">
      <c r="A1373" s="3">
        <v>88363</v>
      </c>
      <c r="B1373" s="3" t="s">
        <v>3430</v>
      </c>
      <c r="C1373" s="3" t="s">
        <v>18</v>
      </c>
      <c r="D1373" s="6" t="s">
        <v>1161</v>
      </c>
      <c r="E1373" s="6" t="s">
        <v>1161</v>
      </c>
      <c r="F1373" s="3" t="str">
        <f>IFERROR( VLOOKUP(A1373,#REF!,2,0),"")</f>
        <v/>
      </c>
      <c r="G1373" s="3" t="str">
        <f t="array" ref="G1373">_xlfn.XLOOKUP(I1373,Base_Datos!D:D,Base_Datos!B:B,"")</f>
        <v>DFSK</v>
      </c>
      <c r="H1373" s="3" t="str">
        <f t="array" ref="H1373">IF(I1373="","",IFERROR(_xlfn.XLOOKUP(I1373,Base_Datos!$D$2:$D3876,Base_Datos!$C$2:$C3876),""))</f>
        <v>Serie D</v>
      </c>
      <c r="I1373" s="3" t="s">
        <v>145</v>
      </c>
      <c r="J1373" s="3" t="str">
        <f>IF(I1373="","",IFERROR(VLOOKUP(I1373,Base_Datos!$D$2:$E$72,2,0),""))</f>
        <v>(2.4L)</v>
      </c>
      <c r="K1373" s="3" t="s">
        <v>1782</v>
      </c>
      <c r="L1373" s="3"/>
      <c r="M1373" s="7">
        <v>5</v>
      </c>
      <c r="N1373" s="7">
        <v>0</v>
      </c>
    </row>
    <row r="1374" spans="1:14" ht="14.25" x14ac:dyDescent="0.2">
      <c r="A1374" s="3">
        <v>88364</v>
      </c>
      <c r="B1374" s="3" t="s">
        <v>3431</v>
      </c>
      <c r="C1374" s="3" t="s">
        <v>18</v>
      </c>
      <c r="D1374" s="6" t="s">
        <v>1162</v>
      </c>
      <c r="E1374" s="6" t="s">
        <v>1162</v>
      </c>
      <c r="F1374" s="3" t="str">
        <f>IFERROR( VLOOKUP(A1374,#REF!,2,0),"")</f>
        <v/>
      </c>
      <c r="G1374" s="3" t="str">
        <f t="array" ref="G1374">_xlfn.XLOOKUP(I1374,Base_Datos!D:D,Base_Datos!B:B,"")</f>
        <v>DFSK</v>
      </c>
      <c r="H1374" s="3" t="str">
        <f t="array" ref="H1374">IF(I1374="","",IFERROR(_xlfn.XLOOKUP(I1374,Base_Datos!$D$2:$D3876,Base_Datos!$C$2:$C3876),""))</f>
        <v>Serie D</v>
      </c>
      <c r="I1374" s="3" t="s">
        <v>145</v>
      </c>
      <c r="J1374" s="3" t="str">
        <f>IF(I1374="","",IFERROR(VLOOKUP(I1374,Base_Datos!$D$2:$E$72,2,0),""))</f>
        <v>(2.4L)</v>
      </c>
      <c r="K1374" s="3" t="s">
        <v>1782</v>
      </c>
      <c r="L1374" s="3"/>
      <c r="M1374" s="7">
        <v>40</v>
      </c>
      <c r="N1374" s="7">
        <v>0</v>
      </c>
    </row>
    <row r="1375" spans="1:14" ht="14.25" x14ac:dyDescent="0.2">
      <c r="A1375" s="3">
        <v>88365</v>
      </c>
      <c r="B1375" s="3" t="s">
        <v>3431</v>
      </c>
      <c r="C1375" s="3" t="s">
        <v>18</v>
      </c>
      <c r="D1375" s="6" t="s">
        <v>1163</v>
      </c>
      <c r="E1375" s="6" t="s">
        <v>1163</v>
      </c>
      <c r="F1375" s="3" t="str">
        <f>IFERROR( VLOOKUP(A1375,#REF!,2,0),"")</f>
        <v/>
      </c>
      <c r="G1375" s="3" t="str">
        <f t="array" ref="G1375">_xlfn.XLOOKUP(I1375,Base_Datos!D:D,Base_Datos!B:B,"")</f>
        <v>DFSK</v>
      </c>
      <c r="H1375" s="3" t="str">
        <f t="array" ref="H1375">IF(I1375="","",IFERROR(_xlfn.XLOOKUP(I1375,Base_Datos!$D$2:$D3876,Base_Datos!$C$2:$C3876),""))</f>
        <v>Serie D</v>
      </c>
      <c r="I1375" s="3" t="s">
        <v>145</v>
      </c>
      <c r="J1375" s="3" t="str">
        <f>IF(I1375="","",IFERROR(VLOOKUP(I1375,Base_Datos!$D$2:$E$72,2,0),""))</f>
        <v>(2.4L)</v>
      </c>
      <c r="K1375" s="3" t="s">
        <v>1782</v>
      </c>
      <c r="L1375" s="3"/>
      <c r="M1375" s="7">
        <v>40</v>
      </c>
      <c r="N1375" s="7">
        <v>0</v>
      </c>
    </row>
    <row r="1376" spans="1:14" ht="14.25" x14ac:dyDescent="0.2">
      <c r="A1376" s="3">
        <v>88366</v>
      </c>
      <c r="B1376" s="3" t="s">
        <v>3431</v>
      </c>
      <c r="C1376" s="3" t="s">
        <v>18</v>
      </c>
      <c r="D1376" s="6" t="s">
        <v>1164</v>
      </c>
      <c r="E1376" s="6" t="s">
        <v>1164</v>
      </c>
      <c r="F1376" s="3" t="str">
        <f>IFERROR( VLOOKUP(A1376,#REF!,2,0),"")</f>
        <v/>
      </c>
      <c r="G1376" s="3" t="str">
        <f t="array" ref="G1376">_xlfn.XLOOKUP(I1376,Base_Datos!D:D,Base_Datos!B:B,"")</f>
        <v>DFSK</v>
      </c>
      <c r="H1376" s="3" t="str">
        <f t="array" ref="H1376">IF(I1376="","",IFERROR(_xlfn.XLOOKUP(I1376,Base_Datos!$D$2:$D3876,Base_Datos!$C$2:$C3876),""))</f>
        <v>Serie D</v>
      </c>
      <c r="I1376" s="3" t="s">
        <v>145</v>
      </c>
      <c r="J1376" s="3" t="str">
        <f>IF(I1376="","",IFERROR(VLOOKUP(I1376,Base_Datos!$D$2:$E$72,2,0),""))</f>
        <v>(2.4L)</v>
      </c>
      <c r="K1376" s="3" t="s">
        <v>1782</v>
      </c>
      <c r="L1376" s="3"/>
      <c r="M1376" s="7">
        <v>40</v>
      </c>
      <c r="N1376" s="7">
        <v>0</v>
      </c>
    </row>
    <row r="1377" spans="1:14" ht="14.25" x14ac:dyDescent="0.2">
      <c r="A1377" s="3">
        <v>88367</v>
      </c>
      <c r="B1377" s="3" t="s">
        <v>3431</v>
      </c>
      <c r="C1377" s="3" t="s">
        <v>18</v>
      </c>
      <c r="D1377" s="6" t="s">
        <v>1165</v>
      </c>
      <c r="E1377" s="6" t="s">
        <v>1165</v>
      </c>
      <c r="F1377" s="3" t="str">
        <f>IFERROR( VLOOKUP(A1377,#REF!,2,0),"")</f>
        <v/>
      </c>
      <c r="G1377" s="3" t="str">
        <f t="array" ref="G1377">_xlfn.XLOOKUP(I1377,Base_Datos!D:D,Base_Datos!B:B,"")</f>
        <v>DFSK</v>
      </c>
      <c r="H1377" s="3" t="str">
        <f t="array" ref="H1377">IF(I1377="","",IFERROR(_xlfn.XLOOKUP(I1377,Base_Datos!$D$2:$D3876,Base_Datos!$C$2:$C3876),""))</f>
        <v>Serie D</v>
      </c>
      <c r="I1377" s="3" t="s">
        <v>145</v>
      </c>
      <c r="J1377" s="3" t="str">
        <f>IF(I1377="","",IFERROR(VLOOKUP(I1377,Base_Datos!$D$2:$E$72,2,0),""))</f>
        <v>(2.4L)</v>
      </c>
      <c r="K1377" s="3" t="s">
        <v>1782</v>
      </c>
      <c r="L1377" s="3"/>
      <c r="M1377" s="7">
        <v>40</v>
      </c>
      <c r="N1377" s="7">
        <v>0</v>
      </c>
    </row>
    <row r="1378" spans="1:14" ht="14.25" x14ac:dyDescent="0.2">
      <c r="A1378" s="3">
        <v>88368</v>
      </c>
      <c r="B1378" s="3" t="s">
        <v>2180</v>
      </c>
      <c r="C1378" s="3" t="s">
        <v>18</v>
      </c>
      <c r="D1378" s="6" t="s">
        <v>1147</v>
      </c>
      <c r="E1378" s="6" t="s">
        <v>1147</v>
      </c>
      <c r="F1378" s="3" t="str">
        <f>IFERROR( VLOOKUP(A1378,#REF!,2,0),"")</f>
        <v/>
      </c>
      <c r="G1378" s="3" t="str">
        <f t="array" ref="G1378">_xlfn.XLOOKUP(I1378,Base_Datos!D:D,Base_Datos!B:B,"")</f>
        <v>DFSK</v>
      </c>
      <c r="H1378" s="3" t="str">
        <f t="array" ref="H1378">IF(I1378="","",IFERROR(_xlfn.XLOOKUP(I1378,Base_Datos!$D$2:$D3876,Base_Datos!$C$2:$C3876),""))</f>
        <v>Serie D</v>
      </c>
      <c r="I1378" s="3" t="s">
        <v>145</v>
      </c>
      <c r="J1378" s="3" t="str">
        <f>IF(I1378="","",IFERROR(VLOOKUP(I1378,Base_Datos!$D$2:$E$72,2,0),""))</f>
        <v>(2.4L)</v>
      </c>
      <c r="K1378" s="3" t="s">
        <v>1782</v>
      </c>
      <c r="L1378" s="3"/>
      <c r="M1378" s="7">
        <v>10</v>
      </c>
      <c r="N1378" s="7">
        <v>0</v>
      </c>
    </row>
    <row r="1379" spans="1:14" ht="14.25" x14ac:dyDescent="0.2">
      <c r="A1379" s="3">
        <v>88369</v>
      </c>
      <c r="B1379" s="3" t="s">
        <v>1841</v>
      </c>
      <c r="C1379" s="3" t="s">
        <v>18</v>
      </c>
      <c r="D1379" s="6" t="s">
        <v>1103</v>
      </c>
      <c r="E1379" s="6" t="s">
        <v>1103</v>
      </c>
      <c r="F1379" s="3" t="str">
        <f>IFERROR( VLOOKUP(A1379,#REF!,2,0),"")</f>
        <v/>
      </c>
      <c r="G1379" s="3" t="str">
        <f t="array" ref="G1379">_xlfn.XLOOKUP(I1379,Base_Datos!D:D,Base_Datos!B:B,"")</f>
        <v>DFSK</v>
      </c>
      <c r="H1379" s="3" t="str">
        <f t="array" ref="H1379">IF(I1379="","",IFERROR(_xlfn.XLOOKUP(I1379,Base_Datos!$D$2:$D3876,Base_Datos!$C$2:$C3876),""))</f>
        <v>Serie D</v>
      </c>
      <c r="I1379" s="3" t="s">
        <v>145</v>
      </c>
      <c r="J1379" s="3" t="str">
        <f>IF(I1379="","",IFERROR(VLOOKUP(I1379,Base_Datos!$D$2:$E$72,2,0),""))</f>
        <v>(2.4L)</v>
      </c>
      <c r="K1379" s="3" t="s">
        <v>1782</v>
      </c>
      <c r="L1379" s="3"/>
      <c r="M1379" s="7">
        <v>8</v>
      </c>
      <c r="N1379" s="7">
        <v>0</v>
      </c>
    </row>
    <row r="1380" spans="1:14" ht="14.25" x14ac:dyDescent="0.2">
      <c r="A1380" s="3">
        <v>88370</v>
      </c>
      <c r="B1380" s="3" t="s">
        <v>3432</v>
      </c>
      <c r="C1380" s="3" t="s">
        <v>18</v>
      </c>
      <c r="D1380" s="6" t="s">
        <v>1127</v>
      </c>
      <c r="E1380" s="6" t="s">
        <v>1127</v>
      </c>
      <c r="F1380" s="3" t="str">
        <f>IFERROR( VLOOKUP(A1380,#REF!,2,0),"")</f>
        <v/>
      </c>
      <c r="G1380" s="3" t="str">
        <f t="array" ref="G1380">_xlfn.XLOOKUP(I1380,Base_Datos!D:D,Base_Datos!B:B,"")</f>
        <v>DFSK</v>
      </c>
      <c r="H1380" s="3" t="str">
        <f t="array" ref="H1380">IF(I1380="","",IFERROR(_xlfn.XLOOKUP(I1380,Base_Datos!$D$2:$D3876,Base_Datos!$C$2:$C3876),""))</f>
        <v>Serie D</v>
      </c>
      <c r="I1380" s="3" t="s">
        <v>145</v>
      </c>
      <c r="J1380" s="3" t="str">
        <f>IF(I1380="","",IFERROR(VLOOKUP(I1380,Base_Datos!$D$2:$E$72,2,0),""))</f>
        <v>(2.4L)</v>
      </c>
      <c r="K1380" s="3" t="s">
        <v>1782</v>
      </c>
      <c r="L1380" s="3"/>
      <c r="M1380" s="7">
        <v>6</v>
      </c>
      <c r="N1380" s="7">
        <v>0</v>
      </c>
    </row>
    <row r="1381" spans="1:14" ht="14.25" x14ac:dyDescent="0.2">
      <c r="A1381" s="3">
        <v>88371</v>
      </c>
      <c r="B1381" s="3" t="s">
        <v>3433</v>
      </c>
      <c r="C1381" s="3" t="s">
        <v>18</v>
      </c>
      <c r="D1381" s="6" t="s">
        <v>1156</v>
      </c>
      <c r="E1381" s="6" t="s">
        <v>1156</v>
      </c>
      <c r="F1381" s="3" t="str">
        <f>IFERROR( VLOOKUP(A1381,#REF!,2,0),"")</f>
        <v/>
      </c>
      <c r="G1381" s="3" t="str">
        <f t="array" ref="G1381">_xlfn.XLOOKUP(I1381,Base_Datos!D:D,Base_Datos!B:B,"")</f>
        <v>DFSK</v>
      </c>
      <c r="H1381" s="3" t="str">
        <f t="array" ref="H1381">IF(I1381="","",IFERROR(_xlfn.XLOOKUP(I1381,Base_Datos!$D$2:$D3876,Base_Datos!$C$2:$C3876),""))</f>
        <v>Serie D</v>
      </c>
      <c r="I1381" s="3" t="s">
        <v>145</v>
      </c>
      <c r="J1381" s="3" t="str">
        <f>IF(I1381="","",IFERROR(VLOOKUP(I1381,Base_Datos!$D$2:$E$72,2,0),""))</f>
        <v>(2.4L)</v>
      </c>
      <c r="K1381" s="3" t="s">
        <v>1782</v>
      </c>
      <c r="L1381" s="3"/>
      <c r="M1381" s="7">
        <v>30</v>
      </c>
      <c r="N1381" s="7">
        <v>0</v>
      </c>
    </row>
    <row r="1382" spans="1:14" ht="14.25" x14ac:dyDescent="0.2">
      <c r="A1382" s="3">
        <v>88372</v>
      </c>
      <c r="B1382" s="3" t="s">
        <v>3434</v>
      </c>
      <c r="C1382" s="3" t="s">
        <v>18</v>
      </c>
      <c r="D1382" s="6" t="s">
        <v>1157</v>
      </c>
      <c r="E1382" s="6" t="s">
        <v>1157</v>
      </c>
      <c r="F1382" s="3" t="str">
        <f>IFERROR( VLOOKUP(A1382,#REF!,2,0),"")</f>
        <v/>
      </c>
      <c r="G1382" s="3" t="str">
        <f t="array" ref="G1382">_xlfn.XLOOKUP(I1382,Base_Datos!D:D,Base_Datos!B:B,"")</f>
        <v>DFSK</v>
      </c>
      <c r="H1382" s="3" t="str">
        <f t="array" ref="H1382">IF(I1382="","",IFERROR(_xlfn.XLOOKUP(I1382,Base_Datos!$D$2:$D3876,Base_Datos!$C$2:$C3876),""))</f>
        <v>Serie D</v>
      </c>
      <c r="I1382" s="3" t="s">
        <v>145</v>
      </c>
      <c r="J1382" s="3" t="str">
        <f>IF(I1382="","",IFERROR(VLOOKUP(I1382,Base_Datos!$D$2:$E$72,2,0),""))</f>
        <v>(2.4L)</v>
      </c>
      <c r="K1382" s="3" t="s">
        <v>1782</v>
      </c>
      <c r="L1382" s="3"/>
      <c r="M1382" s="7">
        <v>30</v>
      </c>
      <c r="N1382" s="7">
        <v>0</v>
      </c>
    </row>
    <row r="1383" spans="1:14" ht="14.25" x14ac:dyDescent="0.2">
      <c r="A1383" s="3">
        <v>88373</v>
      </c>
      <c r="B1383" s="3" t="s">
        <v>3435</v>
      </c>
      <c r="C1383" s="3" t="s">
        <v>18</v>
      </c>
      <c r="D1383" s="6" t="s">
        <v>1158</v>
      </c>
      <c r="E1383" s="6" t="s">
        <v>1158</v>
      </c>
      <c r="F1383" s="3" t="str">
        <f>IFERROR( VLOOKUP(A1383,#REF!,2,0),"")</f>
        <v/>
      </c>
      <c r="G1383" s="3" t="str">
        <f t="array" ref="G1383">_xlfn.XLOOKUP(I1383,Base_Datos!D:D,Base_Datos!B:B,"")</f>
        <v>DFSK</v>
      </c>
      <c r="H1383" s="3" t="str">
        <f t="array" ref="H1383">IF(I1383="","",IFERROR(_xlfn.XLOOKUP(I1383,Base_Datos!$D$2:$D3876,Base_Datos!$C$2:$C3876),""))</f>
        <v>Serie D</v>
      </c>
      <c r="I1383" s="3" t="s">
        <v>145</v>
      </c>
      <c r="J1383" s="3" t="str">
        <f>IF(I1383="","",IFERROR(VLOOKUP(I1383,Base_Datos!$D$2:$E$72,2,0),""))</f>
        <v>(2.4L)</v>
      </c>
      <c r="K1383" s="3" t="s">
        <v>1782</v>
      </c>
      <c r="L1383" s="3"/>
      <c r="M1383" s="7">
        <v>28</v>
      </c>
      <c r="N1383" s="7">
        <v>0</v>
      </c>
    </row>
    <row r="1384" spans="1:14" ht="14.25" x14ac:dyDescent="0.2">
      <c r="A1384" s="3">
        <v>88374</v>
      </c>
      <c r="B1384" s="3" t="s">
        <v>3436</v>
      </c>
      <c r="C1384" s="3" t="s">
        <v>18</v>
      </c>
      <c r="D1384" s="6" t="s">
        <v>1159</v>
      </c>
      <c r="E1384" s="6" t="s">
        <v>1159</v>
      </c>
      <c r="F1384" s="3" t="str">
        <f>IFERROR( VLOOKUP(A1384,#REF!,2,0),"")</f>
        <v/>
      </c>
      <c r="G1384" s="3" t="str">
        <f t="array" ref="G1384">_xlfn.XLOOKUP(I1384,Base_Datos!D:D,Base_Datos!B:B,"")</f>
        <v>DFSK</v>
      </c>
      <c r="H1384" s="3" t="str">
        <f t="array" ref="H1384">IF(I1384="","",IFERROR(_xlfn.XLOOKUP(I1384,Base_Datos!$D$2:$D3876,Base_Datos!$C$2:$C3876),""))</f>
        <v>Serie D</v>
      </c>
      <c r="I1384" s="3" t="s">
        <v>145</v>
      </c>
      <c r="J1384" s="3" t="str">
        <f>IF(I1384="","",IFERROR(VLOOKUP(I1384,Base_Datos!$D$2:$E$72,2,0),""))</f>
        <v>(2.4L)</v>
      </c>
      <c r="K1384" s="3" t="s">
        <v>1782</v>
      </c>
      <c r="L1384" s="3"/>
      <c r="M1384" s="7">
        <v>30</v>
      </c>
      <c r="N1384" s="7">
        <v>0</v>
      </c>
    </row>
    <row r="1385" spans="1:14" ht="14.25" x14ac:dyDescent="0.2">
      <c r="A1385" s="3">
        <v>88375</v>
      </c>
      <c r="B1385" s="3" t="s">
        <v>3437</v>
      </c>
      <c r="C1385" s="3" t="s">
        <v>18</v>
      </c>
      <c r="D1385" s="6" t="s">
        <v>1139</v>
      </c>
      <c r="E1385" s="6" t="s">
        <v>1139</v>
      </c>
      <c r="F1385" s="3" t="str">
        <f>IFERROR( VLOOKUP(A1385,#REF!,2,0),"")</f>
        <v/>
      </c>
      <c r="G1385" s="3" t="str">
        <f t="array" ref="G1385">_xlfn.XLOOKUP(I1385,Base_Datos!D:D,Base_Datos!B:B,"")</f>
        <v>DFSK</v>
      </c>
      <c r="H1385" s="3" t="str">
        <f t="array" ref="H1385">IF(I1385="","",IFERROR(_xlfn.XLOOKUP(I1385,Base_Datos!$D$2:$D3876,Base_Datos!$C$2:$C3876),""))</f>
        <v>Serie D</v>
      </c>
      <c r="I1385" s="3" t="s">
        <v>145</v>
      </c>
      <c r="J1385" s="3" t="str">
        <f>IF(I1385="","",IFERROR(VLOOKUP(I1385,Base_Datos!$D$2:$E$72,2,0),""))</f>
        <v>(2.4L)</v>
      </c>
      <c r="K1385" s="3" t="s">
        <v>1782</v>
      </c>
      <c r="L1385" s="3"/>
      <c r="M1385" s="7">
        <v>6</v>
      </c>
      <c r="N1385" s="7">
        <v>0</v>
      </c>
    </row>
    <row r="1386" spans="1:14" ht="14.25" x14ac:dyDescent="0.2">
      <c r="A1386" s="3">
        <v>88376</v>
      </c>
      <c r="B1386" s="3" t="s">
        <v>3438</v>
      </c>
      <c r="C1386" s="3" t="s">
        <v>18</v>
      </c>
      <c r="D1386" s="6" t="s">
        <v>1160</v>
      </c>
      <c r="E1386" s="6" t="s">
        <v>1160</v>
      </c>
      <c r="F1386" s="3" t="str">
        <f>IFERROR( VLOOKUP(A1386,#REF!,2,0),"")</f>
        <v/>
      </c>
      <c r="G1386" s="3" t="str">
        <f t="array" ref="G1386">_xlfn.XLOOKUP(I1386,Base_Datos!D:D,Base_Datos!B:B,"")</f>
        <v>DFSK</v>
      </c>
      <c r="H1386" s="3" t="str">
        <f t="array" ref="H1386">IF(I1386="","",IFERROR(_xlfn.XLOOKUP(I1386,Base_Datos!$D$2:$D3876,Base_Datos!$C$2:$C3876),""))</f>
        <v>Serie D</v>
      </c>
      <c r="I1386" s="3" t="s">
        <v>145</v>
      </c>
      <c r="J1386" s="3" t="str">
        <f>IF(I1386="","",IFERROR(VLOOKUP(I1386,Base_Datos!$D$2:$E$72,2,0),""))</f>
        <v>(2.4L)</v>
      </c>
      <c r="K1386" s="3" t="s">
        <v>1782</v>
      </c>
      <c r="L1386" s="3"/>
      <c r="M1386" s="7">
        <v>30</v>
      </c>
      <c r="N1386" s="7">
        <v>0</v>
      </c>
    </row>
    <row r="1387" spans="1:14" ht="14.25" x14ac:dyDescent="0.2">
      <c r="A1387" s="3">
        <v>88377</v>
      </c>
      <c r="B1387" s="3" t="s">
        <v>3439</v>
      </c>
      <c r="C1387" s="3" t="s">
        <v>18</v>
      </c>
      <c r="D1387" s="6" t="s">
        <v>1166</v>
      </c>
      <c r="E1387" s="6" t="s">
        <v>1166</v>
      </c>
      <c r="F1387" s="3" t="str">
        <f>IFERROR( VLOOKUP(A1387,#REF!,2,0),"")</f>
        <v/>
      </c>
      <c r="G1387" s="3" t="str">
        <f t="array" ref="G1387">_xlfn.XLOOKUP(I1387,Base_Datos!D:D,Base_Datos!B:B,"")</f>
        <v>DFSK</v>
      </c>
      <c r="H1387" s="3" t="str">
        <f t="array" ref="H1387">IF(I1387="","",IFERROR(_xlfn.XLOOKUP(I1387,Base_Datos!$D$2:$D3876,Base_Datos!$C$2:$C3876),""))</f>
        <v>Serie D</v>
      </c>
      <c r="I1387" s="3" t="s">
        <v>145</v>
      </c>
      <c r="J1387" s="3" t="str">
        <f>IF(I1387="","",IFERROR(VLOOKUP(I1387,Base_Datos!$D$2:$E$72,2,0),""))</f>
        <v>(2.4L)</v>
      </c>
      <c r="K1387" s="3" t="s">
        <v>1782</v>
      </c>
      <c r="L1387" s="3"/>
      <c r="M1387" s="7">
        <v>30</v>
      </c>
      <c r="N1387" s="7">
        <v>0</v>
      </c>
    </row>
    <row r="1388" spans="1:14" ht="14.25" x14ac:dyDescent="0.2">
      <c r="A1388" s="3">
        <v>88378</v>
      </c>
      <c r="B1388" s="3" t="s">
        <v>3440</v>
      </c>
      <c r="C1388" s="3" t="s">
        <v>18</v>
      </c>
      <c r="D1388" s="6" t="s">
        <v>1140</v>
      </c>
      <c r="E1388" s="6" t="s">
        <v>1140</v>
      </c>
      <c r="F1388" s="3" t="str">
        <f>IFERROR( VLOOKUP(A1388,#REF!,2,0),"")</f>
        <v/>
      </c>
      <c r="G1388" s="3" t="str">
        <f t="array" ref="G1388">_xlfn.XLOOKUP(I1388,Base_Datos!D:D,Base_Datos!B:B,"")</f>
        <v>DFSK</v>
      </c>
      <c r="H1388" s="3" t="str">
        <f t="array" ref="H1388">IF(I1388="","",IFERROR(_xlfn.XLOOKUP(I1388,Base_Datos!$D$2:$D3876,Base_Datos!$C$2:$C3876),""))</f>
        <v>Serie D</v>
      </c>
      <c r="I1388" s="3" t="s">
        <v>145</v>
      </c>
      <c r="J1388" s="3" t="str">
        <f>IF(I1388="","",IFERROR(VLOOKUP(I1388,Base_Datos!$D$2:$E$72,2,0),""))</f>
        <v>(2.4L)</v>
      </c>
      <c r="K1388" s="3" t="s">
        <v>1782</v>
      </c>
      <c r="L1388" s="3"/>
      <c r="M1388" s="7">
        <v>10</v>
      </c>
      <c r="N1388" s="7">
        <v>0</v>
      </c>
    </row>
    <row r="1389" spans="1:14" ht="14.25" x14ac:dyDescent="0.2">
      <c r="A1389" s="3">
        <v>88379</v>
      </c>
      <c r="B1389" s="3" t="s">
        <v>3441</v>
      </c>
      <c r="C1389" s="3" t="s">
        <v>18</v>
      </c>
      <c r="D1389" s="6" t="s">
        <v>1141</v>
      </c>
      <c r="E1389" s="6" t="s">
        <v>1141</v>
      </c>
      <c r="F1389" s="3" t="str">
        <f>IFERROR( VLOOKUP(A1389,#REF!,2,0),"")</f>
        <v/>
      </c>
      <c r="G1389" s="3" t="str">
        <f t="array" ref="G1389">_xlfn.XLOOKUP(I1389,Base_Datos!D:D,Base_Datos!B:B,"")</f>
        <v>DFSK</v>
      </c>
      <c r="H1389" s="3" t="str">
        <f t="array" ref="H1389">IF(I1389="","",IFERROR(_xlfn.XLOOKUP(I1389,Base_Datos!$D$2:$D3876,Base_Datos!$C$2:$C3876),""))</f>
        <v>Serie D</v>
      </c>
      <c r="I1389" s="3" t="s">
        <v>145</v>
      </c>
      <c r="J1389" s="3" t="str">
        <f>IF(I1389="","",IFERROR(VLOOKUP(I1389,Base_Datos!$D$2:$E$72,2,0),""))</f>
        <v>(2.4L)</v>
      </c>
      <c r="K1389" s="3" t="s">
        <v>1782</v>
      </c>
      <c r="L1389" s="3"/>
      <c r="M1389" s="7">
        <v>10</v>
      </c>
      <c r="N1389" s="7">
        <v>0</v>
      </c>
    </row>
    <row r="1390" spans="1:14" ht="14.25" x14ac:dyDescent="0.2">
      <c r="A1390" s="3">
        <v>88380</v>
      </c>
      <c r="B1390" s="3" t="s">
        <v>3442</v>
      </c>
      <c r="C1390" s="3" t="s">
        <v>18</v>
      </c>
      <c r="D1390" s="6" t="s">
        <v>1109</v>
      </c>
      <c r="E1390" s="6" t="s">
        <v>1109</v>
      </c>
      <c r="F1390" s="3" t="str">
        <f>IFERROR( VLOOKUP(A1390,#REF!,2,0),"")</f>
        <v/>
      </c>
      <c r="G1390" s="3" t="str">
        <f t="array" ref="G1390">_xlfn.XLOOKUP(I1390,Base_Datos!D:D,Base_Datos!B:B,"")</f>
        <v>DFSK</v>
      </c>
      <c r="H1390" s="3" t="str">
        <f t="array" ref="H1390">IF(I1390="","",IFERROR(_xlfn.XLOOKUP(I1390,Base_Datos!$D$2:$D3876,Base_Datos!$C$2:$C3876),""))</f>
        <v>Serie D</v>
      </c>
      <c r="I1390" s="3" t="s">
        <v>145</v>
      </c>
      <c r="J1390" s="3" t="str">
        <f>IF(I1390="","",IFERROR(VLOOKUP(I1390,Base_Datos!$D$2:$E$72,2,0),""))</f>
        <v>(2.4L)</v>
      </c>
      <c r="K1390" s="3" t="s">
        <v>1782</v>
      </c>
      <c r="L1390" s="3"/>
      <c r="M1390" s="7">
        <v>6</v>
      </c>
      <c r="N1390" s="7">
        <v>0</v>
      </c>
    </row>
    <row r="1391" spans="1:14" ht="14.25" x14ac:dyDescent="0.2">
      <c r="A1391" s="3">
        <v>88381</v>
      </c>
      <c r="B1391" s="3" t="s">
        <v>3443</v>
      </c>
      <c r="C1391" s="3" t="s">
        <v>18</v>
      </c>
      <c r="D1391" s="6" t="s">
        <v>1153</v>
      </c>
      <c r="E1391" s="6" t="s">
        <v>1153</v>
      </c>
      <c r="F1391" s="3" t="str">
        <f>IFERROR( VLOOKUP(A1391,#REF!,2,0),"")</f>
        <v/>
      </c>
      <c r="G1391" s="3" t="str">
        <f t="array" ref="G1391">_xlfn.XLOOKUP(I1391,Base_Datos!D:D,Base_Datos!B:B,"")</f>
        <v>DFSK</v>
      </c>
      <c r="H1391" s="3" t="str">
        <f t="array" ref="H1391">IF(I1391="","",IFERROR(_xlfn.XLOOKUP(I1391,Base_Datos!$D$2:$D3876,Base_Datos!$C$2:$C3876),""))</f>
        <v>Serie D</v>
      </c>
      <c r="I1391" s="3" t="s">
        <v>145</v>
      </c>
      <c r="J1391" s="3" t="str">
        <f>IF(I1391="","",IFERROR(VLOOKUP(I1391,Base_Datos!$D$2:$E$72,2,0),""))</f>
        <v>(2.4L)</v>
      </c>
      <c r="K1391" s="3" t="s">
        <v>1782</v>
      </c>
      <c r="L1391" s="3"/>
      <c r="M1391" s="7">
        <v>20</v>
      </c>
      <c r="N1391" s="7">
        <v>0</v>
      </c>
    </row>
    <row r="1392" spans="1:14" ht="14.25" x14ac:dyDescent="0.2">
      <c r="A1392" s="3">
        <v>88382</v>
      </c>
      <c r="B1392" s="3" t="s">
        <v>3444</v>
      </c>
      <c r="C1392" s="3" t="s">
        <v>18</v>
      </c>
      <c r="D1392" s="6" t="s">
        <v>1110</v>
      </c>
      <c r="E1392" s="6" t="s">
        <v>1110</v>
      </c>
      <c r="F1392" s="3" t="str">
        <f>IFERROR( VLOOKUP(A1392,#REF!,2,0),"")</f>
        <v/>
      </c>
      <c r="G1392" s="3" t="str">
        <f t="array" ref="G1392">_xlfn.XLOOKUP(I1392,Base_Datos!D:D,Base_Datos!B:B,"")</f>
        <v>DFSK</v>
      </c>
      <c r="H1392" s="3" t="str">
        <f t="array" ref="H1392">IF(I1392="","",IFERROR(_xlfn.XLOOKUP(I1392,Base_Datos!$D$2:$D3876,Base_Datos!$C$2:$C3876),""))</f>
        <v>Serie D</v>
      </c>
      <c r="I1392" s="3" t="s">
        <v>145</v>
      </c>
      <c r="J1392" s="3" t="str">
        <f>IF(I1392="","",IFERROR(VLOOKUP(I1392,Base_Datos!$D$2:$E$72,2,0),""))</f>
        <v>(2.4L)</v>
      </c>
      <c r="K1392" s="3" t="s">
        <v>1782</v>
      </c>
      <c r="L1392" s="3"/>
      <c r="M1392" s="7">
        <v>6</v>
      </c>
      <c r="N1392" s="7">
        <v>0</v>
      </c>
    </row>
    <row r="1393" spans="1:14" ht="14.25" x14ac:dyDescent="0.2">
      <c r="A1393" s="3">
        <v>88383</v>
      </c>
      <c r="B1393" s="3" t="s">
        <v>3445</v>
      </c>
      <c r="C1393" s="3" t="s">
        <v>18</v>
      </c>
      <c r="D1393" s="6" t="s">
        <v>1107</v>
      </c>
      <c r="E1393" s="6" t="s">
        <v>1107</v>
      </c>
      <c r="F1393" s="3" t="str">
        <f>IFERROR( VLOOKUP(A1393,#REF!,2,0),"")</f>
        <v/>
      </c>
      <c r="G1393" s="3" t="str">
        <f t="array" ref="G1393">_xlfn.XLOOKUP(I1393,Base_Datos!D:D,Base_Datos!B:B,"")</f>
        <v>DFSK</v>
      </c>
      <c r="H1393" s="3" t="str">
        <f t="array" ref="H1393">IF(I1393="","",IFERROR(_xlfn.XLOOKUP(I1393,Base_Datos!$D$2:$D3876,Base_Datos!$C$2:$C3876),""))</f>
        <v>Serie D</v>
      </c>
      <c r="I1393" s="3" t="s">
        <v>145</v>
      </c>
      <c r="J1393" s="3" t="str">
        <f>IF(I1393="","",IFERROR(VLOOKUP(I1393,Base_Datos!$D$2:$E$72,2,0),""))</f>
        <v>(2.4L)</v>
      </c>
      <c r="K1393" s="3" t="s">
        <v>1782</v>
      </c>
      <c r="L1393" s="3"/>
      <c r="M1393" s="7">
        <v>4</v>
      </c>
      <c r="N1393" s="7">
        <v>0</v>
      </c>
    </row>
    <row r="1394" spans="1:14" ht="14.25" x14ac:dyDescent="0.2">
      <c r="A1394" s="3">
        <v>88384</v>
      </c>
      <c r="B1394" s="3" t="s">
        <v>3446</v>
      </c>
      <c r="C1394" s="3" t="s">
        <v>18</v>
      </c>
      <c r="D1394" s="6" t="s">
        <v>1167</v>
      </c>
      <c r="E1394" s="6" t="s">
        <v>1167</v>
      </c>
      <c r="F1394" s="3" t="str">
        <f>IFERROR( VLOOKUP(A1394,#REF!,2,0),"")</f>
        <v/>
      </c>
      <c r="G1394" s="3" t="str">
        <f t="array" ref="G1394">_xlfn.XLOOKUP(I1394,Base_Datos!D:D,Base_Datos!B:B,"")</f>
        <v>DFSK</v>
      </c>
      <c r="H1394" s="3" t="str">
        <f t="array" ref="H1394">IF(I1394="","",IFERROR(_xlfn.XLOOKUP(I1394,Base_Datos!$D$2:$D3876,Base_Datos!$C$2:$C3876),""))</f>
        <v>Serie C</v>
      </c>
      <c r="I1394" s="3" t="s">
        <v>265</v>
      </c>
      <c r="J1394" s="3" t="str">
        <f>IF(I1394="","",IFERROR(VLOOKUP(I1394,Base_Datos!$D$2:$E$72,2,0),""))</f>
        <v>(1.5L)</v>
      </c>
      <c r="K1394" s="3" t="s">
        <v>1782</v>
      </c>
      <c r="L1394" s="3"/>
      <c r="M1394" s="7">
        <v>30</v>
      </c>
      <c r="N1394" s="7">
        <v>0</v>
      </c>
    </row>
    <row r="1395" spans="1:14" ht="14.25" x14ac:dyDescent="0.2">
      <c r="A1395" s="3">
        <v>88385</v>
      </c>
      <c r="B1395" s="3" t="s">
        <v>3447</v>
      </c>
      <c r="C1395" s="3" t="s">
        <v>18</v>
      </c>
      <c r="D1395" s="6" t="s">
        <v>1128</v>
      </c>
      <c r="E1395" s="6" t="s">
        <v>1128</v>
      </c>
      <c r="F1395" s="3" t="str">
        <f>IFERROR( VLOOKUP(A1395,#REF!,2,0),"")</f>
        <v/>
      </c>
      <c r="G1395" s="3" t="str">
        <f t="array" ref="G1395">_xlfn.XLOOKUP(I1395,Base_Datos!D:D,Base_Datos!B:B,"")</f>
        <v>DFSK</v>
      </c>
      <c r="H1395" s="3" t="str">
        <f t="array" ref="H1395">IF(I1395="","",IFERROR(_xlfn.XLOOKUP(I1395,Base_Datos!$D$2:$D3876,Base_Datos!$C$2:$C3876),""))</f>
        <v>Serie D</v>
      </c>
      <c r="I1395" s="3" t="s">
        <v>145</v>
      </c>
      <c r="J1395" s="3" t="str">
        <f>IF(I1395="","",IFERROR(VLOOKUP(I1395,Base_Datos!$D$2:$E$72,2,0),""))</f>
        <v>(2.4L)</v>
      </c>
      <c r="K1395" s="3" t="s">
        <v>1782</v>
      </c>
      <c r="L1395" s="3"/>
      <c r="M1395" s="7">
        <v>6</v>
      </c>
      <c r="N1395" s="7">
        <v>0</v>
      </c>
    </row>
    <row r="1396" spans="1:14" ht="14.25" x14ac:dyDescent="0.2">
      <c r="A1396" s="3">
        <v>88386</v>
      </c>
      <c r="B1396" s="3" t="s">
        <v>1945</v>
      </c>
      <c r="C1396" s="3" t="s">
        <v>18</v>
      </c>
      <c r="D1396" s="6" t="s">
        <v>1098</v>
      </c>
      <c r="E1396" s="6" t="s">
        <v>3448</v>
      </c>
      <c r="F1396" s="3" t="str">
        <f>IFERROR( VLOOKUP(A1396,#REF!,2,0),"")</f>
        <v/>
      </c>
      <c r="G1396" s="3" t="str">
        <f t="array" ref="G1396">_xlfn.XLOOKUP(I1396,Base_Datos!D:D,Base_Datos!B:B,"")</f>
        <v>DFSK</v>
      </c>
      <c r="H1396" s="3" t="str">
        <f t="array" ref="H1396">IF(I1396="","",IFERROR(_xlfn.XLOOKUP(I1396,Base_Datos!$D$2:$D3876,Base_Datos!$C$2:$C3876),""))</f>
        <v>Serie D</v>
      </c>
      <c r="I1396" s="3" t="s">
        <v>145</v>
      </c>
      <c r="J1396" s="3" t="str">
        <f>IF(I1396="","",IFERROR(VLOOKUP(I1396,Base_Datos!$D$2:$E$72,2,0),""))</f>
        <v>(2.4L)</v>
      </c>
      <c r="K1396" s="3" t="s">
        <v>1782</v>
      </c>
      <c r="L1396" s="3"/>
      <c r="M1396" s="7">
        <v>162</v>
      </c>
      <c r="N1396" s="7">
        <v>0</v>
      </c>
    </row>
    <row r="1397" spans="1:14" ht="14.25" x14ac:dyDescent="0.2">
      <c r="A1397" s="3">
        <v>88387</v>
      </c>
      <c r="B1397" s="3" t="s">
        <v>3449</v>
      </c>
      <c r="C1397" s="3" t="s">
        <v>18</v>
      </c>
      <c r="D1397" s="6" t="s">
        <v>1105</v>
      </c>
      <c r="E1397" s="6" t="s">
        <v>1105</v>
      </c>
      <c r="F1397" s="3" t="str">
        <f>IFERROR( VLOOKUP(A1397,#REF!,2,0),"")</f>
        <v/>
      </c>
      <c r="G1397" s="3" t="str">
        <f t="array" ref="G1397">_xlfn.XLOOKUP(I1397,Base_Datos!D:D,Base_Datos!B:B,"")</f>
        <v>DFSK</v>
      </c>
      <c r="H1397" s="3" t="str">
        <f t="array" ref="H1397">IF(I1397="","",IFERROR(_xlfn.XLOOKUP(I1397,Base_Datos!$D$2:$D3876,Base_Datos!$C$2:$C3876),""))</f>
        <v>Serie D</v>
      </c>
      <c r="I1397" s="3" t="s">
        <v>145</v>
      </c>
      <c r="J1397" s="3" t="str">
        <f>IF(I1397="","",IFERROR(VLOOKUP(I1397,Base_Datos!$D$2:$E$72,2,0),""))</f>
        <v>(2.4L)</v>
      </c>
      <c r="K1397" s="3" t="s">
        <v>1782</v>
      </c>
      <c r="L1397" s="3"/>
      <c r="M1397" s="7">
        <v>20</v>
      </c>
      <c r="N1397" s="7">
        <v>0</v>
      </c>
    </row>
    <row r="1398" spans="1:14" ht="14.25" x14ac:dyDescent="0.2">
      <c r="A1398" s="3">
        <v>88388</v>
      </c>
      <c r="B1398" s="3" t="s">
        <v>3450</v>
      </c>
      <c r="C1398" s="3" t="s">
        <v>18</v>
      </c>
      <c r="D1398" s="6" t="s">
        <v>1102</v>
      </c>
      <c r="E1398" s="6" t="s">
        <v>1102</v>
      </c>
      <c r="F1398" s="3" t="str">
        <f>IFERROR( VLOOKUP(A1398,#REF!,2,0),"")</f>
        <v/>
      </c>
      <c r="G1398" s="3" t="str">
        <f t="array" ref="G1398">_xlfn.XLOOKUP(I1398,Base_Datos!D:D,Base_Datos!B:B,"")</f>
        <v>DFSK</v>
      </c>
      <c r="H1398" s="3" t="str">
        <f t="array" ref="H1398">IF(I1398="","",IFERROR(_xlfn.XLOOKUP(I1398,Base_Datos!$D$2:$D3876,Base_Datos!$C$2:$C3876),""))</f>
        <v>Serie D</v>
      </c>
      <c r="I1398" s="3" t="s">
        <v>145</v>
      </c>
      <c r="J1398" s="3" t="str">
        <f>IF(I1398="","",IFERROR(VLOOKUP(I1398,Base_Datos!$D$2:$E$72,2,0),""))</f>
        <v>(2.4L)</v>
      </c>
      <c r="K1398" s="3" t="s">
        <v>1782</v>
      </c>
      <c r="L1398" s="3"/>
      <c r="M1398" s="7">
        <v>5</v>
      </c>
      <c r="N1398" s="7">
        <v>0</v>
      </c>
    </row>
    <row r="1399" spans="1:14" ht="14.25" x14ac:dyDescent="0.2">
      <c r="A1399" s="3">
        <v>88389</v>
      </c>
      <c r="B1399" s="3" t="s">
        <v>3451</v>
      </c>
      <c r="C1399" s="3" t="s">
        <v>18</v>
      </c>
      <c r="D1399" s="6" t="s">
        <v>1115</v>
      </c>
      <c r="E1399" s="6" t="s">
        <v>1115</v>
      </c>
      <c r="F1399" s="3" t="str">
        <f>IFERROR( VLOOKUP(A1399,#REF!,2,0),"")</f>
        <v/>
      </c>
      <c r="G1399" s="3" t="str">
        <f t="array" ref="G1399">_xlfn.XLOOKUP(I1399,Base_Datos!D:D,Base_Datos!B:B,"")</f>
        <v>DFSK</v>
      </c>
      <c r="H1399" s="3" t="str">
        <f t="array" ref="H1399">IF(I1399="","",IFERROR(_xlfn.XLOOKUP(I1399,Base_Datos!$D$2:$D3876,Base_Datos!$C$2:$C3876),""))</f>
        <v>Serie D</v>
      </c>
      <c r="I1399" s="3" t="s">
        <v>145</v>
      </c>
      <c r="J1399" s="3" t="str">
        <f>IF(I1399="","",IFERROR(VLOOKUP(I1399,Base_Datos!$D$2:$E$72,2,0),""))</f>
        <v>(2.4L)</v>
      </c>
      <c r="K1399" s="3" t="s">
        <v>1782</v>
      </c>
      <c r="L1399" s="3"/>
      <c r="M1399" s="7">
        <v>6</v>
      </c>
      <c r="N1399" s="7">
        <v>0</v>
      </c>
    </row>
    <row r="1400" spans="1:14" ht="14.25" x14ac:dyDescent="0.2">
      <c r="A1400" s="3">
        <v>88390</v>
      </c>
      <c r="B1400" s="3" t="s">
        <v>1822</v>
      </c>
      <c r="C1400" s="3" t="s">
        <v>18</v>
      </c>
      <c r="D1400" s="6" t="s">
        <v>1106</v>
      </c>
      <c r="E1400" s="6" t="s">
        <v>1106</v>
      </c>
      <c r="F1400" s="3" t="str">
        <f>IFERROR( VLOOKUP(A1400,#REF!,2,0),"")</f>
        <v/>
      </c>
      <c r="G1400" s="3" t="str">
        <f t="array" ref="G1400">_xlfn.XLOOKUP(I1400,Base_Datos!D:D,Base_Datos!B:B,"")</f>
        <v>DFSK</v>
      </c>
      <c r="H1400" s="3" t="str">
        <f t="array" ref="H1400">IF(I1400="","",IFERROR(_xlfn.XLOOKUP(I1400,Base_Datos!$D$2:$D3876,Base_Datos!$C$2:$C3876),""))</f>
        <v>Serie D</v>
      </c>
      <c r="I1400" s="3" t="s">
        <v>145</v>
      </c>
      <c r="J1400" s="3" t="str">
        <f>IF(I1400="","",IFERROR(VLOOKUP(I1400,Base_Datos!$D$2:$E$72,2,0),""))</f>
        <v>(2.4L)</v>
      </c>
      <c r="K1400" s="3" t="s">
        <v>1782</v>
      </c>
      <c r="L1400" s="3"/>
      <c r="M1400" s="7">
        <v>12</v>
      </c>
      <c r="N1400" s="7">
        <v>0</v>
      </c>
    </row>
    <row r="1401" spans="1:14" ht="14.25" x14ac:dyDescent="0.2">
      <c r="A1401" s="3">
        <v>88391</v>
      </c>
      <c r="B1401" s="3" t="s">
        <v>3452</v>
      </c>
      <c r="C1401" s="3" t="s">
        <v>18</v>
      </c>
      <c r="D1401" s="6" t="s">
        <v>1087</v>
      </c>
      <c r="E1401" s="6" t="s">
        <v>1087</v>
      </c>
      <c r="F1401" s="3" t="str">
        <f>IFERROR( VLOOKUP(A1401,#REF!,2,0),"")</f>
        <v/>
      </c>
      <c r="G1401" s="3" t="str">
        <f t="array" ref="G1401">_xlfn.XLOOKUP(I1401,Base_Datos!D:D,Base_Datos!B:B,"")</f>
        <v>DFSK</v>
      </c>
      <c r="H1401" s="3" t="str">
        <f t="array" ref="H1401">IF(I1401="","",IFERROR(_xlfn.XLOOKUP(I1401,Base_Datos!$D$2:$D3876,Base_Datos!$C$2:$C3876),""))</f>
        <v>Serie D</v>
      </c>
      <c r="I1401" s="3" t="s">
        <v>145</v>
      </c>
      <c r="J1401" s="3" t="str">
        <f>IF(I1401="","",IFERROR(VLOOKUP(I1401,Base_Datos!$D$2:$E$72,2,0),""))</f>
        <v>(2.4L)</v>
      </c>
      <c r="K1401" s="3" t="s">
        <v>1782</v>
      </c>
      <c r="L1401" s="3"/>
      <c r="M1401" s="7">
        <v>10</v>
      </c>
      <c r="N1401" s="7">
        <v>0</v>
      </c>
    </row>
    <row r="1402" spans="1:14" ht="14.25" x14ac:dyDescent="0.2">
      <c r="A1402" s="3">
        <v>88392</v>
      </c>
      <c r="B1402" s="3" t="s">
        <v>3453</v>
      </c>
      <c r="C1402" s="3" t="s">
        <v>18</v>
      </c>
      <c r="D1402" s="6" t="s">
        <v>1080</v>
      </c>
      <c r="E1402" s="6" t="s">
        <v>724</v>
      </c>
      <c r="F1402" s="3" t="str">
        <f>IFERROR( VLOOKUP(A1402,#REF!,2,0),"")</f>
        <v/>
      </c>
      <c r="G1402" s="3" t="str">
        <f t="array" ref="G1402">_xlfn.XLOOKUP(I1402,Base_Datos!D:D,Base_Datos!B:B,"")</f>
        <v>DFSK</v>
      </c>
      <c r="H1402" s="3" t="str">
        <f t="array" ref="H1402">IF(I1402="","",IFERROR(_xlfn.XLOOKUP(I1402,Base_Datos!$D$2:$D3876,Base_Datos!$C$2:$C3876),""))</f>
        <v>Serie D</v>
      </c>
      <c r="I1402" s="3" t="s">
        <v>145</v>
      </c>
      <c r="J1402" s="3" t="str">
        <f>IF(I1402="","",IFERROR(VLOOKUP(I1402,Base_Datos!$D$2:$E$72,2,0),""))</f>
        <v>(2.4L)</v>
      </c>
      <c r="K1402" s="3" t="s">
        <v>1782</v>
      </c>
      <c r="L1402" s="3"/>
      <c r="M1402" s="7">
        <v>19</v>
      </c>
      <c r="N1402" s="7">
        <v>0</v>
      </c>
    </row>
    <row r="1403" spans="1:14" ht="14.25" x14ac:dyDescent="0.2">
      <c r="A1403" s="3">
        <v>88393</v>
      </c>
      <c r="B1403" s="3" t="s">
        <v>3454</v>
      </c>
      <c r="C1403" s="3" t="s">
        <v>18</v>
      </c>
      <c r="D1403" s="6" t="s">
        <v>1043</v>
      </c>
      <c r="E1403" s="6" t="s">
        <v>1043</v>
      </c>
      <c r="F1403" s="3" t="str">
        <f>IFERROR( VLOOKUP(A1403,#REF!,2,0),"")</f>
        <v/>
      </c>
      <c r="G1403" s="3" t="str">
        <f t="array" ref="G1403">_xlfn.XLOOKUP(I1403,Base_Datos!D:D,Base_Datos!B:B,"")</f>
        <v>DFSK</v>
      </c>
      <c r="H1403" s="3" t="str">
        <f t="array" ref="H1403">IF(I1403="","",IFERROR(_xlfn.XLOOKUP(I1403,Base_Datos!$D$2:$D3876,Base_Datos!$C$2:$C3876),""))</f>
        <v>Serie D</v>
      </c>
      <c r="I1403" s="3" t="s">
        <v>145</v>
      </c>
      <c r="J1403" s="3" t="str">
        <f>IF(I1403="","",IFERROR(VLOOKUP(I1403,Base_Datos!$D$2:$E$72,2,0),""))</f>
        <v>(2.4L)</v>
      </c>
      <c r="K1403" s="3" t="s">
        <v>1782</v>
      </c>
      <c r="L1403" s="3"/>
      <c r="M1403" s="7">
        <v>40</v>
      </c>
      <c r="N1403" s="7">
        <v>0</v>
      </c>
    </row>
    <row r="1404" spans="1:14" ht="14.25" x14ac:dyDescent="0.2">
      <c r="A1404" s="3">
        <v>88394</v>
      </c>
      <c r="B1404" s="3" t="s">
        <v>2661</v>
      </c>
      <c r="C1404" s="3" t="s">
        <v>18</v>
      </c>
      <c r="D1404" s="6" t="s">
        <v>1174</v>
      </c>
      <c r="E1404" s="6" t="s">
        <v>1174</v>
      </c>
      <c r="F1404" s="3" t="str">
        <f>IFERROR( VLOOKUP(A1404,#REF!,2,0),"")</f>
        <v/>
      </c>
      <c r="G1404" s="3" t="str">
        <f t="array" ref="G1404">_xlfn.XLOOKUP(I1404,Base_Datos!D:D,Base_Datos!B:B,"")</f>
        <v>DFSK</v>
      </c>
      <c r="H1404" s="3" t="str">
        <f t="array" ref="H1404">IF(I1404="","",IFERROR(_xlfn.XLOOKUP(I1404,Base_Datos!$D$2:$D3876,Base_Datos!$C$2:$C3876),""))</f>
        <v>Serie D</v>
      </c>
      <c r="I1404" s="3" t="s">
        <v>145</v>
      </c>
      <c r="J1404" s="3" t="str">
        <f>IF(I1404="","",IFERROR(VLOOKUP(I1404,Base_Datos!$D$2:$E$72,2,0),""))</f>
        <v>(2.4L)</v>
      </c>
      <c r="K1404" s="3" t="s">
        <v>1782</v>
      </c>
      <c r="L1404" s="3"/>
      <c r="M1404" s="7">
        <v>100</v>
      </c>
      <c r="N1404" s="7">
        <v>0</v>
      </c>
    </row>
    <row r="1405" spans="1:14" ht="14.25" x14ac:dyDescent="0.2">
      <c r="A1405" s="3">
        <v>88395</v>
      </c>
      <c r="B1405" s="3" t="s">
        <v>3455</v>
      </c>
      <c r="C1405" s="3" t="s">
        <v>18</v>
      </c>
      <c r="D1405" s="6" t="s">
        <v>1068</v>
      </c>
      <c r="E1405" s="6" t="s">
        <v>1068</v>
      </c>
      <c r="F1405" s="3" t="str">
        <f>IFERROR( VLOOKUP(A1405,#REF!,2,0),"")</f>
        <v/>
      </c>
      <c r="G1405" s="3" t="str">
        <f t="array" ref="G1405">_xlfn.XLOOKUP(I1405,Base_Datos!D:D,Base_Datos!B:B,"")</f>
        <v>DFSK</v>
      </c>
      <c r="H1405" s="3" t="str">
        <f t="array" ref="H1405">IF(I1405="","",IFERROR(_xlfn.XLOOKUP(I1405,Base_Datos!$D$2:$D3876,Base_Datos!$C$2:$C3876),""))</f>
        <v>Serie D</v>
      </c>
      <c r="I1405" s="3" t="s">
        <v>145</v>
      </c>
      <c r="J1405" s="3" t="str">
        <f>IF(I1405="","",IFERROR(VLOOKUP(I1405,Base_Datos!$D$2:$E$72,2,0),""))</f>
        <v>(2.4L)</v>
      </c>
      <c r="K1405" s="3" t="s">
        <v>1782</v>
      </c>
      <c r="L1405" s="3"/>
      <c r="M1405" s="7">
        <v>40</v>
      </c>
      <c r="N1405" s="7">
        <v>0</v>
      </c>
    </row>
    <row r="1406" spans="1:14" ht="14.25" x14ac:dyDescent="0.2">
      <c r="A1406" s="3">
        <v>88396</v>
      </c>
      <c r="B1406" s="3" t="s">
        <v>2707</v>
      </c>
      <c r="C1406" s="3" t="s">
        <v>18</v>
      </c>
      <c r="D1406" s="6" t="s">
        <v>1171</v>
      </c>
      <c r="E1406" s="6" t="s">
        <v>1171</v>
      </c>
      <c r="F1406" s="3" t="str">
        <f>IFERROR( VLOOKUP(A1406,#REF!,2,0),"")</f>
        <v/>
      </c>
      <c r="G1406" s="3" t="str">
        <f t="array" ref="G1406">_xlfn.XLOOKUP(I1406,Base_Datos!D:D,Base_Datos!B:B,"")</f>
        <v>DFSK</v>
      </c>
      <c r="H1406" s="3" t="str">
        <f t="array" ref="H1406">IF(I1406="","",IFERROR(_xlfn.XLOOKUP(I1406,Base_Datos!$D$2:$D3876,Base_Datos!$C$2:$C3876),""))</f>
        <v>Serie D</v>
      </c>
      <c r="I1406" s="3" t="s">
        <v>145</v>
      </c>
      <c r="J1406" s="3" t="str">
        <f>IF(I1406="","",IFERROR(VLOOKUP(I1406,Base_Datos!$D$2:$E$72,2,0),""))</f>
        <v>(2.4L)</v>
      </c>
      <c r="K1406" s="3" t="s">
        <v>1782</v>
      </c>
      <c r="L1406" s="3"/>
      <c r="M1406" s="7">
        <v>40</v>
      </c>
      <c r="N1406" s="7">
        <v>0</v>
      </c>
    </row>
    <row r="1407" spans="1:14" ht="14.25" x14ac:dyDescent="0.2">
      <c r="A1407" s="3">
        <v>88397</v>
      </c>
      <c r="B1407" s="3" t="s">
        <v>3456</v>
      </c>
      <c r="C1407" s="3" t="s">
        <v>18</v>
      </c>
      <c r="D1407" s="6" t="s">
        <v>1108</v>
      </c>
      <c r="E1407" s="6" t="s">
        <v>1108</v>
      </c>
      <c r="F1407" s="3" t="str">
        <f>IFERROR( VLOOKUP(A1407,#REF!,2,0),"")</f>
        <v/>
      </c>
      <c r="G1407" s="3" t="str">
        <f t="array" ref="G1407">_xlfn.XLOOKUP(I1407,Base_Datos!D:D,Base_Datos!B:B,"")</f>
        <v>DFSK</v>
      </c>
      <c r="H1407" s="3" t="str">
        <f t="array" ref="H1407">IF(I1407="","",IFERROR(_xlfn.XLOOKUP(I1407,Base_Datos!$D$2:$D3876,Base_Datos!$C$2:$C3876),""))</f>
        <v>Serie D</v>
      </c>
      <c r="I1407" s="3" t="s">
        <v>145</v>
      </c>
      <c r="J1407" s="3" t="str">
        <f>IF(I1407="","",IFERROR(VLOOKUP(I1407,Base_Datos!$D$2:$E$72,2,0),""))</f>
        <v>(2.4L)</v>
      </c>
      <c r="K1407" s="3" t="s">
        <v>1782</v>
      </c>
      <c r="L1407" s="3"/>
      <c r="M1407" s="7">
        <v>20</v>
      </c>
      <c r="N1407" s="7">
        <v>0</v>
      </c>
    </row>
    <row r="1408" spans="1:14" ht="14.25" x14ac:dyDescent="0.2">
      <c r="A1408" s="3">
        <v>88398</v>
      </c>
      <c r="B1408" s="3" t="s">
        <v>3457</v>
      </c>
      <c r="C1408" s="3" t="s">
        <v>18</v>
      </c>
      <c r="D1408" s="6" t="s">
        <v>1041</v>
      </c>
      <c r="E1408" s="6" t="s">
        <v>1041</v>
      </c>
      <c r="F1408" s="3" t="str">
        <f>IFERROR( VLOOKUP(A1408,#REF!,2,0),"")</f>
        <v/>
      </c>
      <c r="G1408" s="3" t="str">
        <f t="array" ref="G1408">_xlfn.XLOOKUP(I1408,Base_Datos!D:D,Base_Datos!B:B,"")</f>
        <v>DFSK</v>
      </c>
      <c r="H1408" s="3" t="str">
        <f t="array" ref="H1408">IF(I1408="","",IFERROR(_xlfn.XLOOKUP(I1408,Base_Datos!$D$2:$D3876,Base_Datos!$C$2:$C3876),""))</f>
        <v>Serie D</v>
      </c>
      <c r="I1408" s="3" t="s">
        <v>145</v>
      </c>
      <c r="J1408" s="3" t="str">
        <f>IF(I1408="","",IFERROR(VLOOKUP(I1408,Base_Datos!$D$2:$E$72,2,0),""))</f>
        <v>(2.4L)</v>
      </c>
      <c r="K1408" s="3" t="s">
        <v>1782</v>
      </c>
      <c r="L1408" s="3"/>
      <c r="M1408" s="7">
        <v>299</v>
      </c>
      <c r="N1408" s="7">
        <v>0</v>
      </c>
    </row>
    <row r="1409" spans="1:14" ht="14.25" x14ac:dyDescent="0.2">
      <c r="A1409" s="3">
        <v>88399</v>
      </c>
      <c r="B1409" s="3" t="s">
        <v>3458</v>
      </c>
      <c r="C1409" s="3" t="s">
        <v>18</v>
      </c>
      <c r="D1409" s="6" t="s">
        <v>1062</v>
      </c>
      <c r="E1409" s="6" t="s">
        <v>1062</v>
      </c>
      <c r="F1409" s="3" t="str">
        <f>IFERROR( VLOOKUP(A1409,#REF!,2,0),"")</f>
        <v/>
      </c>
      <c r="G1409" s="3" t="str">
        <f t="array" ref="G1409">_xlfn.XLOOKUP(I1409,Base_Datos!D:D,Base_Datos!B:B,"")</f>
        <v>DFSK</v>
      </c>
      <c r="H1409" s="3" t="str">
        <f t="array" ref="H1409">IF(I1409="","",IFERROR(_xlfn.XLOOKUP(I1409,Base_Datos!$D$2:$D3876,Base_Datos!$C$2:$C3876),""))</f>
        <v>Serie D</v>
      </c>
      <c r="I1409" s="3" t="s">
        <v>145</v>
      </c>
      <c r="J1409" s="3" t="str">
        <f>IF(I1409="","",IFERROR(VLOOKUP(I1409,Base_Datos!$D$2:$E$72,2,0),""))</f>
        <v>(2.4L)</v>
      </c>
      <c r="K1409" s="3" t="s">
        <v>1782</v>
      </c>
      <c r="L1409" s="3"/>
      <c r="M1409" s="7">
        <v>100</v>
      </c>
      <c r="N1409" s="7">
        <v>0</v>
      </c>
    </row>
    <row r="1410" spans="1:14" ht="14.25" x14ac:dyDescent="0.2">
      <c r="A1410" s="3">
        <v>88400</v>
      </c>
      <c r="B1410" s="3" t="s">
        <v>3459</v>
      </c>
      <c r="C1410" s="3" t="s">
        <v>18</v>
      </c>
      <c r="D1410" s="6" t="s">
        <v>1073</v>
      </c>
      <c r="E1410" s="6" t="s">
        <v>1073</v>
      </c>
      <c r="F1410" s="3" t="str">
        <f>IFERROR( VLOOKUP(A1410,#REF!,2,0),"")</f>
        <v/>
      </c>
      <c r="G1410" s="3" t="str">
        <f t="array" ref="G1410">_xlfn.XLOOKUP(I1410,Base_Datos!D:D,Base_Datos!B:B,"")</f>
        <v>DFSK</v>
      </c>
      <c r="H1410" s="3" t="str">
        <f t="array" ref="H1410">IF(I1410="","",IFERROR(_xlfn.XLOOKUP(I1410,Base_Datos!$D$2:$D3876,Base_Datos!$C$2:$C3876),""))</f>
        <v>Serie D</v>
      </c>
      <c r="I1410" s="3" t="s">
        <v>145</v>
      </c>
      <c r="J1410" s="3" t="str">
        <f>IF(I1410="","",IFERROR(VLOOKUP(I1410,Base_Datos!$D$2:$E$72,2,0),""))</f>
        <v>(2.4L)</v>
      </c>
      <c r="K1410" s="3" t="s">
        <v>1782</v>
      </c>
      <c r="L1410" s="3"/>
      <c r="M1410" s="7">
        <v>19</v>
      </c>
      <c r="N1410" s="7">
        <v>0</v>
      </c>
    </row>
    <row r="1411" spans="1:14" ht="14.25" x14ac:dyDescent="0.2">
      <c r="A1411" s="3">
        <v>88401</v>
      </c>
      <c r="B1411" s="3" t="s">
        <v>3460</v>
      </c>
      <c r="C1411" s="3" t="s">
        <v>18</v>
      </c>
      <c r="D1411" s="6" t="s">
        <v>1072</v>
      </c>
      <c r="E1411" s="6" t="s">
        <v>1072</v>
      </c>
      <c r="F1411" s="3" t="str">
        <f>IFERROR( VLOOKUP(A1411,#REF!,2,0),"")</f>
        <v/>
      </c>
      <c r="G1411" s="3" t="str">
        <f t="array" ref="G1411">_xlfn.XLOOKUP(I1411,Base_Datos!D:D,Base_Datos!B:B,"")</f>
        <v>DFSK</v>
      </c>
      <c r="H1411" s="3" t="str">
        <f t="array" ref="H1411">IF(I1411="","",IFERROR(_xlfn.XLOOKUP(I1411,Base_Datos!$D$2:$D3876,Base_Datos!$C$2:$C3876),""))</f>
        <v>Serie D</v>
      </c>
      <c r="I1411" s="3" t="s">
        <v>145</v>
      </c>
      <c r="J1411" s="3" t="str">
        <f>IF(I1411="","",IFERROR(VLOOKUP(I1411,Base_Datos!$D$2:$E$72,2,0),""))</f>
        <v>(2.4L)</v>
      </c>
      <c r="K1411" s="3" t="s">
        <v>1782</v>
      </c>
      <c r="L1411" s="3"/>
      <c r="M1411" s="7">
        <v>19</v>
      </c>
      <c r="N1411" s="7">
        <v>0</v>
      </c>
    </row>
    <row r="1412" spans="1:14" ht="14.25" x14ac:dyDescent="0.2">
      <c r="A1412" s="3">
        <v>88402</v>
      </c>
      <c r="B1412" s="3" t="s">
        <v>3461</v>
      </c>
      <c r="C1412" s="3" t="s">
        <v>18</v>
      </c>
      <c r="D1412" s="6" t="s">
        <v>1148</v>
      </c>
      <c r="E1412" s="6" t="s">
        <v>1148</v>
      </c>
      <c r="F1412" s="3" t="str">
        <f>IFERROR( VLOOKUP(A1412,#REF!,2,0),"")</f>
        <v/>
      </c>
      <c r="G1412" s="3" t="str">
        <f t="array" ref="G1412">_xlfn.XLOOKUP(I1412,Base_Datos!D:D,Base_Datos!B:B,"")</f>
        <v>DFSK</v>
      </c>
      <c r="H1412" s="3" t="str">
        <f t="array" ref="H1412">IF(I1412="","",IFERROR(_xlfn.XLOOKUP(I1412,Base_Datos!$D$2:$D3876,Base_Datos!$C$2:$C3876),""))</f>
        <v>Serie D</v>
      </c>
      <c r="I1412" s="3" t="s">
        <v>145</v>
      </c>
      <c r="J1412" s="3" t="str">
        <f>IF(I1412="","",IFERROR(VLOOKUP(I1412,Base_Datos!$D$2:$E$72,2,0),""))</f>
        <v>(2.4L)</v>
      </c>
      <c r="K1412" s="3" t="s">
        <v>1782</v>
      </c>
      <c r="L1412" s="3"/>
      <c r="M1412" s="7">
        <v>10</v>
      </c>
      <c r="N1412" s="7">
        <v>0</v>
      </c>
    </row>
    <row r="1413" spans="1:14" ht="14.25" x14ac:dyDescent="0.2">
      <c r="A1413" s="3">
        <v>88403</v>
      </c>
      <c r="B1413" s="3" t="s">
        <v>3462</v>
      </c>
      <c r="C1413" s="3" t="s">
        <v>18</v>
      </c>
      <c r="D1413" s="6" t="s">
        <v>1057</v>
      </c>
      <c r="E1413" s="6" t="s">
        <v>1057</v>
      </c>
      <c r="F1413" s="3" t="str">
        <f>IFERROR( VLOOKUP(A1413,#REF!,2,0),"")</f>
        <v/>
      </c>
      <c r="G1413" s="3" t="str">
        <f t="array" ref="G1413">_xlfn.XLOOKUP(I1413,Base_Datos!D:D,Base_Datos!B:B,"")</f>
        <v>DFSK</v>
      </c>
      <c r="H1413" s="3" t="str">
        <f t="array" ref="H1413">IF(I1413="","",IFERROR(_xlfn.XLOOKUP(I1413,Base_Datos!$D$2:$D3876,Base_Datos!$C$2:$C3876),""))</f>
        <v>Serie D</v>
      </c>
      <c r="I1413" s="3" t="s">
        <v>145</v>
      </c>
      <c r="J1413" s="3" t="str">
        <f>IF(I1413="","",IFERROR(VLOOKUP(I1413,Base_Datos!$D$2:$E$72,2,0),""))</f>
        <v>(2.4L)</v>
      </c>
      <c r="K1413" s="3" t="s">
        <v>1782</v>
      </c>
      <c r="L1413" s="3"/>
      <c r="M1413" s="7">
        <v>20</v>
      </c>
      <c r="N1413" s="7">
        <v>0</v>
      </c>
    </row>
    <row r="1414" spans="1:14" ht="14.25" x14ac:dyDescent="0.2">
      <c r="A1414" s="3">
        <v>88404</v>
      </c>
      <c r="B1414" s="3" t="s">
        <v>3027</v>
      </c>
      <c r="C1414" s="3" t="s">
        <v>18</v>
      </c>
      <c r="D1414" s="6" t="s">
        <v>1119</v>
      </c>
      <c r="E1414" s="6" t="s">
        <v>1119</v>
      </c>
      <c r="F1414" s="3" t="str">
        <f>IFERROR( VLOOKUP(A1414,#REF!,2,0),"")</f>
        <v/>
      </c>
      <c r="G1414" s="3" t="str">
        <f t="array" ref="G1414">_xlfn.XLOOKUP(I1414,Base_Datos!D:D,Base_Datos!B:B,"")</f>
        <v>DFSK</v>
      </c>
      <c r="H1414" s="3" t="str">
        <f t="array" ref="H1414">IF(I1414="","",IFERROR(_xlfn.XLOOKUP(I1414,Base_Datos!$D$2:$D3876,Base_Datos!$C$2:$C3876),""))</f>
        <v>Serie D</v>
      </c>
      <c r="I1414" s="3" t="s">
        <v>145</v>
      </c>
      <c r="J1414" s="3" t="str">
        <f>IF(I1414="","",IFERROR(VLOOKUP(I1414,Base_Datos!$D$2:$E$72,2,0),""))</f>
        <v>(2.4L)</v>
      </c>
      <c r="K1414" s="3" t="s">
        <v>1782</v>
      </c>
      <c r="L1414" s="3"/>
      <c r="M1414" s="7">
        <v>20</v>
      </c>
      <c r="N1414" s="7">
        <v>0</v>
      </c>
    </row>
    <row r="1415" spans="1:14" ht="14.25" x14ac:dyDescent="0.2">
      <c r="A1415" s="3">
        <v>88405</v>
      </c>
      <c r="B1415" s="3" t="s">
        <v>3463</v>
      </c>
      <c r="C1415" s="3" t="s">
        <v>18</v>
      </c>
      <c r="D1415" s="6" t="s">
        <v>1058</v>
      </c>
      <c r="E1415" s="6" t="s">
        <v>1058</v>
      </c>
      <c r="F1415" s="3" t="str">
        <f>IFERROR( VLOOKUP(A1415,#REF!,2,0),"")</f>
        <v/>
      </c>
      <c r="G1415" s="3" t="str">
        <f t="array" ref="G1415">_xlfn.XLOOKUP(I1415,Base_Datos!D:D,Base_Datos!B:B,"")</f>
        <v>DFSK</v>
      </c>
      <c r="H1415" s="3" t="str">
        <f t="array" ref="H1415">IF(I1415="","",IFERROR(_xlfn.XLOOKUP(I1415,Base_Datos!$D$2:$D3876,Base_Datos!$C$2:$C3876),""))</f>
        <v>Serie D</v>
      </c>
      <c r="I1415" s="3" t="s">
        <v>145</v>
      </c>
      <c r="J1415" s="3" t="str">
        <f>IF(I1415="","",IFERROR(VLOOKUP(I1415,Base_Datos!$D$2:$E$72,2,0),""))</f>
        <v>(2.4L)</v>
      </c>
      <c r="K1415" s="3" t="s">
        <v>1782</v>
      </c>
      <c r="L1415" s="3"/>
      <c r="M1415" s="7">
        <v>20</v>
      </c>
      <c r="N1415" s="7">
        <v>0</v>
      </c>
    </row>
    <row r="1416" spans="1:14" ht="14.25" x14ac:dyDescent="0.2">
      <c r="A1416" s="3">
        <v>88406</v>
      </c>
      <c r="B1416" s="3" t="s">
        <v>3464</v>
      </c>
      <c r="C1416" s="3" t="s">
        <v>18</v>
      </c>
      <c r="D1416" s="6" t="s">
        <v>1059</v>
      </c>
      <c r="E1416" s="6" t="s">
        <v>1059</v>
      </c>
      <c r="F1416" s="3" t="str">
        <f>IFERROR( VLOOKUP(A1416,#REF!,2,0),"")</f>
        <v/>
      </c>
      <c r="G1416" s="3" t="str">
        <f t="array" ref="G1416">_xlfn.XLOOKUP(I1416,Base_Datos!D:D,Base_Datos!B:B,"")</f>
        <v>DFSK</v>
      </c>
      <c r="H1416" s="3" t="str">
        <f t="array" ref="H1416">IF(I1416="","",IFERROR(_xlfn.XLOOKUP(I1416,Base_Datos!$D$2:$D3876,Base_Datos!$C$2:$C3876),""))</f>
        <v>Serie D</v>
      </c>
      <c r="I1416" s="3" t="s">
        <v>145</v>
      </c>
      <c r="J1416" s="3" t="str">
        <f>IF(I1416="","",IFERROR(VLOOKUP(I1416,Base_Datos!$D$2:$E$72,2,0),""))</f>
        <v>(2.4L)</v>
      </c>
      <c r="K1416" s="3" t="s">
        <v>1782</v>
      </c>
      <c r="L1416" s="3"/>
      <c r="M1416" s="7">
        <v>20</v>
      </c>
      <c r="N1416" s="7">
        <v>0</v>
      </c>
    </row>
    <row r="1417" spans="1:14" ht="14.25" x14ac:dyDescent="0.2">
      <c r="A1417" s="3">
        <v>88407</v>
      </c>
      <c r="B1417" s="3" t="s">
        <v>3465</v>
      </c>
      <c r="C1417" s="3" t="s">
        <v>18</v>
      </c>
      <c r="D1417" s="6" t="s">
        <v>1049</v>
      </c>
      <c r="E1417" s="6" t="s">
        <v>1049</v>
      </c>
      <c r="F1417" s="3" t="str">
        <f>IFERROR( VLOOKUP(A1417,#REF!,2,0),"")</f>
        <v/>
      </c>
      <c r="G1417" s="3" t="str">
        <f t="array" ref="G1417">_xlfn.XLOOKUP(I1417,Base_Datos!D:D,Base_Datos!B:B,"")</f>
        <v>DFSK</v>
      </c>
      <c r="H1417" s="3" t="str">
        <f t="array" ref="H1417">IF(I1417="","",IFERROR(_xlfn.XLOOKUP(I1417,Base_Datos!$D$2:$D3876,Base_Datos!$C$2:$C3876),""))</f>
        <v>Serie D</v>
      </c>
      <c r="I1417" s="3" t="s">
        <v>145</v>
      </c>
      <c r="J1417" s="3" t="str">
        <f>IF(I1417="","",IFERROR(VLOOKUP(I1417,Base_Datos!$D$2:$E$72,2,0),""))</f>
        <v>(2.4L)</v>
      </c>
      <c r="K1417" s="3" t="s">
        <v>1782</v>
      </c>
      <c r="L1417" s="3"/>
      <c r="M1417" s="7">
        <v>20</v>
      </c>
      <c r="N1417" s="7">
        <v>0</v>
      </c>
    </row>
    <row r="1418" spans="1:14" ht="14.25" x14ac:dyDescent="0.2">
      <c r="A1418" s="3">
        <v>88408</v>
      </c>
      <c r="B1418" s="3" t="s">
        <v>3466</v>
      </c>
      <c r="C1418" s="3" t="s">
        <v>18</v>
      </c>
      <c r="D1418" s="6" t="s">
        <v>1050</v>
      </c>
      <c r="E1418" s="6" t="s">
        <v>1050</v>
      </c>
      <c r="F1418" s="3" t="str">
        <f>IFERROR( VLOOKUP(A1418,#REF!,2,0),"")</f>
        <v/>
      </c>
      <c r="G1418" s="3" t="str">
        <f t="array" ref="G1418">_xlfn.XLOOKUP(I1418,Base_Datos!D:D,Base_Datos!B:B,"")</f>
        <v>DFSK</v>
      </c>
      <c r="H1418" s="3" t="str">
        <f t="array" ref="H1418">IF(I1418="","",IFERROR(_xlfn.XLOOKUP(I1418,Base_Datos!$D$2:$D3876,Base_Datos!$C$2:$C3876),""))</f>
        <v>Serie D</v>
      </c>
      <c r="I1418" s="3" t="s">
        <v>145</v>
      </c>
      <c r="J1418" s="3" t="str">
        <f>IF(I1418="","",IFERROR(VLOOKUP(I1418,Base_Datos!$D$2:$E$72,2,0),""))</f>
        <v>(2.4L)</v>
      </c>
      <c r="K1418" s="3" t="s">
        <v>1782</v>
      </c>
      <c r="L1418" s="3"/>
      <c r="M1418" s="7">
        <v>20</v>
      </c>
      <c r="N1418" s="7">
        <v>0</v>
      </c>
    </row>
    <row r="1419" spans="1:14" ht="14.25" x14ac:dyDescent="0.2">
      <c r="A1419" s="3">
        <v>88409</v>
      </c>
      <c r="B1419" s="3" t="s">
        <v>3467</v>
      </c>
      <c r="C1419" s="3" t="s">
        <v>18</v>
      </c>
      <c r="D1419" s="6" t="s">
        <v>1065</v>
      </c>
      <c r="E1419" s="6" t="s">
        <v>1065</v>
      </c>
      <c r="F1419" s="3" t="str">
        <f>IFERROR( VLOOKUP(A1419,#REF!,2,0),"")</f>
        <v/>
      </c>
      <c r="G1419" s="3" t="str">
        <f t="array" ref="G1419">_xlfn.XLOOKUP(I1419,Base_Datos!D:D,Base_Datos!B:B,"")</f>
        <v>DFSK</v>
      </c>
      <c r="H1419" s="3" t="str">
        <f t="array" ref="H1419">IF(I1419="","",IFERROR(_xlfn.XLOOKUP(I1419,Base_Datos!$D$2:$D3876,Base_Datos!$C$2:$C3876),""))</f>
        <v>Serie D</v>
      </c>
      <c r="I1419" s="3" t="s">
        <v>145</v>
      </c>
      <c r="J1419" s="3" t="str">
        <f>IF(I1419="","",IFERROR(VLOOKUP(I1419,Base_Datos!$D$2:$E$72,2,0),""))</f>
        <v>(2.4L)</v>
      </c>
      <c r="K1419" s="3" t="s">
        <v>1782</v>
      </c>
      <c r="L1419" s="3"/>
      <c r="M1419" s="7">
        <v>128</v>
      </c>
      <c r="N1419" s="7">
        <v>0</v>
      </c>
    </row>
    <row r="1420" spans="1:14" ht="14.25" x14ac:dyDescent="0.2">
      <c r="A1420" s="3">
        <v>88410</v>
      </c>
      <c r="B1420" s="3" t="s">
        <v>3468</v>
      </c>
      <c r="C1420" s="3" t="s">
        <v>18</v>
      </c>
      <c r="D1420" s="6" t="s">
        <v>1051</v>
      </c>
      <c r="E1420" s="6" t="s">
        <v>1051</v>
      </c>
      <c r="F1420" s="3" t="str">
        <f>IFERROR( VLOOKUP(A1420,#REF!,2,0),"")</f>
        <v/>
      </c>
      <c r="G1420" s="3" t="str">
        <f t="array" ref="G1420">_xlfn.XLOOKUP(I1420,Base_Datos!D:D,Base_Datos!B:B,"")</f>
        <v>DFSK</v>
      </c>
      <c r="H1420" s="3" t="str">
        <f t="array" ref="H1420">IF(I1420="","",IFERROR(_xlfn.XLOOKUP(I1420,Base_Datos!$D$2:$D3876,Base_Datos!$C$2:$C3876),""))</f>
        <v>Serie D</v>
      </c>
      <c r="I1420" s="3" t="s">
        <v>145</v>
      </c>
      <c r="J1420" s="3" t="str">
        <f>IF(I1420="","",IFERROR(VLOOKUP(I1420,Base_Datos!$D$2:$E$72,2,0),""))</f>
        <v>(2.4L)</v>
      </c>
      <c r="K1420" s="3" t="s">
        <v>1782</v>
      </c>
      <c r="L1420" s="3"/>
      <c r="M1420" s="7">
        <v>56</v>
      </c>
      <c r="N1420" s="7">
        <v>0</v>
      </c>
    </row>
    <row r="1421" spans="1:14" ht="14.25" x14ac:dyDescent="0.2">
      <c r="A1421" s="3">
        <v>88411</v>
      </c>
      <c r="B1421" s="3" t="s">
        <v>3162</v>
      </c>
      <c r="C1421" s="3" t="s">
        <v>18</v>
      </c>
      <c r="D1421" s="6" t="s">
        <v>1078</v>
      </c>
      <c r="E1421" s="6" t="s">
        <v>1078</v>
      </c>
      <c r="F1421" s="3" t="str">
        <f>IFERROR( VLOOKUP(A1421,#REF!,2,0),"")</f>
        <v/>
      </c>
      <c r="G1421" s="3" t="str">
        <f t="array" ref="G1421">_xlfn.XLOOKUP(I1421,Base_Datos!D:D,Base_Datos!B:B,"")</f>
        <v>DFSK</v>
      </c>
      <c r="H1421" s="3" t="str">
        <f t="array" ref="H1421">IF(I1421="","",IFERROR(_xlfn.XLOOKUP(I1421,Base_Datos!$D$2:$D3876,Base_Datos!$C$2:$C3876),""))</f>
        <v>Serie D</v>
      </c>
      <c r="I1421" s="3" t="s">
        <v>145</v>
      </c>
      <c r="J1421" s="3" t="str">
        <f>IF(I1421="","",IFERROR(VLOOKUP(I1421,Base_Datos!$D$2:$E$72,2,0),""))</f>
        <v>(2.4L)</v>
      </c>
      <c r="K1421" s="3" t="s">
        <v>1782</v>
      </c>
      <c r="L1421" s="3"/>
      <c r="M1421" s="7">
        <v>50</v>
      </c>
      <c r="N1421" s="7">
        <v>0</v>
      </c>
    </row>
    <row r="1422" spans="1:14" ht="14.25" x14ac:dyDescent="0.2">
      <c r="A1422" s="3">
        <v>88412</v>
      </c>
      <c r="B1422" s="3" t="s">
        <v>3469</v>
      </c>
      <c r="C1422" s="3" t="s">
        <v>18</v>
      </c>
      <c r="D1422" s="6" t="s">
        <v>1086</v>
      </c>
      <c r="E1422" s="6" t="s">
        <v>1086</v>
      </c>
      <c r="F1422" s="3" t="str">
        <f>IFERROR( VLOOKUP(A1422,#REF!,2,0),"")</f>
        <v/>
      </c>
      <c r="G1422" s="3" t="str">
        <f t="array" ref="G1422">_xlfn.XLOOKUP(I1422,Base_Datos!D:D,Base_Datos!B:B,"")</f>
        <v>DFSK</v>
      </c>
      <c r="H1422" s="3" t="str">
        <f t="array" ref="H1422">IF(I1422="","",IFERROR(_xlfn.XLOOKUP(I1422,Base_Datos!$D$2:$D3876,Base_Datos!$C$2:$C3876),""))</f>
        <v>Serie D</v>
      </c>
      <c r="I1422" s="3" t="s">
        <v>145</v>
      </c>
      <c r="J1422" s="3" t="str">
        <f>IF(I1422="","",IFERROR(VLOOKUP(I1422,Base_Datos!$D$2:$E$72,2,0),""))</f>
        <v>(2.4L)</v>
      </c>
      <c r="K1422" s="3" t="s">
        <v>1782</v>
      </c>
      <c r="L1422" s="3"/>
      <c r="M1422" s="7">
        <v>4</v>
      </c>
      <c r="N1422" s="7">
        <v>0</v>
      </c>
    </row>
    <row r="1423" spans="1:14" ht="14.25" x14ac:dyDescent="0.2">
      <c r="A1423" s="3">
        <v>88413</v>
      </c>
      <c r="B1423" s="3" t="s">
        <v>3470</v>
      </c>
      <c r="C1423" s="3" t="s">
        <v>18</v>
      </c>
      <c r="D1423" s="6" t="s">
        <v>1089</v>
      </c>
      <c r="E1423" s="6" t="s">
        <v>1089</v>
      </c>
      <c r="F1423" s="3" t="str">
        <f>IFERROR( VLOOKUP(A1423,#REF!,2,0),"")</f>
        <v/>
      </c>
      <c r="G1423" s="3" t="str">
        <f t="array" ref="G1423">_xlfn.XLOOKUP(I1423,Base_Datos!D:D,Base_Datos!B:B,"")</f>
        <v>DFSK</v>
      </c>
      <c r="H1423" s="3" t="str">
        <f t="array" ref="H1423">IF(I1423="","",IFERROR(_xlfn.XLOOKUP(I1423,Base_Datos!$D$2:$D3876,Base_Datos!$C$2:$C3876),""))</f>
        <v>Serie D</v>
      </c>
      <c r="I1423" s="3" t="s">
        <v>145</v>
      </c>
      <c r="J1423" s="3" t="str">
        <f>IF(I1423="","",IFERROR(VLOOKUP(I1423,Base_Datos!$D$2:$E$72,2,0),""))</f>
        <v>(2.4L)</v>
      </c>
      <c r="K1423" s="3" t="s">
        <v>1782</v>
      </c>
      <c r="L1423" s="3"/>
      <c r="M1423" s="7">
        <v>85</v>
      </c>
      <c r="N1423" s="7">
        <v>0</v>
      </c>
    </row>
    <row r="1424" spans="1:14" ht="14.25" x14ac:dyDescent="0.2">
      <c r="A1424" s="3">
        <v>88414</v>
      </c>
      <c r="B1424" s="3" t="s">
        <v>3160</v>
      </c>
      <c r="C1424" s="3" t="s">
        <v>18</v>
      </c>
      <c r="D1424" s="6" t="s">
        <v>1060</v>
      </c>
      <c r="E1424" s="6" t="s">
        <v>1060</v>
      </c>
      <c r="F1424" s="3" t="str">
        <f>IFERROR( VLOOKUP(A1424,#REF!,2,0),"")</f>
        <v/>
      </c>
      <c r="G1424" s="3" t="str">
        <f t="array" ref="G1424">_xlfn.XLOOKUP(I1424,Base_Datos!D:D,Base_Datos!B:B,"")</f>
        <v>DFSK</v>
      </c>
      <c r="H1424" s="3" t="str">
        <f t="array" ref="H1424">IF(I1424="","",IFERROR(_xlfn.XLOOKUP(I1424,Base_Datos!$D$2:$D3876,Base_Datos!$C$2:$C3876),""))</f>
        <v>Serie D</v>
      </c>
      <c r="I1424" s="3" t="s">
        <v>145</v>
      </c>
      <c r="J1424" s="3" t="str">
        <f>IF(I1424="","",IFERROR(VLOOKUP(I1424,Base_Datos!$D$2:$E$72,2,0),""))</f>
        <v>(2.4L)</v>
      </c>
      <c r="K1424" s="3" t="s">
        <v>1782</v>
      </c>
      <c r="L1424" s="3"/>
      <c r="M1424" s="7">
        <v>299</v>
      </c>
      <c r="N1424" s="7">
        <v>0</v>
      </c>
    </row>
    <row r="1425" spans="1:14" ht="14.25" x14ac:dyDescent="0.2">
      <c r="A1425" s="3">
        <v>88415</v>
      </c>
      <c r="B1425" s="3" t="s">
        <v>3471</v>
      </c>
      <c r="C1425" s="3" t="s">
        <v>18</v>
      </c>
      <c r="D1425" s="6" t="s">
        <v>1170</v>
      </c>
      <c r="E1425" s="6" t="s">
        <v>1170</v>
      </c>
      <c r="F1425" s="3" t="str">
        <f>IFERROR( VLOOKUP(A1425,#REF!,2,0),"")</f>
        <v/>
      </c>
      <c r="G1425" s="3" t="str">
        <f t="array" ref="G1425">_xlfn.XLOOKUP(I1425,Base_Datos!D:D,Base_Datos!B:B,"")</f>
        <v>DFSK</v>
      </c>
      <c r="H1425" s="3" t="str">
        <f t="array" ref="H1425">IF(I1425="","",IFERROR(_xlfn.XLOOKUP(I1425,Base_Datos!$D$2:$D3876,Base_Datos!$C$2:$C3876),""))</f>
        <v>Serie D</v>
      </c>
      <c r="I1425" s="3" t="s">
        <v>145</v>
      </c>
      <c r="J1425" s="3" t="str">
        <f>IF(I1425="","",IFERROR(VLOOKUP(I1425,Base_Datos!$D$2:$E$72,2,0),""))</f>
        <v>(2.4L)</v>
      </c>
      <c r="K1425" s="3" t="s">
        <v>1782</v>
      </c>
      <c r="L1425" s="3"/>
      <c r="M1425" s="7">
        <v>40</v>
      </c>
      <c r="N1425" s="7">
        <v>0</v>
      </c>
    </row>
    <row r="1426" spans="1:14" ht="14.25" x14ac:dyDescent="0.2">
      <c r="A1426" s="3">
        <v>88416</v>
      </c>
      <c r="B1426" s="3" t="s">
        <v>3189</v>
      </c>
      <c r="C1426" s="3" t="s">
        <v>18</v>
      </c>
      <c r="D1426" s="6" t="s">
        <v>1082</v>
      </c>
      <c r="E1426" s="6" t="s">
        <v>1082</v>
      </c>
      <c r="F1426" s="3" t="str">
        <f>IFERROR( VLOOKUP(A1426,#REF!,2,0),"")</f>
        <v/>
      </c>
      <c r="G1426" s="3" t="str">
        <f t="array" ref="G1426">_xlfn.XLOOKUP(I1426,Base_Datos!D:D,Base_Datos!B:B,"")</f>
        <v>DFSK</v>
      </c>
      <c r="H1426" s="3" t="str">
        <f t="array" ref="H1426">IF(I1426="","",IFERROR(_xlfn.XLOOKUP(I1426,Base_Datos!$D$2:$D3876,Base_Datos!$C$2:$C3876),""))</f>
        <v>Serie D</v>
      </c>
      <c r="I1426" s="3" t="s">
        <v>145</v>
      </c>
      <c r="J1426" s="3" t="str">
        <f>IF(I1426="","",IFERROR(VLOOKUP(I1426,Base_Datos!$D$2:$E$72,2,0),""))</f>
        <v>(2.4L)</v>
      </c>
      <c r="K1426" s="3" t="s">
        <v>1782</v>
      </c>
      <c r="L1426" s="3"/>
      <c r="M1426" s="7">
        <v>40</v>
      </c>
      <c r="N1426" s="7">
        <v>0</v>
      </c>
    </row>
    <row r="1427" spans="1:14" ht="14.25" x14ac:dyDescent="0.2">
      <c r="A1427" s="3">
        <v>88417</v>
      </c>
      <c r="B1427" s="3" t="s">
        <v>3472</v>
      </c>
      <c r="C1427" s="3" t="s">
        <v>18</v>
      </c>
      <c r="D1427" s="6" t="s">
        <v>1042</v>
      </c>
      <c r="E1427" s="6" t="s">
        <v>1042</v>
      </c>
      <c r="F1427" s="3" t="str">
        <f>IFERROR( VLOOKUP(A1427,#REF!,2,0),"")</f>
        <v/>
      </c>
      <c r="G1427" s="3" t="str">
        <f t="array" ref="G1427">_xlfn.XLOOKUP(I1427,Base_Datos!D:D,Base_Datos!B:B,"")</f>
        <v>DFSK</v>
      </c>
      <c r="H1427" s="3" t="str">
        <f t="array" ref="H1427">IF(I1427="","",IFERROR(_xlfn.XLOOKUP(I1427,Base_Datos!$D$2:$D3876,Base_Datos!$C$2:$C3876),""))</f>
        <v>Serie D</v>
      </c>
      <c r="I1427" s="3" t="s">
        <v>145</v>
      </c>
      <c r="J1427" s="3" t="str">
        <f>IF(I1427="","",IFERROR(VLOOKUP(I1427,Base_Datos!$D$2:$E$72,2,0),""))</f>
        <v>(2.4L)</v>
      </c>
      <c r="K1427" s="3" t="s">
        <v>1782</v>
      </c>
      <c r="L1427" s="3"/>
      <c r="M1427" s="7">
        <v>25</v>
      </c>
      <c r="N1427" s="7">
        <v>0</v>
      </c>
    </row>
    <row r="1428" spans="1:14" ht="14.25" x14ac:dyDescent="0.2">
      <c r="A1428" s="3">
        <v>88418</v>
      </c>
      <c r="B1428" s="3" t="s">
        <v>3473</v>
      </c>
      <c r="C1428" s="3" t="s">
        <v>18</v>
      </c>
      <c r="D1428" s="6" t="s">
        <v>932</v>
      </c>
      <c r="E1428" s="6" t="s">
        <v>3474</v>
      </c>
      <c r="F1428" s="3" t="str">
        <f>IFERROR( VLOOKUP(A1428,#REF!,2,0),"")</f>
        <v/>
      </c>
      <c r="G1428" s="3" t="str">
        <f t="array" ref="G1428">_xlfn.XLOOKUP(I1428,Base_Datos!D:D,Base_Datos!B:B,"")</f>
        <v>DFSK</v>
      </c>
      <c r="H1428" s="3" t="str">
        <f t="array" ref="H1428">IF(I1428="","",IFERROR(_xlfn.XLOOKUP(I1428,Base_Datos!$D$2:$D3876,Base_Datos!$C$2:$C3876),""))</f>
        <v>Serie D</v>
      </c>
      <c r="I1428" s="3" t="s">
        <v>145</v>
      </c>
      <c r="J1428" s="3" t="str">
        <f>IF(I1428="","",IFERROR(VLOOKUP(I1428,Base_Datos!$D$2:$E$72,2,0),""))</f>
        <v>(2.4L)</v>
      </c>
      <c r="K1428" s="3" t="s">
        <v>3475</v>
      </c>
      <c r="L1428" s="3"/>
      <c r="M1428" s="7">
        <v>468</v>
      </c>
      <c r="N1428" s="7">
        <v>0</v>
      </c>
    </row>
    <row r="1429" spans="1:14" ht="14.25" x14ac:dyDescent="0.2">
      <c r="A1429" s="3">
        <v>88419</v>
      </c>
      <c r="B1429" s="3" t="s">
        <v>3476</v>
      </c>
      <c r="C1429" s="3" t="s">
        <v>18</v>
      </c>
      <c r="D1429" s="6" t="s">
        <v>1052</v>
      </c>
      <c r="E1429" s="6" t="s">
        <v>1052</v>
      </c>
      <c r="F1429" s="3" t="str">
        <f>IFERROR( VLOOKUP(A1429,#REF!,2,0),"")</f>
        <v/>
      </c>
      <c r="G1429" s="3" t="str">
        <f t="array" ref="G1429">_xlfn.XLOOKUP(I1429,Base_Datos!D:D,Base_Datos!B:B,"")</f>
        <v>DFSK</v>
      </c>
      <c r="H1429" s="3" t="str">
        <f t="array" ref="H1429">IF(I1429="","",IFERROR(_xlfn.XLOOKUP(I1429,Base_Datos!$D$2:$D3876,Base_Datos!$C$2:$C3876),""))</f>
        <v>Serie D</v>
      </c>
      <c r="I1429" s="3" t="s">
        <v>145</v>
      </c>
      <c r="J1429" s="3" t="str">
        <f>IF(I1429="","",IFERROR(VLOOKUP(I1429,Base_Datos!$D$2:$E$72,2,0),""))</f>
        <v>(2.4L)</v>
      </c>
      <c r="K1429" s="3" t="s">
        <v>1782</v>
      </c>
      <c r="L1429" s="3"/>
      <c r="M1429" s="7">
        <v>10</v>
      </c>
      <c r="N1429" s="7">
        <v>0</v>
      </c>
    </row>
    <row r="1430" spans="1:14" ht="14.25" x14ac:dyDescent="0.2">
      <c r="A1430" s="3">
        <v>88420</v>
      </c>
      <c r="B1430" s="3" t="s">
        <v>3477</v>
      </c>
      <c r="C1430" s="3" t="s">
        <v>18</v>
      </c>
      <c r="D1430" s="6" t="s">
        <v>1053</v>
      </c>
      <c r="E1430" s="6" t="s">
        <v>1053</v>
      </c>
      <c r="F1430" s="3" t="str">
        <f>IFERROR( VLOOKUP(A1430,#REF!,2,0),"")</f>
        <v/>
      </c>
      <c r="G1430" s="3" t="str">
        <f t="array" ref="G1430">_xlfn.XLOOKUP(I1430,Base_Datos!D:D,Base_Datos!B:B,"")</f>
        <v>DFSK</v>
      </c>
      <c r="H1430" s="3" t="str">
        <f t="array" ref="H1430">IF(I1430="","",IFERROR(_xlfn.XLOOKUP(I1430,Base_Datos!$D$2:$D3876,Base_Datos!$C$2:$C3876),""))</f>
        <v>Serie D</v>
      </c>
      <c r="I1430" s="3" t="s">
        <v>145</v>
      </c>
      <c r="J1430" s="3" t="str">
        <f>IF(I1430="","",IFERROR(VLOOKUP(I1430,Base_Datos!$D$2:$E$72,2,0),""))</f>
        <v>(2.4L)</v>
      </c>
      <c r="K1430" s="3" t="s">
        <v>1782</v>
      </c>
      <c r="L1430" s="3"/>
      <c r="M1430" s="7">
        <v>10</v>
      </c>
      <c r="N1430" s="7">
        <v>0</v>
      </c>
    </row>
    <row r="1431" spans="1:14" ht="14.25" x14ac:dyDescent="0.2">
      <c r="A1431" s="3">
        <v>88421</v>
      </c>
      <c r="B1431" s="3" t="s">
        <v>3478</v>
      </c>
      <c r="C1431" s="3" t="s">
        <v>18</v>
      </c>
      <c r="D1431" s="6" t="s">
        <v>1092</v>
      </c>
      <c r="E1431" s="6" t="s">
        <v>1092</v>
      </c>
      <c r="F1431" s="3" t="str">
        <f>IFERROR( VLOOKUP(A1431,#REF!,2,0),"")</f>
        <v/>
      </c>
      <c r="G1431" s="3" t="str">
        <f t="array" ref="G1431">_xlfn.XLOOKUP(I1431,Base_Datos!D:D,Base_Datos!B:B,"")</f>
        <v>DFSK</v>
      </c>
      <c r="H1431" s="3" t="str">
        <f t="array" ref="H1431">IF(I1431="","",IFERROR(_xlfn.XLOOKUP(I1431,Base_Datos!$D$2:$D3876,Base_Datos!$C$2:$C3876),""))</f>
        <v>Serie D</v>
      </c>
      <c r="I1431" s="3" t="s">
        <v>145</v>
      </c>
      <c r="J1431" s="3" t="str">
        <f>IF(I1431="","",IFERROR(VLOOKUP(I1431,Base_Datos!$D$2:$E$72,2,0),""))</f>
        <v>(2.4L)</v>
      </c>
      <c r="K1431" s="3" t="s">
        <v>1782</v>
      </c>
      <c r="L1431" s="3"/>
      <c r="M1431" s="7">
        <v>280</v>
      </c>
      <c r="N1431" s="7">
        <v>0</v>
      </c>
    </row>
    <row r="1432" spans="1:14" ht="14.25" x14ac:dyDescent="0.2">
      <c r="A1432" s="3">
        <v>88422</v>
      </c>
      <c r="B1432" s="3" t="s">
        <v>3479</v>
      </c>
      <c r="C1432" s="3" t="s">
        <v>18</v>
      </c>
      <c r="D1432" s="6" t="s">
        <v>1044</v>
      </c>
      <c r="E1432" s="6" t="s">
        <v>1044</v>
      </c>
      <c r="F1432" s="3" t="str">
        <f>IFERROR( VLOOKUP(A1432,#REF!,2,0),"")</f>
        <v/>
      </c>
      <c r="G1432" s="3" t="str">
        <f t="array" ref="G1432">_xlfn.XLOOKUP(I1432,Base_Datos!D:D,Base_Datos!B:B,"")</f>
        <v>DFSK</v>
      </c>
      <c r="H1432" s="3" t="str">
        <f t="array" ref="H1432">IF(I1432="","",IFERROR(_xlfn.XLOOKUP(I1432,Base_Datos!$D$2:$D3876,Base_Datos!$C$2:$C3876),""))</f>
        <v>Serie D</v>
      </c>
      <c r="I1432" s="3" t="s">
        <v>145</v>
      </c>
      <c r="J1432" s="3" t="str">
        <f>IF(I1432="","",IFERROR(VLOOKUP(I1432,Base_Datos!$D$2:$E$72,2,0),""))</f>
        <v>(2.4L)</v>
      </c>
      <c r="K1432" s="3" t="s">
        <v>1782</v>
      </c>
      <c r="L1432" s="3"/>
      <c r="M1432" s="7">
        <v>39</v>
      </c>
      <c r="N1432" s="7">
        <v>0</v>
      </c>
    </row>
    <row r="1433" spans="1:14" ht="14.25" x14ac:dyDescent="0.2">
      <c r="A1433" s="3">
        <v>88423</v>
      </c>
      <c r="B1433" s="3" t="s">
        <v>3480</v>
      </c>
      <c r="C1433" s="3" t="s">
        <v>18</v>
      </c>
      <c r="D1433" s="6" t="s">
        <v>1070</v>
      </c>
      <c r="E1433" s="6" t="s">
        <v>1070</v>
      </c>
      <c r="F1433" s="3" t="str">
        <f>IFERROR( VLOOKUP(A1433,#REF!,2,0),"")</f>
        <v/>
      </c>
      <c r="G1433" s="3" t="str">
        <f t="array" ref="G1433">_xlfn.XLOOKUP(I1433,Base_Datos!D:D,Base_Datos!B:B,"")</f>
        <v>DFSK</v>
      </c>
      <c r="H1433" s="3" t="str">
        <f t="array" ref="H1433">IF(I1433="","",IFERROR(_xlfn.XLOOKUP(I1433,Base_Datos!$D$2:$D3876,Base_Datos!$C$2:$C3876),""))</f>
        <v>Serie D</v>
      </c>
      <c r="I1433" s="3" t="s">
        <v>145</v>
      </c>
      <c r="J1433" s="3" t="str">
        <f>IF(I1433="","",IFERROR(VLOOKUP(I1433,Base_Datos!$D$2:$E$72,2,0),""))</f>
        <v>(2.4L)</v>
      </c>
      <c r="K1433" s="3" t="s">
        <v>1782</v>
      </c>
      <c r="L1433" s="3"/>
      <c r="M1433" s="7">
        <v>0</v>
      </c>
      <c r="N1433" s="7">
        <v>0</v>
      </c>
    </row>
    <row r="1434" spans="1:14" ht="14.25" x14ac:dyDescent="0.2">
      <c r="A1434" s="3">
        <v>88424</v>
      </c>
      <c r="B1434" s="3" t="s">
        <v>3481</v>
      </c>
      <c r="C1434" s="3" t="s">
        <v>18</v>
      </c>
      <c r="D1434" s="6" t="s">
        <v>1054</v>
      </c>
      <c r="E1434" s="6" t="s">
        <v>1054</v>
      </c>
      <c r="F1434" s="3" t="str">
        <f>IFERROR( VLOOKUP(A1434,#REF!,2,0),"")</f>
        <v/>
      </c>
      <c r="G1434" s="3" t="str">
        <f t="array" ref="G1434">_xlfn.XLOOKUP(I1434,Base_Datos!D:D,Base_Datos!B:B,"")</f>
        <v>DFSK</v>
      </c>
      <c r="H1434" s="3" t="str">
        <f t="array" ref="H1434">IF(I1434="","",IFERROR(_xlfn.XLOOKUP(I1434,Base_Datos!$D$2:$D3876,Base_Datos!$C$2:$C3876),""))</f>
        <v>Serie D</v>
      </c>
      <c r="I1434" s="3" t="s">
        <v>145</v>
      </c>
      <c r="J1434" s="3" t="str">
        <f>IF(I1434="","",IFERROR(VLOOKUP(I1434,Base_Datos!$D$2:$E$72,2,0),""))</f>
        <v>(2.4L)</v>
      </c>
      <c r="K1434" s="3" t="s">
        <v>1782</v>
      </c>
      <c r="L1434" s="3"/>
      <c r="M1434" s="7">
        <v>10</v>
      </c>
      <c r="N1434" s="7">
        <v>0</v>
      </c>
    </row>
    <row r="1435" spans="1:14" ht="14.25" x14ac:dyDescent="0.2">
      <c r="A1435" s="3">
        <v>88425</v>
      </c>
      <c r="B1435" s="3" t="s">
        <v>3482</v>
      </c>
      <c r="C1435" s="3" t="s">
        <v>18</v>
      </c>
      <c r="D1435" s="6" t="s">
        <v>1149</v>
      </c>
      <c r="E1435" s="6" t="s">
        <v>1782</v>
      </c>
      <c r="F1435" s="3" t="str">
        <f>IFERROR( VLOOKUP(A1435,#REF!,2,0),"")</f>
        <v/>
      </c>
      <c r="G1435" s="3">
        <f t="array" ref="G1435">_xlfn.XLOOKUP(I1435,Base_Datos!D:D,Base_Datos!B:B,"")</f>
        <v>0</v>
      </c>
      <c r="H1435" s="3" t="str">
        <f t="array" ref="H1435">IF(I1435="","",IFERROR(_xlfn.XLOOKUP(I1435,Base_Datos!$D$2:$D3876,Base_Datos!$C$2:$C3876),""))</f>
        <v/>
      </c>
      <c r="I1435" s="3"/>
      <c r="J1435" s="3" t="str">
        <f>IF(I1435="","",IFERROR(VLOOKUP(I1435,Base_Datos!$D$2:$E$72,2,0),""))</f>
        <v/>
      </c>
      <c r="K1435" s="3" t="s">
        <v>1782</v>
      </c>
      <c r="L1435" s="3"/>
      <c r="M1435" s="7">
        <v>40</v>
      </c>
      <c r="N1435" s="7">
        <v>0</v>
      </c>
    </row>
    <row r="1436" spans="1:14" ht="14.25" x14ac:dyDescent="0.2">
      <c r="A1436" s="3">
        <v>88426</v>
      </c>
      <c r="B1436" s="3" t="s">
        <v>3483</v>
      </c>
      <c r="C1436" s="3" t="s">
        <v>18</v>
      </c>
      <c r="D1436" s="6" t="s">
        <v>1096</v>
      </c>
      <c r="E1436" s="6" t="s">
        <v>1096</v>
      </c>
      <c r="F1436" s="3" t="str">
        <f>IFERROR( VLOOKUP(A1436,#REF!,2,0),"")</f>
        <v/>
      </c>
      <c r="G1436" s="3" t="str">
        <f t="array" ref="G1436">_xlfn.XLOOKUP(I1436,Base_Datos!D:D,Base_Datos!B:B,"")</f>
        <v>DFSK</v>
      </c>
      <c r="H1436" s="3" t="str">
        <f t="array" ref="H1436">IF(I1436="","",IFERROR(_xlfn.XLOOKUP(I1436,Base_Datos!$D$2:$D3876,Base_Datos!$C$2:$C3876),""))</f>
        <v>Serie D</v>
      </c>
      <c r="I1436" s="3" t="s">
        <v>145</v>
      </c>
      <c r="J1436" s="3" t="str">
        <f>IF(I1436="","",IFERROR(VLOOKUP(I1436,Base_Datos!$D$2:$E$72,2,0),""))</f>
        <v>(2.4L)</v>
      </c>
      <c r="K1436" s="3" t="s">
        <v>1782</v>
      </c>
      <c r="L1436" s="3"/>
      <c r="M1436" s="7">
        <v>10</v>
      </c>
      <c r="N1436" s="7">
        <v>0</v>
      </c>
    </row>
    <row r="1437" spans="1:14" ht="14.25" x14ac:dyDescent="0.2">
      <c r="A1437" s="3">
        <v>88427</v>
      </c>
      <c r="B1437" s="3" t="s">
        <v>3484</v>
      </c>
      <c r="C1437" s="3" t="s">
        <v>18</v>
      </c>
      <c r="D1437" s="6" t="s">
        <v>1063</v>
      </c>
      <c r="E1437" s="6" t="s">
        <v>1063</v>
      </c>
      <c r="F1437" s="3" t="str">
        <f>IFERROR( VLOOKUP(A1437,#REF!,2,0),"")</f>
        <v/>
      </c>
      <c r="G1437" s="3" t="str">
        <f t="array" ref="G1437">_xlfn.XLOOKUP(I1437,Base_Datos!D:D,Base_Datos!B:B,"")</f>
        <v>DFSK</v>
      </c>
      <c r="H1437" s="3" t="str">
        <f t="array" ref="H1437">IF(I1437="","",IFERROR(_xlfn.XLOOKUP(I1437,Base_Datos!$D$2:$D3876,Base_Datos!$C$2:$C3876),""))</f>
        <v>Serie D</v>
      </c>
      <c r="I1437" s="3" t="s">
        <v>145</v>
      </c>
      <c r="J1437" s="3" t="str">
        <f>IF(I1437="","",IFERROR(VLOOKUP(I1437,Base_Datos!$D$2:$E$72,2,0),""))</f>
        <v>(2.4L)</v>
      </c>
      <c r="K1437" s="3" t="s">
        <v>2439</v>
      </c>
      <c r="L1437" s="3"/>
      <c r="M1437" s="7">
        <v>99</v>
      </c>
      <c r="N1437" s="7">
        <v>0</v>
      </c>
    </row>
    <row r="1438" spans="1:14" ht="14.25" x14ac:dyDescent="0.2">
      <c r="A1438" s="3">
        <v>88428</v>
      </c>
      <c r="B1438" s="3" t="s">
        <v>3485</v>
      </c>
      <c r="C1438" s="3" t="s">
        <v>18</v>
      </c>
      <c r="D1438" s="6" t="s">
        <v>1064</v>
      </c>
      <c r="E1438" s="6" t="s">
        <v>1064</v>
      </c>
      <c r="F1438" s="3" t="str">
        <f>IFERROR( VLOOKUP(A1438,#REF!,2,0),"")</f>
        <v/>
      </c>
      <c r="G1438" s="3" t="str">
        <f t="array" ref="G1438">_xlfn.XLOOKUP(I1438,Base_Datos!D:D,Base_Datos!B:B,"")</f>
        <v>DFSK</v>
      </c>
      <c r="H1438" s="3" t="str">
        <f t="array" ref="H1438">IF(I1438="","",IFERROR(_xlfn.XLOOKUP(I1438,Base_Datos!$D$2:$D3876,Base_Datos!$C$2:$C3876),""))</f>
        <v>Serie D</v>
      </c>
      <c r="I1438" s="3" t="s">
        <v>145</v>
      </c>
      <c r="J1438" s="3" t="str">
        <f>IF(I1438="","",IFERROR(VLOOKUP(I1438,Base_Datos!$D$2:$E$72,2,0),""))</f>
        <v>(2.4L)</v>
      </c>
      <c r="K1438" s="3" t="s">
        <v>2439</v>
      </c>
      <c r="L1438" s="3"/>
      <c r="M1438" s="7">
        <v>99</v>
      </c>
      <c r="N1438" s="7">
        <v>0</v>
      </c>
    </row>
    <row r="1439" spans="1:14" ht="14.25" x14ac:dyDescent="0.2">
      <c r="A1439" s="3">
        <v>88429</v>
      </c>
      <c r="B1439" s="3" t="s">
        <v>3486</v>
      </c>
      <c r="C1439" s="3" t="s">
        <v>18</v>
      </c>
      <c r="D1439" s="6" t="s">
        <v>1136</v>
      </c>
      <c r="E1439" s="6" t="s">
        <v>1136</v>
      </c>
      <c r="F1439" s="3" t="str">
        <f>IFERROR( VLOOKUP(A1439,#REF!,2,0),"")</f>
        <v/>
      </c>
      <c r="G1439" s="3" t="str">
        <f t="array" ref="G1439">_xlfn.XLOOKUP(I1439,Base_Datos!D:D,Base_Datos!B:B,"")</f>
        <v>DFSK</v>
      </c>
      <c r="H1439" s="3" t="str">
        <f t="array" ref="H1439">IF(I1439="","",IFERROR(_xlfn.XLOOKUP(I1439,Base_Datos!$D$2:$D3876,Base_Datos!$C$2:$C3876),""))</f>
        <v>Serie D</v>
      </c>
      <c r="I1439" s="3" t="s">
        <v>145</v>
      </c>
      <c r="J1439" s="3" t="str">
        <f>IF(I1439="","",IFERROR(VLOOKUP(I1439,Base_Datos!$D$2:$E$72,2,0),""))</f>
        <v>(2.4L)</v>
      </c>
      <c r="K1439" s="3" t="s">
        <v>1782</v>
      </c>
      <c r="L1439" s="3"/>
      <c r="M1439" s="7">
        <v>99</v>
      </c>
      <c r="N1439" s="7">
        <v>0</v>
      </c>
    </row>
    <row r="1440" spans="1:14" ht="14.25" x14ac:dyDescent="0.2">
      <c r="A1440" s="3">
        <v>88430</v>
      </c>
      <c r="B1440" s="3" t="s">
        <v>3487</v>
      </c>
      <c r="C1440" s="3" t="s">
        <v>18</v>
      </c>
      <c r="D1440" s="6" t="s">
        <v>1095</v>
      </c>
      <c r="E1440" s="6" t="s">
        <v>1095</v>
      </c>
      <c r="F1440" s="3" t="str">
        <f>IFERROR( VLOOKUP(A1440,#REF!,2,0),"")</f>
        <v/>
      </c>
      <c r="G1440" s="3" t="str">
        <f t="array" ref="G1440">_xlfn.XLOOKUP(I1440,Base_Datos!D:D,Base_Datos!B:B,"")</f>
        <v>DFSK</v>
      </c>
      <c r="H1440" s="3" t="str">
        <f t="array" ref="H1440">IF(I1440="","",IFERROR(_xlfn.XLOOKUP(I1440,Base_Datos!$D$2:$D3876,Base_Datos!$C$2:$C3876),""))</f>
        <v>Serie D</v>
      </c>
      <c r="I1440" s="3" t="s">
        <v>145</v>
      </c>
      <c r="J1440" s="3" t="str">
        <f>IF(I1440="","",IFERROR(VLOOKUP(I1440,Base_Datos!$D$2:$E$72,2,0),""))</f>
        <v>(2.4L)</v>
      </c>
      <c r="K1440" s="3" t="s">
        <v>1782</v>
      </c>
      <c r="L1440" s="3"/>
      <c r="M1440" s="7">
        <v>19</v>
      </c>
      <c r="N1440" s="7">
        <v>0</v>
      </c>
    </row>
    <row r="1441" spans="1:14" ht="14.25" x14ac:dyDescent="0.2">
      <c r="A1441" s="3">
        <v>88431</v>
      </c>
      <c r="B1441" s="3" t="s">
        <v>3488</v>
      </c>
      <c r="C1441" s="3" t="s">
        <v>18</v>
      </c>
      <c r="D1441" s="6" t="s">
        <v>1046</v>
      </c>
      <c r="E1441" s="6" t="s">
        <v>1046</v>
      </c>
      <c r="F1441" s="3" t="str">
        <f>IFERROR( VLOOKUP(A1441,#REF!,2,0),"")</f>
        <v/>
      </c>
      <c r="G1441" s="3" t="str">
        <f t="array" ref="G1441">_xlfn.XLOOKUP(I1441,Base_Datos!D:D,Base_Datos!B:B,"")</f>
        <v>DFSK</v>
      </c>
      <c r="H1441" s="3" t="str">
        <f t="array" ref="H1441">IF(I1441="","",IFERROR(_xlfn.XLOOKUP(I1441,Base_Datos!$D$2:$D3876,Base_Datos!$C$2:$C3876),""))</f>
        <v>Serie D</v>
      </c>
      <c r="I1441" s="3" t="s">
        <v>145</v>
      </c>
      <c r="J1441" s="3" t="str">
        <f>IF(I1441="","",IFERROR(VLOOKUP(I1441,Base_Datos!$D$2:$E$72,2,0),""))</f>
        <v>(2.4L)</v>
      </c>
      <c r="K1441" s="3" t="s">
        <v>1782</v>
      </c>
      <c r="L1441" s="3"/>
      <c r="M1441" s="7">
        <v>40</v>
      </c>
      <c r="N1441" s="7">
        <v>0</v>
      </c>
    </row>
    <row r="1442" spans="1:14" ht="14.25" x14ac:dyDescent="0.2">
      <c r="A1442" s="3">
        <v>88432</v>
      </c>
      <c r="B1442" s="3" t="s">
        <v>3489</v>
      </c>
      <c r="C1442" s="3" t="s">
        <v>18</v>
      </c>
      <c r="D1442" s="6" t="s">
        <v>1152</v>
      </c>
      <c r="E1442" s="6" t="s">
        <v>1152</v>
      </c>
      <c r="F1442" s="3" t="str">
        <f>IFERROR( VLOOKUP(A1442,#REF!,2,0),"")</f>
        <v/>
      </c>
      <c r="G1442" s="3" t="str">
        <f t="array" ref="G1442">_xlfn.XLOOKUP(I1442,Base_Datos!D:D,Base_Datos!B:B,"")</f>
        <v>DFSK</v>
      </c>
      <c r="H1442" s="3" t="str">
        <f t="array" ref="H1442">IF(I1442="","",IFERROR(_xlfn.XLOOKUP(I1442,Base_Datos!$D$2:$D3876,Base_Datos!$C$2:$C3876),""))</f>
        <v>Serie D</v>
      </c>
      <c r="I1442" s="3" t="s">
        <v>145</v>
      </c>
      <c r="J1442" s="3" t="str">
        <f>IF(I1442="","",IFERROR(VLOOKUP(I1442,Base_Datos!$D$2:$E$72,2,0),""))</f>
        <v>(2.4L)</v>
      </c>
      <c r="K1442" s="3" t="s">
        <v>1782</v>
      </c>
      <c r="L1442" s="3"/>
      <c r="M1442" s="7">
        <v>4</v>
      </c>
      <c r="N1442" s="7">
        <v>0</v>
      </c>
    </row>
    <row r="1443" spans="1:14" ht="14.25" x14ac:dyDescent="0.2">
      <c r="A1443" s="3">
        <v>88433</v>
      </c>
      <c r="B1443" s="3" t="s">
        <v>3490</v>
      </c>
      <c r="C1443" s="3" t="s">
        <v>18</v>
      </c>
      <c r="D1443" s="6" t="s">
        <v>1142</v>
      </c>
      <c r="E1443" s="6" t="s">
        <v>1142</v>
      </c>
      <c r="F1443" s="3" t="str">
        <f>IFERROR( VLOOKUP(A1443,#REF!,2,0),"")</f>
        <v/>
      </c>
      <c r="G1443" s="3" t="str">
        <f t="array" ref="G1443">_xlfn.XLOOKUP(I1443,Base_Datos!D:D,Base_Datos!B:B,"")</f>
        <v>DFSK</v>
      </c>
      <c r="H1443" s="3" t="str">
        <f t="array" ref="H1443">IF(I1443="","",IFERROR(_xlfn.XLOOKUP(I1443,Base_Datos!$D$2:$D3876,Base_Datos!$C$2:$C3876),""))</f>
        <v>Serie D</v>
      </c>
      <c r="I1443" s="3" t="s">
        <v>145</v>
      </c>
      <c r="J1443" s="3" t="str">
        <f>IF(I1443="","",IFERROR(VLOOKUP(I1443,Base_Datos!$D$2:$E$72,2,0),""))</f>
        <v>(2.4L)</v>
      </c>
      <c r="K1443" s="3" t="s">
        <v>1782</v>
      </c>
      <c r="L1443" s="3"/>
      <c r="M1443" s="7">
        <v>5</v>
      </c>
      <c r="N1443" s="7">
        <v>0</v>
      </c>
    </row>
    <row r="1444" spans="1:14" ht="14.25" x14ac:dyDescent="0.2">
      <c r="A1444" s="3">
        <v>88434</v>
      </c>
      <c r="B1444" s="3" t="s">
        <v>3491</v>
      </c>
      <c r="C1444" s="3" t="s">
        <v>18</v>
      </c>
      <c r="D1444" s="6" t="s">
        <v>1076</v>
      </c>
      <c r="E1444" s="6" t="s">
        <v>1076</v>
      </c>
      <c r="F1444" s="3" t="str">
        <f>IFERROR( VLOOKUP(A1444,#REF!,2,0),"")</f>
        <v/>
      </c>
      <c r="G1444" s="3" t="str">
        <f t="array" ref="G1444">_xlfn.XLOOKUP(I1444,Base_Datos!D:D,Base_Datos!B:B,"")</f>
        <v>DFSK</v>
      </c>
      <c r="H1444" s="3" t="str">
        <f t="array" ref="H1444">IF(I1444="","",IFERROR(_xlfn.XLOOKUP(I1444,Base_Datos!$D$2:$D3876,Base_Datos!$C$2:$C3876),""))</f>
        <v>Serie D</v>
      </c>
      <c r="I1444" s="3" t="s">
        <v>145</v>
      </c>
      <c r="J1444" s="3" t="str">
        <f>IF(I1444="","",IFERROR(VLOOKUP(I1444,Base_Datos!$D$2:$E$72,2,0),""))</f>
        <v>(2.4L)</v>
      </c>
      <c r="K1444" s="3" t="s">
        <v>1782</v>
      </c>
      <c r="L1444" s="3"/>
      <c r="M1444" s="7">
        <v>5</v>
      </c>
      <c r="N1444" s="7">
        <v>0</v>
      </c>
    </row>
    <row r="1445" spans="1:14" ht="14.25" x14ac:dyDescent="0.2">
      <c r="A1445" s="3">
        <v>88435</v>
      </c>
      <c r="B1445" s="3" t="s">
        <v>3492</v>
      </c>
      <c r="C1445" s="3" t="s">
        <v>18</v>
      </c>
      <c r="D1445" s="6" t="s">
        <v>1077</v>
      </c>
      <c r="E1445" s="6" t="s">
        <v>1077</v>
      </c>
      <c r="F1445" s="3" t="str">
        <f>IFERROR( VLOOKUP(A1445,#REF!,2,0),"")</f>
        <v/>
      </c>
      <c r="G1445" s="3" t="str">
        <f t="array" ref="G1445">_xlfn.XLOOKUP(I1445,Base_Datos!D:D,Base_Datos!B:B,"")</f>
        <v>DFSK</v>
      </c>
      <c r="H1445" s="3" t="str">
        <f t="array" ref="H1445">IF(I1445="","",IFERROR(_xlfn.XLOOKUP(I1445,Base_Datos!$D$2:$D3876,Base_Datos!$C$2:$C3876),""))</f>
        <v>Serie D</v>
      </c>
      <c r="I1445" s="3" t="s">
        <v>145</v>
      </c>
      <c r="J1445" s="3" t="str">
        <f>IF(I1445="","",IFERROR(VLOOKUP(I1445,Base_Datos!$D$2:$E$72,2,0),""))</f>
        <v>(2.4L)</v>
      </c>
      <c r="K1445" s="3" t="s">
        <v>1782</v>
      </c>
      <c r="L1445" s="3"/>
      <c r="M1445" s="7">
        <v>5</v>
      </c>
      <c r="N1445" s="7">
        <v>0</v>
      </c>
    </row>
    <row r="1446" spans="1:14" ht="14.25" x14ac:dyDescent="0.2">
      <c r="A1446" s="3">
        <v>88436</v>
      </c>
      <c r="B1446" s="3" t="s">
        <v>2805</v>
      </c>
      <c r="C1446" s="3" t="s">
        <v>18</v>
      </c>
      <c r="D1446" s="6" t="s">
        <v>1083</v>
      </c>
      <c r="E1446" s="6" t="s">
        <v>1083</v>
      </c>
      <c r="F1446" s="3" t="str">
        <f>IFERROR( VLOOKUP(A1446,#REF!,2,0),"")</f>
        <v/>
      </c>
      <c r="G1446" s="3" t="str">
        <f t="array" ref="G1446">_xlfn.XLOOKUP(I1446,Base_Datos!D:D,Base_Datos!B:B,"")</f>
        <v>DFSK</v>
      </c>
      <c r="H1446" s="3" t="str">
        <f t="array" ref="H1446">IF(I1446="","",IFERROR(_xlfn.XLOOKUP(I1446,Base_Datos!$D$2:$D3876,Base_Datos!$C$2:$C3876),""))</f>
        <v>Serie D</v>
      </c>
      <c r="I1446" s="3" t="s">
        <v>145</v>
      </c>
      <c r="J1446" s="3" t="str">
        <f>IF(I1446="","",IFERROR(VLOOKUP(I1446,Base_Datos!$D$2:$E$72,2,0),""))</f>
        <v>(2.4L)</v>
      </c>
      <c r="K1446" s="3" t="s">
        <v>1782</v>
      </c>
      <c r="L1446" s="3"/>
      <c r="M1446" s="7">
        <v>8</v>
      </c>
      <c r="N1446" s="7">
        <v>0</v>
      </c>
    </row>
    <row r="1447" spans="1:14" ht="14.25" x14ac:dyDescent="0.2">
      <c r="A1447" s="3">
        <v>88437</v>
      </c>
      <c r="B1447" s="3" t="s">
        <v>3493</v>
      </c>
      <c r="C1447" s="3" t="s">
        <v>18</v>
      </c>
      <c r="D1447" s="6" t="s">
        <v>1071</v>
      </c>
      <c r="E1447" s="6" t="s">
        <v>1071</v>
      </c>
      <c r="F1447" s="3" t="str">
        <f>IFERROR( VLOOKUP(A1447,#REF!,2,0),"")</f>
        <v/>
      </c>
      <c r="G1447" s="3" t="str">
        <f t="array" ref="G1447">_xlfn.XLOOKUP(I1447,Base_Datos!D:D,Base_Datos!B:B,"")</f>
        <v>DFSK</v>
      </c>
      <c r="H1447" s="3" t="str">
        <f t="array" ref="H1447">IF(I1447="","",IFERROR(_xlfn.XLOOKUP(I1447,Base_Datos!$D$2:$D3876,Base_Datos!$C$2:$C3876),""))</f>
        <v>Serie D</v>
      </c>
      <c r="I1447" s="3" t="s">
        <v>145</v>
      </c>
      <c r="J1447" s="3" t="str">
        <f>IF(I1447="","",IFERROR(VLOOKUP(I1447,Base_Datos!$D$2:$E$72,2,0),""))</f>
        <v>(2.4L)</v>
      </c>
      <c r="K1447" s="3" t="s">
        <v>1782</v>
      </c>
      <c r="L1447" s="3"/>
      <c r="M1447" s="7">
        <v>25</v>
      </c>
      <c r="N1447" s="7">
        <v>0</v>
      </c>
    </row>
    <row r="1448" spans="1:14" ht="14.25" x14ac:dyDescent="0.2">
      <c r="A1448" s="3">
        <v>88438</v>
      </c>
      <c r="B1448" s="3" t="s">
        <v>3494</v>
      </c>
      <c r="C1448" s="3" t="s">
        <v>18</v>
      </c>
      <c r="D1448" s="6" t="s">
        <v>1034</v>
      </c>
      <c r="E1448" s="6" t="s">
        <v>1034</v>
      </c>
      <c r="F1448" s="3" t="str">
        <f>IFERROR( VLOOKUP(A1448,#REF!,2,0),"")</f>
        <v/>
      </c>
      <c r="G1448" s="3" t="str">
        <f t="array" ref="G1448">_xlfn.XLOOKUP(I1448,Base_Datos!D:D,Base_Datos!B:B,"")</f>
        <v>DFSK</v>
      </c>
      <c r="H1448" s="3" t="str">
        <f t="array" ref="H1448">IF(I1448="","",IFERROR(_xlfn.XLOOKUP(I1448,Base_Datos!$D$2:$D3876,Base_Datos!$C$2:$C3876),""))</f>
        <v>Serie D</v>
      </c>
      <c r="I1448" s="3" t="s">
        <v>145</v>
      </c>
      <c r="J1448" s="3" t="str">
        <f>IF(I1448="","",IFERROR(VLOOKUP(I1448,Base_Datos!$D$2:$E$72,2,0),""))</f>
        <v>(2.4L)</v>
      </c>
      <c r="K1448" s="3" t="s">
        <v>1782</v>
      </c>
      <c r="L1448" s="3"/>
      <c r="M1448" s="7">
        <v>9</v>
      </c>
      <c r="N1448" s="7">
        <v>0</v>
      </c>
    </row>
    <row r="1449" spans="1:14" ht="14.25" x14ac:dyDescent="0.2">
      <c r="A1449" s="3">
        <v>88439</v>
      </c>
      <c r="B1449" s="3" t="s">
        <v>3495</v>
      </c>
      <c r="C1449" s="3" t="s">
        <v>18</v>
      </c>
      <c r="D1449" s="6" t="s">
        <v>1172</v>
      </c>
      <c r="E1449" s="6" t="s">
        <v>1172</v>
      </c>
      <c r="F1449" s="3" t="str">
        <f>IFERROR( VLOOKUP(A1449,#REF!,2,0),"")</f>
        <v/>
      </c>
      <c r="G1449" s="3" t="str">
        <f t="array" ref="G1449">_xlfn.XLOOKUP(I1449,Base_Datos!D:D,Base_Datos!B:B,"")</f>
        <v>DFSK</v>
      </c>
      <c r="H1449" s="3" t="str">
        <f t="array" ref="H1449">IF(I1449="","",IFERROR(_xlfn.XLOOKUP(I1449,Base_Datos!$D$2:$D3876,Base_Datos!$C$2:$C3876),""))</f>
        <v>Serie D</v>
      </c>
      <c r="I1449" s="3" t="s">
        <v>145</v>
      </c>
      <c r="J1449" s="3" t="str">
        <f>IF(I1449="","",IFERROR(VLOOKUP(I1449,Base_Datos!$D$2:$E$72,2,0),""))</f>
        <v>(2.4L)</v>
      </c>
      <c r="K1449" s="3" t="s">
        <v>1782</v>
      </c>
      <c r="L1449" s="3"/>
      <c r="M1449" s="7">
        <v>11</v>
      </c>
      <c r="N1449" s="7">
        <v>0</v>
      </c>
    </row>
    <row r="1450" spans="1:14" ht="14.25" x14ac:dyDescent="0.2">
      <c r="A1450" s="3">
        <v>88440</v>
      </c>
      <c r="B1450" s="3" t="s">
        <v>3496</v>
      </c>
      <c r="C1450" s="3" t="s">
        <v>18</v>
      </c>
      <c r="D1450" s="6" t="s">
        <v>1036</v>
      </c>
      <c r="E1450" s="6" t="s">
        <v>1036</v>
      </c>
      <c r="F1450" s="3" t="str">
        <f>IFERROR( VLOOKUP(A1450,#REF!,2,0),"")</f>
        <v/>
      </c>
      <c r="G1450" s="3" t="str">
        <f t="array" ref="G1450">_xlfn.XLOOKUP(I1450,Base_Datos!D:D,Base_Datos!B:B,"")</f>
        <v>DFSK</v>
      </c>
      <c r="H1450" s="3" t="str">
        <f t="array" ref="H1450">IF(I1450="","",IFERROR(_xlfn.XLOOKUP(I1450,Base_Datos!$D$2:$D3876,Base_Datos!$C$2:$C3876),""))</f>
        <v>Serie D</v>
      </c>
      <c r="I1450" s="3" t="s">
        <v>145</v>
      </c>
      <c r="J1450" s="3" t="str">
        <f>IF(I1450="","",IFERROR(VLOOKUP(I1450,Base_Datos!$D$2:$E$72,2,0),""))</f>
        <v>(2.4L)</v>
      </c>
      <c r="K1450" s="3" t="s">
        <v>1782</v>
      </c>
      <c r="L1450" s="3"/>
      <c r="M1450" s="7">
        <v>40</v>
      </c>
      <c r="N1450" s="7">
        <v>0</v>
      </c>
    </row>
    <row r="1451" spans="1:14" ht="14.25" x14ac:dyDescent="0.2">
      <c r="A1451" s="3">
        <v>88441</v>
      </c>
      <c r="B1451" s="3" t="s">
        <v>3497</v>
      </c>
      <c r="C1451" s="3" t="s">
        <v>18</v>
      </c>
      <c r="D1451" s="6" t="s">
        <v>1045</v>
      </c>
      <c r="E1451" s="6" t="s">
        <v>1045</v>
      </c>
      <c r="F1451" s="3" t="str">
        <f>IFERROR( VLOOKUP(A1451,#REF!,2,0),"")</f>
        <v/>
      </c>
      <c r="G1451" s="3" t="str">
        <f t="array" ref="G1451">_xlfn.XLOOKUP(I1451,Base_Datos!D:D,Base_Datos!B:B,"")</f>
        <v>DFSK</v>
      </c>
      <c r="H1451" s="3" t="str">
        <f t="array" ref="H1451">IF(I1451="","",IFERROR(_xlfn.XLOOKUP(I1451,Base_Datos!$D$2:$D3876,Base_Datos!$C$2:$C3876),""))</f>
        <v>Serie D</v>
      </c>
      <c r="I1451" s="3" t="s">
        <v>145</v>
      </c>
      <c r="J1451" s="3" t="str">
        <f>IF(I1451="","",IFERROR(VLOOKUP(I1451,Base_Datos!$D$2:$E$72,2,0),""))</f>
        <v>(2.4L)</v>
      </c>
      <c r="K1451" s="3" t="s">
        <v>1782</v>
      </c>
      <c r="L1451" s="3"/>
      <c r="M1451" s="7">
        <v>25</v>
      </c>
      <c r="N1451" s="7">
        <v>0</v>
      </c>
    </row>
    <row r="1452" spans="1:14" ht="14.25" x14ac:dyDescent="0.2">
      <c r="A1452" s="3">
        <v>88442</v>
      </c>
      <c r="B1452" s="3" t="s">
        <v>3498</v>
      </c>
      <c r="C1452" s="3" t="s">
        <v>18</v>
      </c>
      <c r="D1452" s="6" t="s">
        <v>1084</v>
      </c>
      <c r="E1452" s="6" t="s">
        <v>1084</v>
      </c>
      <c r="F1452" s="3" t="str">
        <f>IFERROR( VLOOKUP(A1452,#REF!,2,0),"")</f>
        <v/>
      </c>
      <c r="G1452" s="3" t="str">
        <f t="array" ref="G1452">_xlfn.XLOOKUP(I1452,Base_Datos!D:D,Base_Datos!B:B,"")</f>
        <v>DFSK</v>
      </c>
      <c r="H1452" s="3" t="str">
        <f t="array" ref="H1452">IF(I1452="","",IFERROR(_xlfn.XLOOKUP(I1452,Base_Datos!$D$2:$D3876,Base_Datos!$C$2:$C3876),""))</f>
        <v>Serie D</v>
      </c>
      <c r="I1452" s="3" t="s">
        <v>145</v>
      </c>
      <c r="J1452" s="3" t="str">
        <f>IF(I1452="","",IFERROR(VLOOKUP(I1452,Base_Datos!$D$2:$E$72,2,0),""))</f>
        <v>(2.4L)</v>
      </c>
      <c r="K1452" s="3" t="s">
        <v>1782</v>
      </c>
      <c r="L1452" s="3"/>
      <c r="M1452" s="7">
        <v>10</v>
      </c>
      <c r="N1452" s="7">
        <v>0</v>
      </c>
    </row>
    <row r="1453" spans="1:14" ht="14.25" x14ac:dyDescent="0.2">
      <c r="A1453" s="3">
        <v>88443</v>
      </c>
      <c r="B1453" s="3" t="s">
        <v>3499</v>
      </c>
      <c r="C1453" s="3" t="s">
        <v>18</v>
      </c>
      <c r="D1453" s="6" t="s">
        <v>1090</v>
      </c>
      <c r="E1453" s="6" t="s">
        <v>1090</v>
      </c>
      <c r="F1453" s="3" t="str">
        <f>IFERROR( VLOOKUP(A1453,#REF!,2,0),"")</f>
        <v/>
      </c>
      <c r="G1453" s="3" t="str">
        <f t="array" ref="G1453">_xlfn.XLOOKUP(I1453,Base_Datos!D:D,Base_Datos!B:B,"")</f>
        <v>DFSK</v>
      </c>
      <c r="H1453" s="3" t="str">
        <f t="array" ref="H1453">IF(I1453="","",IFERROR(_xlfn.XLOOKUP(I1453,Base_Datos!$D$2:$D3876,Base_Datos!$C$2:$C3876),""))</f>
        <v>Serie D</v>
      </c>
      <c r="I1453" s="3" t="s">
        <v>145</v>
      </c>
      <c r="J1453" s="3" t="str">
        <f>IF(I1453="","",IFERROR(VLOOKUP(I1453,Base_Datos!$D$2:$E$72,2,0),""))</f>
        <v>(2.4L)</v>
      </c>
      <c r="K1453" s="3" t="s">
        <v>1782</v>
      </c>
      <c r="L1453" s="3"/>
      <c r="M1453" s="7">
        <v>40</v>
      </c>
      <c r="N1453" s="7">
        <v>0</v>
      </c>
    </row>
    <row r="1454" spans="1:14" ht="14.25" x14ac:dyDescent="0.2">
      <c r="A1454" s="3">
        <v>88444</v>
      </c>
      <c r="B1454" s="3" t="s">
        <v>3500</v>
      </c>
      <c r="C1454" s="3" t="s">
        <v>18</v>
      </c>
      <c r="D1454" s="6" t="s">
        <v>1124</v>
      </c>
      <c r="E1454" s="6" t="s">
        <v>1124</v>
      </c>
      <c r="F1454" s="3" t="str">
        <f>IFERROR( VLOOKUP(A1454,#REF!,2,0),"")</f>
        <v/>
      </c>
      <c r="G1454" s="3" t="str">
        <f t="array" ref="G1454">_xlfn.XLOOKUP(I1454,Base_Datos!D:D,Base_Datos!B:B,"")</f>
        <v>DFSK</v>
      </c>
      <c r="H1454" s="3" t="str">
        <f t="array" ref="H1454">IF(I1454="","",IFERROR(_xlfn.XLOOKUP(I1454,Base_Datos!$D$2:$D3876,Base_Datos!$C$2:$C3876),""))</f>
        <v>Serie D</v>
      </c>
      <c r="I1454" s="3" t="s">
        <v>145</v>
      </c>
      <c r="J1454" s="3" t="str">
        <f>IF(I1454="","",IFERROR(VLOOKUP(I1454,Base_Datos!$D$2:$E$72,2,0),""))</f>
        <v>(2.4L)</v>
      </c>
      <c r="K1454" s="3" t="s">
        <v>1782</v>
      </c>
      <c r="L1454" s="3"/>
      <c r="M1454" s="7">
        <v>4</v>
      </c>
      <c r="N1454" s="7">
        <v>0</v>
      </c>
    </row>
    <row r="1455" spans="1:14" ht="14.25" x14ac:dyDescent="0.2">
      <c r="A1455" s="3">
        <v>88445</v>
      </c>
      <c r="B1455" s="3" t="s">
        <v>3501</v>
      </c>
      <c r="C1455" s="3" t="s">
        <v>18</v>
      </c>
      <c r="D1455" s="6" t="s">
        <v>1093</v>
      </c>
      <c r="E1455" s="6" t="s">
        <v>1093</v>
      </c>
      <c r="F1455" s="3" t="str">
        <f>IFERROR( VLOOKUP(A1455,#REF!,2,0),"")</f>
        <v/>
      </c>
      <c r="G1455" s="3" t="str">
        <f t="array" ref="G1455">_xlfn.XLOOKUP(I1455,Base_Datos!D:D,Base_Datos!B:B,"")</f>
        <v>DFSK</v>
      </c>
      <c r="H1455" s="3" t="str">
        <f t="array" ref="H1455">IF(I1455="","",IFERROR(_xlfn.XLOOKUP(I1455,Base_Datos!$D$2:$D3876,Base_Datos!$C$2:$C3876),""))</f>
        <v>Serie D</v>
      </c>
      <c r="I1455" s="3" t="s">
        <v>145</v>
      </c>
      <c r="J1455" s="3" t="str">
        <f>IF(I1455="","",IFERROR(VLOOKUP(I1455,Base_Datos!$D$2:$E$72,2,0),""))</f>
        <v>(2.4L)</v>
      </c>
      <c r="K1455" s="3" t="s">
        <v>2439</v>
      </c>
      <c r="L1455" s="3"/>
      <c r="M1455" s="7">
        <v>50</v>
      </c>
      <c r="N1455" s="7">
        <v>0</v>
      </c>
    </row>
    <row r="1456" spans="1:14" ht="14.25" x14ac:dyDescent="0.2">
      <c r="A1456" s="3">
        <v>88446</v>
      </c>
      <c r="B1456" s="3" t="s">
        <v>3502</v>
      </c>
      <c r="C1456" s="3" t="s">
        <v>18</v>
      </c>
      <c r="D1456" s="6" t="s">
        <v>1066</v>
      </c>
      <c r="E1456" s="6" t="s">
        <v>1066</v>
      </c>
      <c r="F1456" s="3" t="str">
        <f>IFERROR( VLOOKUP(A1456,#REF!,2,0),"")</f>
        <v/>
      </c>
      <c r="G1456" s="3" t="str">
        <f t="array" ref="G1456">_xlfn.XLOOKUP(I1456,Base_Datos!D:D,Base_Datos!B:B,"")</f>
        <v>DFSK</v>
      </c>
      <c r="H1456" s="3" t="str">
        <f t="array" ref="H1456">IF(I1456="","",IFERROR(_xlfn.XLOOKUP(I1456,Base_Datos!$D$2:$D3876,Base_Datos!$C$2:$C3876),""))</f>
        <v>Serie D</v>
      </c>
      <c r="I1456" s="3" t="s">
        <v>145</v>
      </c>
      <c r="J1456" s="3" t="str">
        <f>IF(I1456="","",IFERROR(VLOOKUP(I1456,Base_Datos!$D$2:$E$72,2,0),""))</f>
        <v>(2.4L)</v>
      </c>
      <c r="K1456" s="3" t="s">
        <v>1782</v>
      </c>
      <c r="L1456" s="3"/>
      <c r="M1456" s="7">
        <v>40</v>
      </c>
      <c r="N1456" s="7">
        <v>0</v>
      </c>
    </row>
    <row r="1457" spans="1:14" ht="14.25" x14ac:dyDescent="0.2">
      <c r="A1457" s="3">
        <v>88447</v>
      </c>
      <c r="B1457" s="3" t="s">
        <v>3503</v>
      </c>
      <c r="C1457" s="3" t="s">
        <v>18</v>
      </c>
      <c r="D1457" s="6" t="s">
        <v>1120</v>
      </c>
      <c r="E1457" s="6" t="s">
        <v>1120</v>
      </c>
      <c r="F1457" s="3" t="str">
        <f>IFERROR( VLOOKUP(A1457,#REF!,2,0),"")</f>
        <v/>
      </c>
      <c r="G1457" s="3" t="str">
        <f t="array" ref="G1457">_xlfn.XLOOKUP(I1457,Base_Datos!D:D,Base_Datos!B:B,"")</f>
        <v>DFSK</v>
      </c>
      <c r="H1457" s="3" t="str">
        <f t="array" ref="H1457">IF(I1457="","",IFERROR(_xlfn.XLOOKUP(I1457,Base_Datos!$D$2:$D3876,Base_Datos!$C$2:$C3876),""))</f>
        <v>Serie D</v>
      </c>
      <c r="I1457" s="3" t="s">
        <v>145</v>
      </c>
      <c r="J1457" s="3" t="str">
        <f>IF(I1457="","",IFERROR(VLOOKUP(I1457,Base_Datos!$D$2:$E$72,2,0),""))</f>
        <v>(2.4L)</v>
      </c>
      <c r="K1457" s="3" t="s">
        <v>1782</v>
      </c>
      <c r="L1457" s="3"/>
      <c r="M1457" s="7">
        <v>160</v>
      </c>
      <c r="N1457" s="7">
        <v>0</v>
      </c>
    </row>
    <row r="1458" spans="1:14" ht="14.25" x14ac:dyDescent="0.2">
      <c r="A1458" s="3">
        <v>88448</v>
      </c>
      <c r="B1458" s="3" t="s">
        <v>3504</v>
      </c>
      <c r="C1458" s="3" t="s">
        <v>18</v>
      </c>
      <c r="D1458" s="6" t="s">
        <v>1067</v>
      </c>
      <c r="E1458" s="6" t="s">
        <v>1067</v>
      </c>
      <c r="F1458" s="3" t="str">
        <f>IFERROR( VLOOKUP(A1458,#REF!,2,0),"")</f>
        <v/>
      </c>
      <c r="G1458" s="3" t="str">
        <f t="array" ref="G1458">_xlfn.XLOOKUP(I1458,Base_Datos!D:D,Base_Datos!B:B,"")</f>
        <v>DFSK</v>
      </c>
      <c r="H1458" s="3" t="str">
        <f t="array" ref="H1458">IF(I1458="","",IFERROR(_xlfn.XLOOKUP(I1458,Base_Datos!$D$2:$D3876,Base_Datos!$C$2:$C3876),""))</f>
        <v>Serie D</v>
      </c>
      <c r="I1458" s="3" t="s">
        <v>145</v>
      </c>
      <c r="J1458" s="3" t="str">
        <f>IF(I1458="","",IFERROR(VLOOKUP(I1458,Base_Datos!$D$2:$E$72,2,0),""))</f>
        <v>(2.4L)</v>
      </c>
      <c r="K1458" s="3" t="s">
        <v>1782</v>
      </c>
      <c r="L1458" s="3"/>
      <c r="M1458" s="7">
        <v>55</v>
      </c>
      <c r="N1458" s="7">
        <v>0</v>
      </c>
    </row>
    <row r="1459" spans="1:14" ht="14.25" x14ac:dyDescent="0.2">
      <c r="A1459" s="3">
        <v>88449</v>
      </c>
      <c r="B1459" s="9" t="s">
        <v>3505</v>
      </c>
      <c r="C1459" s="3" t="s">
        <v>18</v>
      </c>
      <c r="D1459" s="6" t="s">
        <v>1061</v>
      </c>
      <c r="E1459" s="6" t="s">
        <v>1061</v>
      </c>
      <c r="F1459" s="3" t="str">
        <f>IFERROR( VLOOKUP(A1459,#REF!,2,0),"")</f>
        <v/>
      </c>
      <c r="G1459" s="3" t="str">
        <f t="array" ref="G1459">_xlfn.XLOOKUP(I1459,Base_Datos!D:D,Base_Datos!B:B,"")</f>
        <v>DFSK</v>
      </c>
      <c r="H1459" s="3" t="str">
        <f t="array" ref="H1459">IF(I1459="","",IFERROR(_xlfn.XLOOKUP(I1459,Base_Datos!$D$2:$D3876,Base_Datos!$C$2:$C3876),""))</f>
        <v>Serie D</v>
      </c>
      <c r="I1459" s="3" t="s">
        <v>145</v>
      </c>
      <c r="J1459" s="3" t="str">
        <f>IF(I1459="","",IFERROR(VLOOKUP(I1459,Base_Datos!$D$2:$E$72,2,0),""))</f>
        <v>(2.4L)</v>
      </c>
      <c r="K1459" s="3" t="s">
        <v>1782</v>
      </c>
      <c r="L1459" s="3"/>
      <c r="M1459" s="7">
        <v>20</v>
      </c>
      <c r="N1459" s="7">
        <v>0</v>
      </c>
    </row>
    <row r="1460" spans="1:14" ht="14.25" x14ac:dyDescent="0.2">
      <c r="A1460" s="3">
        <v>88450</v>
      </c>
      <c r="B1460" s="9" t="s">
        <v>3506</v>
      </c>
      <c r="C1460" s="3" t="s">
        <v>18</v>
      </c>
      <c r="D1460" s="6" t="s">
        <v>1081</v>
      </c>
      <c r="E1460" s="6" t="s">
        <v>1081</v>
      </c>
      <c r="F1460" s="3" t="str">
        <f>IFERROR( VLOOKUP(A1460,#REF!,2,0),"")</f>
        <v/>
      </c>
      <c r="G1460" s="3" t="str">
        <f t="array" ref="G1460">_xlfn.XLOOKUP(I1460,Base_Datos!D:D,Base_Datos!B:B,"")</f>
        <v>DFSK</v>
      </c>
      <c r="H1460" s="3" t="str">
        <f t="array" ref="H1460">IF(I1460="","",IFERROR(_xlfn.XLOOKUP(I1460,Base_Datos!$D$2:$D3876,Base_Datos!$C$2:$C3876),""))</f>
        <v>Serie D</v>
      </c>
      <c r="I1460" s="3" t="s">
        <v>145</v>
      </c>
      <c r="J1460" s="3" t="str">
        <f>IF(I1460="","",IFERROR(VLOOKUP(I1460,Base_Datos!$D$2:$E$72,2,0),""))</f>
        <v>(2.4L)</v>
      </c>
      <c r="K1460" s="3" t="s">
        <v>1782</v>
      </c>
      <c r="L1460" s="3"/>
      <c r="M1460" s="7">
        <v>20</v>
      </c>
      <c r="N1460" s="7">
        <v>0</v>
      </c>
    </row>
    <row r="1461" spans="1:14" ht="14.25" x14ac:dyDescent="0.2">
      <c r="A1461" s="3">
        <v>88451</v>
      </c>
      <c r="B1461" s="3" t="s">
        <v>3507</v>
      </c>
      <c r="C1461" s="3" t="s">
        <v>18</v>
      </c>
      <c r="D1461" s="6" t="s">
        <v>1074</v>
      </c>
      <c r="E1461" s="6" t="s">
        <v>1074</v>
      </c>
      <c r="F1461" s="3" t="str">
        <f>IFERROR( VLOOKUP(A1461,#REF!,2,0),"")</f>
        <v/>
      </c>
      <c r="G1461" s="3" t="str">
        <f t="array" ref="G1461">_xlfn.XLOOKUP(I1461,Base_Datos!D:D,Base_Datos!B:B,"")</f>
        <v>DFSK</v>
      </c>
      <c r="H1461" s="3" t="str">
        <f t="array" ref="H1461">IF(I1461="","",IFERROR(_xlfn.XLOOKUP(I1461,Base_Datos!$D$2:$D3876,Base_Datos!$C$2:$C3876),""))</f>
        <v>Serie D</v>
      </c>
      <c r="I1461" s="3" t="s">
        <v>145</v>
      </c>
      <c r="J1461" s="3" t="str">
        <f>IF(I1461="","",IFERROR(VLOOKUP(I1461,Base_Datos!$D$2:$E$72,2,0),""))</f>
        <v>(2.4L)</v>
      </c>
      <c r="K1461" s="3" t="s">
        <v>1782</v>
      </c>
      <c r="L1461" s="3"/>
      <c r="M1461" s="7">
        <v>40</v>
      </c>
      <c r="N1461" s="7">
        <v>0</v>
      </c>
    </row>
    <row r="1462" spans="1:14" ht="14.25" x14ac:dyDescent="0.2">
      <c r="A1462" s="3">
        <v>88452</v>
      </c>
      <c r="B1462" s="3" t="s">
        <v>3508</v>
      </c>
      <c r="C1462" s="3" t="s">
        <v>18</v>
      </c>
      <c r="D1462" s="6" t="s">
        <v>1038</v>
      </c>
      <c r="E1462" s="6" t="s">
        <v>1038</v>
      </c>
      <c r="F1462" s="3" t="str">
        <f>IFERROR( VLOOKUP(A1462,#REF!,2,0),"")</f>
        <v/>
      </c>
      <c r="G1462" s="3" t="str">
        <f t="array" ref="G1462">_xlfn.XLOOKUP(I1462,Base_Datos!D:D,Base_Datos!B:B,"")</f>
        <v>DFSK</v>
      </c>
      <c r="H1462" s="3" t="str">
        <f t="array" ref="H1462">IF(I1462="","",IFERROR(_xlfn.XLOOKUP(I1462,Base_Datos!$D$2:$D3876,Base_Datos!$C$2:$C3876),""))</f>
        <v>Serie D</v>
      </c>
      <c r="I1462" s="3" t="s">
        <v>145</v>
      </c>
      <c r="J1462" s="3" t="str">
        <f>IF(I1462="","",IFERROR(VLOOKUP(I1462,Base_Datos!$D$2:$E$72,2,0),""))</f>
        <v>(2.4L)</v>
      </c>
      <c r="K1462" s="3" t="s">
        <v>1782</v>
      </c>
      <c r="L1462" s="3"/>
      <c r="M1462" s="7">
        <v>199</v>
      </c>
      <c r="N1462" s="7">
        <v>0</v>
      </c>
    </row>
    <row r="1463" spans="1:14" ht="14.25" x14ac:dyDescent="0.2">
      <c r="A1463" s="3">
        <v>88453</v>
      </c>
      <c r="B1463" s="3" t="s">
        <v>3509</v>
      </c>
      <c r="C1463" s="3" t="s">
        <v>18</v>
      </c>
      <c r="D1463" s="6" t="s">
        <v>1035</v>
      </c>
      <c r="E1463" s="6" t="s">
        <v>1035</v>
      </c>
      <c r="F1463" s="3" t="str">
        <f>IFERROR( VLOOKUP(A1463,#REF!,2,0),"")</f>
        <v/>
      </c>
      <c r="G1463" s="3" t="str">
        <f t="array" ref="G1463">_xlfn.XLOOKUP(I1463,Base_Datos!D:D,Base_Datos!B:B,"")</f>
        <v>DFSK</v>
      </c>
      <c r="H1463" s="3" t="str">
        <f t="array" ref="H1463">IF(I1463="","",IFERROR(_xlfn.XLOOKUP(I1463,Base_Datos!$D$2:$D3876,Base_Datos!$C$2:$C3876),""))</f>
        <v>Serie D</v>
      </c>
      <c r="I1463" s="3" t="s">
        <v>145</v>
      </c>
      <c r="J1463" s="3" t="str">
        <f>IF(I1463="","",IFERROR(VLOOKUP(I1463,Base_Datos!$D$2:$E$72,2,0),""))</f>
        <v>(2.4L)</v>
      </c>
      <c r="K1463" s="3" t="s">
        <v>1782</v>
      </c>
      <c r="L1463" s="3"/>
      <c r="M1463" s="7">
        <v>199</v>
      </c>
      <c r="N1463" s="7">
        <v>0</v>
      </c>
    </row>
    <row r="1464" spans="1:14" ht="14.25" x14ac:dyDescent="0.2">
      <c r="A1464" s="3">
        <v>88454</v>
      </c>
      <c r="B1464" s="3" t="s">
        <v>3510</v>
      </c>
      <c r="C1464" s="3" t="s">
        <v>18</v>
      </c>
      <c r="D1464" s="6" t="s">
        <v>1075</v>
      </c>
      <c r="E1464" s="6" t="s">
        <v>1075</v>
      </c>
      <c r="F1464" s="3" t="str">
        <f>IFERROR( VLOOKUP(A1464,#REF!,2,0),"")</f>
        <v/>
      </c>
      <c r="G1464" s="3" t="str">
        <f t="array" ref="G1464">_xlfn.XLOOKUP(I1464,Base_Datos!D:D,Base_Datos!B:B,"")</f>
        <v>DFSK</v>
      </c>
      <c r="H1464" s="3" t="str">
        <f t="array" ref="H1464">IF(I1464="","",IFERROR(_xlfn.XLOOKUP(I1464,Base_Datos!$D$2:$D3876,Base_Datos!$C$2:$C3876),""))</f>
        <v>Serie D</v>
      </c>
      <c r="I1464" s="3" t="s">
        <v>145</v>
      </c>
      <c r="J1464" s="3" t="str">
        <f>IF(I1464="","",IFERROR(VLOOKUP(I1464,Base_Datos!$D$2:$E$72,2,0),""))</f>
        <v>(2.4L)</v>
      </c>
      <c r="K1464" s="3" t="s">
        <v>1782</v>
      </c>
      <c r="L1464" s="3"/>
      <c r="M1464" s="7">
        <v>40</v>
      </c>
      <c r="N1464" s="7">
        <v>0</v>
      </c>
    </row>
    <row r="1465" spans="1:14" ht="14.25" x14ac:dyDescent="0.2">
      <c r="A1465" s="3">
        <v>88455</v>
      </c>
      <c r="B1465" s="3" t="s">
        <v>3511</v>
      </c>
      <c r="C1465" s="3" t="s">
        <v>18</v>
      </c>
      <c r="D1465" s="6" t="s">
        <v>1079</v>
      </c>
      <c r="E1465" s="6" t="s">
        <v>1079</v>
      </c>
      <c r="F1465" s="3" t="str">
        <f>IFERROR( VLOOKUP(A1465,#REF!,2,0),"")</f>
        <v/>
      </c>
      <c r="G1465" s="3" t="str">
        <f t="array" ref="G1465">_xlfn.XLOOKUP(I1465,Base_Datos!D:D,Base_Datos!B:B,"")</f>
        <v>DFSK</v>
      </c>
      <c r="H1465" s="3" t="str">
        <f t="array" ref="H1465">IF(I1465="","",IFERROR(_xlfn.XLOOKUP(I1465,Base_Datos!$D$2:$D3876,Base_Datos!$C$2:$C3876),""))</f>
        <v>Serie D</v>
      </c>
      <c r="I1465" s="3" t="s">
        <v>145</v>
      </c>
      <c r="J1465" s="3" t="str">
        <f>IF(I1465="","",IFERROR(VLOOKUP(I1465,Base_Datos!$D$2:$E$72,2,0),""))</f>
        <v>(2.4L)</v>
      </c>
      <c r="K1465" s="3" t="s">
        <v>1782</v>
      </c>
      <c r="L1465" s="3"/>
      <c r="M1465" s="7">
        <v>40</v>
      </c>
      <c r="N1465" s="7">
        <v>0</v>
      </c>
    </row>
    <row r="1466" spans="1:14" ht="14.25" x14ac:dyDescent="0.2">
      <c r="A1466" s="3">
        <v>88456</v>
      </c>
      <c r="B1466" s="3" t="s">
        <v>2448</v>
      </c>
      <c r="C1466" s="3" t="s">
        <v>18</v>
      </c>
      <c r="D1466" s="6" t="s">
        <v>1099</v>
      </c>
      <c r="E1466" s="6" t="s">
        <v>1099</v>
      </c>
      <c r="F1466" s="3" t="str">
        <f>IFERROR( VLOOKUP(A1466,#REF!,2,0),"")</f>
        <v/>
      </c>
      <c r="G1466" s="3">
        <f t="array" ref="G1466">_xlfn.XLOOKUP(I1466,Base_Datos!D:D,Base_Datos!B:B,"")</f>
        <v>0</v>
      </c>
      <c r="H1466" s="3" t="str">
        <f t="array" ref="H1466">IF(I1466="","",IFERROR(_xlfn.XLOOKUP(I1466,Base_Datos!$D$2:$D3876,Base_Datos!$C$2:$C3876),""))</f>
        <v/>
      </c>
      <c r="I1466" s="3"/>
      <c r="J1466" s="3" t="str">
        <f>IF(I1466="","",IFERROR(VLOOKUP(I1466,Base_Datos!$D$2:$E$72,2,0),""))</f>
        <v/>
      </c>
      <c r="K1466" s="3" t="s">
        <v>1782</v>
      </c>
      <c r="L1466" s="3"/>
      <c r="M1466" s="7">
        <v>42</v>
      </c>
      <c r="N1466" s="7">
        <v>0</v>
      </c>
    </row>
    <row r="1467" spans="1:14" ht="14.25" x14ac:dyDescent="0.2">
      <c r="A1467" s="3">
        <v>88457</v>
      </c>
      <c r="B1467" s="3" t="s">
        <v>1827</v>
      </c>
      <c r="C1467" s="3" t="s">
        <v>18</v>
      </c>
      <c r="D1467" s="6" t="s">
        <v>1175</v>
      </c>
      <c r="E1467" s="6" t="s">
        <v>1175</v>
      </c>
      <c r="F1467" s="3" t="str">
        <f>IFERROR( VLOOKUP(A1467,#REF!,2,0),"")</f>
        <v/>
      </c>
      <c r="G1467" s="3">
        <f t="array" ref="G1467">_xlfn.XLOOKUP(I1467,Base_Datos!D:D,Base_Datos!B:B,"")</f>
        <v>0</v>
      </c>
      <c r="H1467" s="3" t="str">
        <f t="array" ref="H1467">IF(I1467="","",IFERROR(_xlfn.XLOOKUP(I1467,Base_Datos!$D$2:$D3876,Base_Datos!$C$2:$C3876),""))</f>
        <v/>
      </c>
      <c r="I1467" s="3"/>
      <c r="J1467" s="3" t="str">
        <f>IF(I1467="","",IFERROR(VLOOKUP(I1467,Base_Datos!$D$2:$E$72,2,0),""))</f>
        <v/>
      </c>
      <c r="K1467" s="3" t="s">
        <v>1782</v>
      </c>
      <c r="L1467" s="3"/>
      <c r="M1467" s="7">
        <v>23</v>
      </c>
      <c r="N1467" s="7">
        <v>0</v>
      </c>
    </row>
    <row r="1468" spans="1:14" ht="14.25" x14ac:dyDescent="0.2">
      <c r="A1468" s="3">
        <v>88458</v>
      </c>
      <c r="B1468" s="3" t="s">
        <v>3512</v>
      </c>
      <c r="C1468" s="3" t="s">
        <v>18</v>
      </c>
      <c r="D1468" s="6" t="s">
        <v>1155</v>
      </c>
      <c r="E1468" s="6" t="s">
        <v>1155</v>
      </c>
      <c r="F1468" s="3" t="str">
        <f>IFERROR( VLOOKUP(A1468,#REF!,2,0),"")</f>
        <v/>
      </c>
      <c r="G1468" s="3" t="str">
        <f t="array" ref="G1468">_xlfn.XLOOKUP(I1468,Base_Datos!D:D,Base_Datos!B:B,"")</f>
        <v>DFSK</v>
      </c>
      <c r="H1468" s="3" t="str">
        <f t="array" ref="H1468">IF(I1468="","",IFERROR(_xlfn.XLOOKUP(I1468,Base_Datos!$D$2:$D3876,Base_Datos!$C$2:$C3876),""))</f>
        <v>Serie D</v>
      </c>
      <c r="I1468" s="3" t="s">
        <v>145</v>
      </c>
      <c r="J1468" s="3" t="str">
        <f>IF(I1468="","",IFERROR(VLOOKUP(I1468,Base_Datos!$D$2:$E$72,2,0),""))</f>
        <v>(2.4L)</v>
      </c>
      <c r="K1468" s="3" t="s">
        <v>1782</v>
      </c>
      <c r="L1468" s="3"/>
      <c r="M1468" s="7">
        <v>10</v>
      </c>
      <c r="N1468" s="7">
        <v>0</v>
      </c>
    </row>
    <row r="1469" spans="1:14" ht="14.25" x14ac:dyDescent="0.2">
      <c r="A1469" s="3">
        <v>88459</v>
      </c>
      <c r="B1469" s="3" t="s">
        <v>3513</v>
      </c>
      <c r="C1469" s="3" t="s">
        <v>18</v>
      </c>
      <c r="D1469" s="6" t="s">
        <v>1069</v>
      </c>
      <c r="E1469" s="6" t="s">
        <v>1069</v>
      </c>
      <c r="F1469" s="3" t="str">
        <f>IFERROR( VLOOKUP(A1469,#REF!,2,0),"")</f>
        <v/>
      </c>
      <c r="G1469" s="3" t="str">
        <f t="array" ref="G1469">_xlfn.XLOOKUP(I1469,Base_Datos!D:D,Base_Datos!B:B,"")</f>
        <v>DFSK</v>
      </c>
      <c r="H1469" s="3" t="str">
        <f t="array" ref="H1469">IF(I1469="","",IFERROR(_xlfn.XLOOKUP(I1469,Base_Datos!$D$2:$D3876,Base_Datos!$C$2:$C3876),""))</f>
        <v>Serie D</v>
      </c>
      <c r="I1469" s="3" t="s">
        <v>145</v>
      </c>
      <c r="J1469" s="3" t="str">
        <f>IF(I1469="","",IFERROR(VLOOKUP(I1469,Base_Datos!$D$2:$E$72,2,0),""))</f>
        <v>(2.4L)</v>
      </c>
      <c r="K1469" s="3" t="s">
        <v>1782</v>
      </c>
      <c r="L1469" s="3"/>
      <c r="M1469" s="7">
        <v>20</v>
      </c>
      <c r="N1469" s="7">
        <v>0</v>
      </c>
    </row>
    <row r="1470" spans="1:14" ht="14.25" x14ac:dyDescent="0.2">
      <c r="A1470" s="3">
        <v>88460</v>
      </c>
      <c r="B1470" s="3" t="s">
        <v>3514</v>
      </c>
      <c r="C1470" s="3" t="s">
        <v>18</v>
      </c>
      <c r="D1470" s="6" t="s">
        <v>1091</v>
      </c>
      <c r="E1470" s="6" t="s">
        <v>1091</v>
      </c>
      <c r="F1470" s="3" t="str">
        <f>IFERROR( VLOOKUP(A1470,#REF!,2,0),"")</f>
        <v/>
      </c>
      <c r="G1470" s="3" t="str">
        <f t="array" ref="G1470">_xlfn.XLOOKUP(I1470,Base_Datos!D:D,Base_Datos!B:B,"")</f>
        <v>DFSK</v>
      </c>
      <c r="H1470" s="3" t="str">
        <f t="array" ref="H1470">IF(I1470="","",IFERROR(_xlfn.XLOOKUP(I1470,Base_Datos!$D$2:$D3876,Base_Datos!$C$2:$C3876),""))</f>
        <v>Serie D</v>
      </c>
      <c r="I1470" s="3" t="s">
        <v>145</v>
      </c>
      <c r="J1470" s="3" t="str">
        <f>IF(I1470="","",IFERROR(VLOOKUP(I1470,Base_Datos!$D$2:$E$72,2,0),""))</f>
        <v>(2.4L)</v>
      </c>
      <c r="K1470" s="3" t="s">
        <v>1782</v>
      </c>
      <c r="L1470" s="3"/>
      <c r="M1470" s="7">
        <v>160</v>
      </c>
      <c r="N1470" s="7">
        <v>0</v>
      </c>
    </row>
    <row r="1471" spans="1:14" ht="14.25" x14ac:dyDescent="0.2">
      <c r="A1471" s="3">
        <v>88461</v>
      </c>
      <c r="B1471" s="3" t="s">
        <v>3515</v>
      </c>
      <c r="C1471" s="3" t="s">
        <v>18</v>
      </c>
      <c r="D1471" s="6" t="s">
        <v>1039</v>
      </c>
      <c r="E1471" s="6" t="s">
        <v>1039</v>
      </c>
      <c r="F1471" s="3" t="str">
        <f>IFERROR( VLOOKUP(A1471,#REF!,2,0),"")</f>
        <v/>
      </c>
      <c r="G1471" s="3" t="str">
        <f t="array" ref="G1471">_xlfn.XLOOKUP(I1471,Base_Datos!D:D,Base_Datos!B:B,"")</f>
        <v>DFSK</v>
      </c>
      <c r="H1471" s="3" t="str">
        <f t="array" ref="H1471">IF(I1471="","",IFERROR(_xlfn.XLOOKUP(I1471,Base_Datos!$D$2:$D3876,Base_Datos!$C$2:$C3876),""))</f>
        <v>Serie D</v>
      </c>
      <c r="I1471" s="3" t="s">
        <v>145</v>
      </c>
      <c r="J1471" s="3" t="str">
        <f>IF(I1471="","",IFERROR(VLOOKUP(I1471,Base_Datos!$D$2:$E$72,2,0),""))</f>
        <v>(2.4L)</v>
      </c>
      <c r="K1471" s="3" t="s">
        <v>1782</v>
      </c>
      <c r="L1471" s="3"/>
      <c r="M1471" s="7">
        <v>120</v>
      </c>
      <c r="N1471" s="7">
        <v>0</v>
      </c>
    </row>
    <row r="1472" spans="1:14" ht="14.25" x14ac:dyDescent="0.2">
      <c r="A1472" s="3">
        <v>88462</v>
      </c>
      <c r="B1472" s="3" t="s">
        <v>3516</v>
      </c>
      <c r="C1472" s="3" t="s">
        <v>18</v>
      </c>
      <c r="D1472" s="6" t="s">
        <v>1150</v>
      </c>
      <c r="E1472" s="6" t="s">
        <v>1782</v>
      </c>
      <c r="F1472" s="3" t="str">
        <f>IFERROR( VLOOKUP(A1472,#REF!,2,0),"")</f>
        <v/>
      </c>
      <c r="G1472" s="3" t="str">
        <f t="array" ref="G1472">_xlfn.XLOOKUP(I1472,Base_Datos!D:D,Base_Datos!B:B,"")</f>
        <v>DFSK</v>
      </c>
      <c r="H1472" s="3" t="str">
        <f t="array" ref="H1472">IF(I1472="","",IFERROR(_xlfn.XLOOKUP(I1472,Base_Datos!$D$2:$D3876,Base_Datos!$C$2:$C3876),""))</f>
        <v>Serie D</v>
      </c>
      <c r="I1472" s="3" t="s">
        <v>145</v>
      </c>
      <c r="J1472" s="3" t="str">
        <f>IF(I1472="","",IFERROR(VLOOKUP(I1472,Base_Datos!$D$2:$E$72,2,0),""))</f>
        <v>(2.4L)</v>
      </c>
      <c r="K1472" s="3" t="s">
        <v>1782</v>
      </c>
      <c r="L1472" s="3"/>
      <c r="M1472" s="7">
        <v>20</v>
      </c>
      <c r="N1472" s="7">
        <v>0</v>
      </c>
    </row>
    <row r="1473" spans="1:14" ht="14.25" x14ac:dyDescent="0.2">
      <c r="A1473" s="3">
        <v>88463</v>
      </c>
      <c r="B1473" s="3" t="s">
        <v>3517</v>
      </c>
      <c r="C1473" s="3" t="s">
        <v>18</v>
      </c>
      <c r="D1473" s="6" t="s">
        <v>1055</v>
      </c>
      <c r="E1473" s="6" t="s">
        <v>1055</v>
      </c>
      <c r="F1473" s="3" t="str">
        <f>IFERROR( VLOOKUP(A1473,#REF!,2,0),"")</f>
        <v/>
      </c>
      <c r="G1473" s="3" t="str">
        <f t="array" ref="G1473">_xlfn.XLOOKUP(I1473,Base_Datos!D:D,Base_Datos!B:B,"")</f>
        <v>DFSK</v>
      </c>
      <c r="H1473" s="3" t="str">
        <f t="array" ref="H1473">IF(I1473="","",IFERROR(_xlfn.XLOOKUP(I1473,Base_Datos!$D$2:$D3876,Base_Datos!$C$2:$C3876),""))</f>
        <v>Serie D</v>
      </c>
      <c r="I1473" s="3" t="s">
        <v>145</v>
      </c>
      <c r="J1473" s="3" t="str">
        <f>IF(I1473="","",IFERROR(VLOOKUP(I1473,Base_Datos!$D$2:$E$72,2,0),""))</f>
        <v>(2.4L)</v>
      </c>
      <c r="K1473" s="3" t="s">
        <v>1782</v>
      </c>
      <c r="L1473" s="3"/>
      <c r="M1473" s="7">
        <v>20</v>
      </c>
      <c r="N1473" s="7">
        <v>0</v>
      </c>
    </row>
    <row r="1474" spans="1:14" ht="14.25" x14ac:dyDescent="0.2">
      <c r="A1474" s="3">
        <v>88464</v>
      </c>
      <c r="B1474" s="3" t="s">
        <v>3518</v>
      </c>
      <c r="C1474" s="3" t="s">
        <v>18</v>
      </c>
      <c r="D1474" s="6" t="s">
        <v>1037</v>
      </c>
      <c r="E1474" s="6" t="s">
        <v>1037</v>
      </c>
      <c r="F1474" s="3" t="str">
        <f>IFERROR( VLOOKUP(A1474,#REF!,2,0),"")</f>
        <v/>
      </c>
      <c r="G1474" s="3" t="str">
        <f t="array" ref="G1474">_xlfn.XLOOKUP(I1474,Base_Datos!D:D,Base_Datos!B:B,"")</f>
        <v>DFSK</v>
      </c>
      <c r="H1474" s="3" t="str">
        <f t="array" ref="H1474">IF(I1474="","",IFERROR(_xlfn.XLOOKUP(I1474,Base_Datos!$D$2:$D3876,Base_Datos!$C$2:$C3876),""))</f>
        <v>Serie D</v>
      </c>
      <c r="I1474" s="3" t="s">
        <v>145</v>
      </c>
      <c r="J1474" s="3" t="str">
        <f>IF(I1474="","",IFERROR(VLOOKUP(I1474,Base_Datos!$D$2:$E$72,2,0),""))</f>
        <v>(2.4L)</v>
      </c>
      <c r="K1474" s="3" t="s">
        <v>1782</v>
      </c>
      <c r="L1474" s="3"/>
      <c r="M1474" s="7">
        <v>200</v>
      </c>
      <c r="N1474" s="7">
        <v>0</v>
      </c>
    </row>
    <row r="1475" spans="1:14" ht="14.25" x14ac:dyDescent="0.2">
      <c r="A1475" s="3">
        <v>88465</v>
      </c>
      <c r="B1475" s="3" t="s">
        <v>3519</v>
      </c>
      <c r="C1475" s="3" t="s">
        <v>18</v>
      </c>
      <c r="D1475" s="6" t="s">
        <v>1134</v>
      </c>
      <c r="E1475" s="6" t="s">
        <v>1134</v>
      </c>
      <c r="F1475" s="3" t="str">
        <f>IFERROR( VLOOKUP(A1475,#REF!,2,0),"")</f>
        <v/>
      </c>
      <c r="G1475" s="3" t="str">
        <f t="array" ref="G1475">_xlfn.XLOOKUP(I1475,Base_Datos!D:D,Base_Datos!B:B,"")</f>
        <v>DFSK</v>
      </c>
      <c r="H1475" s="3" t="str">
        <f t="array" ref="H1475">IF(I1475="","",IFERROR(_xlfn.XLOOKUP(I1475,Base_Datos!$D$2:$D3876,Base_Datos!$C$2:$C3876),""))</f>
        <v>Serie D</v>
      </c>
      <c r="I1475" s="3" t="s">
        <v>145</v>
      </c>
      <c r="J1475" s="3" t="str">
        <f>IF(I1475="","",IFERROR(VLOOKUP(I1475,Base_Datos!$D$2:$E$72,2,0),""))</f>
        <v>(2.4L)</v>
      </c>
      <c r="K1475" s="3" t="s">
        <v>1782</v>
      </c>
      <c r="L1475" s="3"/>
      <c r="M1475" s="7">
        <v>100</v>
      </c>
      <c r="N1475" s="7">
        <v>0</v>
      </c>
    </row>
    <row r="1476" spans="1:14" ht="14.25" x14ac:dyDescent="0.2">
      <c r="A1476" s="3">
        <v>88466</v>
      </c>
      <c r="B1476" s="3" t="s">
        <v>3520</v>
      </c>
      <c r="C1476" s="3" t="s">
        <v>18</v>
      </c>
      <c r="D1476" s="6" t="s">
        <v>1121</v>
      </c>
      <c r="E1476" s="6" t="s">
        <v>1121</v>
      </c>
      <c r="F1476" s="3" t="str">
        <f>IFERROR( VLOOKUP(A1476,#REF!,2,0),"")</f>
        <v/>
      </c>
      <c r="G1476" s="3" t="str">
        <f t="array" ref="G1476">_xlfn.XLOOKUP(I1476,Base_Datos!D:D,Base_Datos!B:B,"")</f>
        <v>DFSK</v>
      </c>
      <c r="H1476" s="3" t="str">
        <f t="array" ref="H1476">IF(I1476="","",IFERROR(_xlfn.XLOOKUP(I1476,Base_Datos!$D$2:$D3876,Base_Datos!$C$2:$C3876),""))</f>
        <v>Serie D</v>
      </c>
      <c r="I1476" s="3" t="s">
        <v>145</v>
      </c>
      <c r="J1476" s="3" t="str">
        <f>IF(I1476="","",IFERROR(VLOOKUP(I1476,Base_Datos!$D$2:$E$72,2,0),""))</f>
        <v>(2.4L)</v>
      </c>
      <c r="K1476" s="3" t="s">
        <v>1782</v>
      </c>
      <c r="L1476" s="3"/>
      <c r="M1476" s="7">
        <v>5</v>
      </c>
      <c r="N1476" s="7">
        <v>0</v>
      </c>
    </row>
    <row r="1477" spans="1:14" ht="14.25" x14ac:dyDescent="0.2">
      <c r="A1477" s="3">
        <v>88467</v>
      </c>
      <c r="B1477" s="3" t="s">
        <v>3521</v>
      </c>
      <c r="C1477" s="3" t="s">
        <v>18</v>
      </c>
      <c r="D1477" s="6" t="s">
        <v>1040</v>
      </c>
      <c r="E1477" s="6" t="s">
        <v>1040</v>
      </c>
      <c r="F1477" s="3" t="str">
        <f>IFERROR( VLOOKUP(A1477,#REF!,2,0),"")</f>
        <v/>
      </c>
      <c r="G1477" s="3" t="str">
        <f t="array" ref="G1477">_xlfn.XLOOKUP(I1477,Base_Datos!D:D,Base_Datos!B:B,"")</f>
        <v>DFSK</v>
      </c>
      <c r="H1477" s="3" t="str">
        <f t="array" ref="H1477">IF(I1477="","",IFERROR(_xlfn.XLOOKUP(I1477,Base_Datos!$D$2:$D3876,Base_Datos!$C$2:$C3876),""))</f>
        <v>Serie D</v>
      </c>
      <c r="I1477" s="3" t="s">
        <v>145</v>
      </c>
      <c r="J1477" s="3" t="str">
        <f>IF(I1477="","",IFERROR(VLOOKUP(I1477,Base_Datos!$D$2:$E$72,2,0),""))</f>
        <v>(2.4L)</v>
      </c>
      <c r="K1477" s="3" t="s">
        <v>1782</v>
      </c>
      <c r="L1477" s="3"/>
      <c r="M1477" s="7">
        <v>40</v>
      </c>
      <c r="N1477" s="7">
        <v>0</v>
      </c>
    </row>
    <row r="1478" spans="1:14" ht="14.25" x14ac:dyDescent="0.2">
      <c r="A1478" s="3">
        <v>88468</v>
      </c>
      <c r="B1478" s="3" t="s">
        <v>3522</v>
      </c>
      <c r="C1478" s="3" t="s">
        <v>18</v>
      </c>
      <c r="D1478" s="6" t="s">
        <v>1047</v>
      </c>
      <c r="E1478" s="6" t="s">
        <v>1047</v>
      </c>
      <c r="F1478" s="3" t="str">
        <f>IFERROR( VLOOKUP(A1478,#REF!,2,0),"")</f>
        <v/>
      </c>
      <c r="G1478" s="3" t="str">
        <f t="array" ref="G1478">_xlfn.XLOOKUP(I1478,Base_Datos!D:D,Base_Datos!B:B,"")</f>
        <v>DFSK</v>
      </c>
      <c r="H1478" s="3" t="str">
        <f t="array" ref="H1478">IF(I1478="","",IFERROR(_xlfn.XLOOKUP(I1478,Base_Datos!$D$2:$D3876,Base_Datos!$C$2:$C3876),""))</f>
        <v>Serie D</v>
      </c>
      <c r="I1478" s="3" t="s">
        <v>145</v>
      </c>
      <c r="J1478" s="3" t="str">
        <f>IF(I1478="","",IFERROR(VLOOKUP(I1478,Base_Datos!$D$2:$E$72,2,0),""))</f>
        <v>(2.4L)</v>
      </c>
      <c r="K1478" s="3" t="s">
        <v>1782</v>
      </c>
      <c r="L1478" s="3"/>
      <c r="M1478" s="7">
        <v>20</v>
      </c>
      <c r="N1478" s="7">
        <v>0</v>
      </c>
    </row>
    <row r="1479" spans="1:14" ht="14.25" x14ac:dyDescent="0.2">
      <c r="A1479" s="3">
        <v>88469</v>
      </c>
      <c r="B1479" s="3" t="s">
        <v>2522</v>
      </c>
      <c r="C1479" s="3" t="s">
        <v>18</v>
      </c>
      <c r="D1479" s="6" t="s">
        <v>163</v>
      </c>
      <c r="E1479" s="6" t="s">
        <v>163</v>
      </c>
      <c r="F1479" s="3" t="str">
        <f>IFERROR( VLOOKUP(A1479,#REF!,2,0),"")</f>
        <v/>
      </c>
      <c r="G1479" s="3" t="str">
        <f t="array" ref="G1479">_xlfn.XLOOKUP(I1479,Base_Datos!D:D,Base_Datos!B:B,"")</f>
        <v>DFSK</v>
      </c>
      <c r="H1479" s="3" t="str">
        <f t="array" ref="H1479">IF(I1479="","",IFERROR(_xlfn.XLOOKUP(I1479,Base_Datos!$D$2:$D3876,Base_Datos!$C$2:$C3876),""))</f>
        <v>Serie D</v>
      </c>
      <c r="I1479" s="3" t="s">
        <v>145</v>
      </c>
      <c r="J1479" s="3" t="str">
        <f>IF(I1479="","",IFERROR(VLOOKUP(I1479,Base_Datos!$D$2:$E$72,2,0),""))</f>
        <v>(2.4L)</v>
      </c>
      <c r="K1479" s="3" t="s">
        <v>1782</v>
      </c>
      <c r="L1479" s="3"/>
      <c r="M1479" s="7">
        <v>33</v>
      </c>
      <c r="N1479" s="7">
        <v>0</v>
      </c>
    </row>
    <row r="1480" spans="1:14" ht="14.25" x14ac:dyDescent="0.2">
      <c r="A1480" s="3">
        <v>88470</v>
      </c>
      <c r="B1480" s="3" t="s">
        <v>3523</v>
      </c>
      <c r="C1480" s="3" t="s">
        <v>18</v>
      </c>
      <c r="D1480" s="6" t="s">
        <v>1104</v>
      </c>
      <c r="E1480" s="6" t="s">
        <v>3524</v>
      </c>
      <c r="F1480" s="3" t="str">
        <f>IFERROR( VLOOKUP(A1480,#REF!,2,0),"")</f>
        <v/>
      </c>
      <c r="G1480" s="3" t="str">
        <f t="array" ref="G1480">_xlfn.XLOOKUP(I1480,Base_Datos!D:D,Base_Datos!B:B,"")</f>
        <v>DFSK</v>
      </c>
      <c r="H1480" s="3" t="str">
        <f t="array" ref="H1480">IF(I1480="","",IFERROR(_xlfn.XLOOKUP(I1480,Base_Datos!$D$2:$D3876,Base_Datos!$C$2:$C3876),""))</f>
        <v>Serie D</v>
      </c>
      <c r="I1480" s="3" t="s">
        <v>145</v>
      </c>
      <c r="J1480" s="3" t="str">
        <f>IF(I1480="","",IFERROR(VLOOKUP(I1480,Base_Datos!$D$2:$E$72,2,0),""))</f>
        <v>(2.4L)</v>
      </c>
      <c r="K1480" s="3" t="s">
        <v>3375</v>
      </c>
      <c r="L1480" s="3"/>
      <c r="M1480" s="7">
        <v>4</v>
      </c>
      <c r="N1480" s="7">
        <v>0</v>
      </c>
    </row>
    <row r="1481" spans="1:14" ht="14.25" x14ac:dyDescent="0.2">
      <c r="A1481" s="3">
        <v>88471</v>
      </c>
      <c r="B1481" s="3" t="s">
        <v>3525</v>
      </c>
      <c r="C1481" s="3" t="s">
        <v>18</v>
      </c>
      <c r="D1481" s="6" t="s">
        <v>1151</v>
      </c>
      <c r="E1481" s="6" t="s">
        <v>1782</v>
      </c>
      <c r="F1481" s="3" t="str">
        <f>IFERROR( VLOOKUP(A1481,#REF!,2,0),"")</f>
        <v/>
      </c>
      <c r="G1481" s="3" t="str">
        <f t="array" ref="G1481">_xlfn.XLOOKUP(I1481,Base_Datos!D:D,Base_Datos!B:B,"")</f>
        <v>DFSK</v>
      </c>
      <c r="H1481" s="3" t="str">
        <f t="array" ref="H1481">IF(I1481="","",IFERROR(_xlfn.XLOOKUP(I1481,Base_Datos!$D$2:$D3876,Base_Datos!$C$2:$C3876),""))</f>
        <v>Serie D</v>
      </c>
      <c r="I1481" s="3" t="s">
        <v>145</v>
      </c>
      <c r="J1481" s="3" t="str">
        <f>IF(I1481="","",IFERROR(VLOOKUP(I1481,Base_Datos!$D$2:$E$72,2,0),""))</f>
        <v>(2.4L)</v>
      </c>
      <c r="K1481" s="3" t="s">
        <v>1782</v>
      </c>
      <c r="L1481" s="3"/>
      <c r="M1481" s="7">
        <v>20</v>
      </c>
      <c r="N1481" s="7">
        <v>0</v>
      </c>
    </row>
    <row r="1482" spans="1:14" ht="14.25" x14ac:dyDescent="0.2">
      <c r="A1482" s="3">
        <v>88472</v>
      </c>
      <c r="B1482" s="3" t="s">
        <v>3526</v>
      </c>
      <c r="C1482" s="3" t="s">
        <v>18</v>
      </c>
      <c r="D1482" s="6" t="s">
        <v>1048</v>
      </c>
      <c r="E1482" s="6" t="s">
        <v>1048</v>
      </c>
      <c r="F1482" s="3" t="str">
        <f>IFERROR( VLOOKUP(A1482,#REF!,2,0),"")</f>
        <v/>
      </c>
      <c r="G1482" s="3" t="str">
        <f t="array" ref="G1482">_xlfn.XLOOKUP(I1482,Base_Datos!D:D,Base_Datos!B:B,"")</f>
        <v>DFSK</v>
      </c>
      <c r="H1482" s="3" t="str">
        <f t="array" ref="H1482">IF(I1482="","",IFERROR(_xlfn.XLOOKUP(I1482,Base_Datos!$D$2:$D3876,Base_Datos!$C$2:$C3876),""))</f>
        <v>Serie D</v>
      </c>
      <c r="I1482" s="3" t="s">
        <v>145</v>
      </c>
      <c r="J1482" s="3" t="str">
        <f>IF(I1482="","",IFERROR(VLOOKUP(I1482,Base_Datos!$D$2:$E$72,2,0),""))</f>
        <v>(2.4L)</v>
      </c>
      <c r="K1482" s="3" t="s">
        <v>1782</v>
      </c>
      <c r="L1482" s="3"/>
      <c r="M1482" s="7">
        <v>20</v>
      </c>
      <c r="N1482" s="7">
        <v>0</v>
      </c>
    </row>
    <row r="1483" spans="1:14" ht="14.25" x14ac:dyDescent="0.2">
      <c r="A1483" s="3">
        <v>88473</v>
      </c>
      <c r="B1483" s="3" t="s">
        <v>3527</v>
      </c>
      <c r="C1483" s="3" t="s">
        <v>18</v>
      </c>
      <c r="D1483" s="6" t="s">
        <v>1056</v>
      </c>
      <c r="E1483" s="6" t="s">
        <v>1056</v>
      </c>
      <c r="F1483" s="3" t="str">
        <f>IFERROR( VLOOKUP(A1483,#REF!,2,0),"")</f>
        <v/>
      </c>
      <c r="G1483" s="3" t="str">
        <f t="array" ref="G1483">_xlfn.XLOOKUP(I1483,Base_Datos!D:D,Base_Datos!B:B,"")</f>
        <v>DFSK</v>
      </c>
      <c r="H1483" s="3" t="str">
        <f t="array" ref="H1483">IF(I1483="","",IFERROR(_xlfn.XLOOKUP(I1483,Base_Datos!$D$2:$D3876,Base_Datos!$C$2:$C3876),""))</f>
        <v>Serie D</v>
      </c>
      <c r="I1483" s="3" t="s">
        <v>145</v>
      </c>
      <c r="J1483" s="3" t="str">
        <f>IF(I1483="","",IFERROR(VLOOKUP(I1483,Base_Datos!$D$2:$E$72,2,0),""))</f>
        <v>(2.4L)</v>
      </c>
      <c r="K1483" s="3" t="s">
        <v>1782</v>
      </c>
      <c r="L1483" s="3"/>
      <c r="M1483" s="7">
        <v>29</v>
      </c>
      <c r="N1483" s="7">
        <v>0</v>
      </c>
    </row>
    <row r="1484" spans="1:14" ht="14.25" x14ac:dyDescent="0.2">
      <c r="A1484" s="3">
        <v>88474</v>
      </c>
      <c r="B1484" s="3" t="s">
        <v>3528</v>
      </c>
      <c r="C1484" s="3" t="s">
        <v>18</v>
      </c>
      <c r="D1484" s="6" t="s">
        <v>3529</v>
      </c>
      <c r="E1484" s="6" t="s">
        <v>3529</v>
      </c>
      <c r="F1484" s="3" t="str">
        <f>IFERROR( VLOOKUP(A1484,#REF!,2,0),"")</f>
        <v/>
      </c>
      <c r="G1484" s="3" t="str">
        <f t="array" ref="G1484">_xlfn.XLOOKUP(I1484,Base_Datos!D:D,Base_Datos!B:B,"")</f>
        <v>DFSK</v>
      </c>
      <c r="H1484" s="3" t="str">
        <f t="array" ref="H1484">IF(I1484="","",IFERROR(_xlfn.XLOOKUP(I1484,Base_Datos!$D$2:$D3876,Base_Datos!$C$2:$C3876),""))</f>
        <v>Serie D</v>
      </c>
      <c r="I1484" s="3" t="s">
        <v>145</v>
      </c>
      <c r="J1484" s="3" t="str">
        <f>IF(I1484="","",IFERROR(VLOOKUP(I1484,Base_Datos!$D$2:$E$72,2,0),""))</f>
        <v>(2.4L)</v>
      </c>
      <c r="K1484" s="3" t="s">
        <v>1782</v>
      </c>
      <c r="L1484" s="3"/>
      <c r="M1484" s="7">
        <v>81</v>
      </c>
      <c r="N1484" s="7">
        <v>0</v>
      </c>
    </row>
    <row r="1485" spans="1:14" ht="14.25" x14ac:dyDescent="0.2">
      <c r="A1485" s="3">
        <v>88475</v>
      </c>
      <c r="B1485" s="3" t="s">
        <v>3530</v>
      </c>
      <c r="C1485" s="3" t="s">
        <v>18</v>
      </c>
      <c r="D1485" s="6" t="s">
        <v>3531</v>
      </c>
      <c r="E1485" s="6" t="s">
        <v>3531</v>
      </c>
      <c r="F1485" s="3" t="str">
        <f>IFERROR( VLOOKUP(A1485,#REF!,2,0),"")</f>
        <v/>
      </c>
      <c r="G1485" s="3" t="str">
        <f t="array" ref="G1485">_xlfn.XLOOKUP(I1485,Base_Datos!D:D,Base_Datos!B:B,"")</f>
        <v>DFSK</v>
      </c>
      <c r="H1485" s="3" t="str">
        <f t="array" ref="H1485">IF(I1485="","",IFERROR(_xlfn.XLOOKUP(I1485,Base_Datos!$D$2:$D3876,Base_Datos!$C$2:$C3876),""))</f>
        <v>Serie D</v>
      </c>
      <c r="I1485" s="3" t="s">
        <v>145</v>
      </c>
      <c r="J1485" s="3" t="str">
        <f>IF(I1485="","",IFERROR(VLOOKUP(I1485,Base_Datos!$D$2:$E$72,2,0),""))</f>
        <v>(2.4L)</v>
      </c>
      <c r="K1485" s="3" t="s">
        <v>1782</v>
      </c>
      <c r="L1485" s="3"/>
      <c r="M1485" s="7">
        <v>81</v>
      </c>
      <c r="N1485" s="7">
        <v>0</v>
      </c>
    </row>
    <row r="1486" spans="1:14" ht="14.25" x14ac:dyDescent="0.2">
      <c r="A1486" s="3">
        <v>88476</v>
      </c>
      <c r="B1486" s="3" t="s">
        <v>3532</v>
      </c>
      <c r="C1486" s="3" t="s">
        <v>18</v>
      </c>
      <c r="D1486" s="6" t="s">
        <v>1032</v>
      </c>
      <c r="E1486" s="6" t="s">
        <v>1032</v>
      </c>
      <c r="F1486" s="3" t="str">
        <f>IFERROR( VLOOKUP(A1486,#REF!,2,0),"")</f>
        <v/>
      </c>
      <c r="G1486" s="3" t="str">
        <f t="array" ref="G1486">_xlfn.XLOOKUP(I1486,Base_Datos!D:D,Base_Datos!B:B,"")</f>
        <v>DFSK</v>
      </c>
      <c r="H1486" s="3" t="str">
        <f t="array" ref="H1486">IF(I1486="","",IFERROR(_xlfn.XLOOKUP(I1486,Base_Datos!$D$2:$D3876,Base_Datos!$C$2:$C3876),""))</f>
        <v>Serie D</v>
      </c>
      <c r="I1486" s="3" t="s">
        <v>145</v>
      </c>
      <c r="J1486" s="3" t="str">
        <f>IF(I1486="","",IFERROR(VLOOKUP(I1486,Base_Datos!$D$2:$E$72,2,0),""))</f>
        <v>(2.4L)</v>
      </c>
      <c r="K1486" s="3" t="s">
        <v>1782</v>
      </c>
      <c r="L1486" s="3"/>
      <c r="M1486" s="7">
        <v>0</v>
      </c>
      <c r="N1486" s="7">
        <v>0</v>
      </c>
    </row>
    <row r="1487" spans="1:14" ht="14.25" x14ac:dyDescent="0.2">
      <c r="A1487" s="3">
        <v>88477</v>
      </c>
      <c r="B1487" s="3" t="s">
        <v>3533</v>
      </c>
      <c r="C1487" s="3" t="s">
        <v>18</v>
      </c>
      <c r="D1487" s="6" t="s">
        <v>1033</v>
      </c>
      <c r="E1487" s="6" t="s">
        <v>2471</v>
      </c>
      <c r="F1487" s="3" t="str">
        <f>IFERROR( VLOOKUP(A1487,#REF!,2,0),"")</f>
        <v/>
      </c>
      <c r="G1487" s="3" t="str">
        <f t="array" ref="G1487">_xlfn.XLOOKUP(I1487,Base_Datos!D:D,Base_Datos!B:B,"")</f>
        <v>DFSK</v>
      </c>
      <c r="H1487" s="3" t="str">
        <f t="array" ref="H1487">IF(I1487="","",IFERROR(_xlfn.XLOOKUP(I1487,Base_Datos!$D$2:$D3876,Base_Datos!$C$2:$C3876),""))</f>
        <v>Serie D</v>
      </c>
      <c r="I1487" s="3" t="s">
        <v>145</v>
      </c>
      <c r="J1487" s="3" t="str">
        <f>IF(I1487="","",IFERROR(VLOOKUP(I1487,Base_Datos!$D$2:$E$72,2,0),""))</f>
        <v>(2.4L)</v>
      </c>
      <c r="K1487" s="3" t="s">
        <v>1782</v>
      </c>
      <c r="L1487" s="3"/>
      <c r="M1487" s="7">
        <v>45</v>
      </c>
      <c r="N1487" s="7">
        <v>0</v>
      </c>
    </row>
    <row r="1488" spans="1:14" ht="14.25" x14ac:dyDescent="0.2">
      <c r="A1488" s="3">
        <v>88478</v>
      </c>
      <c r="B1488" s="3" t="s">
        <v>3534</v>
      </c>
      <c r="C1488" s="3" t="s">
        <v>18</v>
      </c>
      <c r="D1488" s="6" t="s">
        <v>1030</v>
      </c>
      <c r="E1488" s="6" t="s">
        <v>1030</v>
      </c>
      <c r="F1488" s="3" t="str">
        <f>IFERROR( VLOOKUP(A1488,#REF!,2,0),"")</f>
        <v/>
      </c>
      <c r="G1488" s="3" t="str">
        <f t="array" ref="G1488">_xlfn.XLOOKUP(I1488,Base_Datos!D:D,Base_Datos!B:B,"")</f>
        <v>DFSK</v>
      </c>
      <c r="H1488" s="3" t="str">
        <f t="array" ref="H1488">IF(I1488="","",IFERROR(_xlfn.XLOOKUP(I1488,Base_Datos!$D$2:$D3876,Base_Datos!$C$2:$C3876),""))</f>
        <v>Serie D</v>
      </c>
      <c r="I1488" s="3" t="s">
        <v>145</v>
      </c>
      <c r="J1488" s="3" t="str">
        <f>IF(I1488="","",IFERROR(VLOOKUP(I1488,Base_Datos!$D$2:$E$72,2,0),""))</f>
        <v>(2.4L)</v>
      </c>
      <c r="K1488" s="3" t="s">
        <v>1782</v>
      </c>
      <c r="L1488" s="3"/>
      <c r="M1488" s="7">
        <v>116</v>
      </c>
      <c r="N1488" s="7">
        <v>0</v>
      </c>
    </row>
    <row r="1489" spans="1:14" ht="14.25" x14ac:dyDescent="0.2">
      <c r="A1489" s="3">
        <v>88479</v>
      </c>
      <c r="B1489" s="3" t="s">
        <v>3535</v>
      </c>
      <c r="C1489" s="3" t="s">
        <v>18</v>
      </c>
      <c r="D1489" s="6" t="s">
        <v>1085</v>
      </c>
      <c r="E1489" s="6" t="s">
        <v>1085</v>
      </c>
      <c r="F1489" s="3" t="str">
        <f>IFERROR( VLOOKUP(A1489,#REF!,2,0),"")</f>
        <v/>
      </c>
      <c r="G1489" s="3" t="str">
        <f t="array" ref="G1489">_xlfn.XLOOKUP(I1489,Base_Datos!D:D,Base_Datos!B:B,"")</f>
        <v>DFSK</v>
      </c>
      <c r="H1489" s="3" t="str">
        <f t="array" ref="H1489">IF(I1489="","",IFERROR(_xlfn.XLOOKUP(I1489,Base_Datos!$D$2:$D3876,Base_Datos!$C$2:$C3876),""))</f>
        <v>Serie D</v>
      </c>
      <c r="I1489" s="3" t="s">
        <v>145</v>
      </c>
      <c r="J1489" s="3" t="str">
        <f>IF(I1489="","",IFERROR(VLOOKUP(I1489,Base_Datos!$D$2:$E$72,2,0),""))</f>
        <v>(2.4L)</v>
      </c>
      <c r="K1489" s="3" t="s">
        <v>1782</v>
      </c>
      <c r="L1489" s="3"/>
      <c r="M1489" s="7">
        <v>40</v>
      </c>
      <c r="N1489" s="7">
        <v>0</v>
      </c>
    </row>
    <row r="1490" spans="1:14" ht="14.25" x14ac:dyDescent="0.2">
      <c r="A1490" s="3">
        <v>88737</v>
      </c>
      <c r="B1490" s="3" t="s">
        <v>3536</v>
      </c>
      <c r="C1490" s="3" t="s">
        <v>18</v>
      </c>
      <c r="D1490" s="6" t="s">
        <v>952</v>
      </c>
      <c r="E1490" s="6" t="s">
        <v>952</v>
      </c>
      <c r="F1490" s="3" t="str">
        <f>IFERROR( VLOOKUP(A1490,#REF!,2,0),"")</f>
        <v/>
      </c>
      <c r="G1490" s="3" t="str">
        <f t="array" ref="G1490">_xlfn.XLOOKUP(I1490,Base_Datos!D:D,Base_Datos!B:B,"")</f>
        <v>DFSK</v>
      </c>
      <c r="H1490" s="3" t="str">
        <f t="array" ref="H1490">IF(I1490="","",IFERROR(_xlfn.XLOOKUP(I1490,Base_Datos!$D$2:$D3876,Base_Datos!$C$2:$C3876),""))</f>
        <v>Serie K</v>
      </c>
      <c r="I1490" s="3" t="s">
        <v>1762</v>
      </c>
      <c r="J1490" s="3" t="str">
        <f>IF(I1490="","",IFERROR(VLOOKUP(I1490,Base_Datos!$D$2:$E$72,2,0),""))</f>
        <v>(1.1L)</v>
      </c>
      <c r="K1490" s="3" t="s">
        <v>1782</v>
      </c>
      <c r="L1490" s="3"/>
      <c r="M1490" s="7">
        <v>17</v>
      </c>
      <c r="N1490" s="7">
        <v>0</v>
      </c>
    </row>
    <row r="1491" spans="1:14" ht="14.25" x14ac:dyDescent="0.2">
      <c r="A1491" s="3">
        <v>88738</v>
      </c>
      <c r="B1491" s="3" t="s">
        <v>3537</v>
      </c>
      <c r="C1491" s="3" t="s">
        <v>18</v>
      </c>
      <c r="D1491" s="6" t="s">
        <v>953</v>
      </c>
      <c r="E1491" s="6" t="s">
        <v>953</v>
      </c>
      <c r="F1491" s="3" t="str">
        <f>IFERROR( VLOOKUP(A1491,#REF!,2,0),"")</f>
        <v/>
      </c>
      <c r="G1491" s="3" t="str">
        <f t="array" ref="G1491">_xlfn.XLOOKUP(I1491,Base_Datos!D:D,Base_Datos!B:B,"")</f>
        <v>DFSK</v>
      </c>
      <c r="H1491" s="3" t="str">
        <f t="array" ref="H1491">IF(I1491="","",IFERROR(_xlfn.XLOOKUP(I1491,Base_Datos!$D$2:$D3876,Base_Datos!$C$2:$C3876),""))</f>
        <v>Serie K</v>
      </c>
      <c r="I1491" s="3" t="s">
        <v>1762</v>
      </c>
      <c r="J1491" s="3" t="str">
        <f>IF(I1491="","",IFERROR(VLOOKUP(I1491,Base_Datos!$D$2:$E$72,2,0),""))</f>
        <v>(1.1L)</v>
      </c>
      <c r="K1491" s="3" t="s">
        <v>1782</v>
      </c>
      <c r="L1491" s="3"/>
      <c r="M1491" s="7">
        <v>14</v>
      </c>
      <c r="N1491" s="7">
        <v>0</v>
      </c>
    </row>
    <row r="1492" spans="1:14" ht="14.25" x14ac:dyDescent="0.2">
      <c r="A1492" s="3">
        <v>88739</v>
      </c>
      <c r="B1492" s="3" t="s">
        <v>3538</v>
      </c>
      <c r="C1492" s="3" t="s">
        <v>18</v>
      </c>
      <c r="D1492" s="6" t="s">
        <v>954</v>
      </c>
      <c r="E1492" s="6" t="s">
        <v>954</v>
      </c>
      <c r="F1492" s="3" t="str">
        <f>IFERROR( VLOOKUP(A1492,#REF!,2,0),"")</f>
        <v/>
      </c>
      <c r="G1492" s="3" t="str">
        <f t="array" ref="G1492">_xlfn.XLOOKUP(I1492,Base_Datos!D:D,Base_Datos!B:B,"")</f>
        <v>DFSK</v>
      </c>
      <c r="H1492" s="3" t="str">
        <f t="array" ref="H1492">IF(I1492="","",IFERROR(_xlfn.XLOOKUP(I1492,Base_Datos!$D$2:$D3876,Base_Datos!$C$2:$C3876),""))</f>
        <v>Serie K</v>
      </c>
      <c r="I1492" s="3" t="s">
        <v>1762</v>
      </c>
      <c r="J1492" s="3" t="str">
        <f>IF(I1492="","",IFERROR(VLOOKUP(I1492,Base_Datos!$D$2:$E$72,2,0),""))</f>
        <v>(1.1L)</v>
      </c>
      <c r="K1492" s="3" t="s">
        <v>1782</v>
      </c>
      <c r="L1492" s="3"/>
      <c r="M1492" s="7">
        <v>7</v>
      </c>
      <c r="N1492" s="7">
        <v>0</v>
      </c>
    </row>
    <row r="1493" spans="1:14" ht="14.25" x14ac:dyDescent="0.2">
      <c r="A1493" s="3">
        <v>88740</v>
      </c>
      <c r="B1493" s="3" t="s">
        <v>3539</v>
      </c>
      <c r="C1493" s="3" t="s">
        <v>18</v>
      </c>
      <c r="D1493" s="6" t="s">
        <v>955</v>
      </c>
      <c r="E1493" s="6" t="s">
        <v>955</v>
      </c>
      <c r="F1493" s="3" t="str">
        <f>IFERROR( VLOOKUP(A1493,#REF!,2,0),"")</f>
        <v/>
      </c>
      <c r="G1493" s="3" t="str">
        <f t="array" ref="G1493">_xlfn.XLOOKUP(I1493,Base_Datos!D:D,Base_Datos!B:B,"")</f>
        <v>DFSK</v>
      </c>
      <c r="H1493" s="3" t="str">
        <f t="array" ref="H1493">IF(I1493="","",IFERROR(_xlfn.XLOOKUP(I1493,Base_Datos!$D$2:$D3876,Base_Datos!$C$2:$C3876),""))</f>
        <v>Serie K</v>
      </c>
      <c r="I1493" s="3" t="s">
        <v>1762</v>
      </c>
      <c r="J1493" s="3" t="str">
        <f>IF(I1493="","",IFERROR(VLOOKUP(I1493,Base_Datos!$D$2:$E$72,2,0),""))</f>
        <v>(1.1L)</v>
      </c>
      <c r="K1493" s="3" t="s">
        <v>1782</v>
      </c>
      <c r="L1493" s="3"/>
      <c r="M1493" s="7">
        <v>4</v>
      </c>
      <c r="N1493" s="7">
        <v>0</v>
      </c>
    </row>
    <row r="1494" spans="1:14" ht="14.25" x14ac:dyDescent="0.2">
      <c r="A1494" s="3">
        <v>88741</v>
      </c>
      <c r="B1494" s="3" t="s">
        <v>3540</v>
      </c>
      <c r="C1494" s="3" t="s">
        <v>18</v>
      </c>
      <c r="D1494" s="6" t="s">
        <v>956</v>
      </c>
      <c r="E1494" s="6" t="s">
        <v>956</v>
      </c>
      <c r="F1494" s="3" t="str">
        <f>IFERROR( VLOOKUP(A1494,#REF!,2,0),"")</f>
        <v/>
      </c>
      <c r="G1494" s="3" t="str">
        <f t="array" ref="G1494">_xlfn.XLOOKUP(I1494,Base_Datos!D:D,Base_Datos!B:B,"")</f>
        <v>DFSK</v>
      </c>
      <c r="H1494" s="3" t="str">
        <f t="array" ref="H1494">IF(I1494="","",IFERROR(_xlfn.XLOOKUP(I1494,Base_Datos!$D$2:$D3876,Base_Datos!$C$2:$C3876),""))</f>
        <v>Serie K</v>
      </c>
      <c r="I1494" s="3" t="s">
        <v>1762</v>
      </c>
      <c r="J1494" s="3" t="str">
        <f>IF(I1494="","",IFERROR(VLOOKUP(I1494,Base_Datos!$D$2:$E$72,2,0),""))</f>
        <v>(1.1L)</v>
      </c>
      <c r="K1494" s="3" t="s">
        <v>1782</v>
      </c>
      <c r="L1494" s="3"/>
      <c r="M1494" s="7">
        <v>12</v>
      </c>
      <c r="N1494" s="7">
        <v>0</v>
      </c>
    </row>
    <row r="1495" spans="1:14" ht="14.25" x14ac:dyDescent="0.2">
      <c r="A1495" s="3">
        <v>88742</v>
      </c>
      <c r="B1495" s="3" t="s">
        <v>3541</v>
      </c>
      <c r="C1495" s="3" t="s">
        <v>18</v>
      </c>
      <c r="D1495" s="6" t="s">
        <v>957</v>
      </c>
      <c r="E1495" s="6" t="s">
        <v>957</v>
      </c>
      <c r="F1495" s="3" t="str">
        <f>IFERROR( VLOOKUP(A1495,#REF!,2,0),"")</f>
        <v/>
      </c>
      <c r="G1495" s="3" t="str">
        <f t="array" ref="G1495">_xlfn.XLOOKUP(I1495,Base_Datos!D:D,Base_Datos!B:B,"")</f>
        <v>DFSK</v>
      </c>
      <c r="H1495" s="3" t="str">
        <f t="array" ref="H1495">IF(I1495="","",IFERROR(_xlfn.XLOOKUP(I1495,Base_Datos!$D$2:$D3876,Base_Datos!$C$2:$C3876),""))</f>
        <v>Serie K</v>
      </c>
      <c r="I1495" s="3" t="s">
        <v>1762</v>
      </c>
      <c r="J1495" s="3" t="str">
        <f>IF(I1495="","",IFERROR(VLOOKUP(I1495,Base_Datos!$D$2:$E$72,2,0),""))</f>
        <v>(1.1L)</v>
      </c>
      <c r="K1495" s="3" t="s">
        <v>1782</v>
      </c>
      <c r="L1495" s="3"/>
      <c r="M1495" s="7">
        <v>0</v>
      </c>
      <c r="N1495" s="7">
        <v>0</v>
      </c>
    </row>
    <row r="1496" spans="1:14" ht="14.25" x14ac:dyDescent="0.2">
      <c r="A1496" s="3">
        <v>88743</v>
      </c>
      <c r="B1496" s="3" t="s">
        <v>3542</v>
      </c>
      <c r="C1496" s="3" t="s">
        <v>18</v>
      </c>
      <c r="D1496" s="6" t="s">
        <v>958</v>
      </c>
      <c r="E1496" s="6" t="s">
        <v>3543</v>
      </c>
      <c r="F1496" s="3" t="str">
        <f>IFERROR( VLOOKUP(A1496,#REF!,2,0),"")</f>
        <v/>
      </c>
      <c r="G1496" s="3" t="str">
        <f t="array" ref="G1496">_xlfn.XLOOKUP(I1496,Base_Datos!D:D,Base_Datos!B:B,"")</f>
        <v>DFSK</v>
      </c>
      <c r="H1496" s="3" t="str">
        <f t="array" ref="H1496">IF(I1496="","",IFERROR(_xlfn.XLOOKUP(I1496,Base_Datos!$D$2:$D3876,Base_Datos!$C$2:$C3876),""))</f>
        <v>Serie K</v>
      </c>
      <c r="I1496" s="3" t="s">
        <v>1762</v>
      </c>
      <c r="J1496" s="3" t="str">
        <f>IF(I1496="","",IFERROR(VLOOKUP(I1496,Base_Datos!$D$2:$E$72,2,0),""))</f>
        <v>(1.1L)</v>
      </c>
      <c r="K1496" s="3" t="s">
        <v>1782</v>
      </c>
      <c r="L1496" s="3"/>
      <c r="M1496" s="7">
        <v>17</v>
      </c>
      <c r="N1496" s="7">
        <v>0</v>
      </c>
    </row>
    <row r="1497" spans="1:14" ht="14.25" x14ac:dyDescent="0.2">
      <c r="A1497" s="3">
        <v>88744</v>
      </c>
      <c r="B1497" s="3" t="s">
        <v>3544</v>
      </c>
      <c r="C1497" s="3" t="s">
        <v>18</v>
      </c>
      <c r="D1497" s="6" t="s">
        <v>959</v>
      </c>
      <c r="E1497" s="6" t="s">
        <v>959</v>
      </c>
      <c r="F1497" s="3" t="str">
        <f>IFERROR( VLOOKUP(A1497,#REF!,2,0),"")</f>
        <v/>
      </c>
      <c r="G1497" s="3" t="str">
        <f t="array" ref="G1497">_xlfn.XLOOKUP(I1497,Base_Datos!D:D,Base_Datos!B:B,"")</f>
        <v>DFSK</v>
      </c>
      <c r="H1497" s="3" t="str">
        <f t="array" ref="H1497">IF(I1497="","",IFERROR(_xlfn.XLOOKUP(I1497,Base_Datos!$D$2:$D3876,Base_Datos!$C$2:$C3876),""))</f>
        <v>Serie K</v>
      </c>
      <c r="I1497" s="3" t="s">
        <v>1762</v>
      </c>
      <c r="J1497" s="3" t="str">
        <f>IF(I1497="","",IFERROR(VLOOKUP(I1497,Base_Datos!$D$2:$E$72,2,0),""))</f>
        <v>(1.1L)</v>
      </c>
      <c r="K1497" s="3" t="s">
        <v>1782</v>
      </c>
      <c r="L1497" s="3"/>
      <c r="M1497" s="7">
        <v>11</v>
      </c>
      <c r="N1497" s="7">
        <v>0</v>
      </c>
    </row>
    <row r="1498" spans="1:14" ht="14.25" x14ac:dyDescent="0.2">
      <c r="A1498" s="3">
        <v>88745</v>
      </c>
      <c r="B1498" s="3" t="s">
        <v>2263</v>
      </c>
      <c r="C1498" s="3" t="s">
        <v>18</v>
      </c>
      <c r="D1498" s="6" t="s">
        <v>960</v>
      </c>
      <c r="E1498" s="6" t="s">
        <v>960</v>
      </c>
      <c r="F1498" s="3" t="str">
        <f>IFERROR( VLOOKUP(A1498,#REF!,2,0),"")</f>
        <v/>
      </c>
      <c r="G1498" s="3" t="str">
        <f t="array" ref="G1498">_xlfn.XLOOKUP(I1498,Base_Datos!D:D,Base_Datos!B:B,"")</f>
        <v>DFSK</v>
      </c>
      <c r="H1498" s="3" t="str">
        <f t="array" ref="H1498">IF(I1498="","",IFERROR(_xlfn.XLOOKUP(I1498,Base_Datos!$D$2:$D3876,Base_Datos!$C$2:$C3876),""))</f>
        <v>Serie K</v>
      </c>
      <c r="I1498" s="3" t="s">
        <v>1762</v>
      </c>
      <c r="J1498" s="3" t="str">
        <f>IF(I1498="","",IFERROR(VLOOKUP(I1498,Base_Datos!$D$2:$E$72,2,0),""))</f>
        <v>(1.1L)</v>
      </c>
      <c r="K1498" s="3" t="s">
        <v>1782</v>
      </c>
      <c r="L1498" s="3"/>
      <c r="M1498" s="7">
        <v>14</v>
      </c>
      <c r="N1498" s="7">
        <v>0</v>
      </c>
    </row>
    <row r="1499" spans="1:14" ht="14.25" x14ac:dyDescent="0.2">
      <c r="A1499" s="3">
        <v>88746</v>
      </c>
      <c r="B1499" s="9" t="s">
        <v>2275</v>
      </c>
      <c r="C1499" s="3" t="s">
        <v>18</v>
      </c>
      <c r="D1499" s="6" t="s">
        <v>179</v>
      </c>
      <c r="E1499" s="6" t="s">
        <v>521</v>
      </c>
      <c r="F1499" s="3" t="str">
        <f>IFERROR( VLOOKUP(A1499,#REF!,2,0),"")</f>
        <v/>
      </c>
      <c r="G1499" s="3" t="str">
        <f t="array" ref="G1499">_xlfn.XLOOKUP(I1499,Base_Datos!D:D,Base_Datos!B:B,"")</f>
        <v>DFSK</v>
      </c>
      <c r="H1499" s="3" t="str">
        <f t="array" ref="H1499">IF(I1499="","",IFERROR(_xlfn.XLOOKUP(I1499,Base_Datos!$D$2:$D3876,Base_Datos!$C$2:$C3876),""))</f>
        <v>Serie Glory</v>
      </c>
      <c r="I1499" s="3" t="s">
        <v>1754</v>
      </c>
      <c r="J1499" s="3" t="str">
        <f>IF(I1499="","",IFERROR(VLOOKUP(I1499,Base_Datos!$D$2:$E$72,2,0),""))</f>
        <v>(1.5L)</v>
      </c>
      <c r="K1499" s="3" t="s">
        <v>1782</v>
      </c>
      <c r="L1499" s="3"/>
      <c r="M1499" s="7">
        <v>21</v>
      </c>
      <c r="N1499" s="7">
        <v>0</v>
      </c>
    </row>
    <row r="1500" spans="1:14" ht="14.25" x14ac:dyDescent="0.2">
      <c r="A1500" s="3">
        <v>88747</v>
      </c>
      <c r="B1500" s="3" t="s">
        <v>3013</v>
      </c>
      <c r="C1500" s="3" t="s">
        <v>5</v>
      </c>
      <c r="D1500" s="6" t="s">
        <v>180</v>
      </c>
      <c r="E1500" s="6" t="s">
        <v>3545</v>
      </c>
      <c r="F1500" s="3" t="str">
        <f>IFERROR( VLOOKUP(A1500,#REF!,2,0),"")</f>
        <v/>
      </c>
      <c r="G1500" s="3" t="str">
        <f t="array" ref="G1500">_xlfn.XLOOKUP(I1500,Base_Datos!D:D,Base_Datos!B:B,"")</f>
        <v>DFSK</v>
      </c>
      <c r="H1500" s="3" t="str">
        <f t="array" ref="H1500">IF(I1500="","",IFERROR(_xlfn.XLOOKUP(I1500,Base_Datos!$D$2:$D3876,Base_Datos!$C$2:$C3876),""))</f>
        <v>Serie IX</v>
      </c>
      <c r="I1500" s="3" t="s">
        <v>1770</v>
      </c>
      <c r="J1500" s="3" t="str">
        <f>IF(I1500="","",IFERROR(VLOOKUP(I1500,Base_Datos!$D$2:$E$72,2,0),""))</f>
        <v>(1.5L)</v>
      </c>
      <c r="K1500" s="3" t="s">
        <v>1782</v>
      </c>
      <c r="L1500" s="3"/>
      <c r="M1500" s="7">
        <v>3</v>
      </c>
      <c r="N1500" s="7">
        <v>0</v>
      </c>
    </row>
    <row r="1501" spans="1:14" ht="14.25" x14ac:dyDescent="0.2">
      <c r="A1501" s="3">
        <v>88748</v>
      </c>
      <c r="B1501" s="3" t="s">
        <v>3546</v>
      </c>
      <c r="C1501" s="3" t="s">
        <v>5</v>
      </c>
      <c r="D1501" s="6" t="s">
        <v>181</v>
      </c>
      <c r="E1501" s="6" t="s">
        <v>3547</v>
      </c>
      <c r="F1501" s="3" t="str">
        <f>IFERROR( VLOOKUP(A1501,#REF!,2,0),"")</f>
        <v/>
      </c>
      <c r="G1501" s="3" t="str">
        <f t="array" ref="G1501">_xlfn.XLOOKUP(I1501,Base_Datos!D:D,Base_Datos!B:B,"")</f>
        <v>DFSK</v>
      </c>
      <c r="H1501" s="3" t="str">
        <f t="array" ref="H1501">IF(I1501="","",IFERROR(_xlfn.XLOOKUP(I1501,Base_Datos!$D$2:$D3876,Base_Datos!$C$2:$C3876),""))</f>
        <v>Serie IX</v>
      </c>
      <c r="I1501" s="3" t="s">
        <v>1770</v>
      </c>
      <c r="J1501" s="3" t="str">
        <f>IF(I1501="","",IFERROR(VLOOKUP(I1501,Base_Datos!$D$2:$E$72,2,0),""))</f>
        <v>(1.5L)</v>
      </c>
      <c r="K1501" s="3" t="s">
        <v>3548</v>
      </c>
      <c r="L1501" s="3"/>
      <c r="M1501" s="7">
        <v>19</v>
      </c>
      <c r="N1501" s="7">
        <v>0</v>
      </c>
    </row>
    <row r="1502" spans="1:14" ht="14.25" x14ac:dyDescent="0.2">
      <c r="A1502" s="3">
        <v>88749</v>
      </c>
      <c r="B1502" s="3" t="s">
        <v>3549</v>
      </c>
      <c r="C1502" s="3" t="s">
        <v>5</v>
      </c>
      <c r="D1502" s="6" t="s">
        <v>182</v>
      </c>
      <c r="E1502" s="6" t="s">
        <v>112</v>
      </c>
      <c r="F1502" s="3" t="str">
        <f>IFERROR( VLOOKUP(A1502,#REF!,2,0),"")</f>
        <v/>
      </c>
      <c r="G1502" s="3" t="str">
        <f t="array" ref="G1502">_xlfn.XLOOKUP(I1502,Base_Datos!D:D,Base_Datos!B:B,"")</f>
        <v>DFSK</v>
      </c>
      <c r="H1502" s="3" t="str">
        <f t="array" ref="H1502">IF(I1502="","",IFERROR(_xlfn.XLOOKUP(I1502,Base_Datos!$D$2:$D3876,Base_Datos!$C$2:$C3876),""))</f>
        <v>Serie IX</v>
      </c>
      <c r="I1502" s="3" t="s">
        <v>1770</v>
      </c>
      <c r="J1502" s="3" t="str">
        <f>IF(I1502="","",IFERROR(VLOOKUP(I1502,Base_Datos!$D$2:$E$72,2,0),""))</f>
        <v>(1.5L)</v>
      </c>
      <c r="K1502" s="3" t="s">
        <v>3550</v>
      </c>
      <c r="L1502" s="3"/>
      <c r="M1502" s="7">
        <v>4</v>
      </c>
      <c r="N1502" s="7">
        <v>0</v>
      </c>
    </row>
    <row r="1503" spans="1:14" ht="14.25" x14ac:dyDescent="0.2">
      <c r="A1503" s="3">
        <v>88750</v>
      </c>
      <c r="B1503" s="3" t="s">
        <v>1792</v>
      </c>
      <c r="C1503" s="3" t="s">
        <v>18</v>
      </c>
      <c r="D1503" s="6" t="s">
        <v>183</v>
      </c>
      <c r="E1503" s="6" t="s">
        <v>3551</v>
      </c>
      <c r="F1503" s="3" t="str">
        <f>IFERROR( VLOOKUP(A1503,#REF!,2,0),"")</f>
        <v/>
      </c>
      <c r="G1503" s="3" t="str">
        <f t="array" ref="G1503">_xlfn.XLOOKUP(I1503,Base_Datos!D:D,Base_Datos!B:B,"")</f>
        <v>DFSK</v>
      </c>
      <c r="H1503" s="3" t="str">
        <f t="array" ref="H1503">IF(I1503="","",IFERROR(_xlfn.XLOOKUP(I1503,Base_Datos!$D$2:$D3876,Base_Datos!$C$2:$C3876),""))</f>
        <v>Serie IX</v>
      </c>
      <c r="I1503" s="3" t="s">
        <v>1770</v>
      </c>
      <c r="J1503" s="3" t="str">
        <f>IF(I1503="","",IFERROR(VLOOKUP(I1503,Base_Datos!$D$2:$E$72,2,0),""))</f>
        <v>(1.5L)</v>
      </c>
      <c r="K1503" s="3" t="s">
        <v>2881</v>
      </c>
      <c r="L1503" s="3"/>
      <c r="M1503" s="7">
        <v>0</v>
      </c>
      <c r="N1503" s="7">
        <v>0</v>
      </c>
    </row>
    <row r="1504" spans="1:14" ht="14.25" x14ac:dyDescent="0.2">
      <c r="A1504" s="3">
        <v>88751</v>
      </c>
      <c r="B1504" s="3" t="s">
        <v>3552</v>
      </c>
      <c r="C1504" s="3" t="s">
        <v>5</v>
      </c>
      <c r="D1504" s="6" t="s">
        <v>184</v>
      </c>
      <c r="E1504" s="6" t="s">
        <v>3553</v>
      </c>
      <c r="F1504" s="3" t="str">
        <f>IFERROR( VLOOKUP(A1504,#REF!,2,0),"")</f>
        <v/>
      </c>
      <c r="G1504" s="3" t="str">
        <f t="array" ref="G1504">_xlfn.XLOOKUP(I1504,Base_Datos!D:D,Base_Datos!B:B,"")</f>
        <v>DFSK</v>
      </c>
      <c r="H1504" s="3" t="str">
        <f t="array" ref="H1504">IF(I1504="","",IFERROR(_xlfn.XLOOKUP(I1504,Base_Datos!$D$2:$D3876,Base_Datos!$C$2:$C3876),""))</f>
        <v>Serie IX</v>
      </c>
      <c r="I1504" s="3" t="s">
        <v>1770</v>
      </c>
      <c r="J1504" s="3" t="str">
        <f>IF(I1504="","",IFERROR(VLOOKUP(I1504,Base_Datos!$D$2:$E$72,2,0),""))</f>
        <v>(1.5L)</v>
      </c>
      <c r="K1504" s="3" t="s">
        <v>1782</v>
      </c>
      <c r="L1504" s="3"/>
      <c r="M1504" s="7">
        <v>3</v>
      </c>
      <c r="N1504" s="7">
        <v>0</v>
      </c>
    </row>
    <row r="1505" spans="1:14" ht="14.25" x14ac:dyDescent="0.2">
      <c r="A1505" s="3">
        <v>88752</v>
      </c>
      <c r="B1505" s="3" t="s">
        <v>3554</v>
      </c>
      <c r="C1505" s="3" t="s">
        <v>18</v>
      </c>
      <c r="D1505" s="6" t="s">
        <v>185</v>
      </c>
      <c r="E1505" s="6" t="s">
        <v>1782</v>
      </c>
      <c r="F1505" s="3" t="str">
        <f>IFERROR( VLOOKUP(A1505,#REF!,2,0),"")</f>
        <v/>
      </c>
      <c r="G1505" s="3" t="str">
        <f t="array" ref="G1505">_xlfn.XLOOKUP(I1505,Base_Datos!D:D,Base_Datos!B:B,"")</f>
        <v>DFSK</v>
      </c>
      <c r="H1505" s="3" t="str">
        <f t="array" ref="H1505">IF(I1505="","",IFERROR(_xlfn.XLOOKUP(I1505,Base_Datos!$D$2:$D3876,Base_Datos!$C$2:$C3876),""))</f>
        <v>Serie IX</v>
      </c>
      <c r="I1505" s="3" t="s">
        <v>1770</v>
      </c>
      <c r="J1505" s="3" t="str">
        <f>IF(I1505="","",IFERROR(VLOOKUP(I1505,Base_Datos!$D$2:$E$72,2,0),""))</f>
        <v>(1.5L)</v>
      </c>
      <c r="K1505" s="3" t="s">
        <v>1782</v>
      </c>
      <c r="L1505" s="3"/>
      <c r="M1505" s="7">
        <v>4</v>
      </c>
      <c r="N1505" s="7">
        <v>0</v>
      </c>
    </row>
    <row r="1506" spans="1:14" ht="14.25" x14ac:dyDescent="0.2">
      <c r="A1506" s="3">
        <v>88753</v>
      </c>
      <c r="B1506" s="3" t="s">
        <v>3555</v>
      </c>
      <c r="C1506" s="3" t="s">
        <v>18</v>
      </c>
      <c r="D1506" s="6" t="s">
        <v>186</v>
      </c>
      <c r="E1506" s="6" t="s">
        <v>3556</v>
      </c>
      <c r="F1506" s="3" t="str">
        <f>IFERROR( VLOOKUP(A1506,#REF!,2,0),"")</f>
        <v/>
      </c>
      <c r="G1506" s="3" t="str">
        <f t="array" ref="G1506">_xlfn.XLOOKUP(I1506,Base_Datos!D:D,Base_Datos!B:B,"")</f>
        <v>DFSK</v>
      </c>
      <c r="H1506" s="3" t="str">
        <f t="array" ref="H1506">IF(I1506="","",IFERROR(_xlfn.XLOOKUP(I1506,Base_Datos!$D$2:$D3876,Base_Datos!$C$2:$C3876),""))</f>
        <v>Serie Glory</v>
      </c>
      <c r="I1506" s="3" t="s">
        <v>1766</v>
      </c>
      <c r="J1506" s="3" t="str">
        <f>IF(I1506="","",IFERROR(VLOOKUP(I1506,Base_Datos!$D$2:$E$72,2,0),""))</f>
        <v>(1.8L)</v>
      </c>
      <c r="K1506" s="3" t="s">
        <v>1782</v>
      </c>
      <c r="L1506" s="3"/>
      <c r="M1506" s="7">
        <v>5</v>
      </c>
      <c r="N1506" s="7">
        <v>0</v>
      </c>
    </row>
    <row r="1507" spans="1:14" ht="14.25" x14ac:dyDescent="0.2">
      <c r="A1507" s="3">
        <v>88754</v>
      </c>
      <c r="B1507" s="3" t="s">
        <v>3557</v>
      </c>
      <c r="C1507" s="3" t="s">
        <v>5</v>
      </c>
      <c r="D1507" s="6" t="s">
        <v>3558</v>
      </c>
      <c r="E1507" s="6" t="s">
        <v>3558</v>
      </c>
      <c r="F1507" s="3" t="str">
        <f>IFERROR( VLOOKUP(A1507,#REF!,2,0),"")</f>
        <v/>
      </c>
      <c r="G1507" s="3" t="str">
        <f t="array" ref="G1507">_xlfn.XLOOKUP(I1507,Base_Datos!D:D,Base_Datos!B:B,"")</f>
        <v>DFSK</v>
      </c>
      <c r="H1507" s="3" t="str">
        <f t="array" ref="H1507">IF(I1507="","",IFERROR(_xlfn.XLOOKUP(I1507,Base_Datos!$D$2:$D3876,Base_Datos!$C$2:$C3876),""))</f>
        <v>Serie IX</v>
      </c>
      <c r="I1507" s="3" t="s">
        <v>1770</v>
      </c>
      <c r="J1507" s="3" t="str">
        <f>IF(I1507="","",IFERROR(VLOOKUP(I1507,Base_Datos!$D$2:$E$72,2,0),""))</f>
        <v>(1.5L)</v>
      </c>
      <c r="K1507" s="3" t="s">
        <v>1782</v>
      </c>
      <c r="L1507" s="3"/>
      <c r="M1507" s="7">
        <v>2</v>
      </c>
      <c r="N1507" s="7">
        <v>0</v>
      </c>
    </row>
    <row r="1508" spans="1:14" ht="14.25" x14ac:dyDescent="0.2">
      <c r="A1508" s="3">
        <v>88755</v>
      </c>
      <c r="B1508" s="3" t="s">
        <v>3559</v>
      </c>
      <c r="C1508" s="3" t="s">
        <v>5</v>
      </c>
      <c r="D1508" s="6" t="s">
        <v>3560</v>
      </c>
      <c r="E1508" s="6" t="s">
        <v>3560</v>
      </c>
      <c r="F1508" s="3" t="str">
        <f>IFERROR( VLOOKUP(A1508,#REF!,2,0),"")</f>
        <v/>
      </c>
      <c r="G1508" s="3" t="str">
        <f t="array" ref="G1508">_xlfn.XLOOKUP(I1508,Base_Datos!D:D,Base_Datos!B:B,"")</f>
        <v>DFSK</v>
      </c>
      <c r="H1508" s="3" t="str">
        <f t="array" ref="H1508">IF(I1508="","",IFERROR(_xlfn.XLOOKUP(I1508,Base_Datos!$D$2:$D3876,Base_Datos!$C$2:$C3876),""))</f>
        <v>Serie IX</v>
      </c>
      <c r="I1508" s="3" t="s">
        <v>1770</v>
      </c>
      <c r="J1508" s="3" t="str">
        <f>IF(I1508="","",IFERROR(VLOOKUP(I1508,Base_Datos!$D$2:$E$72,2,0),""))</f>
        <v>(1.5L)</v>
      </c>
      <c r="K1508" s="3" t="s">
        <v>1782</v>
      </c>
      <c r="L1508" s="3"/>
      <c r="M1508" s="7">
        <v>2</v>
      </c>
      <c r="N1508" s="7">
        <v>0</v>
      </c>
    </row>
    <row r="1509" spans="1:14" ht="14.25" x14ac:dyDescent="0.2">
      <c r="A1509" s="3">
        <v>88756</v>
      </c>
      <c r="B1509" s="3" t="s">
        <v>3561</v>
      </c>
      <c r="C1509" s="3" t="s">
        <v>5</v>
      </c>
      <c r="D1509" s="6" t="s">
        <v>3107</v>
      </c>
      <c r="E1509" s="6" t="s">
        <v>3107</v>
      </c>
      <c r="F1509" s="3" t="str">
        <f>IFERROR( VLOOKUP(A1509,#REF!,2,0),"")</f>
        <v/>
      </c>
      <c r="G1509" s="3" t="str">
        <f t="array" ref="G1509">_xlfn.XLOOKUP(I1509,Base_Datos!D:D,Base_Datos!B:B,"")</f>
        <v>DFSK</v>
      </c>
      <c r="H1509" s="3" t="str">
        <f t="array" ref="H1509">IF(I1509="","",IFERROR(_xlfn.XLOOKUP(I1509,Base_Datos!$D$2:$D3876,Base_Datos!$C$2:$C3876),""))</f>
        <v>Serie IX</v>
      </c>
      <c r="I1509" s="3" t="s">
        <v>1770</v>
      </c>
      <c r="J1509" s="3" t="str">
        <f>IF(I1509="","",IFERROR(VLOOKUP(I1509,Base_Datos!$D$2:$E$72,2,0),""))</f>
        <v>(1.5L)</v>
      </c>
      <c r="K1509" s="3" t="s">
        <v>3562</v>
      </c>
      <c r="L1509" s="3"/>
      <c r="M1509" s="7">
        <v>2</v>
      </c>
      <c r="N1509" s="7">
        <v>0</v>
      </c>
    </row>
    <row r="1510" spans="1:14" ht="14.25" x14ac:dyDescent="0.2">
      <c r="A1510" s="3">
        <v>88757</v>
      </c>
      <c r="B1510" s="3" t="s">
        <v>1870</v>
      </c>
      <c r="C1510" s="3" t="s">
        <v>18</v>
      </c>
      <c r="D1510" s="6" t="s">
        <v>3563</v>
      </c>
      <c r="E1510" s="6" t="s">
        <v>3563</v>
      </c>
      <c r="F1510" s="3" t="str">
        <f>IFERROR( VLOOKUP(A1510,#REF!,2,0),"")</f>
        <v/>
      </c>
      <c r="G1510" s="3" t="str">
        <f t="array" ref="G1510">_xlfn.XLOOKUP(I1510,Base_Datos!D:D,Base_Datos!B:B,"")</f>
        <v>DFSK</v>
      </c>
      <c r="H1510" s="3" t="str">
        <f t="array" ref="H1510">IF(I1510="","",IFERROR(_xlfn.XLOOKUP(I1510,Base_Datos!$D$2:$D3876,Base_Datos!$C$2:$C3876),""))</f>
        <v>Serie IX</v>
      </c>
      <c r="I1510" s="3" t="s">
        <v>1770</v>
      </c>
      <c r="J1510" s="3" t="str">
        <f>IF(I1510="","",IFERROR(VLOOKUP(I1510,Base_Datos!$D$2:$E$72,2,0),""))</f>
        <v>(1.5L)</v>
      </c>
      <c r="K1510" s="3" t="s">
        <v>3562</v>
      </c>
      <c r="L1510" s="3"/>
      <c r="M1510" s="7">
        <v>4</v>
      </c>
      <c r="N1510" s="7">
        <v>0</v>
      </c>
    </row>
    <row r="1511" spans="1:14" ht="14.25" x14ac:dyDescent="0.2">
      <c r="A1511" s="3">
        <v>88758</v>
      </c>
      <c r="B1511" s="3" t="s">
        <v>3564</v>
      </c>
      <c r="C1511" s="3" t="s">
        <v>5</v>
      </c>
      <c r="D1511" s="6" t="s">
        <v>3565</v>
      </c>
      <c r="E1511" s="6" t="s">
        <v>3565</v>
      </c>
      <c r="F1511" s="3" t="str">
        <f>IFERROR( VLOOKUP(A1511,#REF!,2,0),"")</f>
        <v/>
      </c>
      <c r="G1511" s="3" t="str">
        <f t="array" ref="G1511">_xlfn.XLOOKUP(I1511,Base_Datos!D:D,Base_Datos!B:B,"")</f>
        <v>DFSK</v>
      </c>
      <c r="H1511" s="3" t="str">
        <f t="array" ref="H1511">IF(I1511="","",IFERROR(_xlfn.XLOOKUP(I1511,Base_Datos!$D$2:$D3876,Base_Datos!$C$2:$C3876),""))</f>
        <v>Serie IX</v>
      </c>
      <c r="I1511" s="3" t="s">
        <v>1770</v>
      </c>
      <c r="J1511" s="3" t="str">
        <f>IF(I1511="","",IFERROR(VLOOKUP(I1511,Base_Datos!$D$2:$E$72,2,0),""))</f>
        <v>(1.5L)</v>
      </c>
      <c r="K1511" s="3" t="s">
        <v>3562</v>
      </c>
      <c r="L1511" s="3"/>
      <c r="M1511" s="7">
        <v>2</v>
      </c>
      <c r="N1511" s="7">
        <v>0</v>
      </c>
    </row>
    <row r="1512" spans="1:14" ht="14.25" x14ac:dyDescent="0.2">
      <c r="A1512" s="3">
        <v>88759</v>
      </c>
      <c r="B1512" s="3" t="s">
        <v>3566</v>
      </c>
      <c r="C1512" s="3" t="s">
        <v>5</v>
      </c>
      <c r="D1512" s="6" t="s">
        <v>3567</v>
      </c>
      <c r="E1512" s="6" t="s">
        <v>3567</v>
      </c>
      <c r="F1512" s="3" t="str">
        <f>IFERROR( VLOOKUP(A1512,#REF!,2,0),"")</f>
        <v/>
      </c>
      <c r="G1512" s="3" t="str">
        <f t="array" ref="G1512">_xlfn.XLOOKUP(I1512,Base_Datos!D:D,Base_Datos!B:B,"")</f>
        <v>DFSK</v>
      </c>
      <c r="H1512" s="3" t="str">
        <f t="array" ref="H1512">IF(I1512="","",IFERROR(_xlfn.XLOOKUP(I1512,Base_Datos!$D$2:$D3876,Base_Datos!$C$2:$C3876),""))</f>
        <v>Serie IX</v>
      </c>
      <c r="I1512" s="3" t="s">
        <v>1770</v>
      </c>
      <c r="J1512" s="3" t="str">
        <f>IF(I1512="","",IFERROR(VLOOKUP(I1512,Base_Datos!$D$2:$E$72,2,0),""))</f>
        <v>(1.5L)</v>
      </c>
      <c r="K1512" s="3" t="s">
        <v>3562</v>
      </c>
      <c r="L1512" s="3"/>
      <c r="M1512" s="7">
        <v>1</v>
      </c>
      <c r="N1512" s="7">
        <v>0</v>
      </c>
    </row>
    <row r="1513" spans="1:14" ht="14.25" x14ac:dyDescent="0.2">
      <c r="A1513" s="3">
        <v>88933</v>
      </c>
      <c r="B1513" s="3" t="s">
        <v>3568</v>
      </c>
      <c r="C1513" s="3" t="s">
        <v>18</v>
      </c>
      <c r="D1513" s="6" t="s">
        <v>3569</v>
      </c>
      <c r="E1513" s="6" t="s">
        <v>3569</v>
      </c>
      <c r="F1513" s="3" t="str">
        <f>IFERROR( VLOOKUP(A1513,#REF!,2,0),"")</f>
        <v/>
      </c>
      <c r="G1513" s="3" t="str">
        <f t="array" ref="G1513">_xlfn.XLOOKUP(I1513,Base_Datos!D:D,Base_Datos!B:B,"")</f>
        <v>DFSK</v>
      </c>
      <c r="H1513" s="3" t="str">
        <f t="array" ref="H1513">IF(I1513="","",IFERROR(_xlfn.XLOOKUP(I1513,Base_Datos!$D$2:$D3876,Base_Datos!$C$2:$C3876),""))</f>
        <v>Serie Glory</v>
      </c>
      <c r="I1513" s="3" t="s">
        <v>1765</v>
      </c>
      <c r="J1513" s="3" t="str">
        <f>IF(I1513="","",IFERROR(VLOOKUP(I1513,Base_Datos!$D$2:$E$72,2,0),""))</f>
        <v>(1.5L)</v>
      </c>
      <c r="K1513" s="3" t="s">
        <v>1782</v>
      </c>
      <c r="L1513" s="3"/>
      <c r="M1513" s="7">
        <v>120</v>
      </c>
      <c r="N1513" s="7">
        <v>0</v>
      </c>
    </row>
    <row r="1514" spans="1:14" ht="14.25" x14ac:dyDescent="0.2">
      <c r="A1514" s="3">
        <v>88934</v>
      </c>
      <c r="B1514" s="3" t="s">
        <v>3020</v>
      </c>
      <c r="C1514" s="3" t="s">
        <v>18</v>
      </c>
      <c r="D1514" s="6" t="s">
        <v>3112</v>
      </c>
      <c r="E1514" s="6" t="s">
        <v>3112</v>
      </c>
      <c r="F1514" s="3" t="str">
        <f>IFERROR( VLOOKUP(A1514,#REF!,2,0),"")</f>
        <v/>
      </c>
      <c r="G1514" s="3" t="str">
        <f t="array" ref="G1514">_xlfn.XLOOKUP(I1514,Base_Datos!D:D,Base_Datos!B:B,"")</f>
        <v>DFSK</v>
      </c>
      <c r="H1514" s="3" t="str">
        <f t="array" ref="H1514">IF(I1514="","",IFERROR(_xlfn.XLOOKUP(I1514,Base_Datos!$D$2:$D3876,Base_Datos!$C$2:$C3876),""))</f>
        <v>Serie Glory</v>
      </c>
      <c r="I1514" s="3" t="s">
        <v>1765</v>
      </c>
      <c r="J1514" s="3" t="str">
        <f>IF(I1514="","",IFERROR(VLOOKUP(I1514,Base_Datos!$D$2:$E$72,2,0),""))</f>
        <v>(1.5L)</v>
      </c>
      <c r="K1514" s="3" t="s">
        <v>1782</v>
      </c>
      <c r="L1514" s="3"/>
      <c r="M1514" s="7">
        <v>28</v>
      </c>
      <c r="N1514" s="7">
        <v>0</v>
      </c>
    </row>
    <row r="1515" spans="1:14" ht="14.25" x14ac:dyDescent="0.2">
      <c r="A1515" s="3">
        <v>88935</v>
      </c>
      <c r="B1515" s="3" t="s">
        <v>3570</v>
      </c>
      <c r="C1515" s="3" t="s">
        <v>18</v>
      </c>
      <c r="D1515" s="6" t="s">
        <v>3571</v>
      </c>
      <c r="E1515" s="6" t="s">
        <v>3571</v>
      </c>
      <c r="F1515" s="3" t="str">
        <f>IFERROR( VLOOKUP(A1515,#REF!,2,0),"")</f>
        <v/>
      </c>
      <c r="G1515" s="3" t="str">
        <f t="array" ref="G1515">_xlfn.XLOOKUP(I1515,Base_Datos!D:D,Base_Datos!B:B,"")</f>
        <v>DFSK</v>
      </c>
      <c r="H1515" s="3" t="str">
        <f t="array" ref="H1515">IF(I1515="","",IFERROR(_xlfn.XLOOKUP(I1515,Base_Datos!$D$2:$D3876,Base_Datos!$C$2:$C3876),""))</f>
        <v>Serie Glory</v>
      </c>
      <c r="I1515" s="3" t="s">
        <v>1765</v>
      </c>
      <c r="J1515" s="3" t="str">
        <f>IF(I1515="","",IFERROR(VLOOKUP(I1515,Base_Datos!$D$2:$E$72,2,0),""))</f>
        <v>(1.5L)</v>
      </c>
      <c r="K1515" s="3" t="s">
        <v>1801</v>
      </c>
      <c r="L1515" s="3"/>
      <c r="M1515" s="7">
        <v>30</v>
      </c>
      <c r="N1515" s="7">
        <v>0</v>
      </c>
    </row>
    <row r="1516" spans="1:14" ht="14.25" x14ac:dyDescent="0.2">
      <c r="A1516" s="3">
        <v>88936</v>
      </c>
      <c r="B1516" s="3" t="s">
        <v>3572</v>
      </c>
      <c r="C1516" s="3" t="s">
        <v>18</v>
      </c>
      <c r="D1516" s="6" t="s">
        <v>3573</v>
      </c>
      <c r="E1516" s="6" t="s">
        <v>3573</v>
      </c>
      <c r="F1516" s="3" t="str">
        <f>IFERROR( VLOOKUP(A1516,#REF!,2,0),"")</f>
        <v/>
      </c>
      <c r="G1516" s="3" t="str">
        <f t="array" ref="G1516">_xlfn.XLOOKUP(I1516,Base_Datos!D:D,Base_Datos!B:B,"")</f>
        <v>DFSK</v>
      </c>
      <c r="H1516" s="3" t="str">
        <f t="array" ref="H1516">IF(I1516="","",IFERROR(_xlfn.XLOOKUP(I1516,Base_Datos!$D$2:$D3876,Base_Datos!$C$2:$C3876),""))</f>
        <v>Serie Glory</v>
      </c>
      <c r="I1516" s="3" t="s">
        <v>1754</v>
      </c>
      <c r="J1516" s="3" t="str">
        <f>IF(I1516="","",IFERROR(VLOOKUP(I1516,Base_Datos!$D$2:$E$72,2,0),""))</f>
        <v>(1.5L)</v>
      </c>
      <c r="K1516" s="3" t="s">
        <v>1860</v>
      </c>
      <c r="L1516" s="3"/>
      <c r="M1516" s="7">
        <v>120</v>
      </c>
      <c r="N1516" s="7">
        <v>0</v>
      </c>
    </row>
    <row r="1517" spans="1:14" ht="14.25" x14ac:dyDescent="0.2">
      <c r="A1517" s="3">
        <v>88937</v>
      </c>
      <c r="B1517" s="3" t="s">
        <v>3574</v>
      </c>
      <c r="C1517" s="3" t="s">
        <v>18</v>
      </c>
      <c r="D1517" s="6" t="s">
        <v>3575</v>
      </c>
      <c r="E1517" s="6" t="s">
        <v>3575</v>
      </c>
      <c r="F1517" s="3" t="str">
        <f>IFERROR( VLOOKUP(A1517,#REF!,2,0),"")</f>
        <v/>
      </c>
      <c r="G1517" s="3" t="str">
        <f t="array" ref="G1517">_xlfn.XLOOKUP(I1517,Base_Datos!D:D,Base_Datos!B:B,"")</f>
        <v>DFSK</v>
      </c>
      <c r="H1517" s="3" t="str">
        <f t="array" ref="H1517">IF(I1517="","",IFERROR(_xlfn.XLOOKUP(I1517,Base_Datos!$D$2:$D3876,Base_Datos!$C$2:$C3876),""))</f>
        <v>Serie Glory</v>
      </c>
      <c r="I1517" s="3" t="s">
        <v>1765</v>
      </c>
      <c r="J1517" s="3" t="str">
        <f>IF(I1517="","",IFERROR(VLOOKUP(I1517,Base_Datos!$D$2:$E$72,2,0),""))</f>
        <v>(1.5L)</v>
      </c>
      <c r="K1517" s="3" t="s">
        <v>1801</v>
      </c>
      <c r="L1517" s="3"/>
      <c r="M1517" s="7">
        <v>56</v>
      </c>
      <c r="N1517" s="7">
        <v>0</v>
      </c>
    </row>
    <row r="1518" spans="1:14" ht="14.25" x14ac:dyDescent="0.2">
      <c r="A1518" s="3">
        <v>88938</v>
      </c>
      <c r="B1518" s="3" t="s">
        <v>3171</v>
      </c>
      <c r="C1518" s="3" t="s">
        <v>18</v>
      </c>
      <c r="D1518" s="6" t="s">
        <v>3576</v>
      </c>
      <c r="E1518" s="6" t="s">
        <v>3576</v>
      </c>
      <c r="F1518" s="3" t="str">
        <f>IFERROR( VLOOKUP(A1518,#REF!,2,0),"")</f>
        <v/>
      </c>
      <c r="G1518" s="3" t="str">
        <f t="array" ref="G1518">_xlfn.XLOOKUP(I1518,Base_Datos!D:D,Base_Datos!B:B,"")</f>
        <v>DFSK</v>
      </c>
      <c r="H1518" s="3" t="str">
        <f t="array" ref="H1518">IF(I1518="","",IFERROR(_xlfn.XLOOKUP(I1518,Base_Datos!$D$2:$D3876,Base_Datos!$C$2:$C3876),""))</f>
        <v>Serie Glory</v>
      </c>
      <c r="I1518" s="3" t="s">
        <v>1765</v>
      </c>
      <c r="J1518" s="3" t="str">
        <f>IF(I1518="","",IFERROR(VLOOKUP(I1518,Base_Datos!$D$2:$E$72,2,0),""))</f>
        <v>(1.5L)</v>
      </c>
      <c r="K1518" s="3" t="s">
        <v>1859</v>
      </c>
      <c r="L1518" s="3"/>
      <c r="M1518" s="7">
        <v>120</v>
      </c>
      <c r="N1518" s="7">
        <v>0</v>
      </c>
    </row>
    <row r="1519" spans="1:14" ht="14.25" x14ac:dyDescent="0.2">
      <c r="A1519" s="3">
        <v>88939</v>
      </c>
      <c r="B1519" s="3" t="s">
        <v>3577</v>
      </c>
      <c r="C1519" s="3" t="s">
        <v>18</v>
      </c>
      <c r="D1519" s="6" t="s">
        <v>974</v>
      </c>
      <c r="E1519" s="6" t="s">
        <v>974</v>
      </c>
      <c r="F1519" s="3" t="str">
        <f>IFERROR( VLOOKUP(A1519,#REF!,2,0),"")</f>
        <v/>
      </c>
      <c r="G1519" s="3" t="str">
        <f t="array" ref="G1519">_xlfn.XLOOKUP(I1519,Base_Datos!D:D,Base_Datos!B:B,"")</f>
        <v>DFSK</v>
      </c>
      <c r="H1519" s="3" t="str">
        <f t="array" ref="H1519">IF(I1519="","",IFERROR(_xlfn.XLOOKUP(I1519,Base_Datos!$D$2:$D3876,Base_Datos!$C$2:$C3876),""))</f>
        <v>Serie D</v>
      </c>
      <c r="I1519" s="3" t="s">
        <v>145</v>
      </c>
      <c r="J1519" s="3" t="str">
        <f>IF(I1519="","",IFERROR(VLOOKUP(I1519,Base_Datos!$D$2:$E$72,2,0),""))</f>
        <v>(2.4L)</v>
      </c>
      <c r="K1519" s="3" t="s">
        <v>1782</v>
      </c>
      <c r="L1519" s="3"/>
      <c r="M1519" s="7">
        <v>5</v>
      </c>
      <c r="N1519" s="7">
        <v>0</v>
      </c>
    </row>
    <row r="1520" spans="1:14" ht="14.25" x14ac:dyDescent="0.2">
      <c r="A1520" s="3">
        <v>88940</v>
      </c>
      <c r="B1520" s="3" t="s">
        <v>1965</v>
      </c>
      <c r="C1520" s="3" t="s">
        <v>18</v>
      </c>
      <c r="D1520" s="6" t="s">
        <v>990</v>
      </c>
      <c r="E1520" s="6" t="s">
        <v>990</v>
      </c>
      <c r="F1520" s="3" t="str">
        <f>IFERROR( VLOOKUP(A1520,#REF!,2,0),"")</f>
        <v/>
      </c>
      <c r="G1520" s="3" t="str">
        <f t="array" ref="G1520">_xlfn.XLOOKUP(I1520,Base_Datos!D:D,Base_Datos!B:B,"")</f>
        <v>DFSK</v>
      </c>
      <c r="H1520" s="3" t="str">
        <f t="array" ref="H1520">IF(I1520="","",IFERROR(_xlfn.XLOOKUP(I1520,Base_Datos!$D$2:$D3876,Base_Datos!$C$2:$C3876),""))</f>
        <v>Serie Glory</v>
      </c>
      <c r="I1520" s="3" t="s">
        <v>1754</v>
      </c>
      <c r="J1520" s="3" t="str">
        <f>IF(I1520="","",IFERROR(VLOOKUP(I1520,Base_Datos!$D$2:$E$72,2,0),""))</f>
        <v>(1.5L)</v>
      </c>
      <c r="K1520" s="3" t="s">
        <v>3578</v>
      </c>
      <c r="L1520" s="3"/>
      <c r="M1520" s="7">
        <v>129</v>
      </c>
      <c r="N1520" s="7">
        <v>0</v>
      </c>
    </row>
    <row r="1521" spans="1:14" ht="14.25" x14ac:dyDescent="0.2">
      <c r="A1521" s="3">
        <v>88941</v>
      </c>
      <c r="B1521" s="3" t="s">
        <v>3579</v>
      </c>
      <c r="C1521" s="3" t="s">
        <v>18</v>
      </c>
      <c r="D1521" s="6" t="s">
        <v>988</v>
      </c>
      <c r="E1521" s="6" t="s">
        <v>988</v>
      </c>
      <c r="F1521" s="3" t="str">
        <f>IFERROR( VLOOKUP(A1521,#REF!,2,0),"")</f>
        <v/>
      </c>
      <c r="G1521" s="3" t="str">
        <f t="array" ref="G1521">_xlfn.XLOOKUP(I1521,Base_Datos!D:D,Base_Datos!B:B,"")</f>
        <v>DFSK</v>
      </c>
      <c r="H1521" s="3" t="str">
        <f t="array" ref="H1521">IF(I1521="","",IFERROR(_xlfn.XLOOKUP(I1521,Base_Datos!$D$2:$D3876,Base_Datos!$C$2:$C3876),""))</f>
        <v>Serie Glory</v>
      </c>
      <c r="I1521" s="3" t="s">
        <v>1765</v>
      </c>
      <c r="J1521" s="3" t="str">
        <f>IF(I1521="","",IFERROR(VLOOKUP(I1521,Base_Datos!$D$2:$E$72,2,0),""))</f>
        <v>(1.5L)</v>
      </c>
      <c r="K1521" s="3" t="s">
        <v>3580</v>
      </c>
      <c r="L1521" s="3"/>
      <c r="M1521" s="7">
        <v>12</v>
      </c>
      <c r="N1521" s="7">
        <v>0</v>
      </c>
    </row>
    <row r="1522" spans="1:14" ht="14.25" x14ac:dyDescent="0.2">
      <c r="A1522" s="3">
        <v>88942</v>
      </c>
      <c r="B1522" s="3" t="s">
        <v>1792</v>
      </c>
      <c r="C1522" s="3" t="s">
        <v>18</v>
      </c>
      <c r="D1522" s="6" t="s">
        <v>983</v>
      </c>
      <c r="E1522" s="6" t="s">
        <v>983</v>
      </c>
      <c r="F1522" s="3" t="str">
        <f>IFERROR( VLOOKUP(A1522,#REF!,2,0),"")</f>
        <v/>
      </c>
      <c r="G1522" s="3" t="str">
        <f t="array" ref="G1522">_xlfn.XLOOKUP(I1522,Base_Datos!D:D,Base_Datos!B:B,"")</f>
        <v>DFSK</v>
      </c>
      <c r="H1522" s="3" t="str">
        <f t="array" ref="H1522">IF(I1522="","",IFERROR(_xlfn.XLOOKUP(I1522,Base_Datos!$D$2:$D3876,Base_Datos!$C$2:$C3876),""))</f>
        <v>Serie Glory</v>
      </c>
      <c r="I1522" s="3" t="s">
        <v>1765</v>
      </c>
      <c r="J1522" s="3" t="str">
        <f>IF(I1522="","",IFERROR(VLOOKUP(I1522,Base_Datos!$D$2:$E$72,2,0),""))</f>
        <v>(1.5L)</v>
      </c>
      <c r="K1522" s="3" t="s">
        <v>1801</v>
      </c>
      <c r="L1522" s="3"/>
      <c r="M1522" s="7">
        <v>4</v>
      </c>
      <c r="N1522" s="7">
        <v>0</v>
      </c>
    </row>
    <row r="1523" spans="1:14" ht="14.25" x14ac:dyDescent="0.2">
      <c r="A1523" s="3">
        <v>88943</v>
      </c>
      <c r="B1523" s="3" t="s">
        <v>1841</v>
      </c>
      <c r="C1523" s="3" t="s">
        <v>18</v>
      </c>
      <c r="D1523" s="6" t="s">
        <v>995</v>
      </c>
      <c r="E1523" s="6" t="s">
        <v>995</v>
      </c>
      <c r="F1523" s="3" t="str">
        <f>IFERROR( VLOOKUP(A1523,#REF!,2,0),"")</f>
        <v/>
      </c>
      <c r="G1523" s="3" t="str">
        <f t="array" ref="G1523">_xlfn.XLOOKUP(I1523,Base_Datos!D:D,Base_Datos!B:B,"")</f>
        <v>DFSK</v>
      </c>
      <c r="H1523" s="3" t="str">
        <f t="array" ref="H1523">IF(I1523="","",IFERROR(_xlfn.XLOOKUP(I1523,Base_Datos!$D$2:$D3876,Base_Datos!$C$2:$C3876),""))</f>
        <v>Serie Glory</v>
      </c>
      <c r="I1523" s="3" t="s">
        <v>1765</v>
      </c>
      <c r="J1523" s="3" t="str">
        <f>IF(I1523="","",IFERROR(VLOOKUP(I1523,Base_Datos!$D$2:$E$72,2,0),""))</f>
        <v>(1.5L)</v>
      </c>
      <c r="K1523" s="3" t="s">
        <v>1782</v>
      </c>
      <c r="L1523" s="3"/>
      <c r="M1523" s="7">
        <v>4</v>
      </c>
      <c r="N1523" s="7">
        <v>0</v>
      </c>
    </row>
    <row r="1524" spans="1:14" ht="14.25" x14ac:dyDescent="0.2">
      <c r="A1524" s="3">
        <v>88944</v>
      </c>
      <c r="B1524" s="3" t="s">
        <v>2614</v>
      </c>
      <c r="C1524" s="3" t="s">
        <v>18</v>
      </c>
      <c r="D1524" s="6" t="s">
        <v>1003</v>
      </c>
      <c r="E1524" s="6" t="s">
        <v>1003</v>
      </c>
      <c r="F1524" s="3" t="str">
        <f>IFERROR( VLOOKUP(A1524,#REF!,2,0),"")</f>
        <v/>
      </c>
      <c r="G1524" s="3" t="str">
        <f t="array" ref="G1524">_xlfn.XLOOKUP(I1524,Base_Datos!D:D,Base_Datos!B:B,"")</f>
        <v>DFSK</v>
      </c>
      <c r="H1524" s="3" t="str">
        <f t="array" ref="H1524">IF(I1524="","",IFERROR(_xlfn.XLOOKUP(I1524,Base_Datos!$D$2:$D3876,Base_Datos!$C$2:$C3876),""))</f>
        <v>Serie Glory</v>
      </c>
      <c r="I1524" s="3" t="s">
        <v>1765</v>
      </c>
      <c r="J1524" s="3" t="str">
        <f>IF(I1524="","",IFERROR(VLOOKUP(I1524,Base_Datos!$D$2:$E$72,2,0),""))</f>
        <v>(1.5L)</v>
      </c>
      <c r="K1524" s="3" t="s">
        <v>1801</v>
      </c>
      <c r="L1524" s="3"/>
      <c r="M1524" s="7">
        <v>5</v>
      </c>
      <c r="N1524" s="7">
        <v>0</v>
      </c>
    </row>
    <row r="1525" spans="1:14" ht="14.25" x14ac:dyDescent="0.2">
      <c r="A1525" s="3">
        <v>88945</v>
      </c>
      <c r="B1525" s="3" t="s">
        <v>3581</v>
      </c>
      <c r="C1525" s="3" t="s">
        <v>18</v>
      </c>
      <c r="D1525" s="6" t="s">
        <v>979</v>
      </c>
      <c r="E1525" s="6" t="s">
        <v>979</v>
      </c>
      <c r="F1525" s="3" t="str">
        <f>IFERROR( VLOOKUP(A1525,#REF!,2,0),"")</f>
        <v/>
      </c>
      <c r="G1525" s="3" t="str">
        <f t="array" ref="G1525">_xlfn.XLOOKUP(I1525,Base_Datos!D:D,Base_Datos!B:B,"")</f>
        <v>DFSK</v>
      </c>
      <c r="H1525" s="3" t="str">
        <f t="array" ref="H1525">IF(I1525="","",IFERROR(_xlfn.XLOOKUP(I1525,Base_Datos!$D$2:$D3876,Base_Datos!$C$2:$C3876),""))</f>
        <v>Serie Glory</v>
      </c>
      <c r="I1525" s="3" t="s">
        <v>1765</v>
      </c>
      <c r="J1525" s="3" t="str">
        <f>IF(I1525="","",IFERROR(VLOOKUP(I1525,Base_Datos!$D$2:$E$72,2,0),""))</f>
        <v>(1.5L)</v>
      </c>
      <c r="K1525" s="3" t="s">
        <v>1782</v>
      </c>
      <c r="L1525" s="3"/>
      <c r="M1525" s="7">
        <v>10</v>
      </c>
      <c r="N1525" s="7">
        <v>0</v>
      </c>
    </row>
    <row r="1526" spans="1:14" ht="14.25" x14ac:dyDescent="0.2">
      <c r="A1526" s="3">
        <v>88946</v>
      </c>
      <c r="B1526" s="3" t="s">
        <v>3582</v>
      </c>
      <c r="C1526" s="3" t="s">
        <v>18</v>
      </c>
      <c r="D1526" s="6" t="s">
        <v>976</v>
      </c>
      <c r="E1526" s="6" t="s">
        <v>976</v>
      </c>
      <c r="F1526" s="3" t="str">
        <f>IFERROR( VLOOKUP(A1526,#REF!,2,0),"")</f>
        <v/>
      </c>
      <c r="G1526" s="3" t="str">
        <f t="array" ref="G1526">_xlfn.XLOOKUP(I1526,Base_Datos!D:D,Base_Datos!B:B,"")</f>
        <v>DFSK</v>
      </c>
      <c r="H1526" s="3" t="str">
        <f t="array" ref="H1526">IF(I1526="","",IFERROR(_xlfn.XLOOKUP(I1526,Base_Datos!$D$2:$D3876,Base_Datos!$C$2:$C3876),""))</f>
        <v>Serie Glory</v>
      </c>
      <c r="I1526" s="3" t="s">
        <v>1765</v>
      </c>
      <c r="J1526" s="3" t="str">
        <f>IF(I1526="","",IFERROR(VLOOKUP(I1526,Base_Datos!$D$2:$E$72,2,0),""))</f>
        <v>(1.5L)</v>
      </c>
      <c r="K1526" s="3" t="s">
        <v>1782</v>
      </c>
      <c r="L1526" s="3"/>
      <c r="M1526" s="7">
        <v>10</v>
      </c>
      <c r="N1526" s="7">
        <v>0</v>
      </c>
    </row>
    <row r="1527" spans="1:14" ht="14.25" x14ac:dyDescent="0.2">
      <c r="A1527" s="3">
        <v>88947</v>
      </c>
      <c r="B1527" s="3" t="s">
        <v>3075</v>
      </c>
      <c r="C1527" s="3" t="s">
        <v>18</v>
      </c>
      <c r="D1527" s="6" t="s">
        <v>1004</v>
      </c>
      <c r="E1527" s="6" t="s">
        <v>1004</v>
      </c>
      <c r="F1527" s="3" t="str">
        <f>IFERROR( VLOOKUP(A1527,#REF!,2,0),"")</f>
        <v/>
      </c>
      <c r="G1527" s="3" t="str">
        <f t="array" ref="G1527">_xlfn.XLOOKUP(I1527,Base_Datos!D:D,Base_Datos!B:B,"")</f>
        <v>DFSK</v>
      </c>
      <c r="H1527" s="3" t="str">
        <f t="array" ref="H1527">IF(I1527="","",IFERROR(_xlfn.XLOOKUP(I1527,Base_Datos!$D$2:$D3876,Base_Datos!$C$2:$C3876),""))</f>
        <v>Serie Glory</v>
      </c>
      <c r="I1527" s="3" t="s">
        <v>1765</v>
      </c>
      <c r="J1527" s="3" t="str">
        <f>IF(I1527="","",IFERROR(VLOOKUP(I1527,Base_Datos!$D$2:$E$72,2,0),""))</f>
        <v>(1.5L)</v>
      </c>
      <c r="K1527" s="3" t="s">
        <v>1782</v>
      </c>
      <c r="L1527" s="3"/>
      <c r="M1527" s="7">
        <v>4</v>
      </c>
      <c r="N1527" s="7">
        <v>0</v>
      </c>
    </row>
    <row r="1528" spans="1:14" ht="14.25" x14ac:dyDescent="0.2">
      <c r="A1528" s="3">
        <v>88948</v>
      </c>
      <c r="B1528" s="3" t="s">
        <v>3361</v>
      </c>
      <c r="C1528" s="3" t="s">
        <v>18</v>
      </c>
      <c r="D1528" s="6" t="s">
        <v>982</v>
      </c>
      <c r="E1528" s="6" t="s">
        <v>982</v>
      </c>
      <c r="F1528" s="3" t="str">
        <f>IFERROR( VLOOKUP(A1528,#REF!,2,0),"")</f>
        <v/>
      </c>
      <c r="G1528" s="3" t="str">
        <f t="array" ref="G1528">_xlfn.XLOOKUP(I1528,Base_Datos!D:D,Base_Datos!B:B,"")</f>
        <v>DFSK</v>
      </c>
      <c r="H1528" s="3" t="str">
        <f t="array" ref="H1528">IF(I1528="","",IFERROR(_xlfn.XLOOKUP(I1528,Base_Datos!$D$2:$D3876,Base_Datos!$C$2:$C3876),""))</f>
        <v>Serie Glory</v>
      </c>
      <c r="I1528" s="3" t="s">
        <v>1765</v>
      </c>
      <c r="J1528" s="3" t="str">
        <f>IF(I1528="","",IFERROR(VLOOKUP(I1528,Base_Datos!$D$2:$E$72,2,0),""))</f>
        <v>(1.5L)</v>
      </c>
      <c r="K1528" s="3" t="s">
        <v>1782</v>
      </c>
      <c r="L1528" s="3"/>
      <c r="M1528" s="7">
        <v>10</v>
      </c>
      <c r="N1528" s="7">
        <v>0</v>
      </c>
    </row>
    <row r="1529" spans="1:14" ht="14.25" x14ac:dyDescent="0.2">
      <c r="A1529" s="3">
        <v>88949</v>
      </c>
      <c r="B1529" s="3" t="s">
        <v>3583</v>
      </c>
      <c r="C1529" s="3" t="s">
        <v>18</v>
      </c>
      <c r="D1529" s="6" t="s">
        <v>3584</v>
      </c>
      <c r="E1529" s="6" t="s">
        <v>3584</v>
      </c>
      <c r="F1529" s="3" t="str">
        <f>IFERROR( VLOOKUP(A1529,#REF!,2,0),"")</f>
        <v/>
      </c>
      <c r="G1529" s="3" t="str">
        <f t="array" ref="G1529">_xlfn.XLOOKUP(I1529,Base_Datos!D:D,Base_Datos!B:B,"")</f>
        <v>DFSK</v>
      </c>
      <c r="H1529" s="3" t="str">
        <f t="array" ref="H1529">IF(I1529="","",IFERROR(_xlfn.XLOOKUP(I1529,Base_Datos!$D$2:$D3876,Base_Datos!$C$2:$C3876),""))</f>
        <v>Serie Glory</v>
      </c>
      <c r="I1529" s="3" t="s">
        <v>1765</v>
      </c>
      <c r="J1529" s="3" t="str">
        <f>IF(I1529="","",IFERROR(VLOOKUP(I1529,Base_Datos!$D$2:$E$72,2,0),""))</f>
        <v>(1.5L)</v>
      </c>
      <c r="K1529" s="3" t="s">
        <v>1782</v>
      </c>
      <c r="L1529" s="3"/>
      <c r="M1529" s="7">
        <v>240</v>
      </c>
      <c r="N1529" s="7">
        <v>0</v>
      </c>
    </row>
    <row r="1530" spans="1:14" ht="14.25" x14ac:dyDescent="0.2">
      <c r="A1530" s="3">
        <v>88950</v>
      </c>
      <c r="B1530" s="3" t="s">
        <v>2402</v>
      </c>
      <c r="C1530" s="3" t="s">
        <v>18</v>
      </c>
      <c r="D1530" s="6" t="s">
        <v>1012</v>
      </c>
      <c r="E1530" s="6" t="s">
        <v>1012</v>
      </c>
      <c r="F1530" s="3" t="str">
        <f>IFERROR( VLOOKUP(A1530,#REF!,2,0),"")</f>
        <v/>
      </c>
      <c r="G1530" s="3" t="str">
        <f t="array" ref="G1530">_xlfn.XLOOKUP(I1530,Base_Datos!D:D,Base_Datos!B:B,"")</f>
        <v>DFSK</v>
      </c>
      <c r="H1530" s="3" t="str">
        <f t="array" ref="H1530">IF(I1530="","",IFERROR(_xlfn.XLOOKUP(I1530,Base_Datos!$D$2:$D3876,Base_Datos!$C$2:$C3876),""))</f>
        <v>Serie Glory</v>
      </c>
      <c r="I1530" s="3" t="s">
        <v>112</v>
      </c>
      <c r="J1530" s="3" t="str">
        <f>IF(I1530="","",IFERROR(VLOOKUP(I1530,Base_Datos!$D$2:$E$72,2,0),""))</f>
        <v>(1.8L)</v>
      </c>
      <c r="K1530" s="3" t="s">
        <v>1782</v>
      </c>
      <c r="L1530" s="3"/>
      <c r="M1530" s="7">
        <v>3</v>
      </c>
      <c r="N1530" s="7">
        <v>0</v>
      </c>
    </row>
    <row r="1531" spans="1:14" ht="14.25" x14ac:dyDescent="0.2">
      <c r="A1531" s="3">
        <v>88951</v>
      </c>
      <c r="B1531" s="3" t="s">
        <v>2562</v>
      </c>
      <c r="C1531" s="3" t="s">
        <v>18</v>
      </c>
      <c r="D1531" s="6" t="s">
        <v>1011</v>
      </c>
      <c r="E1531" s="6" t="s">
        <v>1011</v>
      </c>
      <c r="F1531" s="3" t="str">
        <f>IFERROR( VLOOKUP(A1531,#REF!,2,0),"")</f>
        <v/>
      </c>
      <c r="G1531" s="3" t="str">
        <f t="array" ref="G1531">_xlfn.XLOOKUP(I1531,Base_Datos!D:D,Base_Datos!B:B,"")</f>
        <v>DFSK</v>
      </c>
      <c r="H1531" s="3" t="str">
        <f t="array" ref="H1531">IF(I1531="","",IFERROR(_xlfn.XLOOKUP(I1531,Base_Datos!$D$2:$D3876,Base_Datos!$C$2:$C3876),""))</f>
        <v>Serie Glory</v>
      </c>
      <c r="I1531" s="3" t="s">
        <v>112</v>
      </c>
      <c r="J1531" s="3" t="str">
        <f>IF(I1531="","",IFERROR(VLOOKUP(I1531,Base_Datos!$D$2:$E$72,2,0),""))</f>
        <v>(1.8L)</v>
      </c>
      <c r="K1531" s="3" t="s">
        <v>1782</v>
      </c>
      <c r="L1531" s="3"/>
      <c r="M1531" s="7">
        <v>3</v>
      </c>
      <c r="N1531" s="7">
        <v>0</v>
      </c>
    </row>
    <row r="1532" spans="1:14" ht="14.25" x14ac:dyDescent="0.2">
      <c r="A1532" s="3">
        <v>88952</v>
      </c>
      <c r="B1532" s="3" t="s">
        <v>1828</v>
      </c>
      <c r="C1532" s="3" t="s">
        <v>18</v>
      </c>
      <c r="D1532" s="6" t="s">
        <v>1025</v>
      </c>
      <c r="E1532" s="6" t="s">
        <v>1025</v>
      </c>
      <c r="F1532" s="3" t="str">
        <f>IFERROR( VLOOKUP(A1532,#REF!,2,0),"")</f>
        <v/>
      </c>
      <c r="G1532" s="3" t="str">
        <f t="array" ref="G1532">_xlfn.XLOOKUP(I1532,Base_Datos!D:D,Base_Datos!B:B,"")</f>
        <v>DFSK</v>
      </c>
      <c r="H1532" s="3" t="str">
        <f t="array" ref="H1532">IF(I1532="","",IFERROR(_xlfn.XLOOKUP(I1532,Base_Datos!$D$2:$D3876,Base_Datos!$C$2:$C3876),""))</f>
        <v>Serie Glory</v>
      </c>
      <c r="I1532" s="3" t="s">
        <v>112</v>
      </c>
      <c r="J1532" s="3" t="str">
        <f>IF(I1532="","",IFERROR(VLOOKUP(I1532,Base_Datos!$D$2:$E$72,2,0),""))</f>
        <v>(1.8L)</v>
      </c>
      <c r="K1532" s="3" t="s">
        <v>1782</v>
      </c>
      <c r="L1532" s="3"/>
      <c r="M1532" s="7">
        <v>2</v>
      </c>
      <c r="N1532" s="7">
        <v>0</v>
      </c>
    </row>
    <row r="1533" spans="1:14" ht="14.25" x14ac:dyDescent="0.2">
      <c r="A1533" s="3">
        <v>88953</v>
      </c>
      <c r="B1533" s="3" t="s">
        <v>3532</v>
      </c>
      <c r="C1533" s="3" t="s">
        <v>18</v>
      </c>
      <c r="D1533" s="6" t="s">
        <v>1022</v>
      </c>
      <c r="E1533" s="6" t="s">
        <v>1022</v>
      </c>
      <c r="F1533" s="3" t="str">
        <f>IFERROR( VLOOKUP(A1533,#REF!,2,0),"")</f>
        <v/>
      </c>
      <c r="G1533" s="3" t="str">
        <f t="array" ref="G1533">_xlfn.XLOOKUP(I1533,Base_Datos!D:D,Base_Datos!B:B,"")</f>
        <v>DFSK</v>
      </c>
      <c r="H1533" s="3" t="str">
        <f t="array" ref="H1533">IF(I1533="","",IFERROR(_xlfn.XLOOKUP(I1533,Base_Datos!$D$2:$D3876,Base_Datos!$C$2:$C3876),""))</f>
        <v>Serie Glory</v>
      </c>
      <c r="I1533" s="3" t="s">
        <v>112</v>
      </c>
      <c r="J1533" s="3" t="str">
        <f>IF(I1533="","",IFERROR(VLOOKUP(I1533,Base_Datos!$D$2:$E$72,2,0),""))</f>
        <v>(1.8L)</v>
      </c>
      <c r="K1533" s="3" t="s">
        <v>1782</v>
      </c>
      <c r="L1533" s="3"/>
      <c r="M1533" s="7">
        <v>2</v>
      </c>
      <c r="N1533" s="7">
        <v>0</v>
      </c>
    </row>
    <row r="1534" spans="1:14" ht="14.25" x14ac:dyDescent="0.2">
      <c r="A1534" s="3">
        <v>88954</v>
      </c>
      <c r="B1534" s="3" t="s">
        <v>3585</v>
      </c>
      <c r="C1534" s="3" t="s">
        <v>18</v>
      </c>
      <c r="D1534" s="6" t="s">
        <v>1023</v>
      </c>
      <c r="E1534" s="6" t="s">
        <v>1023</v>
      </c>
      <c r="F1534" s="3" t="str">
        <f>IFERROR( VLOOKUP(A1534,#REF!,2,0),"")</f>
        <v/>
      </c>
      <c r="G1534" s="3" t="str">
        <f t="array" ref="G1534">_xlfn.XLOOKUP(I1534,Base_Datos!D:D,Base_Datos!B:B,"")</f>
        <v>DFSK</v>
      </c>
      <c r="H1534" s="3" t="str">
        <f t="array" ref="H1534">IF(I1534="","",IFERROR(_xlfn.XLOOKUP(I1534,Base_Datos!$D$2:$D3876,Base_Datos!$C$2:$C3876),""))</f>
        <v>Serie Glory</v>
      </c>
      <c r="I1534" s="3" t="s">
        <v>112</v>
      </c>
      <c r="J1534" s="3" t="str">
        <f>IF(I1534="","",IFERROR(VLOOKUP(I1534,Base_Datos!$D$2:$E$72,2,0),""))</f>
        <v>(1.8L)</v>
      </c>
      <c r="K1534" s="3" t="s">
        <v>1782</v>
      </c>
      <c r="L1534" s="3"/>
      <c r="M1534" s="7">
        <v>4</v>
      </c>
      <c r="N1534" s="7">
        <v>0</v>
      </c>
    </row>
    <row r="1535" spans="1:14" ht="14.25" x14ac:dyDescent="0.2">
      <c r="A1535" s="3">
        <v>88955</v>
      </c>
      <c r="B1535" s="3" t="s">
        <v>3586</v>
      </c>
      <c r="C1535" s="3" t="s">
        <v>18</v>
      </c>
      <c r="D1535" s="6" t="s">
        <v>1016</v>
      </c>
      <c r="E1535" s="6" t="s">
        <v>1016</v>
      </c>
      <c r="F1535" s="3" t="str">
        <f>IFERROR( VLOOKUP(A1535,#REF!,2,0),"")</f>
        <v/>
      </c>
      <c r="G1535" s="3" t="str">
        <f t="array" ref="G1535">_xlfn.XLOOKUP(I1535,Base_Datos!D:D,Base_Datos!B:B,"")</f>
        <v>DFSK</v>
      </c>
      <c r="H1535" s="3" t="str">
        <f t="array" ref="H1535">IF(I1535="","",IFERROR(_xlfn.XLOOKUP(I1535,Base_Datos!$D$2:$D3876,Base_Datos!$C$2:$C3876),""))</f>
        <v>Serie Glory</v>
      </c>
      <c r="I1535" s="3" t="s">
        <v>112</v>
      </c>
      <c r="J1535" s="3" t="str">
        <f>IF(I1535="","",IFERROR(VLOOKUP(I1535,Base_Datos!$D$2:$E$72,2,0),""))</f>
        <v>(1.8L)</v>
      </c>
      <c r="K1535" s="3" t="s">
        <v>1782</v>
      </c>
      <c r="L1535" s="3"/>
      <c r="M1535" s="7">
        <v>3</v>
      </c>
      <c r="N1535" s="7">
        <v>0</v>
      </c>
    </row>
    <row r="1536" spans="1:14" ht="14.25" x14ac:dyDescent="0.2">
      <c r="A1536" s="3">
        <v>88956</v>
      </c>
      <c r="B1536" s="3" t="s">
        <v>3587</v>
      </c>
      <c r="C1536" s="3" t="s">
        <v>18</v>
      </c>
      <c r="D1536" s="6" t="s">
        <v>1017</v>
      </c>
      <c r="E1536" s="6" t="s">
        <v>1017</v>
      </c>
      <c r="F1536" s="3" t="str">
        <f>IFERROR( VLOOKUP(A1536,#REF!,2,0),"")</f>
        <v/>
      </c>
      <c r="G1536" s="3" t="str">
        <f t="array" ref="G1536">_xlfn.XLOOKUP(I1536,Base_Datos!D:D,Base_Datos!B:B,"")</f>
        <v>DFSK</v>
      </c>
      <c r="H1536" s="3" t="str">
        <f t="array" ref="H1536">IF(I1536="","",IFERROR(_xlfn.XLOOKUP(I1536,Base_Datos!$D$2:$D3876,Base_Datos!$C$2:$C3876),""))</f>
        <v>Serie Glory</v>
      </c>
      <c r="I1536" s="3" t="s">
        <v>112</v>
      </c>
      <c r="J1536" s="3" t="str">
        <f>IF(I1536="","",IFERROR(VLOOKUP(I1536,Base_Datos!$D$2:$E$72,2,0),""))</f>
        <v>(1.8L)</v>
      </c>
      <c r="K1536" s="3" t="s">
        <v>1782</v>
      </c>
      <c r="L1536" s="3"/>
      <c r="M1536" s="7">
        <v>3</v>
      </c>
      <c r="N1536" s="7">
        <v>0</v>
      </c>
    </row>
    <row r="1537" spans="1:14" ht="14.25" x14ac:dyDescent="0.2">
      <c r="A1537" s="3">
        <v>88957</v>
      </c>
      <c r="B1537" s="3" t="s">
        <v>3588</v>
      </c>
      <c r="C1537" s="3" t="s">
        <v>18</v>
      </c>
      <c r="D1537" s="6" t="s">
        <v>1024</v>
      </c>
      <c r="E1537" s="6" t="s">
        <v>3589</v>
      </c>
      <c r="F1537" s="3" t="str">
        <f>IFERROR( VLOOKUP(A1537,#REF!,2,0),"")</f>
        <v/>
      </c>
      <c r="G1537" s="3" t="str">
        <f t="array" ref="G1537">_xlfn.XLOOKUP(I1537,Base_Datos!D:D,Base_Datos!B:B,"")</f>
        <v>DFSK</v>
      </c>
      <c r="H1537" s="3" t="str">
        <f t="array" ref="H1537">IF(I1537="","",IFERROR(_xlfn.XLOOKUP(I1537,Base_Datos!$D$2:$D3876,Base_Datos!$C$2:$C3876),""))</f>
        <v>Serie Glory</v>
      </c>
      <c r="I1537" s="3" t="s">
        <v>112</v>
      </c>
      <c r="J1537" s="3" t="str">
        <f>IF(I1537="","",IFERROR(VLOOKUP(I1537,Base_Datos!$D$2:$E$72,2,0),""))</f>
        <v>(1.8L)</v>
      </c>
      <c r="K1537" s="3" t="s">
        <v>1782</v>
      </c>
      <c r="L1537" s="3"/>
      <c r="M1537" s="7">
        <v>1</v>
      </c>
      <c r="N1537" s="7">
        <v>0</v>
      </c>
    </row>
    <row r="1538" spans="1:14" ht="14.25" x14ac:dyDescent="0.2">
      <c r="A1538" s="3">
        <v>88958</v>
      </c>
      <c r="B1538" s="3" t="s">
        <v>3590</v>
      </c>
      <c r="C1538" s="3" t="s">
        <v>18</v>
      </c>
      <c r="D1538" s="6" t="s">
        <v>3591</v>
      </c>
      <c r="E1538" s="6" t="s">
        <v>3591</v>
      </c>
      <c r="F1538" s="3" t="str">
        <f>IFERROR( VLOOKUP(A1538,#REF!,2,0),"")</f>
        <v/>
      </c>
      <c r="G1538" s="3" t="str">
        <f t="array" ref="G1538">_xlfn.XLOOKUP(I1538,Base_Datos!D:D,Base_Datos!B:B,"")</f>
        <v>DFSK</v>
      </c>
      <c r="H1538" s="3" t="str">
        <f t="array" ref="H1538">IF(I1538="","",IFERROR(_xlfn.XLOOKUP(I1538,Base_Datos!$D$2:$D3876,Base_Datos!$C$2:$C3876),""))</f>
        <v>Serie Glory</v>
      </c>
      <c r="I1538" s="3" t="s">
        <v>1765</v>
      </c>
      <c r="J1538" s="3" t="str">
        <f>IF(I1538="","",IFERROR(VLOOKUP(I1538,Base_Datos!$D$2:$E$72,2,0),""))</f>
        <v>(1.5L)</v>
      </c>
      <c r="K1538" s="3" t="s">
        <v>1801</v>
      </c>
      <c r="L1538" s="3"/>
      <c r="M1538" s="7">
        <v>10</v>
      </c>
      <c r="N1538" s="7">
        <v>0</v>
      </c>
    </row>
    <row r="1539" spans="1:14" ht="14.25" x14ac:dyDescent="0.2">
      <c r="A1539" s="3">
        <v>88959</v>
      </c>
      <c r="B1539" s="3" t="s">
        <v>3592</v>
      </c>
      <c r="C1539" s="3" t="s">
        <v>18</v>
      </c>
      <c r="D1539" s="6" t="s">
        <v>1008</v>
      </c>
      <c r="E1539" s="6" t="s">
        <v>1008</v>
      </c>
      <c r="F1539" s="3" t="str">
        <f>IFERROR( VLOOKUP(A1539,#REF!,2,0),"")</f>
        <v/>
      </c>
      <c r="G1539" s="3" t="str">
        <f t="array" ref="G1539">_xlfn.XLOOKUP(I1539,Base_Datos!D:D,Base_Datos!B:B,"")</f>
        <v>DFSK</v>
      </c>
      <c r="H1539" s="3" t="str">
        <f t="array" ref="H1539">IF(I1539="","",IFERROR(_xlfn.XLOOKUP(I1539,Base_Datos!$D$2:$D3876,Base_Datos!$C$2:$C3876),""))</f>
        <v>Serie Glory</v>
      </c>
      <c r="I1539" s="3" t="s">
        <v>112</v>
      </c>
      <c r="J1539" s="3" t="str">
        <f>IF(I1539="","",IFERROR(VLOOKUP(I1539,Base_Datos!$D$2:$E$72,2,0),""))</f>
        <v>(1.8L)</v>
      </c>
      <c r="K1539" s="3" t="s">
        <v>1782</v>
      </c>
      <c r="L1539" s="3"/>
      <c r="M1539" s="7">
        <v>0</v>
      </c>
      <c r="N1539" s="7">
        <v>0</v>
      </c>
    </row>
    <row r="1540" spans="1:14" ht="14.25" x14ac:dyDescent="0.2">
      <c r="A1540" s="3">
        <v>88960</v>
      </c>
      <c r="B1540" s="3" t="s">
        <v>3593</v>
      </c>
      <c r="C1540" s="3" t="s">
        <v>18</v>
      </c>
      <c r="D1540" s="6" t="s">
        <v>1009</v>
      </c>
      <c r="E1540" s="6" t="s">
        <v>1009</v>
      </c>
      <c r="F1540" s="3" t="str">
        <f>IFERROR( VLOOKUP(A1540,#REF!,2,0),"")</f>
        <v/>
      </c>
      <c r="G1540" s="3" t="str">
        <f t="array" ref="G1540">_xlfn.XLOOKUP(I1540,Base_Datos!D:D,Base_Datos!B:B,"")</f>
        <v>DFSK</v>
      </c>
      <c r="H1540" s="3" t="str">
        <f t="array" ref="H1540">IF(I1540="","",IFERROR(_xlfn.XLOOKUP(I1540,Base_Datos!$D$2:$D3876,Base_Datos!$C$2:$C3876),""))</f>
        <v>Serie Glory</v>
      </c>
      <c r="I1540" s="3" t="s">
        <v>112</v>
      </c>
      <c r="J1540" s="3" t="str">
        <f>IF(I1540="","",IFERROR(VLOOKUP(I1540,Base_Datos!$D$2:$E$72,2,0),""))</f>
        <v>(1.8L)</v>
      </c>
      <c r="K1540" s="3" t="s">
        <v>1782</v>
      </c>
      <c r="L1540" s="3"/>
      <c r="M1540" s="7">
        <v>0</v>
      </c>
      <c r="N1540" s="7">
        <v>0</v>
      </c>
    </row>
    <row r="1541" spans="1:14" ht="14.25" x14ac:dyDescent="0.2">
      <c r="A1541" s="3">
        <v>88961</v>
      </c>
      <c r="B1541" s="3" t="s">
        <v>3594</v>
      </c>
      <c r="C1541" s="3" t="s">
        <v>18</v>
      </c>
      <c r="D1541" s="6" t="s">
        <v>1010</v>
      </c>
      <c r="E1541" s="6" t="s">
        <v>1010</v>
      </c>
      <c r="F1541" s="3" t="str">
        <f>IFERROR( VLOOKUP(A1541,#REF!,2,0),"")</f>
        <v/>
      </c>
      <c r="G1541" s="3" t="str">
        <f t="array" ref="G1541">_xlfn.XLOOKUP(I1541,Base_Datos!D:D,Base_Datos!B:B,"")</f>
        <v>DFSK</v>
      </c>
      <c r="H1541" s="3" t="str">
        <f t="array" ref="H1541">IF(I1541="","",IFERROR(_xlfn.XLOOKUP(I1541,Base_Datos!$D$2:$D3876,Base_Datos!$C$2:$C3876),""))</f>
        <v>Serie Glory</v>
      </c>
      <c r="I1541" s="3" t="s">
        <v>112</v>
      </c>
      <c r="J1541" s="3" t="str">
        <f>IF(I1541="","",IFERROR(VLOOKUP(I1541,Base_Datos!$D$2:$E$72,2,0),""))</f>
        <v>(1.8L)</v>
      </c>
      <c r="K1541" s="3" t="s">
        <v>1782</v>
      </c>
      <c r="L1541" s="3"/>
      <c r="M1541" s="7">
        <v>2</v>
      </c>
      <c r="N1541" s="7">
        <v>0</v>
      </c>
    </row>
    <row r="1542" spans="1:14" ht="14.25" x14ac:dyDescent="0.2">
      <c r="A1542" s="3">
        <v>88962</v>
      </c>
      <c r="B1542" s="3" t="s">
        <v>3595</v>
      </c>
      <c r="C1542" s="3" t="s">
        <v>18</v>
      </c>
      <c r="D1542" s="6" t="s">
        <v>1013</v>
      </c>
      <c r="E1542" s="6" t="s">
        <v>1013</v>
      </c>
      <c r="F1542" s="3" t="str">
        <f>IFERROR( VLOOKUP(A1542,#REF!,2,0),"")</f>
        <v/>
      </c>
      <c r="G1542" s="3" t="str">
        <f t="array" ref="G1542">_xlfn.XLOOKUP(I1542,Base_Datos!D:D,Base_Datos!B:B,"")</f>
        <v>DFSK</v>
      </c>
      <c r="H1542" s="3" t="str">
        <f t="array" ref="H1542">IF(I1542="","",IFERROR(_xlfn.XLOOKUP(I1542,Base_Datos!$D$2:$D3876,Base_Datos!$C$2:$C3876),""))</f>
        <v>Serie Glory</v>
      </c>
      <c r="I1542" s="3" t="s">
        <v>112</v>
      </c>
      <c r="J1542" s="3" t="str">
        <f>IF(I1542="","",IFERROR(VLOOKUP(I1542,Base_Datos!$D$2:$E$72,2,0),""))</f>
        <v>(1.8L)</v>
      </c>
      <c r="K1542" s="3" t="s">
        <v>1782</v>
      </c>
      <c r="L1542" s="3"/>
      <c r="M1542" s="7">
        <v>2</v>
      </c>
      <c r="N1542" s="7">
        <v>0</v>
      </c>
    </row>
    <row r="1543" spans="1:14" ht="14.25" x14ac:dyDescent="0.2">
      <c r="A1543" s="3">
        <v>88963</v>
      </c>
      <c r="B1543" s="3" t="s">
        <v>3594</v>
      </c>
      <c r="C1543" s="3" t="s">
        <v>18</v>
      </c>
      <c r="D1543" s="6" t="s">
        <v>1018</v>
      </c>
      <c r="E1543" s="6" t="s">
        <v>1018</v>
      </c>
      <c r="F1543" s="3" t="str">
        <f>IFERROR( VLOOKUP(A1543,#REF!,2,0),"")</f>
        <v/>
      </c>
      <c r="G1543" s="3" t="str">
        <f t="array" ref="G1543">_xlfn.XLOOKUP(I1543,Base_Datos!D:D,Base_Datos!B:B,"")</f>
        <v>DFSK</v>
      </c>
      <c r="H1543" s="3" t="str">
        <f t="array" ref="H1543">IF(I1543="","",IFERROR(_xlfn.XLOOKUP(I1543,Base_Datos!$D$2:$D3876,Base_Datos!$C$2:$C3876),""))</f>
        <v>Serie Glory</v>
      </c>
      <c r="I1543" s="3" t="s">
        <v>112</v>
      </c>
      <c r="J1543" s="3" t="str">
        <f>IF(I1543="","",IFERROR(VLOOKUP(I1543,Base_Datos!$D$2:$E$72,2,0),""))</f>
        <v>(1.8L)</v>
      </c>
      <c r="K1543" s="3" t="s">
        <v>1782</v>
      </c>
      <c r="L1543" s="3"/>
      <c r="M1543" s="7">
        <v>2</v>
      </c>
      <c r="N1543" s="7">
        <v>0</v>
      </c>
    </row>
    <row r="1544" spans="1:14" ht="14.25" x14ac:dyDescent="0.2">
      <c r="A1544" s="3">
        <v>88964</v>
      </c>
      <c r="B1544" s="3" t="s">
        <v>3596</v>
      </c>
      <c r="C1544" s="3" t="s">
        <v>18</v>
      </c>
      <c r="D1544" s="6" t="s">
        <v>1007</v>
      </c>
      <c r="E1544" s="6" t="s">
        <v>1007</v>
      </c>
      <c r="F1544" s="3" t="str">
        <f>IFERROR( VLOOKUP(A1544,#REF!,2,0),"")</f>
        <v/>
      </c>
      <c r="G1544" s="3" t="str">
        <f t="array" ref="G1544">_xlfn.XLOOKUP(I1544,Base_Datos!D:D,Base_Datos!B:B,"")</f>
        <v>DFSK</v>
      </c>
      <c r="H1544" s="3" t="str">
        <f t="array" ref="H1544">IF(I1544="","",IFERROR(_xlfn.XLOOKUP(I1544,Base_Datos!$D$2:$D3876,Base_Datos!$C$2:$C3876),""))</f>
        <v>Serie Glory</v>
      </c>
      <c r="I1544" s="3" t="s">
        <v>112</v>
      </c>
      <c r="J1544" s="3" t="str">
        <f>IF(I1544="","",IFERROR(VLOOKUP(I1544,Base_Datos!$D$2:$E$72,2,0),""))</f>
        <v>(1.8L)</v>
      </c>
      <c r="K1544" s="3" t="s">
        <v>1782</v>
      </c>
      <c r="L1544" s="3"/>
      <c r="M1544" s="7">
        <v>2</v>
      </c>
      <c r="N1544" s="7">
        <v>0</v>
      </c>
    </row>
    <row r="1545" spans="1:14" ht="14.25" x14ac:dyDescent="0.2">
      <c r="A1545" s="3">
        <v>88965</v>
      </c>
      <c r="B1545" s="3" t="s">
        <v>3594</v>
      </c>
      <c r="C1545" s="3" t="s">
        <v>18</v>
      </c>
      <c r="D1545" s="6" t="s">
        <v>1019</v>
      </c>
      <c r="E1545" s="6" t="s">
        <v>1019</v>
      </c>
      <c r="F1545" s="3" t="str">
        <f>IFERROR( VLOOKUP(A1545,#REF!,2,0),"")</f>
        <v/>
      </c>
      <c r="G1545" s="3" t="str">
        <f t="array" ref="G1545">_xlfn.XLOOKUP(I1545,Base_Datos!D:D,Base_Datos!B:B,"")</f>
        <v>DFSK</v>
      </c>
      <c r="H1545" s="3" t="str">
        <f t="array" ref="H1545">IF(I1545="","",IFERROR(_xlfn.XLOOKUP(I1545,Base_Datos!$D$2:$D3876,Base_Datos!$C$2:$C3876),""))</f>
        <v>Serie Glory</v>
      </c>
      <c r="I1545" s="3" t="s">
        <v>112</v>
      </c>
      <c r="J1545" s="3" t="str">
        <f>IF(I1545="","",IFERROR(VLOOKUP(I1545,Base_Datos!$D$2:$E$72,2,0),""))</f>
        <v>(1.8L)</v>
      </c>
      <c r="K1545" s="3" t="s">
        <v>1782</v>
      </c>
      <c r="L1545" s="3"/>
      <c r="M1545" s="7">
        <v>2</v>
      </c>
      <c r="N1545" s="7">
        <v>0</v>
      </c>
    </row>
    <row r="1546" spans="1:14" ht="14.25" x14ac:dyDescent="0.2">
      <c r="A1546" s="3">
        <v>88966</v>
      </c>
      <c r="B1546" s="3" t="s">
        <v>3597</v>
      </c>
      <c r="C1546" s="3" t="s">
        <v>18</v>
      </c>
      <c r="D1546" s="6" t="s">
        <v>1020</v>
      </c>
      <c r="E1546" s="6" t="s">
        <v>1020</v>
      </c>
      <c r="F1546" s="3" t="str">
        <f>IFERROR( VLOOKUP(A1546,#REF!,2,0),"")</f>
        <v/>
      </c>
      <c r="G1546" s="3" t="str">
        <f t="array" ref="G1546">_xlfn.XLOOKUP(I1546,Base_Datos!D:D,Base_Datos!B:B,"")</f>
        <v>DFSK</v>
      </c>
      <c r="H1546" s="3" t="str">
        <f t="array" ref="H1546">IF(I1546="","",IFERROR(_xlfn.XLOOKUP(I1546,Base_Datos!$D$2:$D3876,Base_Datos!$C$2:$C3876),""))</f>
        <v>Serie Glory</v>
      </c>
      <c r="I1546" s="3" t="s">
        <v>112</v>
      </c>
      <c r="J1546" s="3" t="str">
        <f>IF(I1546="","",IFERROR(VLOOKUP(I1546,Base_Datos!$D$2:$E$72,2,0),""))</f>
        <v>(1.8L)</v>
      </c>
      <c r="K1546" s="3" t="s">
        <v>1782</v>
      </c>
      <c r="L1546" s="3"/>
      <c r="M1546" s="7">
        <v>2</v>
      </c>
      <c r="N1546" s="7">
        <v>0</v>
      </c>
    </row>
    <row r="1547" spans="1:14" ht="14.25" x14ac:dyDescent="0.2">
      <c r="A1547" s="3">
        <v>88967</v>
      </c>
      <c r="B1547" s="3" t="s">
        <v>3598</v>
      </c>
      <c r="C1547" s="3" t="s">
        <v>18</v>
      </c>
      <c r="D1547" s="6" t="s">
        <v>1006</v>
      </c>
      <c r="E1547" s="6" t="s">
        <v>1006</v>
      </c>
      <c r="F1547" s="3" t="str">
        <f>IFERROR( VLOOKUP(A1547,#REF!,2,0),"")</f>
        <v/>
      </c>
      <c r="G1547" s="3" t="str">
        <f t="array" ref="G1547">_xlfn.XLOOKUP(I1547,Base_Datos!D:D,Base_Datos!B:B,"")</f>
        <v>DFSK</v>
      </c>
      <c r="H1547" s="3" t="str">
        <f t="array" ref="H1547">IF(I1547="","",IFERROR(_xlfn.XLOOKUP(I1547,Base_Datos!$D$2:$D3876,Base_Datos!$C$2:$C3876),""))</f>
        <v>Serie Glory</v>
      </c>
      <c r="I1547" s="3" t="s">
        <v>112</v>
      </c>
      <c r="J1547" s="3" t="str">
        <f>IF(I1547="","",IFERROR(VLOOKUP(I1547,Base_Datos!$D$2:$E$72,2,0),""))</f>
        <v>(1.8L)</v>
      </c>
      <c r="K1547" s="3" t="s">
        <v>1782</v>
      </c>
      <c r="L1547" s="3"/>
      <c r="M1547" s="7">
        <v>2</v>
      </c>
      <c r="N1547" s="7">
        <v>0</v>
      </c>
    </row>
    <row r="1548" spans="1:14" ht="14.25" x14ac:dyDescent="0.2">
      <c r="A1548" s="3">
        <v>88968</v>
      </c>
      <c r="B1548" s="3" t="s">
        <v>1790</v>
      </c>
      <c r="C1548" s="3" t="s">
        <v>18</v>
      </c>
      <c r="D1548" s="6" t="s">
        <v>1014</v>
      </c>
      <c r="E1548" s="6" t="s">
        <v>1014</v>
      </c>
      <c r="F1548" s="3" t="str">
        <f>IFERROR( VLOOKUP(A1548,#REF!,2,0),"")</f>
        <v/>
      </c>
      <c r="G1548" s="3" t="str">
        <f t="array" ref="G1548">_xlfn.XLOOKUP(I1548,Base_Datos!D:D,Base_Datos!B:B,"")</f>
        <v>DFSK</v>
      </c>
      <c r="H1548" s="3" t="str">
        <f t="array" ref="H1548">IF(I1548="","",IFERROR(_xlfn.XLOOKUP(I1548,Base_Datos!$D$2:$D3876,Base_Datos!$C$2:$C3876),""))</f>
        <v>Serie Glory</v>
      </c>
      <c r="I1548" s="3" t="s">
        <v>112</v>
      </c>
      <c r="J1548" s="3" t="str">
        <f>IF(I1548="","",IFERROR(VLOOKUP(I1548,Base_Datos!$D$2:$E$72,2,0),""))</f>
        <v>(1.8L)</v>
      </c>
      <c r="K1548" s="3" t="s">
        <v>1782</v>
      </c>
      <c r="L1548" s="3"/>
      <c r="M1548" s="7">
        <v>3</v>
      </c>
      <c r="N1548" s="7">
        <v>0</v>
      </c>
    </row>
    <row r="1549" spans="1:14" ht="14.25" x14ac:dyDescent="0.2">
      <c r="A1549" s="3">
        <v>88969</v>
      </c>
      <c r="B1549" s="3" t="s">
        <v>3599</v>
      </c>
      <c r="C1549" s="3" t="s">
        <v>18</v>
      </c>
      <c r="D1549" s="6" t="s">
        <v>1015</v>
      </c>
      <c r="E1549" s="6" t="s">
        <v>1015</v>
      </c>
      <c r="F1549" s="3" t="str">
        <f>IFERROR( VLOOKUP(A1549,#REF!,2,0),"")</f>
        <v/>
      </c>
      <c r="G1549" s="3" t="str">
        <f t="array" ref="G1549">_xlfn.XLOOKUP(I1549,Base_Datos!D:D,Base_Datos!B:B,"")</f>
        <v>DFSK</v>
      </c>
      <c r="H1549" s="3" t="str">
        <f t="array" ref="H1549">IF(I1549="","",IFERROR(_xlfn.XLOOKUP(I1549,Base_Datos!$D$2:$D3876,Base_Datos!$C$2:$C3876),""))</f>
        <v>Serie Glory</v>
      </c>
      <c r="I1549" s="3" t="s">
        <v>112</v>
      </c>
      <c r="J1549" s="3" t="str">
        <f>IF(I1549="","",IFERROR(VLOOKUP(I1549,Base_Datos!$D$2:$E$72,2,0),""))</f>
        <v>(1.8L)</v>
      </c>
      <c r="K1549" s="3" t="s">
        <v>1782</v>
      </c>
      <c r="L1549" s="3"/>
      <c r="M1549" s="7">
        <v>3</v>
      </c>
      <c r="N1549" s="7">
        <v>0</v>
      </c>
    </row>
    <row r="1550" spans="1:14" ht="14.25" x14ac:dyDescent="0.2">
      <c r="A1550" s="3">
        <v>88970</v>
      </c>
      <c r="B1550" s="3" t="s">
        <v>1841</v>
      </c>
      <c r="C1550" s="3" t="s">
        <v>18</v>
      </c>
      <c r="D1550" s="6" t="s">
        <v>1005</v>
      </c>
      <c r="E1550" s="6" t="s">
        <v>1005</v>
      </c>
      <c r="F1550" s="3" t="str">
        <f>IFERROR( VLOOKUP(A1550,#REF!,2,0),"")</f>
        <v/>
      </c>
      <c r="G1550" s="3" t="str">
        <f t="array" ref="G1550">_xlfn.XLOOKUP(I1550,Base_Datos!D:D,Base_Datos!B:B,"")</f>
        <v>DFSK</v>
      </c>
      <c r="H1550" s="3" t="str">
        <f t="array" ref="H1550">IF(I1550="","",IFERROR(_xlfn.XLOOKUP(I1550,Base_Datos!$D$2:$D3876,Base_Datos!$C$2:$C3876),""))</f>
        <v>Serie Glory</v>
      </c>
      <c r="I1550" s="3" t="s">
        <v>112</v>
      </c>
      <c r="J1550" s="3" t="str">
        <f>IF(I1550="","",IFERROR(VLOOKUP(I1550,Base_Datos!$D$2:$E$72,2,0),""))</f>
        <v>(1.8L)</v>
      </c>
      <c r="K1550" s="3" t="s">
        <v>1782</v>
      </c>
      <c r="L1550" s="3"/>
      <c r="M1550" s="7">
        <v>2</v>
      </c>
      <c r="N1550" s="7">
        <v>0</v>
      </c>
    </row>
    <row r="1551" spans="1:14" ht="14.25" x14ac:dyDescent="0.2">
      <c r="A1551" s="3">
        <v>88971</v>
      </c>
      <c r="B1551" s="3" t="s">
        <v>2614</v>
      </c>
      <c r="C1551" s="3" t="s">
        <v>18</v>
      </c>
      <c r="D1551" s="6" t="s">
        <v>1026</v>
      </c>
      <c r="E1551" s="6" t="s">
        <v>1026</v>
      </c>
      <c r="F1551" s="3" t="str">
        <f>IFERROR( VLOOKUP(A1551,#REF!,2,0),"")</f>
        <v/>
      </c>
      <c r="G1551" s="3" t="str">
        <f t="array" ref="G1551">_xlfn.XLOOKUP(I1551,Base_Datos!D:D,Base_Datos!B:B,"")</f>
        <v>DFSK</v>
      </c>
      <c r="H1551" s="3" t="str">
        <f t="array" ref="H1551">IF(I1551="","",IFERROR(_xlfn.XLOOKUP(I1551,Base_Datos!$D$2:$D3876,Base_Datos!$C$2:$C3876),""))</f>
        <v>Serie Glory</v>
      </c>
      <c r="I1551" s="3" t="s">
        <v>112</v>
      </c>
      <c r="J1551" s="3" t="str">
        <f>IF(I1551="","",IFERROR(VLOOKUP(I1551,Base_Datos!$D$2:$E$72,2,0),""))</f>
        <v>(1.8L)</v>
      </c>
      <c r="K1551" s="3" t="s">
        <v>1782</v>
      </c>
      <c r="L1551" s="3"/>
      <c r="M1551" s="7">
        <v>0</v>
      </c>
      <c r="N1551" s="7">
        <v>0</v>
      </c>
    </row>
    <row r="1552" spans="1:14" ht="14.25" x14ac:dyDescent="0.2">
      <c r="A1552" s="3">
        <v>88972</v>
      </c>
      <c r="B1552" s="3" t="s">
        <v>3600</v>
      </c>
      <c r="C1552" s="3" t="s">
        <v>18</v>
      </c>
      <c r="D1552" s="6" t="s">
        <v>1027</v>
      </c>
      <c r="E1552" s="6" t="s">
        <v>1027</v>
      </c>
      <c r="F1552" s="3" t="str">
        <f>IFERROR( VLOOKUP(A1552,#REF!,2,0),"")</f>
        <v/>
      </c>
      <c r="G1552" s="3" t="str">
        <f t="array" ref="G1552">_xlfn.XLOOKUP(I1552,Base_Datos!D:D,Base_Datos!B:B,"")</f>
        <v>DFSK</v>
      </c>
      <c r="H1552" s="3" t="str">
        <f t="array" ref="H1552">IF(I1552="","",IFERROR(_xlfn.XLOOKUP(I1552,Base_Datos!$D$2:$D3876,Base_Datos!$C$2:$C3876),""))</f>
        <v>Serie Glory</v>
      </c>
      <c r="I1552" s="3" t="s">
        <v>112</v>
      </c>
      <c r="J1552" s="3" t="str">
        <f>IF(I1552="","",IFERROR(VLOOKUP(I1552,Base_Datos!$D$2:$E$72,2,0),""))</f>
        <v>(1.8L)</v>
      </c>
      <c r="K1552" s="3" t="s">
        <v>1782</v>
      </c>
      <c r="L1552" s="3"/>
      <c r="M1552" s="7">
        <v>3</v>
      </c>
      <c r="N1552" s="7">
        <v>0</v>
      </c>
    </row>
    <row r="1553" spans="1:14" ht="14.25" x14ac:dyDescent="0.2">
      <c r="A1553" s="3">
        <v>88973</v>
      </c>
      <c r="B1553" s="3" t="s">
        <v>3403</v>
      </c>
      <c r="C1553" s="3" t="s">
        <v>18</v>
      </c>
      <c r="D1553" s="6" t="s">
        <v>1021</v>
      </c>
      <c r="E1553" s="6" t="s">
        <v>1021</v>
      </c>
      <c r="F1553" s="3" t="str">
        <f>IFERROR( VLOOKUP(A1553,#REF!,2,0),"")</f>
        <v/>
      </c>
      <c r="G1553" s="3" t="str">
        <f t="array" ref="G1553">_xlfn.XLOOKUP(I1553,Base_Datos!D:D,Base_Datos!B:B,"")</f>
        <v>DFSK</v>
      </c>
      <c r="H1553" s="3" t="str">
        <f t="array" ref="H1553">IF(I1553="","",IFERROR(_xlfn.XLOOKUP(I1553,Base_Datos!$D$2:$D3876,Base_Datos!$C$2:$C3876),""))</f>
        <v>Serie Glory</v>
      </c>
      <c r="I1553" s="3" t="s">
        <v>112</v>
      </c>
      <c r="J1553" s="3" t="str">
        <f>IF(I1553="","",IFERROR(VLOOKUP(I1553,Base_Datos!$D$2:$E$72,2,0),""))</f>
        <v>(1.8L)</v>
      </c>
      <c r="K1553" s="3" t="s">
        <v>1782</v>
      </c>
      <c r="L1553" s="3"/>
      <c r="M1553" s="7">
        <v>0</v>
      </c>
      <c r="N1553" s="7">
        <v>0</v>
      </c>
    </row>
    <row r="1554" spans="1:14" ht="14.25" x14ac:dyDescent="0.2">
      <c r="A1554" s="3">
        <v>88974</v>
      </c>
      <c r="B1554" s="3" t="s">
        <v>1857</v>
      </c>
      <c r="C1554" s="3" t="s">
        <v>18</v>
      </c>
      <c r="D1554" s="6" t="s">
        <v>187</v>
      </c>
      <c r="E1554" s="6" t="s">
        <v>187</v>
      </c>
      <c r="F1554" s="3" t="str">
        <f>IFERROR( VLOOKUP(A1554,#REF!,2,0),"")</f>
        <v/>
      </c>
      <c r="G1554" s="3" t="str">
        <f t="array" ref="G1554">_xlfn.XLOOKUP(I1554,Base_Datos!D:D,Base_Datos!B:B,"")</f>
        <v>DFSK</v>
      </c>
      <c r="H1554" s="3" t="str">
        <f t="array" ref="H1554">IF(I1554="","",IFERROR(_xlfn.XLOOKUP(I1554,Base_Datos!$D$2:$D3876,Base_Datos!$C$2:$C3876),""))</f>
        <v>Serie Glory</v>
      </c>
      <c r="I1554" s="3" t="s">
        <v>1766</v>
      </c>
      <c r="J1554" s="3" t="str">
        <f>IF(I1554="","",IFERROR(VLOOKUP(I1554,Base_Datos!$D$2:$E$72,2,0),""))</f>
        <v>(1.8L)</v>
      </c>
      <c r="K1554" s="3" t="s">
        <v>1782</v>
      </c>
      <c r="L1554" s="3"/>
      <c r="M1554" s="7">
        <v>5</v>
      </c>
      <c r="N1554" s="7">
        <v>0</v>
      </c>
    </row>
    <row r="1555" spans="1:14" ht="14.25" x14ac:dyDescent="0.2">
      <c r="A1555" s="3">
        <v>88975</v>
      </c>
      <c r="B1555" s="3" t="s">
        <v>3601</v>
      </c>
      <c r="C1555" s="3" t="s">
        <v>18</v>
      </c>
      <c r="D1555" s="6" t="s">
        <v>34</v>
      </c>
      <c r="E1555" s="6" t="s">
        <v>34</v>
      </c>
      <c r="F1555" s="3" t="str">
        <f>IFERROR( VLOOKUP(A1555,#REF!,2,0),"")</f>
        <v/>
      </c>
      <c r="G1555" s="3" t="str">
        <f t="array" ref="G1555">_xlfn.XLOOKUP(I1555,Base_Datos!D:D,Base_Datos!B:B,"")</f>
        <v>DFSK</v>
      </c>
      <c r="H1555" s="3" t="str">
        <f t="array" ref="H1555">IF(I1555="","",IFERROR(_xlfn.XLOOKUP(I1555,Base_Datos!$D$2:$D3876,Base_Datos!$C$2:$C3876),""))</f>
        <v>Serie Glory</v>
      </c>
      <c r="I1555" s="3" t="s">
        <v>1766</v>
      </c>
      <c r="J1555" s="3" t="str">
        <f>IF(I1555="","",IFERROR(VLOOKUP(I1555,Base_Datos!$D$2:$E$72,2,0),""))</f>
        <v>(1.8L)</v>
      </c>
      <c r="K1555" s="3" t="s">
        <v>1782</v>
      </c>
      <c r="L1555" s="3"/>
      <c r="M1555" s="7">
        <v>5</v>
      </c>
      <c r="N1555" s="7">
        <v>0</v>
      </c>
    </row>
    <row r="1556" spans="1:14" ht="14.25" x14ac:dyDescent="0.2">
      <c r="A1556" s="3">
        <v>88976</v>
      </c>
      <c r="B1556" s="3" t="s">
        <v>3403</v>
      </c>
      <c r="C1556" s="3" t="s">
        <v>18</v>
      </c>
      <c r="D1556" s="6" t="s">
        <v>188</v>
      </c>
      <c r="E1556" s="6" t="s">
        <v>1782</v>
      </c>
      <c r="F1556" s="3" t="str">
        <f>IFERROR( VLOOKUP(A1556,#REF!,2,0),"")</f>
        <v/>
      </c>
      <c r="G1556" s="3" t="str">
        <f t="array" ref="G1556">_xlfn.XLOOKUP(I1556,Base_Datos!D:D,Base_Datos!B:B,"")</f>
        <v>DFSK</v>
      </c>
      <c r="H1556" s="3" t="str">
        <f t="array" ref="H1556">IF(I1556="","",IFERROR(_xlfn.XLOOKUP(I1556,Base_Datos!$D$2:$D3876,Base_Datos!$C$2:$C3876),""))</f>
        <v>Serie Glory</v>
      </c>
      <c r="I1556" s="3" t="s">
        <v>1767</v>
      </c>
      <c r="J1556" s="3" t="str">
        <f>IF(I1556="","",IFERROR(VLOOKUP(I1556,Base_Datos!$D$2:$E$72,2,0),""))</f>
        <v>(1.5L)</v>
      </c>
      <c r="K1556" s="3" t="s">
        <v>1782</v>
      </c>
      <c r="L1556" s="3"/>
      <c r="M1556" s="7">
        <v>0</v>
      </c>
      <c r="N1556" s="7">
        <v>0</v>
      </c>
    </row>
    <row r="1557" spans="1:14" ht="14.25" x14ac:dyDescent="0.2">
      <c r="A1557" s="3">
        <v>88977</v>
      </c>
      <c r="B1557" s="3" t="s">
        <v>3602</v>
      </c>
      <c r="C1557" s="3" t="s">
        <v>18</v>
      </c>
      <c r="D1557" s="6" t="s">
        <v>1782</v>
      </c>
      <c r="E1557" s="6" t="s">
        <v>1782</v>
      </c>
      <c r="F1557" s="3" t="str">
        <f>IFERROR( VLOOKUP(A1557,#REF!,2,0),"")</f>
        <v/>
      </c>
      <c r="G1557" s="3" t="str">
        <f t="array" ref="G1557">_xlfn.XLOOKUP(I1557,Base_Datos!D:D,Base_Datos!B:B,"")</f>
        <v>DFSK</v>
      </c>
      <c r="H1557" s="3" t="str">
        <f t="array" ref="H1557">IF(I1557="","",IFERROR(_xlfn.XLOOKUP(I1557,Base_Datos!$D$2:$D3876,Base_Datos!$C$2:$C3876),""))</f>
        <v>Serie Glory</v>
      </c>
      <c r="I1557" s="3" t="s">
        <v>1767</v>
      </c>
      <c r="J1557" s="3" t="str">
        <f>IF(I1557="","",IFERROR(VLOOKUP(I1557,Base_Datos!$D$2:$E$72,2,0),""))</f>
        <v>(1.5L)</v>
      </c>
      <c r="K1557" s="3" t="s">
        <v>1782</v>
      </c>
      <c r="L1557" s="3"/>
      <c r="M1557" s="7">
        <v>0</v>
      </c>
      <c r="N1557" s="7">
        <v>0</v>
      </c>
    </row>
    <row r="1558" spans="1:14" ht="14.25" x14ac:dyDescent="0.2">
      <c r="A1558" s="3">
        <v>88978</v>
      </c>
      <c r="B1558" s="9" t="s">
        <v>1925</v>
      </c>
      <c r="C1558" s="3" t="s">
        <v>18</v>
      </c>
      <c r="D1558" s="6" t="s">
        <v>189</v>
      </c>
      <c r="E1558" s="6" t="s">
        <v>1766</v>
      </c>
      <c r="F1558" s="3" t="str">
        <f>IFERROR( VLOOKUP(A1558,#REF!,2,0),"")</f>
        <v/>
      </c>
      <c r="G1558" s="3" t="str">
        <f t="array" ref="G1558">_xlfn.XLOOKUP(I1558,Base_Datos!D:D,Base_Datos!B:B,"")</f>
        <v>DFSK</v>
      </c>
      <c r="H1558" s="3" t="str">
        <f t="array" ref="H1558">IF(I1558="","",IFERROR(_xlfn.XLOOKUP(I1558,Base_Datos!$D$2:$D3876,Base_Datos!$C$2:$C3876),""))</f>
        <v>Serie Glory</v>
      </c>
      <c r="I1558" s="3" t="s">
        <v>112</v>
      </c>
      <c r="J1558" s="3" t="str">
        <f>IF(I1558="","",IFERROR(VLOOKUP(I1558,Base_Datos!$D$2:$E$72,2,0),""))</f>
        <v>(1.8L)</v>
      </c>
      <c r="K1558" s="3" t="s">
        <v>3603</v>
      </c>
      <c r="L1558" s="3"/>
      <c r="M1558" s="7">
        <v>23</v>
      </c>
      <c r="N1558" s="7">
        <v>0</v>
      </c>
    </row>
    <row r="1559" spans="1:14" ht="14.25" x14ac:dyDescent="0.2">
      <c r="A1559" s="3">
        <v>88979</v>
      </c>
      <c r="B1559" s="3" t="s">
        <v>2404</v>
      </c>
      <c r="C1559" s="3" t="s">
        <v>18</v>
      </c>
      <c r="D1559" s="6" t="s">
        <v>190</v>
      </c>
      <c r="E1559" s="6" t="s">
        <v>190</v>
      </c>
      <c r="F1559" s="3" t="str">
        <f>IFERROR( VLOOKUP(A1559,#REF!,2,0),"")</f>
        <v/>
      </c>
      <c r="G1559" s="3" t="str">
        <f t="array" ref="G1559">_xlfn.XLOOKUP(I1559,Base_Datos!D:D,Base_Datos!B:B,"")</f>
        <v>DFSK</v>
      </c>
      <c r="H1559" s="3" t="str">
        <f t="array" ref="H1559">IF(I1559="","",IFERROR(_xlfn.XLOOKUP(I1559,Base_Datos!$D$2:$D3876,Base_Datos!$C$2:$C3876),""))</f>
        <v>Serie Glory</v>
      </c>
      <c r="I1559" s="3" t="s">
        <v>1767</v>
      </c>
      <c r="J1559" s="3" t="str">
        <f>IF(I1559="","",IFERROR(VLOOKUP(I1559,Base_Datos!$D$2:$E$72,2,0),""))</f>
        <v>(1.5L)</v>
      </c>
      <c r="K1559" s="3" t="s">
        <v>1782</v>
      </c>
      <c r="L1559" s="3"/>
      <c r="M1559" s="7">
        <v>6</v>
      </c>
      <c r="N1559" s="7">
        <v>0</v>
      </c>
    </row>
    <row r="1560" spans="1:14" ht="14.25" x14ac:dyDescent="0.2">
      <c r="A1560" s="3">
        <v>88980</v>
      </c>
      <c r="B1560" s="3" t="s">
        <v>3604</v>
      </c>
      <c r="C1560" s="3" t="s">
        <v>18</v>
      </c>
      <c r="D1560" s="6" t="s">
        <v>191</v>
      </c>
      <c r="E1560" s="6" t="s">
        <v>191</v>
      </c>
      <c r="F1560" s="3" t="str">
        <f>IFERROR( VLOOKUP(A1560,#REF!,2,0),"")</f>
        <v/>
      </c>
      <c r="G1560" s="3" t="str">
        <f t="array" ref="G1560">_xlfn.XLOOKUP(I1560,Base_Datos!D:D,Base_Datos!B:B,"")</f>
        <v>DFSK</v>
      </c>
      <c r="H1560" s="3" t="str">
        <f t="array" ref="H1560">IF(I1560="","",IFERROR(_xlfn.XLOOKUP(I1560,Base_Datos!$D$2:$D3876,Base_Datos!$C$2:$C3876),""))</f>
        <v>Serie Glory</v>
      </c>
      <c r="I1560" s="3" t="s">
        <v>112</v>
      </c>
      <c r="J1560" s="3" t="str">
        <f>IF(I1560="","",IFERROR(VLOOKUP(I1560,Base_Datos!$D$2:$E$72,2,0),""))</f>
        <v>(1.8L)</v>
      </c>
      <c r="K1560" s="3" t="s">
        <v>1782</v>
      </c>
      <c r="L1560" s="3"/>
      <c r="M1560" s="7">
        <v>9</v>
      </c>
      <c r="N1560" s="7">
        <v>0</v>
      </c>
    </row>
    <row r="1561" spans="1:14" ht="14.25" x14ac:dyDescent="0.2">
      <c r="A1561" s="3">
        <v>88982</v>
      </c>
      <c r="B1561" s="3" t="s">
        <v>3605</v>
      </c>
      <c r="C1561" s="3" t="s">
        <v>18</v>
      </c>
      <c r="D1561" s="6" t="s">
        <v>192</v>
      </c>
      <c r="E1561" s="6" t="s">
        <v>192</v>
      </c>
      <c r="F1561" s="3" t="str">
        <f>IFERROR( VLOOKUP(A1561,#REF!,2,0),"")</f>
        <v/>
      </c>
      <c r="G1561" s="3" t="str">
        <f t="array" ref="G1561">_xlfn.XLOOKUP(I1561,Base_Datos!D:D,Base_Datos!B:B,"")</f>
        <v>DFSK</v>
      </c>
      <c r="H1561" s="3" t="str">
        <f t="array" ref="H1561">IF(I1561="","",IFERROR(_xlfn.XLOOKUP(I1561,Base_Datos!$D$2:$D3876,Base_Datos!$C$2:$C3876),""))</f>
        <v>Serie Glory</v>
      </c>
      <c r="I1561" s="3" t="s">
        <v>1765</v>
      </c>
      <c r="J1561" s="3" t="str">
        <f>IF(I1561="","",IFERROR(VLOOKUP(I1561,Base_Datos!$D$2:$E$72,2,0),""))</f>
        <v>(1.5L)</v>
      </c>
      <c r="K1561" s="3" t="s">
        <v>3606</v>
      </c>
      <c r="L1561" s="3"/>
      <c r="M1561" s="7">
        <v>22</v>
      </c>
      <c r="N1561" s="7">
        <v>0</v>
      </c>
    </row>
    <row r="1562" spans="1:14" ht="14.25" x14ac:dyDescent="0.2">
      <c r="A1562" s="3">
        <v>88983</v>
      </c>
      <c r="B1562" s="3" t="s">
        <v>3040</v>
      </c>
      <c r="C1562" s="3" t="s">
        <v>18</v>
      </c>
      <c r="D1562" s="6" t="s">
        <v>193</v>
      </c>
      <c r="E1562" s="6" t="s">
        <v>193</v>
      </c>
      <c r="F1562" s="3" t="str">
        <f>IFERROR( VLOOKUP(A1562,#REF!,2,0),"")</f>
        <v/>
      </c>
      <c r="G1562" s="3" t="str">
        <f t="array" ref="G1562">_xlfn.XLOOKUP(I1562,Base_Datos!D:D,Base_Datos!B:B,"")</f>
        <v>DFSK</v>
      </c>
      <c r="H1562" s="3" t="str">
        <f t="array" ref="H1562">IF(I1562="","",IFERROR(_xlfn.XLOOKUP(I1562,Base_Datos!$D$2:$D3876,Base_Datos!$C$2:$C3876),""))</f>
        <v>Serie Glory</v>
      </c>
      <c r="I1562" s="3" t="s">
        <v>1754</v>
      </c>
      <c r="J1562" s="3" t="str">
        <f>IF(I1562="","",IFERROR(VLOOKUP(I1562,Base_Datos!$D$2:$E$72,2,0),""))</f>
        <v>(1.5L)</v>
      </c>
      <c r="K1562" s="3" t="s">
        <v>3562</v>
      </c>
      <c r="L1562" s="3"/>
      <c r="M1562" s="7">
        <v>91</v>
      </c>
      <c r="N1562" s="7">
        <v>0</v>
      </c>
    </row>
    <row r="1563" spans="1:14" ht="14.25" x14ac:dyDescent="0.2">
      <c r="A1563" s="3">
        <v>88985</v>
      </c>
      <c r="B1563" s="3" t="s">
        <v>3607</v>
      </c>
      <c r="C1563" s="3" t="s">
        <v>18</v>
      </c>
      <c r="D1563" s="6" t="s">
        <v>194</v>
      </c>
      <c r="E1563" s="6" t="s">
        <v>194</v>
      </c>
      <c r="F1563" s="3" t="str">
        <f>IFERROR( VLOOKUP(A1563,#REF!,2,0),"")</f>
        <v/>
      </c>
      <c r="G1563" s="3" t="str">
        <f t="array" ref="G1563">_xlfn.XLOOKUP(I1563,Base_Datos!D:D,Base_Datos!B:B,"")</f>
        <v>DFSK</v>
      </c>
      <c r="H1563" s="3" t="str">
        <f t="array" ref="H1563">IF(I1563="","",IFERROR(_xlfn.XLOOKUP(I1563,Base_Datos!$D$2:$D3876,Base_Datos!$C$2:$C3876),""))</f>
        <v>Serie Glory</v>
      </c>
      <c r="I1563" s="3" t="s">
        <v>112</v>
      </c>
      <c r="J1563" s="3" t="str">
        <f>IF(I1563="","",IFERROR(VLOOKUP(I1563,Base_Datos!$D$2:$E$72,2,0),""))</f>
        <v>(1.8L)</v>
      </c>
      <c r="K1563" s="3" t="s">
        <v>1782</v>
      </c>
      <c r="L1563" s="3"/>
      <c r="M1563" s="7">
        <v>8</v>
      </c>
      <c r="N1563" s="7">
        <v>0</v>
      </c>
    </row>
    <row r="1564" spans="1:14" ht="14.25" x14ac:dyDescent="0.2">
      <c r="A1564" s="3">
        <v>88987</v>
      </c>
      <c r="B1564" s="3" t="s">
        <v>1781</v>
      </c>
      <c r="C1564" s="3" t="s">
        <v>18</v>
      </c>
      <c r="D1564" s="6" t="s">
        <v>195</v>
      </c>
      <c r="E1564" s="6" t="s">
        <v>195</v>
      </c>
      <c r="F1564" s="3" t="str">
        <f>IFERROR( VLOOKUP(A1564,#REF!,2,0),"")</f>
        <v/>
      </c>
      <c r="G1564" s="3" t="str">
        <f t="array" ref="G1564">_xlfn.XLOOKUP(I1564,Base_Datos!D:D,Base_Datos!B:B,"")</f>
        <v>DFSK</v>
      </c>
      <c r="H1564" s="3" t="str">
        <f t="array" ref="H1564">IF(I1564="","",IFERROR(_xlfn.XLOOKUP(I1564,Base_Datos!$D$2:$D3876,Base_Datos!$C$2:$C3876),""))</f>
        <v>Serie Glory</v>
      </c>
      <c r="I1564" s="3" t="s">
        <v>112</v>
      </c>
      <c r="J1564" s="3" t="str">
        <f>IF(I1564="","",IFERROR(VLOOKUP(I1564,Base_Datos!$D$2:$E$72,2,0),""))</f>
        <v>(1.8L)</v>
      </c>
      <c r="K1564" s="3" t="s">
        <v>1782</v>
      </c>
      <c r="L1564" s="3"/>
      <c r="M1564" s="7">
        <v>6</v>
      </c>
      <c r="N1564" s="7">
        <v>0</v>
      </c>
    </row>
    <row r="1565" spans="1:14" ht="14.25" x14ac:dyDescent="0.2">
      <c r="A1565" s="3">
        <v>88988</v>
      </c>
      <c r="B1565" s="9" t="s">
        <v>2275</v>
      </c>
      <c r="C1565" s="3" t="s">
        <v>18</v>
      </c>
      <c r="D1565" s="6" t="s">
        <v>196</v>
      </c>
      <c r="E1565" s="6" t="s">
        <v>1766</v>
      </c>
      <c r="F1565" s="3" t="str">
        <f>IFERROR( VLOOKUP(A1565,#REF!,2,0),"")</f>
        <v/>
      </c>
      <c r="G1565" s="3" t="str">
        <f t="array" ref="G1565">_xlfn.XLOOKUP(I1565,Base_Datos!D:D,Base_Datos!B:B,"")</f>
        <v>DFSK</v>
      </c>
      <c r="H1565" s="3" t="str">
        <f t="array" ref="H1565">IF(I1565="","",IFERROR(_xlfn.XLOOKUP(I1565,Base_Datos!$D$2:$D3876,Base_Datos!$C$2:$C3876),""))</f>
        <v>Serie Glory</v>
      </c>
      <c r="I1565" s="3" t="s">
        <v>1767</v>
      </c>
      <c r="J1565" s="3" t="str">
        <f>IF(I1565="","",IFERROR(VLOOKUP(I1565,Base_Datos!$D$2:$E$72,2,0),""))</f>
        <v>(1.5L)</v>
      </c>
      <c r="K1565" s="3" t="s">
        <v>3608</v>
      </c>
      <c r="L1565" s="3"/>
      <c r="M1565" s="7">
        <v>7</v>
      </c>
      <c r="N1565" s="7">
        <v>0</v>
      </c>
    </row>
    <row r="1566" spans="1:14" ht="14.25" x14ac:dyDescent="0.2">
      <c r="A1566" s="3">
        <v>88990</v>
      </c>
      <c r="B1566" s="3" t="s">
        <v>3609</v>
      </c>
      <c r="C1566" s="3" t="s">
        <v>2</v>
      </c>
      <c r="D1566" s="6" t="s">
        <v>197</v>
      </c>
      <c r="E1566" s="6" t="s">
        <v>1782</v>
      </c>
      <c r="F1566" s="3" t="str">
        <f>IFERROR( VLOOKUP(A1566,#REF!,2,0),"")</f>
        <v/>
      </c>
      <c r="G1566" s="3" t="str">
        <f t="array" ref="G1566">_xlfn.XLOOKUP(I1566,Base_Datos!D:D,Base_Datos!B:B,"")</f>
        <v>DFSK</v>
      </c>
      <c r="H1566" s="3" t="str">
        <f t="array" ref="H1566">IF(I1566="","",IFERROR(_xlfn.XLOOKUP(I1566,Base_Datos!$D$2:$D3876,Base_Datos!$C$2:$C3876),""))</f>
        <v>Serie Glory</v>
      </c>
      <c r="I1566" s="3" t="s">
        <v>112</v>
      </c>
      <c r="J1566" s="3" t="str">
        <f>IF(I1566="","",IFERROR(VLOOKUP(I1566,Base_Datos!$D$2:$E$72,2,0),""))</f>
        <v>(1.8L)</v>
      </c>
      <c r="K1566" s="3" t="s">
        <v>1782</v>
      </c>
      <c r="L1566" s="3"/>
      <c r="M1566" s="7">
        <v>0</v>
      </c>
      <c r="N1566" s="7">
        <v>0</v>
      </c>
    </row>
    <row r="1567" spans="1:14" ht="14.25" x14ac:dyDescent="0.2">
      <c r="A1567" s="3">
        <v>88991</v>
      </c>
      <c r="B1567" s="3" t="s">
        <v>3610</v>
      </c>
      <c r="C1567" s="3" t="s">
        <v>2</v>
      </c>
      <c r="D1567" s="6" t="s">
        <v>198</v>
      </c>
      <c r="E1567" s="6" t="s">
        <v>199</v>
      </c>
      <c r="F1567" s="3" t="str">
        <f>IFERROR( VLOOKUP(A1567,#REF!,2,0),"")</f>
        <v/>
      </c>
      <c r="G1567" s="3" t="str">
        <f t="array" ref="G1567">_xlfn.XLOOKUP(I1567,Base_Datos!D:D,Base_Datos!B:B,"")</f>
        <v>DFSK</v>
      </c>
      <c r="H1567" s="3" t="str">
        <f t="array" ref="H1567">IF(I1567="","",IFERROR(_xlfn.XLOOKUP(I1567,Base_Datos!$D$2:$D3876,Base_Datos!$C$2:$C3876),""))</f>
        <v>Serie Glory</v>
      </c>
      <c r="I1567" s="3" t="s">
        <v>112</v>
      </c>
      <c r="J1567" s="3" t="str">
        <f>IF(I1567="","",IFERROR(VLOOKUP(I1567,Base_Datos!$D$2:$E$72,2,0),""))</f>
        <v>(1.8L)</v>
      </c>
      <c r="K1567" s="3" t="s">
        <v>1782</v>
      </c>
      <c r="L1567" s="3"/>
      <c r="M1567" s="7">
        <v>8</v>
      </c>
      <c r="N1567" s="7">
        <v>0</v>
      </c>
    </row>
    <row r="1568" spans="1:14" ht="14.25" x14ac:dyDescent="0.2">
      <c r="A1568" s="3">
        <v>88992</v>
      </c>
      <c r="B1568" s="3" t="s">
        <v>3611</v>
      </c>
      <c r="C1568" s="3" t="s">
        <v>2</v>
      </c>
      <c r="D1568" s="6" t="s">
        <v>199</v>
      </c>
      <c r="E1568" s="6" t="s">
        <v>199</v>
      </c>
      <c r="F1568" s="3" t="str">
        <f>IFERROR( VLOOKUP(A1568,#REF!,2,0),"")</f>
        <v/>
      </c>
      <c r="G1568" s="3" t="str">
        <f t="array" ref="G1568">_xlfn.XLOOKUP(I1568,Base_Datos!D:D,Base_Datos!B:B,"")</f>
        <v>DFSK</v>
      </c>
      <c r="H1568" s="3" t="str">
        <f t="array" ref="H1568">IF(I1568="","",IFERROR(_xlfn.XLOOKUP(I1568,Base_Datos!$D$2:$D3876,Base_Datos!$C$2:$C3876),""))</f>
        <v>Serie Glory</v>
      </c>
      <c r="I1568" s="3" t="s">
        <v>112</v>
      </c>
      <c r="J1568" s="3" t="str">
        <f>IF(I1568="","",IFERROR(VLOOKUP(I1568,Base_Datos!$D$2:$E$72,2,0),""))</f>
        <v>(1.8L)</v>
      </c>
      <c r="K1568" s="3" t="s">
        <v>1782</v>
      </c>
      <c r="L1568" s="3"/>
      <c r="M1568" s="7">
        <v>0</v>
      </c>
      <c r="N1568" s="7">
        <v>0</v>
      </c>
    </row>
    <row r="1569" spans="1:14" ht="14.25" x14ac:dyDescent="0.2">
      <c r="A1569" s="3">
        <v>88996</v>
      </c>
      <c r="B1569" s="3" t="s">
        <v>3549</v>
      </c>
      <c r="C1569" s="3" t="s">
        <v>22</v>
      </c>
      <c r="D1569" s="6" t="s">
        <v>201</v>
      </c>
      <c r="E1569" s="6" t="s">
        <v>200</v>
      </c>
      <c r="F1569" s="3" t="str">
        <f>IFERROR( VLOOKUP(A1569,#REF!,2,0),"")</f>
        <v/>
      </c>
      <c r="G1569" s="3" t="str">
        <f t="array" ref="G1569">_xlfn.XLOOKUP(I1569,Base_Datos!D:D,Base_Datos!B:B,"")</f>
        <v>DFSK</v>
      </c>
      <c r="H1569" s="3" t="str">
        <f t="array" ref="H1569">IF(I1569="","",IFERROR(_xlfn.XLOOKUP(I1569,Base_Datos!$D$2:$D3876,Base_Datos!$C$2:$C3876),""))</f>
        <v>Serie Glory</v>
      </c>
      <c r="I1569" s="3" t="s">
        <v>112</v>
      </c>
      <c r="J1569" s="3" t="str">
        <f>IF(I1569="","",IFERROR(VLOOKUP(I1569,Base_Datos!$D$2:$E$72,2,0),""))</f>
        <v>(1.8L)</v>
      </c>
      <c r="K1569" s="3" t="s">
        <v>3562</v>
      </c>
      <c r="L1569" s="3"/>
      <c r="M1569" s="7">
        <v>13</v>
      </c>
      <c r="N1569" s="7">
        <v>0</v>
      </c>
    </row>
    <row r="1570" spans="1:14" ht="14.25" x14ac:dyDescent="0.2">
      <c r="A1570" s="3">
        <v>88997</v>
      </c>
      <c r="B1570" s="3" t="s">
        <v>3612</v>
      </c>
      <c r="C1570" s="3" t="s">
        <v>18</v>
      </c>
      <c r="D1570" s="6" t="s">
        <v>202</v>
      </c>
      <c r="E1570" s="6" t="s">
        <v>2544</v>
      </c>
      <c r="F1570" s="3" t="str">
        <f>IFERROR( VLOOKUP(A1570,#REF!,2,0),"")</f>
        <v/>
      </c>
      <c r="G1570" s="3" t="str">
        <f t="array" ref="G1570">_xlfn.XLOOKUP(I1570,Base_Datos!D:D,Base_Datos!B:B,"")</f>
        <v>DFSK</v>
      </c>
      <c r="H1570" s="3" t="str">
        <f t="array" ref="H1570">IF(I1570="","",IFERROR(_xlfn.XLOOKUP(I1570,Base_Datos!$D$2:$D3876,Base_Datos!$C$2:$C3876),""))</f>
        <v>Serie Glory</v>
      </c>
      <c r="I1570" s="3" t="s">
        <v>112</v>
      </c>
      <c r="J1570" s="3" t="str">
        <f>IF(I1570="","",IFERROR(VLOOKUP(I1570,Base_Datos!$D$2:$E$72,2,0),""))</f>
        <v>(1.8L)</v>
      </c>
      <c r="K1570" s="3" t="s">
        <v>1782</v>
      </c>
      <c r="L1570" s="3"/>
      <c r="M1570" s="7">
        <v>47</v>
      </c>
      <c r="N1570" s="7">
        <v>0</v>
      </c>
    </row>
    <row r="1571" spans="1:14" ht="14.25" x14ac:dyDescent="0.2">
      <c r="A1571" s="3">
        <v>88999</v>
      </c>
      <c r="B1571" s="3" t="s">
        <v>3613</v>
      </c>
      <c r="C1571" s="3" t="s">
        <v>18</v>
      </c>
      <c r="D1571" s="6" t="s">
        <v>203</v>
      </c>
      <c r="E1571" s="6" t="s">
        <v>203</v>
      </c>
      <c r="F1571" s="3" t="str">
        <f>IFERROR( VLOOKUP(A1571,#REF!,2,0),"")</f>
        <v/>
      </c>
      <c r="G1571" s="3" t="str">
        <f t="array" ref="G1571">_xlfn.XLOOKUP(I1571,Base_Datos!D:D,Base_Datos!B:B,"")</f>
        <v>DFSK</v>
      </c>
      <c r="H1571" s="3" t="str">
        <f t="array" ref="H1571">IF(I1571="","",IFERROR(_xlfn.XLOOKUP(I1571,Base_Datos!$D$2:$D3876,Base_Datos!$C$2:$C3876),""))</f>
        <v>Serie Glory</v>
      </c>
      <c r="I1571" s="3" t="s">
        <v>112</v>
      </c>
      <c r="J1571" s="3" t="str">
        <f>IF(I1571="","",IFERROR(VLOOKUP(I1571,Base_Datos!$D$2:$E$72,2,0),""))</f>
        <v>(1.8L)</v>
      </c>
      <c r="K1571" s="3" t="s">
        <v>1782</v>
      </c>
      <c r="L1571" s="3"/>
      <c r="M1571" s="7">
        <v>10</v>
      </c>
      <c r="N1571" s="7">
        <v>0</v>
      </c>
    </row>
    <row r="1572" spans="1:14" ht="14.25" x14ac:dyDescent="0.2">
      <c r="A1572" s="3">
        <v>89000</v>
      </c>
      <c r="B1572" s="3" t="s">
        <v>3614</v>
      </c>
      <c r="C1572" s="3" t="s">
        <v>18</v>
      </c>
      <c r="D1572" s="6" t="s">
        <v>205</v>
      </c>
      <c r="E1572" s="6" t="s">
        <v>205</v>
      </c>
      <c r="F1572" s="3" t="str">
        <f>IFERROR( VLOOKUP(A1572,#REF!,2,0),"")</f>
        <v/>
      </c>
      <c r="G1572" s="3" t="str">
        <f t="array" ref="G1572">_xlfn.XLOOKUP(I1572,Base_Datos!D:D,Base_Datos!B:B,"")</f>
        <v>DFSK</v>
      </c>
      <c r="H1572" s="3" t="str">
        <f t="array" ref="H1572">IF(I1572="","",IFERROR(_xlfn.XLOOKUP(I1572,Base_Datos!$D$2:$D3876,Base_Datos!$C$2:$C3876),""))</f>
        <v>Serie K</v>
      </c>
      <c r="I1572" s="3" t="s">
        <v>1761</v>
      </c>
      <c r="J1572" s="3" t="str">
        <f>IF(I1572="","",IFERROR(VLOOKUP(I1572,Base_Datos!$D$2:$E$72,2,0),""))</f>
        <v>(1.1L)</v>
      </c>
      <c r="K1572" s="3" t="s">
        <v>3615</v>
      </c>
      <c r="L1572" s="3"/>
      <c r="M1572" s="7">
        <v>18</v>
      </c>
      <c r="N1572" s="7">
        <v>0</v>
      </c>
    </row>
    <row r="1573" spans="1:14" ht="14.25" x14ac:dyDescent="0.2">
      <c r="A1573" s="3">
        <v>89001</v>
      </c>
      <c r="B1573" s="3" t="s">
        <v>3614</v>
      </c>
      <c r="C1573" s="3" t="s">
        <v>18</v>
      </c>
      <c r="D1573" s="6" t="s">
        <v>206</v>
      </c>
      <c r="E1573" s="6" t="s">
        <v>206</v>
      </c>
      <c r="F1573" s="3" t="str">
        <f>IFERROR( VLOOKUP(A1573,#REF!,2,0),"")</f>
        <v/>
      </c>
      <c r="G1573" s="3" t="str">
        <f t="array" ref="G1573">_xlfn.XLOOKUP(I1573,Base_Datos!D:D,Base_Datos!B:B,"")</f>
        <v>DFSK</v>
      </c>
      <c r="H1573" s="3" t="str">
        <f t="array" ref="H1573">IF(I1573="","",IFERROR(_xlfn.XLOOKUP(I1573,Base_Datos!$D$2:$D3876,Base_Datos!$C$2:$C3876),""))</f>
        <v>Serie C</v>
      </c>
      <c r="I1573" s="3" t="s">
        <v>343</v>
      </c>
      <c r="J1573" s="3" t="str">
        <f>IF(I1573="","",IFERROR(VLOOKUP(I1573,Base_Datos!$D$2:$E$72,2,0),""))</f>
        <v>(1.5L)</v>
      </c>
      <c r="K1573" s="3" t="s">
        <v>2391</v>
      </c>
      <c r="L1573" s="3"/>
      <c r="M1573" s="7">
        <v>61</v>
      </c>
      <c r="N1573" s="7">
        <v>0</v>
      </c>
    </row>
    <row r="1574" spans="1:14" ht="14.25" x14ac:dyDescent="0.2">
      <c r="A1574" s="3">
        <v>89002</v>
      </c>
      <c r="B1574" s="3" t="s">
        <v>3616</v>
      </c>
      <c r="C1574" s="3" t="s">
        <v>18</v>
      </c>
      <c r="D1574" s="6" t="s">
        <v>207</v>
      </c>
      <c r="E1574" s="6" t="s">
        <v>207</v>
      </c>
      <c r="F1574" s="3" t="str">
        <f>IFERROR( VLOOKUP(A1574,#REF!,2,0),"")</f>
        <v/>
      </c>
      <c r="G1574" s="3" t="str">
        <f t="array" ref="G1574">_xlfn.XLOOKUP(I1574,Base_Datos!D:D,Base_Datos!B:B,"")</f>
        <v>DFSK</v>
      </c>
      <c r="H1574" s="3" t="str">
        <f t="array" ref="H1574">IF(I1574="","",IFERROR(_xlfn.XLOOKUP(I1574,Base_Datos!$D$2:$D3876,Base_Datos!$C$2:$C3876),""))</f>
        <v>Serie C</v>
      </c>
      <c r="I1574" s="3" t="s">
        <v>343</v>
      </c>
      <c r="J1574" s="3" t="str">
        <f>IF(I1574="","",IFERROR(VLOOKUP(I1574,Base_Datos!$D$2:$E$72,2,0),""))</f>
        <v>(1.5L)</v>
      </c>
      <c r="K1574" s="3" t="s">
        <v>2408</v>
      </c>
      <c r="L1574" s="3"/>
      <c r="M1574" s="7">
        <v>17</v>
      </c>
      <c r="N1574" s="7">
        <v>0</v>
      </c>
    </row>
    <row r="1575" spans="1:14" ht="14.25" x14ac:dyDescent="0.2">
      <c r="A1575" s="3">
        <v>89003</v>
      </c>
      <c r="B1575" s="3" t="s">
        <v>2903</v>
      </c>
      <c r="C1575" s="3" t="s">
        <v>18</v>
      </c>
      <c r="D1575" s="6" t="s">
        <v>208</v>
      </c>
      <c r="E1575" s="6" t="s">
        <v>208</v>
      </c>
      <c r="F1575" s="3" t="str">
        <f>IFERROR( VLOOKUP(A1575,#REF!,2,0),"")</f>
        <v/>
      </c>
      <c r="G1575" s="3" t="str">
        <f t="array" ref="G1575">_xlfn.XLOOKUP(I1575,Base_Datos!D:D,Base_Datos!B:B,"")</f>
        <v>DFSK</v>
      </c>
      <c r="H1575" s="3" t="str">
        <f t="array" ref="H1575">IF(I1575="","",IFERROR(_xlfn.XLOOKUP(I1575,Base_Datos!$D$2:$D3876,Base_Datos!$C$2:$C3876),""))</f>
        <v>Serie C</v>
      </c>
      <c r="I1575" s="3" t="s">
        <v>332</v>
      </c>
      <c r="J1575" s="3" t="str">
        <f>IF(I1575="","",IFERROR(VLOOKUP(I1575,Base_Datos!$D$2:$E$72,2,0),""))</f>
        <v>(1.5L)</v>
      </c>
      <c r="K1575" s="3" t="s">
        <v>2439</v>
      </c>
      <c r="L1575" s="3"/>
      <c r="M1575" s="7">
        <v>31</v>
      </c>
      <c r="N1575" s="7">
        <v>0</v>
      </c>
    </row>
    <row r="1576" spans="1:14" ht="14.25" x14ac:dyDescent="0.2">
      <c r="A1576" s="3">
        <v>89004</v>
      </c>
      <c r="B1576" s="3" t="s">
        <v>3617</v>
      </c>
      <c r="C1576" s="3" t="s">
        <v>18</v>
      </c>
      <c r="D1576" s="6" t="s">
        <v>209</v>
      </c>
      <c r="E1576" s="6" t="s">
        <v>209</v>
      </c>
      <c r="F1576" s="3" t="str">
        <f>IFERROR( VLOOKUP(A1576,#REF!,2,0),"")</f>
        <v/>
      </c>
      <c r="G1576" s="3" t="str">
        <f t="array" ref="G1576">_xlfn.XLOOKUP(I1576,Base_Datos!D:D,Base_Datos!B:B,"")</f>
        <v>DFSK</v>
      </c>
      <c r="H1576" s="3" t="str">
        <f t="array" ref="H1576">IF(I1576="","",IFERROR(_xlfn.XLOOKUP(I1576,Base_Datos!$D$2:$D3876,Base_Datos!$C$2:$C3876),""))</f>
        <v>Serie C</v>
      </c>
      <c r="I1576" s="3" t="s">
        <v>343</v>
      </c>
      <c r="J1576" s="3" t="str">
        <f>IF(I1576="","",IFERROR(VLOOKUP(I1576,Base_Datos!$D$2:$E$72,2,0),""))</f>
        <v>(1.5L)</v>
      </c>
      <c r="K1576" s="3" t="s">
        <v>2391</v>
      </c>
      <c r="L1576" s="3"/>
      <c r="M1576" s="7">
        <v>12</v>
      </c>
      <c r="N1576" s="7">
        <v>0</v>
      </c>
    </row>
    <row r="1577" spans="1:14" ht="14.25" x14ac:dyDescent="0.2">
      <c r="A1577" s="3">
        <v>89005</v>
      </c>
      <c r="B1577" s="3" t="s">
        <v>3315</v>
      </c>
      <c r="C1577" s="3" t="s">
        <v>18</v>
      </c>
      <c r="D1577" s="6" t="s">
        <v>210</v>
      </c>
      <c r="E1577" s="6" t="s">
        <v>210</v>
      </c>
      <c r="F1577" s="3" t="str">
        <f>IFERROR( VLOOKUP(A1577,#REF!,2,0),"")</f>
        <v/>
      </c>
      <c r="G1577" s="3" t="str">
        <f t="array" ref="G1577">_xlfn.XLOOKUP(I1577,Base_Datos!D:D,Base_Datos!B:B,"")</f>
        <v>DFSK</v>
      </c>
      <c r="H1577" s="3" t="str">
        <f t="array" ref="H1577">IF(I1577="","",IFERROR(_xlfn.XLOOKUP(I1577,Base_Datos!$D$2:$D3876,Base_Datos!$C$2:$C3876),""))</f>
        <v>Serie C</v>
      </c>
      <c r="I1577" s="3" t="s">
        <v>332</v>
      </c>
      <c r="J1577" s="3" t="str">
        <f>IF(I1577="","",IFERROR(VLOOKUP(I1577,Base_Datos!$D$2:$E$72,2,0),""))</f>
        <v>(1.5L)</v>
      </c>
      <c r="K1577" s="3" t="s">
        <v>2439</v>
      </c>
      <c r="L1577" s="3"/>
      <c r="M1577" s="7">
        <v>13</v>
      </c>
      <c r="N1577" s="7">
        <v>0</v>
      </c>
    </row>
    <row r="1578" spans="1:14" ht="14.25" x14ac:dyDescent="0.2">
      <c r="A1578" s="3">
        <v>89007</v>
      </c>
      <c r="B1578" s="3" t="s">
        <v>3618</v>
      </c>
      <c r="C1578" s="3" t="s">
        <v>18</v>
      </c>
      <c r="D1578" s="6" t="s">
        <v>212</v>
      </c>
      <c r="E1578" s="6" t="s">
        <v>212</v>
      </c>
      <c r="F1578" s="3" t="str">
        <f>IFERROR( VLOOKUP(A1578,#REF!,2,0),"")</f>
        <v/>
      </c>
      <c r="G1578" s="3" t="str">
        <f t="array" ref="G1578">_xlfn.XLOOKUP(I1578,Base_Datos!D:D,Base_Datos!B:B,"")</f>
        <v>DFSK</v>
      </c>
      <c r="H1578" s="3" t="str">
        <f t="array" ref="H1578">IF(I1578="","",IFERROR(_xlfn.XLOOKUP(I1578,Base_Datos!$D$2:$D3876,Base_Datos!$C$2:$C3876),""))</f>
        <v>Serie C</v>
      </c>
      <c r="I1578" s="3" t="s">
        <v>343</v>
      </c>
      <c r="J1578" s="3" t="str">
        <f>IF(I1578="","",IFERROR(VLOOKUP(I1578,Base_Datos!$D$2:$E$72,2,0),""))</f>
        <v>(1.5L)</v>
      </c>
      <c r="K1578" s="3" t="s">
        <v>2391</v>
      </c>
      <c r="L1578" s="3"/>
      <c r="M1578" s="7">
        <v>28</v>
      </c>
      <c r="N1578" s="7">
        <v>0</v>
      </c>
    </row>
    <row r="1579" spans="1:14" ht="14.25" x14ac:dyDescent="0.2">
      <c r="A1579" s="3">
        <v>89010</v>
      </c>
      <c r="B1579" s="3" t="s">
        <v>2234</v>
      </c>
      <c r="C1579" s="3" t="s">
        <v>18</v>
      </c>
      <c r="D1579" s="6" t="s">
        <v>214</v>
      </c>
      <c r="E1579" s="6" t="s">
        <v>214</v>
      </c>
      <c r="F1579" s="3" t="str">
        <f>IFERROR( VLOOKUP(A1579,#REF!,2,0),"")</f>
        <v/>
      </c>
      <c r="G1579" s="3" t="str">
        <f t="array" ref="G1579">_xlfn.XLOOKUP(I1579,Base_Datos!D:D,Base_Datos!B:B,"")</f>
        <v>DFSK</v>
      </c>
      <c r="H1579" s="3" t="str">
        <f t="array" ref="H1579">IF(I1579="","",IFERROR(_xlfn.XLOOKUP(I1579,Base_Datos!$D$2:$D3876,Base_Datos!$C$2:$C3876),""))</f>
        <v>Serie C</v>
      </c>
      <c r="I1579" s="3" t="s">
        <v>332</v>
      </c>
      <c r="J1579" s="3" t="str">
        <f>IF(I1579="","",IFERROR(VLOOKUP(I1579,Base_Datos!$D$2:$E$72,2,0),""))</f>
        <v>(1.5L)</v>
      </c>
      <c r="K1579" s="3" t="s">
        <v>2439</v>
      </c>
      <c r="L1579" s="3"/>
      <c r="M1579" s="7">
        <v>11</v>
      </c>
      <c r="N1579" s="7">
        <v>0</v>
      </c>
    </row>
    <row r="1580" spans="1:14" ht="14.25" x14ac:dyDescent="0.2">
      <c r="A1580" s="3">
        <v>89011</v>
      </c>
      <c r="B1580" s="3" t="s">
        <v>2235</v>
      </c>
      <c r="C1580" s="3" t="s">
        <v>18</v>
      </c>
      <c r="D1580" s="6" t="s">
        <v>215</v>
      </c>
      <c r="E1580" s="6" t="s">
        <v>215</v>
      </c>
      <c r="F1580" s="3" t="str">
        <f>IFERROR( VLOOKUP(A1580,#REF!,2,0),"")</f>
        <v/>
      </c>
      <c r="G1580" s="3" t="str">
        <f t="array" ref="G1580">_xlfn.XLOOKUP(I1580,Base_Datos!D:D,Base_Datos!B:B,"")</f>
        <v>DFSK</v>
      </c>
      <c r="H1580" s="3" t="str">
        <f t="array" ref="H1580">IF(I1580="","",IFERROR(_xlfn.XLOOKUP(I1580,Base_Datos!$D$2:$D3876,Base_Datos!$C$2:$C3876),""))</f>
        <v>Serie C</v>
      </c>
      <c r="I1580" s="3" t="s">
        <v>332</v>
      </c>
      <c r="J1580" s="3" t="str">
        <f>IF(I1580="","",IFERROR(VLOOKUP(I1580,Base_Datos!$D$2:$E$72,2,0),""))</f>
        <v>(1.5L)</v>
      </c>
      <c r="K1580" s="3" t="s">
        <v>2439</v>
      </c>
      <c r="L1580" s="3"/>
      <c r="M1580" s="7">
        <v>11</v>
      </c>
      <c r="N1580" s="7">
        <v>0</v>
      </c>
    </row>
    <row r="1581" spans="1:14" ht="14.25" x14ac:dyDescent="0.2">
      <c r="A1581" s="3">
        <v>89012</v>
      </c>
      <c r="B1581" s="3" t="s">
        <v>3619</v>
      </c>
      <c r="C1581" s="3" t="s">
        <v>18</v>
      </c>
      <c r="D1581" s="6" t="s">
        <v>216</v>
      </c>
      <c r="E1581" s="6" t="s">
        <v>3620</v>
      </c>
      <c r="F1581" s="3" t="str">
        <f>IFERROR( VLOOKUP(A1581,#REF!,2,0),"")</f>
        <v/>
      </c>
      <c r="G1581" s="3" t="str">
        <f t="array" ref="G1581">_xlfn.XLOOKUP(I1581,Base_Datos!D:D,Base_Datos!B:B,"")</f>
        <v>DFSK</v>
      </c>
      <c r="H1581" s="3" t="str">
        <f t="array" ref="H1581">IF(I1581="","",IFERROR(_xlfn.XLOOKUP(I1581,Base_Datos!$D$2:$D3876,Base_Datos!$C$2:$C3876),""))</f>
        <v>Serie C</v>
      </c>
      <c r="I1581" s="3" t="s">
        <v>332</v>
      </c>
      <c r="J1581" s="3" t="str">
        <f>IF(I1581="","",IFERROR(VLOOKUP(I1581,Base_Datos!$D$2:$E$72,2,0),""))</f>
        <v>(1.5L)</v>
      </c>
      <c r="K1581" s="3" t="s">
        <v>2439</v>
      </c>
      <c r="L1581" s="3"/>
      <c r="M1581" s="7">
        <v>98</v>
      </c>
      <c r="N1581" s="7">
        <v>0</v>
      </c>
    </row>
    <row r="1582" spans="1:14" ht="14.25" x14ac:dyDescent="0.2">
      <c r="A1582" s="3">
        <v>89013</v>
      </c>
      <c r="B1582" s="3" t="s">
        <v>3241</v>
      </c>
      <c r="C1582" s="3" t="s">
        <v>18</v>
      </c>
      <c r="D1582" s="6" t="s">
        <v>217</v>
      </c>
      <c r="E1582" s="6" t="s">
        <v>217</v>
      </c>
      <c r="F1582" s="3" t="str">
        <f>IFERROR( VLOOKUP(A1582,#REF!,2,0),"")</f>
        <v/>
      </c>
      <c r="G1582" s="3" t="str">
        <f t="array" ref="G1582">_xlfn.XLOOKUP(I1582,Base_Datos!D:D,Base_Datos!B:B,"")</f>
        <v>DFSK</v>
      </c>
      <c r="H1582" s="3" t="str">
        <f t="array" ref="H1582">IF(I1582="","",IFERROR(_xlfn.XLOOKUP(I1582,Base_Datos!$D$2:$D3876,Base_Datos!$C$2:$C3876),""))</f>
        <v>Serie C</v>
      </c>
      <c r="I1582" s="3" t="s">
        <v>343</v>
      </c>
      <c r="J1582" s="3" t="str">
        <f>IF(I1582="","",IFERROR(VLOOKUP(I1582,Base_Datos!$D$2:$E$72,2,0),""))</f>
        <v>(1.5L)</v>
      </c>
      <c r="K1582" s="3" t="s">
        <v>2391</v>
      </c>
      <c r="L1582" s="3"/>
      <c r="M1582" s="7">
        <v>59</v>
      </c>
      <c r="N1582" s="7">
        <v>0</v>
      </c>
    </row>
    <row r="1583" spans="1:14" ht="14.25" x14ac:dyDescent="0.2">
      <c r="A1583" s="3">
        <v>89014</v>
      </c>
      <c r="B1583" s="3" t="s">
        <v>3241</v>
      </c>
      <c r="C1583" s="3" t="s">
        <v>18</v>
      </c>
      <c r="D1583" s="6" t="s">
        <v>218</v>
      </c>
      <c r="E1583" s="6" t="s">
        <v>218</v>
      </c>
      <c r="F1583" s="3" t="str">
        <f>IFERROR( VLOOKUP(A1583,#REF!,2,0),"")</f>
        <v/>
      </c>
      <c r="G1583" s="3" t="str">
        <f t="array" ref="G1583">_xlfn.XLOOKUP(I1583,Base_Datos!D:D,Base_Datos!B:B,"")</f>
        <v>DFSK</v>
      </c>
      <c r="H1583" s="3" t="str">
        <f t="array" ref="H1583">IF(I1583="","",IFERROR(_xlfn.XLOOKUP(I1583,Base_Datos!$D$2:$D3876,Base_Datos!$C$2:$C3876),""))</f>
        <v>Serie C</v>
      </c>
      <c r="I1583" s="3" t="s">
        <v>332</v>
      </c>
      <c r="J1583" s="3" t="str">
        <f>IF(I1583="","",IFERROR(VLOOKUP(I1583,Base_Datos!$D$2:$E$72,2,0),""))</f>
        <v>(1.5L)</v>
      </c>
      <c r="K1583" s="3" t="s">
        <v>2439</v>
      </c>
      <c r="L1583" s="3"/>
      <c r="M1583" s="7">
        <v>33</v>
      </c>
      <c r="N1583" s="7">
        <v>0</v>
      </c>
    </row>
    <row r="1584" spans="1:14" ht="14.25" x14ac:dyDescent="0.2">
      <c r="A1584" s="3">
        <v>89015</v>
      </c>
      <c r="B1584" s="3" t="s">
        <v>3245</v>
      </c>
      <c r="C1584" s="3" t="s">
        <v>18</v>
      </c>
      <c r="D1584" s="6" t="s">
        <v>219</v>
      </c>
      <c r="E1584" s="6" t="s">
        <v>219</v>
      </c>
      <c r="F1584" s="3" t="str">
        <f>IFERROR( VLOOKUP(A1584,#REF!,2,0),"")</f>
        <v/>
      </c>
      <c r="G1584" s="3" t="str">
        <f t="array" ref="G1584">_xlfn.XLOOKUP(I1584,Base_Datos!D:D,Base_Datos!B:B,"")</f>
        <v>DFSK</v>
      </c>
      <c r="H1584" s="3" t="str">
        <f t="array" ref="H1584">IF(I1584="","",IFERROR(_xlfn.XLOOKUP(I1584,Base_Datos!$D$2:$D3876,Base_Datos!$C$2:$C3876),""))</f>
        <v>Serie C</v>
      </c>
      <c r="I1584" s="3" t="s">
        <v>343</v>
      </c>
      <c r="J1584" s="3" t="str">
        <f>IF(I1584="","",IFERROR(VLOOKUP(I1584,Base_Datos!$D$2:$E$72,2,0),""))</f>
        <v>(1.5L)</v>
      </c>
      <c r="K1584" s="3" t="s">
        <v>2391</v>
      </c>
      <c r="L1584" s="3"/>
      <c r="M1584" s="7">
        <v>16</v>
      </c>
      <c r="N1584" s="7">
        <v>0</v>
      </c>
    </row>
    <row r="1585" spans="1:14" ht="14.25" x14ac:dyDescent="0.2">
      <c r="A1585" s="3">
        <v>89016</v>
      </c>
      <c r="B1585" s="3" t="s">
        <v>3245</v>
      </c>
      <c r="C1585" s="3" t="s">
        <v>18</v>
      </c>
      <c r="D1585" s="6" t="s">
        <v>220</v>
      </c>
      <c r="E1585" s="6" t="s">
        <v>220</v>
      </c>
      <c r="F1585" s="3" t="str">
        <f>IFERROR( VLOOKUP(A1585,#REF!,2,0),"")</f>
        <v/>
      </c>
      <c r="G1585" s="3" t="str">
        <f t="array" ref="G1585">_xlfn.XLOOKUP(I1585,Base_Datos!D:D,Base_Datos!B:B,"")</f>
        <v>DFSK</v>
      </c>
      <c r="H1585" s="3" t="str">
        <f t="array" ref="H1585">IF(I1585="","",IFERROR(_xlfn.XLOOKUP(I1585,Base_Datos!$D$2:$D3876,Base_Datos!$C$2:$C3876),""))</f>
        <v>Serie C</v>
      </c>
      <c r="I1585" s="3" t="s">
        <v>332</v>
      </c>
      <c r="J1585" s="3" t="str">
        <f>IF(I1585="","",IFERROR(VLOOKUP(I1585,Base_Datos!$D$2:$E$72,2,0),""))</f>
        <v>(1.5L)</v>
      </c>
      <c r="K1585" s="3" t="s">
        <v>2439</v>
      </c>
      <c r="L1585" s="3"/>
      <c r="M1585" s="7">
        <v>16</v>
      </c>
      <c r="N1585" s="7">
        <v>0</v>
      </c>
    </row>
    <row r="1586" spans="1:14" ht="14.25" x14ac:dyDescent="0.2">
      <c r="A1586" s="3">
        <v>89017</v>
      </c>
      <c r="B1586" s="3" t="s">
        <v>3621</v>
      </c>
      <c r="C1586" s="3" t="s">
        <v>18</v>
      </c>
      <c r="D1586" s="6" t="s">
        <v>221</v>
      </c>
      <c r="E1586" s="6" t="s">
        <v>221</v>
      </c>
      <c r="F1586" s="3" t="str">
        <f>IFERROR( VLOOKUP(A1586,#REF!,2,0),"")</f>
        <v/>
      </c>
      <c r="G1586" s="3" t="str">
        <f t="array" ref="G1586">_xlfn.XLOOKUP(I1586,Base_Datos!D:D,Base_Datos!B:B,"")</f>
        <v>DFSK</v>
      </c>
      <c r="H1586" s="3" t="str">
        <f t="array" ref="H1586">IF(I1586="","",IFERROR(_xlfn.XLOOKUP(I1586,Base_Datos!$D$2:$D3876,Base_Datos!$C$2:$C3876),""))</f>
        <v>Serie C</v>
      </c>
      <c r="I1586" s="3" t="s">
        <v>343</v>
      </c>
      <c r="J1586" s="3" t="str">
        <f>IF(I1586="","",IFERROR(VLOOKUP(I1586,Base_Datos!$D$2:$E$72,2,0),""))</f>
        <v>(1.5L)</v>
      </c>
      <c r="K1586" s="3" t="s">
        <v>2391</v>
      </c>
      <c r="L1586" s="3"/>
      <c r="M1586" s="7">
        <v>21</v>
      </c>
      <c r="N1586" s="7">
        <v>0</v>
      </c>
    </row>
    <row r="1587" spans="1:14" ht="14.25" x14ac:dyDescent="0.2">
      <c r="A1587" s="3">
        <v>89018</v>
      </c>
      <c r="B1587" s="3" t="s">
        <v>3622</v>
      </c>
      <c r="C1587" s="3" t="s">
        <v>18</v>
      </c>
      <c r="D1587" s="6" t="s">
        <v>222</v>
      </c>
      <c r="E1587" s="6" t="s">
        <v>222</v>
      </c>
      <c r="F1587" s="3" t="str">
        <f>IFERROR( VLOOKUP(A1587,#REF!,2,0),"")</f>
        <v/>
      </c>
      <c r="G1587" s="3" t="str">
        <f t="array" ref="G1587">_xlfn.XLOOKUP(I1587,Base_Datos!D:D,Base_Datos!B:B,"")</f>
        <v>DFSK</v>
      </c>
      <c r="H1587" s="3" t="str">
        <f t="array" ref="H1587">IF(I1587="","",IFERROR(_xlfn.XLOOKUP(I1587,Base_Datos!$D$2:$D3876,Base_Datos!$C$2:$C3876),""))</f>
        <v>Serie C</v>
      </c>
      <c r="I1587" s="3" t="s">
        <v>343</v>
      </c>
      <c r="J1587" s="3" t="str">
        <f>IF(I1587="","",IFERROR(VLOOKUP(I1587,Base_Datos!$D$2:$E$72,2,0),""))</f>
        <v>(1.5L)</v>
      </c>
      <c r="K1587" s="3" t="s">
        <v>2391</v>
      </c>
      <c r="L1587" s="3"/>
      <c r="M1587" s="7">
        <v>21</v>
      </c>
      <c r="N1587" s="7">
        <v>0</v>
      </c>
    </row>
    <row r="1588" spans="1:14" ht="14.25" x14ac:dyDescent="0.2">
      <c r="A1588" s="3">
        <v>89019</v>
      </c>
      <c r="B1588" s="3" t="s">
        <v>3623</v>
      </c>
      <c r="C1588" s="3" t="s">
        <v>18</v>
      </c>
      <c r="D1588" s="6" t="s">
        <v>223</v>
      </c>
      <c r="E1588" s="6" t="s">
        <v>223</v>
      </c>
      <c r="F1588" s="3" t="str">
        <f>IFERROR( VLOOKUP(A1588,#REF!,2,0),"")</f>
        <v/>
      </c>
      <c r="G1588" s="3" t="str">
        <f t="array" ref="G1588">_xlfn.XLOOKUP(I1588,Base_Datos!D:D,Base_Datos!B:B,"")</f>
        <v>DFSK</v>
      </c>
      <c r="H1588" s="3" t="str">
        <f t="array" ref="H1588">IF(I1588="","",IFERROR(_xlfn.XLOOKUP(I1588,Base_Datos!$D$2:$D3876,Base_Datos!$C$2:$C3876),""))</f>
        <v>Serie C</v>
      </c>
      <c r="I1588" s="3" t="s">
        <v>265</v>
      </c>
      <c r="J1588" s="3" t="str">
        <f>IF(I1588="","",IFERROR(VLOOKUP(I1588,Base_Datos!$D$2:$E$72,2,0),""))</f>
        <v>(1.5L)</v>
      </c>
      <c r="K1588" s="3" t="s">
        <v>1782</v>
      </c>
      <c r="L1588" s="3"/>
      <c r="M1588" s="7">
        <v>12</v>
      </c>
      <c r="N1588" s="7">
        <v>0</v>
      </c>
    </row>
    <row r="1589" spans="1:14" ht="14.25" x14ac:dyDescent="0.2">
      <c r="A1589" s="3">
        <v>89020</v>
      </c>
      <c r="B1589" s="3" t="s">
        <v>3624</v>
      </c>
      <c r="C1589" s="3" t="s">
        <v>18</v>
      </c>
      <c r="D1589" s="6" t="s">
        <v>224</v>
      </c>
      <c r="E1589" s="6" t="s">
        <v>2427</v>
      </c>
      <c r="F1589" s="3" t="str">
        <f>IFERROR( VLOOKUP(A1589,#REF!,2,0),"")</f>
        <v/>
      </c>
      <c r="G1589" s="3">
        <f t="array" ref="G1589">_xlfn.XLOOKUP(I1589,Base_Datos!D:D,Base_Datos!B:B,"")</f>
        <v>0</v>
      </c>
      <c r="H1589" s="3" t="str">
        <f t="array" ref="H1589">IF(I1589="","",IFERROR(_xlfn.XLOOKUP(I1589,Base_Datos!$D$2:$D3876,Base_Datos!$C$2:$C3876),""))</f>
        <v/>
      </c>
      <c r="I1589" s="3"/>
      <c r="J1589" s="3" t="str">
        <f>IF(I1589="","",IFERROR(VLOOKUP(I1589,Base_Datos!$D$2:$E$72,2,0),""))</f>
        <v/>
      </c>
      <c r="K1589" s="3" t="s">
        <v>1782</v>
      </c>
      <c r="L1589" s="3"/>
      <c r="M1589" s="7">
        <v>12</v>
      </c>
      <c r="N1589" s="7">
        <v>0</v>
      </c>
    </row>
    <row r="1590" spans="1:14" ht="14.25" x14ac:dyDescent="0.2">
      <c r="A1590" s="3">
        <v>89021</v>
      </c>
      <c r="B1590" s="3" t="s">
        <v>3625</v>
      </c>
      <c r="C1590" s="3" t="s">
        <v>18</v>
      </c>
      <c r="D1590" s="6" t="s">
        <v>225</v>
      </c>
      <c r="E1590" s="6" t="s">
        <v>3626</v>
      </c>
      <c r="F1590" s="3" t="str">
        <f>IFERROR( VLOOKUP(A1590,#REF!,2,0),"")</f>
        <v/>
      </c>
      <c r="G1590" s="3" t="str">
        <f t="array" ref="G1590">_xlfn.XLOOKUP(I1590,Base_Datos!D:D,Base_Datos!B:B,"")</f>
        <v>DFSK</v>
      </c>
      <c r="H1590" s="3" t="str">
        <f t="array" ref="H1590">IF(I1590="","",IFERROR(_xlfn.XLOOKUP(I1590,Base_Datos!$D$2:$D3876,Base_Datos!$C$2:$C3876),""))</f>
        <v>Serie C</v>
      </c>
      <c r="I1590" s="3" t="s">
        <v>343</v>
      </c>
      <c r="J1590" s="3" t="str">
        <f>IF(I1590="","",IFERROR(VLOOKUP(I1590,Base_Datos!$D$2:$E$72,2,0),""))</f>
        <v>(1.5L)</v>
      </c>
      <c r="K1590" s="3" t="s">
        <v>2391</v>
      </c>
      <c r="L1590" s="3"/>
      <c r="M1590" s="7">
        <v>10</v>
      </c>
      <c r="N1590" s="7">
        <v>0</v>
      </c>
    </row>
    <row r="1591" spans="1:14" ht="14.25" x14ac:dyDescent="0.2">
      <c r="A1591" s="3">
        <v>89022</v>
      </c>
      <c r="B1591" s="3" t="s">
        <v>3627</v>
      </c>
      <c r="C1591" s="3" t="s">
        <v>18</v>
      </c>
      <c r="D1591" s="6" t="s">
        <v>226</v>
      </c>
      <c r="E1591" s="6" t="s">
        <v>3628</v>
      </c>
      <c r="F1591" s="3" t="str">
        <f>IFERROR( VLOOKUP(A1591,#REF!,2,0),"")</f>
        <v/>
      </c>
      <c r="G1591" s="3" t="str">
        <f t="array" ref="G1591">_xlfn.XLOOKUP(I1591,Base_Datos!D:D,Base_Datos!B:B,"")</f>
        <v>DFSK</v>
      </c>
      <c r="H1591" s="3" t="str">
        <f t="array" ref="H1591">IF(I1591="","",IFERROR(_xlfn.XLOOKUP(I1591,Base_Datos!$D$2:$D3876,Base_Datos!$C$2:$C3876),""))</f>
        <v>Serie C</v>
      </c>
      <c r="I1591" s="3" t="s">
        <v>265</v>
      </c>
      <c r="J1591" s="3" t="str">
        <f>IF(I1591="","",IFERROR(VLOOKUP(I1591,Base_Datos!$D$2:$E$72,2,0),""))</f>
        <v>(1.5L)</v>
      </c>
      <c r="K1591" s="3" t="s">
        <v>1782</v>
      </c>
      <c r="L1591" s="3"/>
      <c r="M1591" s="7">
        <v>22</v>
      </c>
      <c r="N1591" s="7">
        <v>0</v>
      </c>
    </row>
    <row r="1592" spans="1:14" ht="14.25" x14ac:dyDescent="0.2">
      <c r="A1592" s="3">
        <v>89023</v>
      </c>
      <c r="B1592" s="3" t="s">
        <v>2741</v>
      </c>
      <c r="C1592" s="3" t="s">
        <v>18</v>
      </c>
      <c r="D1592" s="6" t="s">
        <v>227</v>
      </c>
      <c r="E1592" s="6" t="s">
        <v>398</v>
      </c>
      <c r="F1592" s="3" t="str">
        <f>IFERROR( VLOOKUP(A1592,#REF!,2,0),"")</f>
        <v/>
      </c>
      <c r="G1592" s="3" t="str">
        <f t="array" ref="G1592">_xlfn.XLOOKUP(I1592,Base_Datos!D:D,Base_Datos!B:B,"")</f>
        <v>DFSK</v>
      </c>
      <c r="H1592" s="3" t="str">
        <f t="array" ref="H1592">IF(I1592="","",IFERROR(_xlfn.XLOOKUP(I1592,Base_Datos!$D$2:$D3876,Base_Datos!$C$2:$C3876),""))</f>
        <v>Serie C</v>
      </c>
      <c r="I1592" s="3" t="s">
        <v>343</v>
      </c>
      <c r="J1592" s="3" t="str">
        <f>IF(I1592="","",IFERROR(VLOOKUP(I1592,Base_Datos!$D$2:$E$72,2,0),""))</f>
        <v>(1.5L)</v>
      </c>
      <c r="K1592" s="3" t="s">
        <v>3629</v>
      </c>
      <c r="L1592" s="3"/>
      <c r="M1592" s="7">
        <v>22</v>
      </c>
      <c r="N1592" s="7">
        <v>0</v>
      </c>
    </row>
    <row r="1593" spans="1:14" ht="14.25" x14ac:dyDescent="0.2">
      <c r="A1593" s="3">
        <v>89024</v>
      </c>
      <c r="B1593" s="3" t="s">
        <v>2743</v>
      </c>
      <c r="C1593" s="3" t="s">
        <v>18</v>
      </c>
      <c r="D1593" s="6" t="s">
        <v>228</v>
      </c>
      <c r="E1593" s="6" t="s">
        <v>3630</v>
      </c>
      <c r="F1593" s="3" t="str">
        <f>IFERROR( VLOOKUP(A1593,#REF!,2,0),"")</f>
        <v/>
      </c>
      <c r="G1593" s="3" t="str">
        <f t="array" ref="G1593">_xlfn.XLOOKUP(I1593,Base_Datos!D:D,Base_Datos!B:B,"")</f>
        <v>DFSK</v>
      </c>
      <c r="H1593" s="3" t="str">
        <f t="array" ref="H1593">IF(I1593="","",IFERROR(_xlfn.XLOOKUP(I1593,Base_Datos!$D$2:$D3876,Base_Datos!$C$2:$C3876),""))</f>
        <v>Serie C</v>
      </c>
      <c r="I1593" s="3" t="s">
        <v>343</v>
      </c>
      <c r="J1593" s="3" t="str">
        <f>IF(I1593="","",IFERROR(VLOOKUP(I1593,Base_Datos!$D$2:$E$72,2,0),""))</f>
        <v>(1.5L)</v>
      </c>
      <c r="K1593" s="3" t="s">
        <v>2391</v>
      </c>
      <c r="L1593" s="3"/>
      <c r="M1593" s="7">
        <v>22</v>
      </c>
      <c r="N1593" s="7">
        <v>0</v>
      </c>
    </row>
    <row r="1594" spans="1:14" ht="14.25" x14ac:dyDescent="0.2">
      <c r="A1594" s="3">
        <v>89025</v>
      </c>
      <c r="B1594" s="3" t="s">
        <v>2745</v>
      </c>
      <c r="C1594" s="3" t="s">
        <v>18</v>
      </c>
      <c r="D1594" s="6" t="s">
        <v>229</v>
      </c>
      <c r="E1594" s="6" t="s">
        <v>3631</v>
      </c>
      <c r="F1594" s="3" t="str">
        <f>IFERROR( VLOOKUP(A1594,#REF!,2,0),"")</f>
        <v/>
      </c>
      <c r="G1594" s="3" t="str">
        <f t="array" ref="G1594">_xlfn.XLOOKUP(I1594,Base_Datos!D:D,Base_Datos!B:B,"")</f>
        <v>DFSK</v>
      </c>
      <c r="H1594" s="3" t="str">
        <f t="array" ref="H1594">IF(I1594="","",IFERROR(_xlfn.XLOOKUP(I1594,Base_Datos!$D$2:$D3876,Base_Datos!$C$2:$C3876),""))</f>
        <v>Serie C</v>
      </c>
      <c r="I1594" s="3" t="s">
        <v>343</v>
      </c>
      <c r="J1594" s="3" t="str">
        <f>IF(I1594="","",IFERROR(VLOOKUP(I1594,Base_Datos!$D$2:$E$72,2,0),""))</f>
        <v>(1.5L)</v>
      </c>
      <c r="K1594" s="3" t="s">
        <v>2391</v>
      </c>
      <c r="L1594" s="3"/>
      <c r="M1594" s="7">
        <v>22</v>
      </c>
      <c r="N1594" s="7">
        <v>0</v>
      </c>
    </row>
    <row r="1595" spans="1:14" ht="14.25" x14ac:dyDescent="0.2">
      <c r="A1595" s="3">
        <v>89026</v>
      </c>
      <c r="B1595" s="3" t="s">
        <v>3632</v>
      </c>
      <c r="C1595" s="3" t="s">
        <v>18</v>
      </c>
      <c r="D1595" s="6" t="s">
        <v>230</v>
      </c>
      <c r="E1595" s="6" t="s">
        <v>3633</v>
      </c>
      <c r="F1595" s="3" t="str">
        <f>IFERROR( VLOOKUP(A1595,#REF!,2,0),"")</f>
        <v/>
      </c>
      <c r="G1595" s="3" t="str">
        <f t="array" ref="G1595">_xlfn.XLOOKUP(I1595,Base_Datos!D:D,Base_Datos!B:B,"")</f>
        <v>DFSK</v>
      </c>
      <c r="H1595" s="3" t="str">
        <f t="array" ref="H1595">IF(I1595="","",IFERROR(_xlfn.XLOOKUP(I1595,Base_Datos!$D$2:$D3876,Base_Datos!$C$2:$C3876),""))</f>
        <v>Serie C</v>
      </c>
      <c r="I1595" s="3" t="s">
        <v>339</v>
      </c>
      <c r="J1595" s="3" t="str">
        <f>IF(I1595="","",IFERROR(VLOOKUP(I1595,Base_Datos!$D$2:$E$72,2,0),""))</f>
        <v>(1.5L)</v>
      </c>
      <c r="K1595" s="3" t="s">
        <v>3634</v>
      </c>
      <c r="L1595" s="3"/>
      <c r="M1595" s="7">
        <v>49</v>
      </c>
      <c r="N1595" s="7">
        <v>0</v>
      </c>
    </row>
    <row r="1596" spans="1:14" ht="14.25" x14ac:dyDescent="0.2">
      <c r="A1596" s="3">
        <v>89027</v>
      </c>
      <c r="B1596" s="3" t="s">
        <v>3635</v>
      </c>
      <c r="C1596" s="3" t="s">
        <v>23</v>
      </c>
      <c r="D1596" s="6" t="s">
        <v>231</v>
      </c>
      <c r="E1596" s="6" t="s">
        <v>293</v>
      </c>
      <c r="F1596" s="3" t="str">
        <f>IFERROR( VLOOKUP(A1596,#REF!,2,0),"")</f>
        <v/>
      </c>
      <c r="G1596" s="3" t="str">
        <f t="array" ref="G1596">_xlfn.XLOOKUP(I1596,Base_Datos!D:D,Base_Datos!B:B,"")</f>
        <v>DFSK</v>
      </c>
      <c r="H1596" s="3" t="str">
        <f t="array" ref="H1596">IF(I1596="","",IFERROR(_xlfn.XLOOKUP(I1596,Base_Datos!$D$2:$D3876,Base_Datos!$C$2:$C3876),""))</f>
        <v>Serie C</v>
      </c>
      <c r="I1596" s="3" t="s">
        <v>265</v>
      </c>
      <c r="J1596" s="3" t="str">
        <f>IF(I1596="","",IFERROR(VLOOKUP(I1596,Base_Datos!$D$2:$E$72,2,0),""))</f>
        <v>(1.5L)</v>
      </c>
      <c r="K1596" s="3" t="s">
        <v>2435</v>
      </c>
      <c r="L1596" s="3"/>
      <c r="M1596" s="7">
        <v>50</v>
      </c>
      <c r="N1596" s="7">
        <v>0</v>
      </c>
    </row>
    <row r="1597" spans="1:14" ht="14.25" x14ac:dyDescent="0.2">
      <c r="A1597" s="3">
        <v>89028</v>
      </c>
      <c r="B1597" s="3" t="s">
        <v>3598</v>
      </c>
      <c r="C1597" s="3" t="s">
        <v>18</v>
      </c>
      <c r="D1597" s="6" t="s">
        <v>232</v>
      </c>
      <c r="E1597" s="6" t="s">
        <v>233</v>
      </c>
      <c r="F1597" s="3" t="str">
        <f>IFERROR( VLOOKUP(A1597,#REF!,2,0),"")</f>
        <v/>
      </c>
      <c r="G1597" s="3" t="str">
        <f t="array" ref="G1597">_xlfn.XLOOKUP(I1597,Base_Datos!D:D,Base_Datos!B:B,"")</f>
        <v>DFSK</v>
      </c>
      <c r="H1597" s="3" t="str">
        <f t="array" ref="H1597">IF(I1597="","",IFERROR(_xlfn.XLOOKUP(I1597,Base_Datos!$D$2:$D3876,Base_Datos!$C$2:$C3876),""))</f>
        <v>Serie C</v>
      </c>
      <c r="I1597" s="3" t="s">
        <v>332</v>
      </c>
      <c r="J1597" s="3" t="str">
        <f>IF(I1597="","",IFERROR(VLOOKUP(I1597,Base_Datos!$D$2:$E$72,2,0),""))</f>
        <v>(1.5L)</v>
      </c>
      <c r="K1597" s="3" t="s">
        <v>2439</v>
      </c>
      <c r="L1597" s="3"/>
      <c r="M1597" s="7">
        <v>50</v>
      </c>
      <c r="N1597" s="7">
        <v>0</v>
      </c>
    </row>
    <row r="1598" spans="1:14" ht="14.25" x14ac:dyDescent="0.2">
      <c r="A1598" s="3">
        <v>89030</v>
      </c>
      <c r="B1598" s="3" t="s">
        <v>3636</v>
      </c>
      <c r="C1598" s="3" t="s">
        <v>18</v>
      </c>
      <c r="D1598" s="6" t="s">
        <v>234</v>
      </c>
      <c r="E1598" s="6" t="s">
        <v>234</v>
      </c>
      <c r="F1598" s="3" t="str">
        <f>IFERROR( VLOOKUP(A1598,#REF!,2,0),"")</f>
        <v/>
      </c>
      <c r="G1598" s="3" t="str">
        <f t="array" ref="G1598">_xlfn.XLOOKUP(I1598,Base_Datos!D:D,Base_Datos!B:B,"")</f>
        <v>DFSK</v>
      </c>
      <c r="H1598" s="3" t="str">
        <f t="array" ref="H1598">IF(I1598="","",IFERROR(_xlfn.XLOOKUP(I1598,Base_Datos!$D$2:$D3876,Base_Datos!$C$2:$C3876),""))</f>
        <v>Serie C</v>
      </c>
      <c r="I1598" s="3" t="s">
        <v>343</v>
      </c>
      <c r="J1598" s="3" t="str">
        <f>IF(I1598="","",IFERROR(VLOOKUP(I1598,Base_Datos!$D$2:$E$72,2,0),""))</f>
        <v>(1.5L)</v>
      </c>
      <c r="K1598" s="3" t="s">
        <v>2391</v>
      </c>
      <c r="L1598" s="3"/>
      <c r="M1598" s="7">
        <v>43</v>
      </c>
      <c r="N1598" s="7">
        <v>0</v>
      </c>
    </row>
    <row r="1599" spans="1:14" ht="14.25" x14ac:dyDescent="0.2">
      <c r="A1599" s="3">
        <v>89031</v>
      </c>
      <c r="B1599" s="3" t="s">
        <v>3637</v>
      </c>
      <c r="C1599" s="3" t="s">
        <v>18</v>
      </c>
      <c r="D1599" s="6" t="s">
        <v>235</v>
      </c>
      <c r="E1599" s="6" t="s">
        <v>235</v>
      </c>
      <c r="F1599" s="3" t="str">
        <f>IFERROR( VLOOKUP(A1599,#REF!,2,0),"")</f>
        <v/>
      </c>
      <c r="G1599" s="3" t="str">
        <f t="array" ref="G1599">_xlfn.XLOOKUP(I1599,Base_Datos!D:D,Base_Datos!B:B,"")</f>
        <v>DFSK</v>
      </c>
      <c r="H1599" s="3" t="str">
        <f t="array" ref="H1599">IF(I1599="","",IFERROR(_xlfn.XLOOKUP(I1599,Base_Datos!$D$2:$D3876,Base_Datos!$C$2:$C3876),""))</f>
        <v>Serie C</v>
      </c>
      <c r="I1599" s="3" t="s">
        <v>343</v>
      </c>
      <c r="J1599" s="3" t="str">
        <f>IF(I1599="","",IFERROR(VLOOKUP(I1599,Base_Datos!$D$2:$E$72,2,0),""))</f>
        <v>(1.5L)</v>
      </c>
      <c r="K1599" s="3" t="s">
        <v>2391</v>
      </c>
      <c r="L1599" s="3"/>
      <c r="M1599" s="7">
        <v>43</v>
      </c>
      <c r="N1599" s="7">
        <v>0</v>
      </c>
    </row>
    <row r="1600" spans="1:14" ht="14.25" x14ac:dyDescent="0.2">
      <c r="A1600" s="3">
        <v>89033</v>
      </c>
      <c r="B1600" s="3" t="s">
        <v>3189</v>
      </c>
      <c r="C1600" s="3" t="s">
        <v>18</v>
      </c>
      <c r="D1600" s="6" t="s">
        <v>236</v>
      </c>
      <c r="E1600" s="6" t="s">
        <v>236</v>
      </c>
      <c r="F1600" s="3" t="str">
        <f>IFERROR( VLOOKUP(A1600,#REF!,2,0),"")</f>
        <v/>
      </c>
      <c r="G1600" s="3" t="str">
        <f t="array" ref="G1600">_xlfn.XLOOKUP(I1600,Base_Datos!D:D,Base_Datos!B:B,"")</f>
        <v>DFSK</v>
      </c>
      <c r="H1600" s="3" t="str">
        <f t="array" ref="H1600">IF(I1600="","",IFERROR(_xlfn.XLOOKUP(I1600,Base_Datos!$D$2:$D3876,Base_Datos!$C$2:$C3876),""))</f>
        <v>Serie C</v>
      </c>
      <c r="I1600" s="3" t="s">
        <v>343</v>
      </c>
      <c r="J1600" s="3" t="str">
        <f>IF(I1600="","",IFERROR(VLOOKUP(I1600,Base_Datos!$D$2:$E$72,2,0),""))</f>
        <v>(1.5L)</v>
      </c>
      <c r="K1600" s="3" t="s">
        <v>2395</v>
      </c>
      <c r="L1600" s="3"/>
      <c r="M1600" s="7">
        <v>52</v>
      </c>
      <c r="N1600" s="7">
        <v>0</v>
      </c>
    </row>
    <row r="1601" spans="1:14" ht="14.25" x14ac:dyDescent="0.2">
      <c r="A1601" s="3">
        <v>89035</v>
      </c>
      <c r="B1601" s="3" t="s">
        <v>3638</v>
      </c>
      <c r="C1601" s="3" t="s">
        <v>18</v>
      </c>
      <c r="D1601" s="6" t="s">
        <v>238</v>
      </c>
      <c r="E1601" s="6" t="s">
        <v>238</v>
      </c>
      <c r="F1601" s="3" t="str">
        <f>IFERROR( VLOOKUP(A1601,#REF!,2,0),"")</f>
        <v/>
      </c>
      <c r="G1601" s="3" t="str">
        <f t="array" ref="G1601">_xlfn.XLOOKUP(I1601,Base_Datos!D:D,Base_Datos!B:B,"")</f>
        <v>DFSK</v>
      </c>
      <c r="H1601" s="3" t="str">
        <f t="array" ref="H1601">IF(I1601="","",IFERROR(_xlfn.XLOOKUP(I1601,Base_Datos!$D$2:$D3876,Base_Datos!$C$2:$C3876),""))</f>
        <v>Serie C</v>
      </c>
      <c r="I1601" s="3" t="s">
        <v>339</v>
      </c>
      <c r="J1601" s="3" t="str">
        <f>IF(I1601="","",IFERROR(VLOOKUP(I1601,Base_Datos!$D$2:$E$72,2,0),""))</f>
        <v>(1.5L)</v>
      </c>
      <c r="K1601" s="3" t="s">
        <v>3639</v>
      </c>
      <c r="L1601" s="3"/>
      <c r="M1601" s="7">
        <v>55</v>
      </c>
      <c r="N1601" s="7">
        <v>0</v>
      </c>
    </row>
    <row r="1602" spans="1:14" ht="14.25" x14ac:dyDescent="0.2">
      <c r="A1602" s="3">
        <v>89037</v>
      </c>
      <c r="B1602" s="3" t="s">
        <v>3640</v>
      </c>
      <c r="C1602" s="3" t="s">
        <v>18</v>
      </c>
      <c r="D1602" s="6" t="s">
        <v>239</v>
      </c>
      <c r="E1602" s="6" t="s">
        <v>239</v>
      </c>
      <c r="F1602" s="3" t="str">
        <f>IFERROR( VLOOKUP(A1602,#REF!,2,0),"")</f>
        <v/>
      </c>
      <c r="G1602" s="3" t="str">
        <f t="array" ref="G1602">_xlfn.XLOOKUP(I1602,Base_Datos!D:D,Base_Datos!B:B,"")</f>
        <v>DFSK</v>
      </c>
      <c r="H1602" s="3" t="str">
        <f t="array" ref="H1602">IF(I1602="","",IFERROR(_xlfn.XLOOKUP(I1602,Base_Datos!$D$2:$D3876,Base_Datos!$C$2:$C3876),""))</f>
        <v>Serie C</v>
      </c>
      <c r="I1602" s="3" t="s">
        <v>332</v>
      </c>
      <c r="J1602" s="3" t="str">
        <f>IF(I1602="","",IFERROR(VLOOKUP(I1602,Base_Datos!$D$2:$E$72,2,0),""))</f>
        <v>(1.5L)</v>
      </c>
      <c r="K1602" s="3" t="s">
        <v>2439</v>
      </c>
      <c r="L1602" s="3"/>
      <c r="M1602" s="7">
        <v>19</v>
      </c>
      <c r="N1602" s="7">
        <v>0</v>
      </c>
    </row>
    <row r="1603" spans="1:14" ht="14.25" x14ac:dyDescent="0.2">
      <c r="A1603" s="3">
        <v>89040</v>
      </c>
      <c r="B1603" s="3" t="s">
        <v>3641</v>
      </c>
      <c r="C1603" s="3" t="s">
        <v>18</v>
      </c>
      <c r="D1603" s="6" t="s">
        <v>240</v>
      </c>
      <c r="E1603" s="6" t="s">
        <v>2459</v>
      </c>
      <c r="F1603" s="3" t="str">
        <f>IFERROR( VLOOKUP(A1603,#REF!,2,0),"")</f>
        <v/>
      </c>
      <c r="G1603" s="3" t="str">
        <f t="array" ref="G1603">_xlfn.XLOOKUP(I1603,Base_Datos!D:D,Base_Datos!B:B,"")</f>
        <v>DFSK</v>
      </c>
      <c r="H1603" s="3" t="str">
        <f t="array" ref="H1603">IF(I1603="","",IFERROR(_xlfn.XLOOKUP(I1603,Base_Datos!$D$2:$D3876,Base_Datos!$C$2:$C3876),""))</f>
        <v>Serie C</v>
      </c>
      <c r="I1603" s="3" t="s">
        <v>343</v>
      </c>
      <c r="J1603" s="3" t="str">
        <f>IF(I1603="","",IFERROR(VLOOKUP(I1603,Base_Datos!$D$2:$E$72,2,0),""))</f>
        <v>(1.5L)</v>
      </c>
      <c r="K1603" s="3" t="s">
        <v>3642</v>
      </c>
      <c r="L1603" s="3"/>
      <c r="M1603" s="7">
        <v>60</v>
      </c>
      <c r="N1603" s="7">
        <v>0</v>
      </c>
    </row>
    <row r="1604" spans="1:14" ht="14.25" x14ac:dyDescent="0.2">
      <c r="A1604" s="3">
        <v>89042</v>
      </c>
      <c r="B1604" s="3" t="s">
        <v>2280</v>
      </c>
      <c r="C1604" s="3" t="s">
        <v>18</v>
      </c>
      <c r="D1604" s="6" t="s">
        <v>242</v>
      </c>
      <c r="E1604" s="6" t="s">
        <v>3643</v>
      </c>
      <c r="F1604" s="3" t="str">
        <f>IFERROR( VLOOKUP(A1604,#REF!,2,0),"")</f>
        <v/>
      </c>
      <c r="G1604" s="3" t="str">
        <f t="array" ref="G1604">_xlfn.XLOOKUP(I1604,Base_Datos!D:D,Base_Datos!B:B,"")</f>
        <v>DFSK</v>
      </c>
      <c r="H1604" s="3" t="str">
        <f t="array" ref="H1604">IF(I1604="","",IFERROR(_xlfn.XLOOKUP(I1604,Base_Datos!$D$2:$D3876,Base_Datos!$C$2:$C3876),""))</f>
        <v>Serie C</v>
      </c>
      <c r="I1604" s="3" t="s">
        <v>265</v>
      </c>
      <c r="J1604" s="3" t="str">
        <f>IF(I1604="","",IFERROR(VLOOKUP(I1604,Base_Datos!$D$2:$E$72,2,0),""))</f>
        <v>(1.5L)</v>
      </c>
      <c r="K1604" s="3" t="s">
        <v>1782</v>
      </c>
      <c r="L1604" s="3"/>
      <c r="M1604" s="7">
        <v>30</v>
      </c>
      <c r="N1604" s="7">
        <v>0</v>
      </c>
    </row>
    <row r="1605" spans="1:14" ht="14.25" x14ac:dyDescent="0.2">
      <c r="A1605" s="3">
        <v>89043</v>
      </c>
      <c r="B1605" s="3" t="s">
        <v>3644</v>
      </c>
      <c r="C1605" s="3" t="s">
        <v>18</v>
      </c>
      <c r="D1605" s="6" t="s">
        <v>243</v>
      </c>
      <c r="E1605" s="6" t="s">
        <v>243</v>
      </c>
      <c r="F1605" s="3" t="str">
        <f>IFERROR( VLOOKUP(A1605,#REF!,2,0),"")</f>
        <v/>
      </c>
      <c r="G1605" s="3" t="str">
        <f t="array" ref="G1605">_xlfn.XLOOKUP(I1605,Base_Datos!D:D,Base_Datos!B:B,"")</f>
        <v>DFSK</v>
      </c>
      <c r="H1605" s="3" t="str">
        <f t="array" ref="H1605">IF(I1605="","",IFERROR(_xlfn.XLOOKUP(I1605,Base_Datos!$D$2:$D3876,Base_Datos!$C$2:$C3876),""))</f>
        <v>Serie K</v>
      </c>
      <c r="I1605" s="3" t="s">
        <v>475</v>
      </c>
      <c r="J1605" s="3" t="str">
        <f>IF(I1605="","",IFERROR(VLOOKUP(I1605,Base_Datos!$D$2:$E$72,2,0),""))</f>
        <v>(1.1L)</v>
      </c>
      <c r="K1605" s="3" t="s">
        <v>3642</v>
      </c>
      <c r="L1605" s="3"/>
      <c r="M1605" s="7">
        <v>48</v>
      </c>
      <c r="N1605" s="7">
        <v>0</v>
      </c>
    </row>
    <row r="1606" spans="1:14" ht="14.25" x14ac:dyDescent="0.2">
      <c r="A1606" s="3">
        <v>89045</v>
      </c>
      <c r="B1606" s="3" t="s">
        <v>3645</v>
      </c>
      <c r="C1606" s="3" t="s">
        <v>18</v>
      </c>
      <c r="D1606" s="6" t="s">
        <v>245</v>
      </c>
      <c r="E1606" s="6" t="s">
        <v>439</v>
      </c>
      <c r="F1606" s="3" t="str">
        <f>IFERROR( VLOOKUP(A1606,#REF!,2,0),"")</f>
        <v/>
      </c>
      <c r="G1606" s="3" t="str">
        <f t="array" ref="G1606">_xlfn.XLOOKUP(I1606,Base_Datos!D:D,Base_Datos!B:B,"")</f>
        <v>DFSK</v>
      </c>
      <c r="H1606" s="3" t="str">
        <f t="array" ref="H1606">IF(I1606="","",IFERROR(_xlfn.XLOOKUP(I1606,Base_Datos!$D$2:$D3876,Base_Datos!$C$2:$C3876),""))</f>
        <v>Serie C</v>
      </c>
      <c r="I1606" s="3" t="s">
        <v>339</v>
      </c>
      <c r="J1606" s="3" t="str">
        <f>IF(I1606="","",IFERROR(VLOOKUP(I1606,Base_Datos!$D$2:$E$72,2,0),""))</f>
        <v>(1.5L)</v>
      </c>
      <c r="K1606" s="3" t="s">
        <v>3639</v>
      </c>
      <c r="L1606" s="3"/>
      <c r="M1606" s="7">
        <v>101</v>
      </c>
      <c r="N1606" s="7">
        <v>0</v>
      </c>
    </row>
    <row r="1607" spans="1:14" ht="14.25" x14ac:dyDescent="0.2">
      <c r="A1607" s="3">
        <v>89046</v>
      </c>
      <c r="B1607" s="3" t="s">
        <v>3646</v>
      </c>
      <c r="C1607" s="3" t="s">
        <v>18</v>
      </c>
      <c r="D1607" s="6" t="s">
        <v>246</v>
      </c>
      <c r="E1607" s="6" t="s">
        <v>3647</v>
      </c>
      <c r="F1607" s="3" t="str">
        <f>IFERROR( VLOOKUP(A1607,#REF!,2,0),"")</f>
        <v/>
      </c>
      <c r="G1607" s="3" t="str">
        <f t="array" ref="G1607">_xlfn.XLOOKUP(I1607,Base_Datos!D:D,Base_Datos!B:B,"")</f>
        <v>DFSK</v>
      </c>
      <c r="H1607" s="3" t="str">
        <f t="array" ref="H1607">IF(I1607="","",IFERROR(_xlfn.XLOOKUP(I1607,Base_Datos!$D$2:$D3876,Base_Datos!$C$2:$C3876),""))</f>
        <v>Serie C</v>
      </c>
      <c r="I1607" s="3" t="s">
        <v>332</v>
      </c>
      <c r="J1607" s="3" t="str">
        <f>IF(I1607="","",IFERROR(VLOOKUP(I1607,Base_Datos!$D$2:$E$72,2,0),""))</f>
        <v>(1.5L)</v>
      </c>
      <c r="K1607" s="3" t="s">
        <v>2439</v>
      </c>
      <c r="L1607" s="3"/>
      <c r="M1607" s="7">
        <v>104</v>
      </c>
      <c r="N1607" s="7">
        <v>0</v>
      </c>
    </row>
    <row r="1608" spans="1:14" ht="14.25" x14ac:dyDescent="0.2">
      <c r="A1608" s="3">
        <v>89048</v>
      </c>
      <c r="B1608" s="3" t="s">
        <v>3648</v>
      </c>
      <c r="C1608" s="3" t="s">
        <v>18</v>
      </c>
      <c r="D1608" s="6" t="s">
        <v>247</v>
      </c>
      <c r="E1608" s="6" t="s">
        <v>3649</v>
      </c>
      <c r="F1608" s="3" t="str">
        <f>IFERROR( VLOOKUP(A1608,#REF!,2,0),"")</f>
        <v/>
      </c>
      <c r="G1608" s="3" t="str">
        <f t="array" ref="G1608">_xlfn.XLOOKUP(I1608,Base_Datos!D:D,Base_Datos!B:B,"")</f>
        <v>DFSK</v>
      </c>
      <c r="H1608" s="3" t="str">
        <f t="array" ref="H1608">IF(I1608="","",IFERROR(_xlfn.XLOOKUP(I1608,Base_Datos!$D$2:$D3876,Base_Datos!$C$2:$C3876),""))</f>
        <v>Serie C</v>
      </c>
      <c r="I1608" s="3" t="s">
        <v>339</v>
      </c>
      <c r="J1608" s="3" t="str">
        <f>IF(I1608="","",IFERROR(VLOOKUP(I1608,Base_Datos!$D$2:$E$72,2,0),""))</f>
        <v>(1.5L)</v>
      </c>
      <c r="K1608" s="3" t="s">
        <v>1782</v>
      </c>
      <c r="L1608" s="3"/>
      <c r="M1608" s="7">
        <v>55</v>
      </c>
      <c r="N1608" s="7">
        <v>0</v>
      </c>
    </row>
    <row r="1609" spans="1:14" ht="14.25" x14ac:dyDescent="0.2">
      <c r="A1609" s="3">
        <v>89050</v>
      </c>
      <c r="B1609" s="3" t="s">
        <v>3650</v>
      </c>
      <c r="C1609" s="3" t="s">
        <v>18</v>
      </c>
      <c r="D1609" s="6" t="s">
        <v>248</v>
      </c>
      <c r="E1609" s="6" t="s">
        <v>3651</v>
      </c>
      <c r="F1609" s="3" t="str">
        <f>IFERROR( VLOOKUP(A1609,#REF!,2,0),"")</f>
        <v/>
      </c>
      <c r="G1609" s="3" t="str">
        <f t="array" ref="G1609">_xlfn.XLOOKUP(I1609,Base_Datos!D:D,Base_Datos!B:B,"")</f>
        <v>DFSK</v>
      </c>
      <c r="H1609" s="3" t="str">
        <f t="array" ref="H1609">IF(I1609="","",IFERROR(_xlfn.XLOOKUP(I1609,Base_Datos!$D$2:$D3876,Base_Datos!$C$2:$C3876),""))</f>
        <v>Serie C</v>
      </c>
      <c r="I1609" s="3" t="s">
        <v>332</v>
      </c>
      <c r="J1609" s="3" t="str">
        <f>IF(I1609="","",IFERROR(VLOOKUP(I1609,Base_Datos!$D$2:$E$72,2,0),""))</f>
        <v>(1.5L)</v>
      </c>
      <c r="K1609" s="3" t="s">
        <v>3652</v>
      </c>
      <c r="L1609" s="3"/>
      <c r="M1609" s="7">
        <v>40</v>
      </c>
      <c r="N1609" s="7">
        <v>0</v>
      </c>
    </row>
    <row r="1610" spans="1:14" ht="14.25" x14ac:dyDescent="0.2">
      <c r="A1610" s="3">
        <v>89054</v>
      </c>
      <c r="B1610" s="3" t="s">
        <v>3653</v>
      </c>
      <c r="C1610" s="3" t="s">
        <v>18</v>
      </c>
      <c r="D1610" s="6" t="s">
        <v>251</v>
      </c>
      <c r="E1610" s="6" t="s">
        <v>3654</v>
      </c>
      <c r="F1610" s="3" t="str">
        <f>IFERROR( VLOOKUP(A1610,#REF!,2,0),"")</f>
        <v/>
      </c>
      <c r="G1610" s="3" t="str">
        <f t="array" ref="G1610">_xlfn.XLOOKUP(I1610,Base_Datos!D:D,Base_Datos!B:B,"")</f>
        <v>DFSK</v>
      </c>
      <c r="H1610" s="3" t="str">
        <f t="array" ref="H1610">IF(I1610="","",IFERROR(_xlfn.XLOOKUP(I1610,Base_Datos!$D$2:$D3876,Base_Datos!$C$2:$C3876),""))</f>
        <v>Serie C</v>
      </c>
      <c r="I1610" s="3" t="s">
        <v>343</v>
      </c>
      <c r="J1610" s="3" t="str">
        <f>IF(I1610="","",IFERROR(VLOOKUP(I1610,Base_Datos!$D$2:$E$72,2,0),""))</f>
        <v>(1.5L)</v>
      </c>
      <c r="K1610" s="3" t="s">
        <v>2395</v>
      </c>
      <c r="L1610" s="3"/>
      <c r="M1610" s="7">
        <v>26</v>
      </c>
      <c r="N1610" s="7">
        <v>0</v>
      </c>
    </row>
    <row r="1611" spans="1:14" ht="14.25" x14ac:dyDescent="0.2">
      <c r="A1611" s="3">
        <v>89055</v>
      </c>
      <c r="B1611" s="3" t="s">
        <v>2564</v>
      </c>
      <c r="C1611" s="3" t="s">
        <v>18</v>
      </c>
      <c r="D1611" s="6" t="s">
        <v>252</v>
      </c>
      <c r="E1611" s="6" t="s">
        <v>3655</v>
      </c>
      <c r="F1611" s="3" t="str">
        <f>IFERROR( VLOOKUP(A1611,#REF!,2,0),"")</f>
        <v/>
      </c>
      <c r="G1611" s="3" t="str">
        <f t="array" ref="G1611">_xlfn.XLOOKUP(I1611,Base_Datos!D:D,Base_Datos!B:B,"")</f>
        <v>DFSK</v>
      </c>
      <c r="H1611" s="3" t="str">
        <f t="array" ref="H1611">IF(I1611="","",IFERROR(_xlfn.XLOOKUP(I1611,Base_Datos!$D$2:$D3876,Base_Datos!$C$2:$C3876),""))</f>
        <v>Serie C</v>
      </c>
      <c r="I1611" s="3" t="s">
        <v>265</v>
      </c>
      <c r="J1611" s="3" t="str">
        <f>IF(I1611="","",IFERROR(VLOOKUP(I1611,Base_Datos!$D$2:$E$72,2,0),""))</f>
        <v>(1.5L)</v>
      </c>
      <c r="K1611" s="3" t="s">
        <v>1782</v>
      </c>
      <c r="L1611" s="3"/>
      <c r="M1611" s="7">
        <v>21</v>
      </c>
      <c r="N1611" s="7">
        <v>0</v>
      </c>
    </row>
    <row r="1612" spans="1:14" ht="14.25" x14ac:dyDescent="0.2">
      <c r="A1612" s="3">
        <v>89057</v>
      </c>
      <c r="B1612" s="3" t="s">
        <v>3656</v>
      </c>
      <c r="C1612" s="3" t="s">
        <v>18</v>
      </c>
      <c r="D1612" s="6" t="s">
        <v>253</v>
      </c>
      <c r="E1612" s="6" t="s">
        <v>638</v>
      </c>
      <c r="F1612" s="3" t="str">
        <f>IFERROR( VLOOKUP(A1612,#REF!,2,0),"")</f>
        <v/>
      </c>
      <c r="G1612" s="3" t="str">
        <f t="array" ref="G1612">_xlfn.XLOOKUP(I1612,Base_Datos!D:D,Base_Datos!B:B,"")</f>
        <v>DFSK</v>
      </c>
      <c r="H1612" s="3" t="str">
        <f t="array" ref="H1612">IF(I1612="","",IFERROR(_xlfn.XLOOKUP(I1612,Base_Datos!$D$2:$D3876,Base_Datos!$C$2:$C3876),""))</f>
        <v>Serie C</v>
      </c>
      <c r="I1612" s="3" t="s">
        <v>332</v>
      </c>
      <c r="J1612" s="3" t="str">
        <f>IF(I1612="","",IFERROR(VLOOKUP(I1612,Base_Datos!$D$2:$E$72,2,0),""))</f>
        <v>(1.5L)</v>
      </c>
      <c r="K1612" s="3" t="s">
        <v>2439</v>
      </c>
      <c r="L1612" s="3"/>
      <c r="M1612" s="7">
        <v>50</v>
      </c>
      <c r="N1612" s="7">
        <v>0</v>
      </c>
    </row>
    <row r="1613" spans="1:14" ht="14.25" x14ac:dyDescent="0.2">
      <c r="A1613" s="3">
        <v>89058</v>
      </c>
      <c r="B1613" s="3" t="s">
        <v>3404</v>
      </c>
      <c r="C1613" s="3" t="s">
        <v>18</v>
      </c>
      <c r="D1613" s="6" t="s">
        <v>254</v>
      </c>
      <c r="E1613" s="6" t="s">
        <v>3657</v>
      </c>
      <c r="F1613" s="3" t="str">
        <f>IFERROR( VLOOKUP(A1613,#REF!,2,0),"")</f>
        <v/>
      </c>
      <c r="G1613" s="3" t="str">
        <f t="array" ref="G1613">_xlfn.XLOOKUP(I1613,Base_Datos!D:D,Base_Datos!B:B,"")</f>
        <v>DFSK</v>
      </c>
      <c r="H1613" s="3" t="str">
        <f t="array" ref="H1613">IF(I1613="","",IFERROR(_xlfn.XLOOKUP(I1613,Base_Datos!$D$2:$D3876,Base_Datos!$C$2:$C3876),""))</f>
        <v>Serie C</v>
      </c>
      <c r="I1613" s="3" t="s">
        <v>343</v>
      </c>
      <c r="J1613" s="3" t="str">
        <f>IF(I1613="","",IFERROR(VLOOKUP(I1613,Base_Datos!$D$2:$E$72,2,0),""))</f>
        <v>(1.5L)</v>
      </c>
      <c r="K1613" s="3" t="s">
        <v>2395</v>
      </c>
      <c r="L1613" s="3"/>
      <c r="M1613" s="7">
        <v>33</v>
      </c>
      <c r="N1613" s="7">
        <v>0</v>
      </c>
    </row>
    <row r="1614" spans="1:14" ht="14.25" x14ac:dyDescent="0.2">
      <c r="A1614" s="3">
        <v>89059</v>
      </c>
      <c r="B1614" s="3" t="s">
        <v>3658</v>
      </c>
      <c r="C1614" s="3" t="s">
        <v>18</v>
      </c>
      <c r="D1614" s="6" t="s">
        <v>255</v>
      </c>
      <c r="E1614" s="6" t="s">
        <v>255</v>
      </c>
      <c r="F1614" s="3" t="str">
        <f>IFERROR( VLOOKUP(A1614,#REF!,2,0),"")</f>
        <v/>
      </c>
      <c r="G1614" s="3" t="str">
        <f t="array" ref="G1614">_xlfn.XLOOKUP(I1614,Base_Datos!D:D,Base_Datos!B:B,"")</f>
        <v>DFSK</v>
      </c>
      <c r="H1614" s="3" t="str">
        <f t="array" ref="H1614">IF(I1614="","",IFERROR(_xlfn.XLOOKUP(I1614,Base_Datos!$D$2:$D3876,Base_Datos!$C$2:$C3876),""))</f>
        <v>Serie C</v>
      </c>
      <c r="I1614" s="3" t="s">
        <v>332</v>
      </c>
      <c r="J1614" s="3" t="str">
        <f>IF(I1614="","",IFERROR(VLOOKUP(I1614,Base_Datos!$D$2:$E$72,2,0),""))</f>
        <v>(1.5L)</v>
      </c>
      <c r="K1614" s="3" t="s">
        <v>2438</v>
      </c>
      <c r="L1614" s="3"/>
      <c r="M1614" s="7">
        <v>14</v>
      </c>
      <c r="N1614" s="7">
        <v>0</v>
      </c>
    </row>
    <row r="1615" spans="1:14" ht="14.25" x14ac:dyDescent="0.2">
      <c r="A1615" s="3">
        <v>89060</v>
      </c>
      <c r="B1615" s="3" t="s">
        <v>3659</v>
      </c>
      <c r="C1615" s="3" t="s">
        <v>18</v>
      </c>
      <c r="D1615" s="6" t="s">
        <v>256</v>
      </c>
      <c r="E1615" s="6" t="s">
        <v>256</v>
      </c>
      <c r="F1615" s="3" t="str">
        <f>IFERROR( VLOOKUP(A1615,#REF!,2,0),"")</f>
        <v/>
      </c>
      <c r="G1615" s="3" t="str">
        <f t="array" ref="G1615">_xlfn.XLOOKUP(I1615,Base_Datos!D:D,Base_Datos!B:B,"")</f>
        <v>DFSK</v>
      </c>
      <c r="H1615" s="3" t="str">
        <f t="array" ref="H1615">IF(I1615="","",IFERROR(_xlfn.XLOOKUP(I1615,Base_Datos!$D$2:$D3876,Base_Datos!$C$2:$C3876),""))</f>
        <v>Serie C</v>
      </c>
      <c r="I1615" s="3" t="s">
        <v>332</v>
      </c>
      <c r="J1615" s="3" t="str">
        <f>IF(I1615="","",IFERROR(VLOOKUP(I1615,Base_Datos!$D$2:$E$72,2,0),""))</f>
        <v>(1.5L)</v>
      </c>
      <c r="K1615" s="3" t="s">
        <v>3660</v>
      </c>
      <c r="L1615" s="3"/>
      <c r="M1615" s="7">
        <v>12</v>
      </c>
      <c r="N1615" s="7">
        <v>0</v>
      </c>
    </row>
    <row r="1616" spans="1:14" ht="14.25" x14ac:dyDescent="0.2">
      <c r="A1616" s="3">
        <v>89063</v>
      </c>
      <c r="B1616" s="3" t="s">
        <v>3661</v>
      </c>
      <c r="C1616" s="3" t="s">
        <v>18</v>
      </c>
      <c r="D1616" s="6" t="s">
        <v>259</v>
      </c>
      <c r="E1616" s="6" t="s">
        <v>259</v>
      </c>
      <c r="F1616" s="3" t="str">
        <f>IFERROR( VLOOKUP(A1616,#REF!,2,0),"")</f>
        <v/>
      </c>
      <c r="G1616" s="3" t="str">
        <f t="array" ref="G1616">_xlfn.XLOOKUP(I1616,Base_Datos!D:D,Base_Datos!B:B,"")</f>
        <v>DFSK</v>
      </c>
      <c r="H1616" s="3" t="str">
        <f t="array" ref="H1616">IF(I1616="","",IFERROR(_xlfn.XLOOKUP(I1616,Base_Datos!$D$2:$D3876,Base_Datos!$C$2:$C3876),""))</f>
        <v>Serie C</v>
      </c>
      <c r="I1616" s="3" t="s">
        <v>265</v>
      </c>
      <c r="J1616" s="3" t="str">
        <f>IF(I1616="","",IFERROR(VLOOKUP(I1616,Base_Datos!$D$2:$E$72,2,0),""))</f>
        <v>(1.5L)</v>
      </c>
      <c r="K1616" s="3" t="s">
        <v>3662</v>
      </c>
      <c r="L1616" s="3"/>
      <c r="M1616" s="7">
        <v>11</v>
      </c>
      <c r="N1616" s="7">
        <v>0</v>
      </c>
    </row>
    <row r="1617" spans="1:14" ht="14.25" x14ac:dyDescent="0.2">
      <c r="A1617" s="3">
        <v>89064</v>
      </c>
      <c r="B1617" s="3" t="s">
        <v>3663</v>
      </c>
      <c r="C1617" s="3" t="s">
        <v>18</v>
      </c>
      <c r="D1617" s="6" t="s">
        <v>260</v>
      </c>
      <c r="E1617" s="6" t="s">
        <v>260</v>
      </c>
      <c r="F1617" s="3" t="str">
        <f>IFERROR( VLOOKUP(A1617,#REF!,2,0),"")</f>
        <v/>
      </c>
      <c r="G1617" s="3" t="str">
        <f t="array" ref="G1617">_xlfn.XLOOKUP(I1617,Base_Datos!D:D,Base_Datos!B:B,"")</f>
        <v>DFSK</v>
      </c>
      <c r="H1617" s="3" t="str">
        <f t="array" ref="H1617">IF(I1617="","",IFERROR(_xlfn.XLOOKUP(I1617,Base_Datos!$D$2:$D3876,Base_Datos!$C$2:$C3876),""))</f>
        <v>Serie C</v>
      </c>
      <c r="I1617" s="3" t="s">
        <v>343</v>
      </c>
      <c r="J1617" s="3" t="str">
        <f>IF(I1617="","",IFERROR(VLOOKUP(I1617,Base_Datos!$D$2:$E$72,2,0),""))</f>
        <v>(1.5L)</v>
      </c>
      <c r="K1617" s="3" t="s">
        <v>2395</v>
      </c>
      <c r="L1617" s="3"/>
      <c r="M1617" s="7">
        <v>15</v>
      </c>
      <c r="N1617" s="7">
        <v>0</v>
      </c>
    </row>
    <row r="1618" spans="1:14" ht="14.25" x14ac:dyDescent="0.2">
      <c r="A1618" s="3">
        <v>89065</v>
      </c>
      <c r="B1618" s="3" t="s">
        <v>3664</v>
      </c>
      <c r="C1618" s="3" t="s">
        <v>18</v>
      </c>
      <c r="D1618" s="6" t="s">
        <v>261</v>
      </c>
      <c r="E1618" s="6" t="s">
        <v>3665</v>
      </c>
      <c r="F1618" s="3" t="str">
        <f>IFERROR( VLOOKUP(A1618,#REF!,2,0),"")</f>
        <v/>
      </c>
      <c r="G1618" s="3" t="str">
        <f t="array" ref="G1618">_xlfn.XLOOKUP(I1618,Base_Datos!D:D,Base_Datos!B:B,"")</f>
        <v>DFSK</v>
      </c>
      <c r="H1618" s="3" t="str">
        <f t="array" ref="H1618">IF(I1618="","",IFERROR(_xlfn.XLOOKUP(I1618,Base_Datos!$D$2:$D3876,Base_Datos!$C$2:$C3876),""))</f>
        <v>Serie C</v>
      </c>
      <c r="I1618" s="3" t="s">
        <v>332</v>
      </c>
      <c r="J1618" s="3" t="str">
        <f>IF(I1618="","",IFERROR(VLOOKUP(I1618,Base_Datos!$D$2:$E$72,2,0),""))</f>
        <v>(1.5L)</v>
      </c>
      <c r="K1618" s="3" t="s">
        <v>2439</v>
      </c>
      <c r="L1618" s="3"/>
      <c r="M1618" s="7">
        <v>100</v>
      </c>
      <c r="N1618" s="7">
        <v>0</v>
      </c>
    </row>
    <row r="1619" spans="1:14" ht="14.25" x14ac:dyDescent="0.2">
      <c r="A1619" s="3">
        <v>89066</v>
      </c>
      <c r="B1619" s="3" t="s">
        <v>3666</v>
      </c>
      <c r="C1619" s="3" t="s">
        <v>18</v>
      </c>
      <c r="D1619" s="6" t="s">
        <v>262</v>
      </c>
      <c r="E1619" s="6" t="s">
        <v>262</v>
      </c>
      <c r="F1619" s="3" t="str">
        <f>IFERROR( VLOOKUP(A1619,#REF!,2,0),"")</f>
        <v/>
      </c>
      <c r="G1619" s="3" t="str">
        <f t="array" ref="G1619">_xlfn.XLOOKUP(I1619,Base_Datos!D:D,Base_Datos!B:B,"")</f>
        <v>DFSK</v>
      </c>
      <c r="H1619" s="3" t="str">
        <f t="array" ref="H1619">IF(I1619="","",IFERROR(_xlfn.XLOOKUP(I1619,Base_Datos!$D$2:$D3876,Base_Datos!$C$2:$C3876),""))</f>
        <v>Serie C</v>
      </c>
      <c r="I1619" s="3" t="s">
        <v>332</v>
      </c>
      <c r="J1619" s="3" t="str">
        <f>IF(I1619="","",IFERROR(VLOOKUP(I1619,Base_Datos!$D$2:$E$72,2,0),""))</f>
        <v>(1.5L)</v>
      </c>
      <c r="K1619" s="3" t="s">
        <v>2439</v>
      </c>
      <c r="L1619" s="3"/>
      <c r="M1619" s="7">
        <v>101</v>
      </c>
      <c r="N1619" s="7">
        <v>0</v>
      </c>
    </row>
    <row r="1620" spans="1:14" ht="14.25" x14ac:dyDescent="0.2">
      <c r="A1620" s="3">
        <v>89068</v>
      </c>
      <c r="B1620" s="3" t="s">
        <v>2825</v>
      </c>
      <c r="C1620" s="3" t="s">
        <v>18</v>
      </c>
      <c r="D1620" s="6" t="s">
        <v>263</v>
      </c>
      <c r="E1620" s="6" t="s">
        <v>182</v>
      </c>
      <c r="F1620" s="3" t="str">
        <f>IFERROR( VLOOKUP(A1620,#REF!,2,0),"")</f>
        <v/>
      </c>
      <c r="G1620" s="3" t="str">
        <f t="array" ref="G1620">_xlfn.XLOOKUP(I1620,Base_Datos!D:D,Base_Datos!B:B,"")</f>
        <v>DFSK</v>
      </c>
      <c r="H1620" s="3" t="str">
        <f t="array" ref="H1620">IF(I1620="","",IFERROR(_xlfn.XLOOKUP(I1620,Base_Datos!$D$2:$D3876,Base_Datos!$C$2:$C3876),""))</f>
        <v>Serie C</v>
      </c>
      <c r="I1620" s="3" t="s">
        <v>343</v>
      </c>
      <c r="J1620" s="3" t="str">
        <f>IF(I1620="","",IFERROR(VLOOKUP(I1620,Base_Datos!$D$2:$E$72,2,0),""))</f>
        <v>(1.5L)</v>
      </c>
      <c r="K1620" s="3" t="s">
        <v>2395</v>
      </c>
      <c r="L1620" s="3"/>
      <c r="M1620" s="7">
        <v>100</v>
      </c>
      <c r="N1620" s="7">
        <v>0</v>
      </c>
    </row>
    <row r="1621" spans="1:14" ht="14.25" x14ac:dyDescent="0.2">
      <c r="A1621" s="3">
        <v>89070</v>
      </c>
      <c r="B1621" s="3" t="s">
        <v>3200</v>
      </c>
      <c r="C1621" s="3" t="s">
        <v>18</v>
      </c>
      <c r="D1621" s="6" t="s">
        <v>266</v>
      </c>
      <c r="E1621" s="6" t="s">
        <v>266</v>
      </c>
      <c r="F1621" s="3" t="str">
        <f>IFERROR( VLOOKUP(A1621,#REF!,2,0),"")</f>
        <v/>
      </c>
      <c r="G1621" s="3" t="str">
        <f t="array" ref="G1621">_xlfn.XLOOKUP(I1621,Base_Datos!D:D,Base_Datos!B:B,"")</f>
        <v>DFSK</v>
      </c>
      <c r="H1621" s="3" t="str">
        <f t="array" ref="H1621">IF(I1621="","",IFERROR(_xlfn.XLOOKUP(I1621,Base_Datos!$D$2:$D3876,Base_Datos!$C$2:$C3876),""))</f>
        <v>Serie C</v>
      </c>
      <c r="I1621" s="3" t="s">
        <v>265</v>
      </c>
      <c r="J1621" s="3" t="str">
        <f>IF(I1621="","",IFERROR(VLOOKUP(I1621,Base_Datos!$D$2:$E$72,2,0),""))</f>
        <v>(1.5L)</v>
      </c>
      <c r="K1621" s="3" t="s">
        <v>1782</v>
      </c>
      <c r="L1621" s="3"/>
      <c r="M1621" s="7">
        <v>31</v>
      </c>
      <c r="N1621" s="7">
        <v>0</v>
      </c>
    </row>
    <row r="1622" spans="1:14" ht="14.25" x14ac:dyDescent="0.2">
      <c r="A1622" s="3">
        <v>89071</v>
      </c>
      <c r="B1622" s="3" t="s">
        <v>3667</v>
      </c>
      <c r="C1622" s="3" t="s">
        <v>18</v>
      </c>
      <c r="D1622" s="6" t="s">
        <v>267</v>
      </c>
      <c r="E1622" s="6" t="s">
        <v>3668</v>
      </c>
      <c r="F1622" s="3" t="str">
        <f>IFERROR( VLOOKUP(A1622,#REF!,2,0),"")</f>
        <v/>
      </c>
      <c r="G1622" s="3" t="str">
        <f t="array" ref="G1622">_xlfn.XLOOKUP(I1622,Base_Datos!D:D,Base_Datos!B:B,"")</f>
        <v>DFSK</v>
      </c>
      <c r="H1622" s="3" t="str">
        <f t="array" ref="H1622">IF(I1622="","",IFERROR(_xlfn.XLOOKUP(I1622,Base_Datos!$D$2:$D3876,Base_Datos!$C$2:$C3876),""))</f>
        <v>Serie C</v>
      </c>
      <c r="I1622" s="3" t="s">
        <v>343</v>
      </c>
      <c r="J1622" s="3" t="str">
        <f>IF(I1622="","",IFERROR(VLOOKUP(I1622,Base_Datos!$D$2:$E$72,2,0),""))</f>
        <v>(1.5L)</v>
      </c>
      <c r="K1622" s="3" t="s">
        <v>1782</v>
      </c>
      <c r="L1622" s="3"/>
      <c r="M1622" s="7">
        <v>35</v>
      </c>
      <c r="N1622" s="7">
        <v>0</v>
      </c>
    </row>
    <row r="1623" spans="1:14" ht="14.25" x14ac:dyDescent="0.2">
      <c r="A1623" s="3">
        <v>89072</v>
      </c>
      <c r="B1623" s="3" t="s">
        <v>3669</v>
      </c>
      <c r="C1623" s="3" t="s">
        <v>18</v>
      </c>
      <c r="D1623" s="6" t="s">
        <v>268</v>
      </c>
      <c r="E1623" s="6" t="s">
        <v>268</v>
      </c>
      <c r="F1623" s="3" t="str">
        <f>IFERROR( VLOOKUP(A1623,#REF!,2,0),"")</f>
        <v/>
      </c>
      <c r="G1623" s="3" t="str">
        <f t="array" ref="G1623">_xlfn.XLOOKUP(I1623,Base_Datos!D:D,Base_Datos!B:B,"")</f>
        <v>DFSK</v>
      </c>
      <c r="H1623" s="3" t="str">
        <f t="array" ref="H1623">IF(I1623="","",IFERROR(_xlfn.XLOOKUP(I1623,Base_Datos!$D$2:$D3876,Base_Datos!$C$2:$C3876),""))</f>
        <v>Serie C</v>
      </c>
      <c r="I1623" s="3" t="s">
        <v>343</v>
      </c>
      <c r="J1623" s="3" t="str">
        <f>IF(I1623="","",IFERROR(VLOOKUP(I1623,Base_Datos!$D$2:$E$72,2,0),""))</f>
        <v>(1.5L)</v>
      </c>
      <c r="K1623" s="3" t="s">
        <v>2395</v>
      </c>
      <c r="L1623" s="3"/>
      <c r="M1623" s="7">
        <v>12</v>
      </c>
      <c r="N1623" s="7">
        <v>0</v>
      </c>
    </row>
    <row r="1624" spans="1:14" ht="14.25" x14ac:dyDescent="0.2">
      <c r="A1624" s="3">
        <v>89073</v>
      </c>
      <c r="B1624" s="3" t="s">
        <v>1928</v>
      </c>
      <c r="C1624" s="3" t="s">
        <v>18</v>
      </c>
      <c r="D1624" s="6" t="s">
        <v>269</v>
      </c>
      <c r="E1624" s="6" t="s">
        <v>367</v>
      </c>
      <c r="F1624" s="3" t="str">
        <f>IFERROR( VLOOKUP(A1624,#REF!,2,0),"")</f>
        <v/>
      </c>
      <c r="G1624" s="3" t="str">
        <f t="array" ref="G1624">_xlfn.XLOOKUP(I1624,Base_Datos!D:D,Base_Datos!B:B,"")</f>
        <v>DFSK</v>
      </c>
      <c r="H1624" s="3" t="str">
        <f t="array" ref="H1624">IF(I1624="","",IFERROR(_xlfn.XLOOKUP(I1624,Base_Datos!$D$2:$D3876,Base_Datos!$C$2:$C3876),""))</f>
        <v>Serie C</v>
      </c>
      <c r="I1624" s="3" t="s">
        <v>332</v>
      </c>
      <c r="J1624" s="3" t="str">
        <f>IF(I1624="","",IFERROR(VLOOKUP(I1624,Base_Datos!$D$2:$E$72,2,0),""))</f>
        <v>(1.5L)</v>
      </c>
      <c r="K1624" s="3" t="s">
        <v>3670</v>
      </c>
      <c r="L1624" s="3"/>
      <c r="M1624" s="7">
        <v>225</v>
      </c>
      <c r="N1624" s="7">
        <v>0</v>
      </c>
    </row>
    <row r="1625" spans="1:14" ht="14.25" x14ac:dyDescent="0.2">
      <c r="A1625" s="3">
        <v>89076</v>
      </c>
      <c r="B1625" s="3" t="s">
        <v>3671</v>
      </c>
      <c r="C1625" s="3" t="s">
        <v>18</v>
      </c>
      <c r="D1625" s="6" t="s">
        <v>270</v>
      </c>
      <c r="E1625" s="6" t="s">
        <v>3672</v>
      </c>
      <c r="F1625" s="3" t="str">
        <f>IFERROR( VLOOKUP(A1625,#REF!,2,0),"")</f>
        <v/>
      </c>
      <c r="G1625" s="3" t="str">
        <f t="array" ref="G1625">_xlfn.XLOOKUP(I1625,Base_Datos!D:D,Base_Datos!B:B,"")</f>
        <v>DFSK</v>
      </c>
      <c r="H1625" s="3" t="str">
        <f t="array" ref="H1625">IF(I1625="","",IFERROR(_xlfn.XLOOKUP(I1625,Base_Datos!$D$2:$D3876,Base_Datos!$C$2:$C3876),""))</f>
        <v>Serie C</v>
      </c>
      <c r="I1625" s="3" t="s">
        <v>343</v>
      </c>
      <c r="J1625" s="3" t="str">
        <f>IF(I1625="","",IFERROR(VLOOKUP(I1625,Base_Datos!$D$2:$E$72,2,0),""))</f>
        <v>(1.5L)</v>
      </c>
      <c r="K1625" s="3" t="s">
        <v>2395</v>
      </c>
      <c r="L1625" s="3"/>
      <c r="M1625" s="7">
        <v>25</v>
      </c>
      <c r="N1625" s="7">
        <v>0</v>
      </c>
    </row>
    <row r="1626" spans="1:14" ht="14.25" x14ac:dyDescent="0.2">
      <c r="A1626" s="3">
        <v>89078</v>
      </c>
      <c r="B1626" s="3" t="s">
        <v>2404</v>
      </c>
      <c r="C1626" s="3" t="s">
        <v>18</v>
      </c>
      <c r="D1626" s="6" t="s">
        <v>271</v>
      </c>
      <c r="E1626" s="6" t="s">
        <v>271</v>
      </c>
      <c r="F1626" s="3" t="str">
        <f>IFERROR( VLOOKUP(A1626,#REF!,2,0),"")</f>
        <v/>
      </c>
      <c r="G1626" s="3" t="str">
        <f t="array" ref="G1626">_xlfn.XLOOKUP(I1626,Base_Datos!D:D,Base_Datos!B:B,"")</f>
        <v>DFSK</v>
      </c>
      <c r="H1626" s="3" t="str">
        <f t="array" ref="H1626">IF(I1626="","",IFERROR(_xlfn.XLOOKUP(I1626,Base_Datos!$D$2:$D3876,Base_Datos!$C$2:$C3876),""))</f>
        <v>Serie C</v>
      </c>
      <c r="I1626" s="3" t="s">
        <v>332</v>
      </c>
      <c r="J1626" s="3" t="str">
        <f>IF(I1626="","",IFERROR(VLOOKUP(I1626,Base_Datos!$D$2:$E$72,2,0),""))</f>
        <v>(1.5L)</v>
      </c>
      <c r="K1626" s="3" t="s">
        <v>2439</v>
      </c>
      <c r="L1626" s="3"/>
      <c r="M1626" s="7">
        <v>37</v>
      </c>
      <c r="N1626" s="7">
        <v>0</v>
      </c>
    </row>
    <row r="1627" spans="1:14" ht="14.25" x14ac:dyDescent="0.2">
      <c r="A1627" s="3">
        <v>89080</v>
      </c>
      <c r="B1627" s="3" t="s">
        <v>3673</v>
      </c>
      <c r="C1627" s="3" t="s">
        <v>18</v>
      </c>
      <c r="D1627" s="6" t="s">
        <v>272</v>
      </c>
      <c r="E1627" s="6" t="s">
        <v>272</v>
      </c>
      <c r="F1627" s="3" t="str">
        <f>IFERROR( VLOOKUP(A1627,#REF!,2,0),"")</f>
        <v/>
      </c>
      <c r="G1627" s="3" t="str">
        <f t="array" ref="G1627">_xlfn.XLOOKUP(I1627,Base_Datos!D:D,Base_Datos!B:B,"")</f>
        <v>DFSK</v>
      </c>
      <c r="H1627" s="3" t="str">
        <f t="array" ref="H1627">IF(I1627="","",IFERROR(_xlfn.XLOOKUP(I1627,Base_Datos!$D$2:$D3876,Base_Datos!$C$2:$C3876),""))</f>
        <v>Serie C</v>
      </c>
      <c r="I1627" s="3" t="s">
        <v>332</v>
      </c>
      <c r="J1627" s="3" t="str">
        <f>IF(I1627="","",IFERROR(VLOOKUP(I1627,Base_Datos!$D$2:$E$72,2,0),""))</f>
        <v>(1.5L)</v>
      </c>
      <c r="K1627" s="3" t="s">
        <v>2439</v>
      </c>
      <c r="L1627" s="3"/>
      <c r="M1627" s="7">
        <v>40</v>
      </c>
      <c r="N1627" s="7">
        <v>0</v>
      </c>
    </row>
    <row r="1628" spans="1:14" ht="14.25" x14ac:dyDescent="0.2">
      <c r="A1628" s="3">
        <v>89081</v>
      </c>
      <c r="B1628" s="3" t="s">
        <v>2786</v>
      </c>
      <c r="C1628" s="3" t="s">
        <v>18</v>
      </c>
      <c r="D1628" s="6" t="s">
        <v>273</v>
      </c>
      <c r="E1628" s="6" t="s">
        <v>273</v>
      </c>
      <c r="F1628" s="3" t="str">
        <f>IFERROR( VLOOKUP(A1628,#REF!,2,0),"")</f>
        <v/>
      </c>
      <c r="G1628" s="3" t="str">
        <f t="array" ref="G1628">_xlfn.XLOOKUP(I1628,Base_Datos!D:D,Base_Datos!B:B,"")</f>
        <v>DFSK</v>
      </c>
      <c r="H1628" s="3" t="str">
        <f t="array" ref="H1628">IF(I1628="","",IFERROR(_xlfn.XLOOKUP(I1628,Base_Datos!$D$2:$D3876,Base_Datos!$C$2:$C3876),""))</f>
        <v>Serie C</v>
      </c>
      <c r="I1628" s="3" t="s">
        <v>265</v>
      </c>
      <c r="J1628" s="3" t="str">
        <f>IF(I1628="","",IFERROR(VLOOKUP(I1628,Base_Datos!$D$2:$E$72,2,0),""))</f>
        <v>(1.5L)</v>
      </c>
      <c r="K1628" s="3" t="s">
        <v>3674</v>
      </c>
      <c r="L1628" s="3"/>
      <c r="M1628" s="7">
        <v>25</v>
      </c>
      <c r="N1628" s="7">
        <v>0</v>
      </c>
    </row>
    <row r="1629" spans="1:14" ht="14.25" x14ac:dyDescent="0.2">
      <c r="A1629" s="3">
        <v>89082</v>
      </c>
      <c r="B1629" s="3" t="s">
        <v>3160</v>
      </c>
      <c r="C1629" s="3" t="s">
        <v>18</v>
      </c>
      <c r="D1629" s="6" t="s">
        <v>274</v>
      </c>
      <c r="E1629" s="6" t="s">
        <v>274</v>
      </c>
      <c r="F1629" s="3" t="str">
        <f>IFERROR( VLOOKUP(A1629,#REF!,2,0),"")</f>
        <v/>
      </c>
      <c r="G1629" s="3" t="str">
        <f t="array" ref="G1629">_xlfn.XLOOKUP(I1629,Base_Datos!D:D,Base_Datos!B:B,"")</f>
        <v>DFSK</v>
      </c>
      <c r="H1629" s="3" t="str">
        <f t="array" ref="H1629">IF(I1629="","",IFERROR(_xlfn.XLOOKUP(I1629,Base_Datos!$D$2:$D3876,Base_Datos!$C$2:$C3876),""))</f>
        <v>Serie C</v>
      </c>
      <c r="I1629" s="3" t="s">
        <v>332</v>
      </c>
      <c r="J1629" s="3" t="str">
        <f>IF(I1629="","",IFERROR(VLOOKUP(I1629,Base_Datos!$D$2:$E$72,2,0),""))</f>
        <v>(1.5L)</v>
      </c>
      <c r="K1629" s="3" t="s">
        <v>2438</v>
      </c>
      <c r="L1629" s="3"/>
      <c r="M1629" s="7">
        <v>104</v>
      </c>
      <c r="N1629" s="7">
        <v>0</v>
      </c>
    </row>
    <row r="1630" spans="1:14" ht="14.25" x14ac:dyDescent="0.2">
      <c r="A1630" s="3">
        <v>89083</v>
      </c>
      <c r="B1630" s="3" t="s">
        <v>2713</v>
      </c>
      <c r="C1630" s="3" t="s">
        <v>18</v>
      </c>
      <c r="D1630" s="6" t="s">
        <v>275</v>
      </c>
      <c r="E1630" s="6" t="s">
        <v>275</v>
      </c>
      <c r="F1630" s="3" t="str">
        <f>IFERROR( VLOOKUP(A1630,#REF!,2,0),"")</f>
        <v/>
      </c>
      <c r="G1630" s="3" t="str">
        <f t="array" ref="G1630">_xlfn.XLOOKUP(I1630,Base_Datos!D:D,Base_Datos!B:B,"")</f>
        <v>DFSK</v>
      </c>
      <c r="H1630" s="3" t="str">
        <f t="array" ref="H1630">IF(I1630="","",IFERROR(_xlfn.XLOOKUP(I1630,Base_Datos!$D$2:$D3876,Base_Datos!$C$2:$C3876),""))</f>
        <v>Serie C</v>
      </c>
      <c r="I1630" s="3" t="s">
        <v>332</v>
      </c>
      <c r="J1630" s="3" t="str">
        <f>IF(I1630="","",IFERROR(VLOOKUP(I1630,Base_Datos!$D$2:$E$72,2,0),""))</f>
        <v>(1.5L)</v>
      </c>
      <c r="K1630" s="3" t="s">
        <v>2439</v>
      </c>
      <c r="L1630" s="3"/>
      <c r="M1630" s="7">
        <v>22</v>
      </c>
      <c r="N1630" s="7">
        <v>0</v>
      </c>
    </row>
    <row r="1631" spans="1:14" ht="14.25" x14ac:dyDescent="0.2">
      <c r="A1631" s="3">
        <v>89085</v>
      </c>
      <c r="B1631" s="3" t="s">
        <v>2713</v>
      </c>
      <c r="C1631" s="3" t="s">
        <v>18</v>
      </c>
      <c r="D1631" s="6" t="s">
        <v>276</v>
      </c>
      <c r="E1631" s="6" t="s">
        <v>276</v>
      </c>
      <c r="F1631" s="3" t="str">
        <f>IFERROR( VLOOKUP(A1631,#REF!,2,0),"")</f>
        <v/>
      </c>
      <c r="G1631" s="3" t="str">
        <f t="array" ref="G1631">_xlfn.XLOOKUP(I1631,Base_Datos!D:D,Base_Datos!B:B,"")</f>
        <v>DFSK</v>
      </c>
      <c r="H1631" s="3" t="str">
        <f t="array" ref="H1631">IF(I1631="","",IFERROR(_xlfn.XLOOKUP(I1631,Base_Datos!$D$2:$D3876,Base_Datos!$C$2:$C3876),""))</f>
        <v>Serie C</v>
      </c>
      <c r="I1631" s="3" t="s">
        <v>343</v>
      </c>
      <c r="J1631" s="3" t="str">
        <f>IF(I1631="","",IFERROR(VLOOKUP(I1631,Base_Datos!$D$2:$E$72,2,0),""))</f>
        <v>(1.5L)</v>
      </c>
      <c r="K1631" s="3" t="s">
        <v>2391</v>
      </c>
      <c r="L1631" s="3"/>
      <c r="M1631" s="7">
        <v>19</v>
      </c>
      <c r="N1631" s="7">
        <v>0</v>
      </c>
    </row>
    <row r="1632" spans="1:14" ht="14.25" x14ac:dyDescent="0.2">
      <c r="A1632" s="3">
        <v>89086</v>
      </c>
      <c r="B1632" s="3" t="s">
        <v>3675</v>
      </c>
      <c r="C1632" s="3" t="s">
        <v>18</v>
      </c>
      <c r="D1632" s="6" t="s">
        <v>277</v>
      </c>
      <c r="E1632" s="6" t="s">
        <v>3676</v>
      </c>
      <c r="F1632" s="3" t="str">
        <f>IFERROR( VLOOKUP(A1632,#REF!,2,0),"")</f>
        <v/>
      </c>
      <c r="G1632" s="3" t="str">
        <f t="array" ref="G1632">_xlfn.XLOOKUP(I1632,Base_Datos!D:D,Base_Datos!B:B,"")</f>
        <v>DFSK</v>
      </c>
      <c r="H1632" s="3" t="str">
        <f t="array" ref="H1632">IF(I1632="","",IFERROR(_xlfn.XLOOKUP(I1632,Base_Datos!$D$2:$D3876,Base_Datos!$C$2:$C3876),""))</f>
        <v>Serie C</v>
      </c>
      <c r="I1632" s="3" t="s">
        <v>343</v>
      </c>
      <c r="J1632" s="3" t="str">
        <f>IF(I1632="","",IFERROR(VLOOKUP(I1632,Base_Datos!$D$2:$E$72,2,0),""))</f>
        <v>(1.5L)</v>
      </c>
      <c r="K1632" s="3" t="s">
        <v>2395</v>
      </c>
      <c r="L1632" s="3"/>
      <c r="M1632" s="7">
        <v>53</v>
      </c>
      <c r="N1632" s="7">
        <v>0</v>
      </c>
    </row>
    <row r="1633" spans="1:14" ht="14.25" x14ac:dyDescent="0.2">
      <c r="A1633" s="3">
        <v>89087</v>
      </c>
      <c r="B1633" s="3" t="s">
        <v>3677</v>
      </c>
      <c r="C1633" s="3" t="s">
        <v>18</v>
      </c>
      <c r="D1633" s="6" t="s">
        <v>278</v>
      </c>
      <c r="E1633" s="6" t="s">
        <v>278</v>
      </c>
      <c r="F1633" s="3" t="str">
        <f>IFERROR( VLOOKUP(A1633,#REF!,2,0),"")</f>
        <v/>
      </c>
      <c r="G1633" s="3" t="str">
        <f t="array" ref="G1633">_xlfn.XLOOKUP(I1633,Base_Datos!D:D,Base_Datos!B:B,"")</f>
        <v>DFSK</v>
      </c>
      <c r="H1633" s="3" t="str">
        <f t="array" ref="H1633">IF(I1633="","",IFERROR(_xlfn.XLOOKUP(I1633,Base_Datos!$D$2:$D3876,Base_Datos!$C$2:$C3876),""))</f>
        <v>Serie C</v>
      </c>
      <c r="I1633" s="3" t="s">
        <v>343</v>
      </c>
      <c r="J1633" s="3" t="str">
        <f>IF(I1633="","",IFERROR(VLOOKUP(I1633,Base_Datos!$D$2:$E$72,2,0),""))</f>
        <v>(1.5L)</v>
      </c>
      <c r="K1633" s="3" t="s">
        <v>2395</v>
      </c>
      <c r="L1633" s="3"/>
      <c r="M1633" s="7">
        <v>53</v>
      </c>
      <c r="N1633" s="7">
        <v>0</v>
      </c>
    </row>
    <row r="1634" spans="1:14" ht="14.25" x14ac:dyDescent="0.2">
      <c r="A1634" s="3">
        <v>89088</v>
      </c>
      <c r="B1634" s="3" t="s">
        <v>3678</v>
      </c>
      <c r="C1634" s="3" t="s">
        <v>18</v>
      </c>
      <c r="D1634" s="6" t="s">
        <v>279</v>
      </c>
      <c r="E1634" s="6" t="s">
        <v>3679</v>
      </c>
      <c r="F1634" s="3" t="str">
        <f>IFERROR( VLOOKUP(A1634,#REF!,2,0),"")</f>
        <v/>
      </c>
      <c r="G1634" s="3" t="str">
        <f t="array" ref="G1634">_xlfn.XLOOKUP(I1634,Base_Datos!D:D,Base_Datos!B:B,"")</f>
        <v>DFSK</v>
      </c>
      <c r="H1634" s="3" t="str">
        <f t="array" ref="H1634">IF(I1634="","",IFERROR(_xlfn.XLOOKUP(I1634,Base_Datos!$D$2:$D3876,Base_Datos!$C$2:$C3876),""))</f>
        <v>Serie C</v>
      </c>
      <c r="I1634" s="3" t="s">
        <v>265</v>
      </c>
      <c r="J1634" s="3" t="str">
        <f>IF(I1634="","",IFERROR(VLOOKUP(I1634,Base_Datos!$D$2:$E$72,2,0),""))</f>
        <v>(1.5L)</v>
      </c>
      <c r="K1634" s="3" t="s">
        <v>1782</v>
      </c>
      <c r="L1634" s="3"/>
      <c r="M1634" s="7">
        <v>20</v>
      </c>
      <c r="N1634" s="7">
        <v>0</v>
      </c>
    </row>
    <row r="1635" spans="1:14" ht="14.25" x14ac:dyDescent="0.2">
      <c r="A1635" s="3">
        <v>89089</v>
      </c>
      <c r="B1635" s="3" t="s">
        <v>3680</v>
      </c>
      <c r="C1635" s="3" t="s">
        <v>18</v>
      </c>
      <c r="D1635" s="6" t="s">
        <v>280</v>
      </c>
      <c r="E1635" s="6" t="s">
        <v>280</v>
      </c>
      <c r="F1635" s="3" t="str">
        <f>IFERROR( VLOOKUP(A1635,#REF!,2,0),"")</f>
        <v/>
      </c>
      <c r="G1635" s="3" t="str">
        <f t="array" ref="G1635">_xlfn.XLOOKUP(I1635,Base_Datos!D:D,Base_Datos!B:B,"")</f>
        <v>DFSK</v>
      </c>
      <c r="H1635" s="3" t="str">
        <f t="array" ref="H1635">IF(I1635="","",IFERROR(_xlfn.XLOOKUP(I1635,Base_Datos!$D$2:$D3876,Base_Datos!$C$2:$C3876),""))</f>
        <v>Serie C</v>
      </c>
      <c r="I1635" s="3" t="s">
        <v>332</v>
      </c>
      <c r="J1635" s="3" t="str">
        <f>IF(I1635="","",IFERROR(VLOOKUP(I1635,Base_Datos!$D$2:$E$72,2,0),""))</f>
        <v>(1.5L)</v>
      </c>
      <c r="K1635" s="3" t="s">
        <v>2439</v>
      </c>
      <c r="L1635" s="3"/>
      <c r="M1635" s="7">
        <v>25</v>
      </c>
      <c r="N1635" s="7">
        <v>0</v>
      </c>
    </row>
    <row r="1636" spans="1:14" ht="14.25" x14ac:dyDescent="0.2">
      <c r="A1636" s="3">
        <v>89090</v>
      </c>
      <c r="B1636" s="3" t="s">
        <v>2805</v>
      </c>
      <c r="C1636" s="3" t="s">
        <v>18</v>
      </c>
      <c r="D1636" s="6" t="s">
        <v>281</v>
      </c>
      <c r="E1636" s="6" t="s">
        <v>281</v>
      </c>
      <c r="F1636" s="3" t="str">
        <f>IFERROR( VLOOKUP(A1636,#REF!,2,0),"")</f>
        <v/>
      </c>
      <c r="G1636" s="3" t="str">
        <f t="array" ref="G1636">_xlfn.XLOOKUP(I1636,Base_Datos!D:D,Base_Datos!B:B,"")</f>
        <v>DFSK</v>
      </c>
      <c r="H1636" s="3" t="str">
        <f t="array" ref="H1636">IF(I1636="","",IFERROR(_xlfn.XLOOKUP(I1636,Base_Datos!$D$2:$D3876,Base_Datos!$C$2:$C3876),""))</f>
        <v>Serie C</v>
      </c>
      <c r="I1636" s="3" t="s">
        <v>339</v>
      </c>
      <c r="J1636" s="3" t="str">
        <f>IF(I1636="","",IFERROR(VLOOKUP(I1636,Base_Datos!$D$2:$E$72,2,0),""))</f>
        <v>(1.5L)</v>
      </c>
      <c r="K1636" s="3" t="s">
        <v>3681</v>
      </c>
      <c r="L1636" s="3"/>
      <c r="M1636" s="7">
        <v>6</v>
      </c>
      <c r="N1636" s="7">
        <v>0</v>
      </c>
    </row>
    <row r="1637" spans="1:14" ht="14.25" x14ac:dyDescent="0.2">
      <c r="A1637" s="3">
        <v>89091</v>
      </c>
      <c r="B1637" s="3" t="s">
        <v>3682</v>
      </c>
      <c r="C1637" s="3" t="s">
        <v>18</v>
      </c>
      <c r="D1637" s="6" t="s">
        <v>282</v>
      </c>
      <c r="E1637" s="6" t="s">
        <v>282</v>
      </c>
      <c r="F1637" s="3" t="str">
        <f>IFERROR( VLOOKUP(A1637,#REF!,2,0),"")</f>
        <v/>
      </c>
      <c r="G1637" s="3" t="str">
        <f t="array" ref="G1637">_xlfn.XLOOKUP(I1637,Base_Datos!D:D,Base_Datos!B:B,"")</f>
        <v>DFSK</v>
      </c>
      <c r="H1637" s="3" t="str">
        <f t="array" ref="H1637">IF(I1637="","",IFERROR(_xlfn.XLOOKUP(I1637,Base_Datos!$D$2:$D3876,Base_Datos!$C$2:$C3876),""))</f>
        <v>Serie Glory</v>
      </c>
      <c r="I1637" s="3" t="s">
        <v>404</v>
      </c>
      <c r="J1637" s="3" t="str">
        <f>IF(I1637="","",IFERROR(VLOOKUP(I1637,Base_Datos!$D$2:$E$72,2,0),""))</f>
        <v>(1.5L)</v>
      </c>
      <c r="K1637" s="3" t="s">
        <v>1782</v>
      </c>
      <c r="L1637" s="3"/>
      <c r="M1637" s="7">
        <v>8</v>
      </c>
      <c r="N1637" s="7">
        <v>0</v>
      </c>
    </row>
    <row r="1638" spans="1:14" ht="14.25" x14ac:dyDescent="0.2">
      <c r="A1638" s="3">
        <v>89092</v>
      </c>
      <c r="B1638" s="3" t="s">
        <v>3683</v>
      </c>
      <c r="C1638" s="3" t="s">
        <v>18</v>
      </c>
      <c r="D1638" s="6" t="s">
        <v>283</v>
      </c>
      <c r="E1638" s="6" t="s">
        <v>283</v>
      </c>
      <c r="F1638" s="3" t="str">
        <f>IFERROR( VLOOKUP(A1638,#REF!,2,0),"")</f>
        <v/>
      </c>
      <c r="G1638" s="3" t="str">
        <f t="array" ref="G1638">_xlfn.XLOOKUP(I1638,Base_Datos!D:D,Base_Datos!B:B,"")</f>
        <v>DFSK</v>
      </c>
      <c r="H1638" s="3" t="str">
        <f t="array" ref="H1638">IF(I1638="","",IFERROR(_xlfn.XLOOKUP(I1638,Base_Datos!$D$2:$D3876,Base_Datos!$C$2:$C3876),""))</f>
        <v>Serie C</v>
      </c>
      <c r="I1638" s="3" t="s">
        <v>332</v>
      </c>
      <c r="J1638" s="3" t="str">
        <f>IF(I1638="","",IFERROR(VLOOKUP(I1638,Base_Datos!$D$2:$E$72,2,0),""))</f>
        <v>(1.5L)</v>
      </c>
      <c r="K1638" s="3" t="s">
        <v>3684</v>
      </c>
      <c r="L1638" s="3"/>
      <c r="M1638" s="7">
        <v>19</v>
      </c>
      <c r="N1638" s="7">
        <v>0</v>
      </c>
    </row>
    <row r="1639" spans="1:14" ht="14.25" x14ac:dyDescent="0.2">
      <c r="A1639" s="3">
        <v>89093</v>
      </c>
      <c r="B1639" s="3" t="s">
        <v>3685</v>
      </c>
      <c r="C1639" s="3" t="s">
        <v>18</v>
      </c>
      <c r="D1639" s="6" t="s">
        <v>284</v>
      </c>
      <c r="E1639" s="6" t="s">
        <v>3686</v>
      </c>
      <c r="F1639" s="3" t="str">
        <f>IFERROR( VLOOKUP(A1639,#REF!,2,0),"")</f>
        <v/>
      </c>
      <c r="G1639" s="3" t="str">
        <f t="array" ref="G1639">_xlfn.XLOOKUP(I1639,Base_Datos!D:D,Base_Datos!B:B,"")</f>
        <v>DFSK</v>
      </c>
      <c r="H1639" s="3" t="str">
        <f t="array" ref="H1639">IF(I1639="","",IFERROR(_xlfn.XLOOKUP(I1639,Base_Datos!$D$2:$D3876,Base_Datos!$C$2:$C3876),""))</f>
        <v>Serie C</v>
      </c>
      <c r="I1639" s="3" t="s">
        <v>332</v>
      </c>
      <c r="J1639" s="3" t="str">
        <f>IF(I1639="","",IFERROR(VLOOKUP(I1639,Base_Datos!$D$2:$E$72,2,0),""))</f>
        <v>(1.5L)</v>
      </c>
      <c r="K1639" s="3" t="s">
        <v>3687</v>
      </c>
      <c r="L1639" s="3"/>
      <c r="M1639" s="7">
        <v>20</v>
      </c>
      <c r="N1639" s="7">
        <v>0</v>
      </c>
    </row>
    <row r="1640" spans="1:14" ht="14.25" x14ac:dyDescent="0.2">
      <c r="A1640" s="3">
        <v>89094</v>
      </c>
      <c r="B1640" s="3" t="s">
        <v>3688</v>
      </c>
      <c r="C1640" s="3" t="s">
        <v>18</v>
      </c>
      <c r="D1640" s="6" t="s">
        <v>285</v>
      </c>
      <c r="E1640" s="6" t="s">
        <v>285</v>
      </c>
      <c r="F1640" s="3" t="str">
        <f>IFERROR( VLOOKUP(A1640,#REF!,2,0),"")</f>
        <v/>
      </c>
      <c r="G1640" s="3" t="str">
        <f t="array" ref="G1640">_xlfn.XLOOKUP(I1640,Base_Datos!D:D,Base_Datos!B:B,"")</f>
        <v>DFSK</v>
      </c>
      <c r="H1640" s="3" t="str">
        <f t="array" ref="H1640">IF(I1640="","",IFERROR(_xlfn.XLOOKUP(I1640,Base_Datos!$D$2:$D3876,Base_Datos!$C$2:$C3876),""))</f>
        <v>Serie C</v>
      </c>
      <c r="I1640" s="3" t="s">
        <v>332</v>
      </c>
      <c r="J1640" s="3" t="str">
        <f>IF(I1640="","",IFERROR(VLOOKUP(I1640,Base_Datos!$D$2:$E$72,2,0),""))</f>
        <v>(1.5L)</v>
      </c>
      <c r="K1640" s="3" t="s">
        <v>3689</v>
      </c>
      <c r="L1640" s="3"/>
      <c r="M1640" s="7">
        <v>23</v>
      </c>
      <c r="N1640" s="7">
        <v>0</v>
      </c>
    </row>
    <row r="1641" spans="1:14" ht="14.25" x14ac:dyDescent="0.2">
      <c r="A1641" s="3">
        <v>89095</v>
      </c>
      <c r="B1641" s="3" t="s">
        <v>3690</v>
      </c>
      <c r="C1641" s="3" t="s">
        <v>18</v>
      </c>
      <c r="D1641" s="6" t="s">
        <v>286</v>
      </c>
      <c r="E1641" s="6" t="s">
        <v>3691</v>
      </c>
      <c r="F1641" s="3" t="str">
        <f>IFERROR( VLOOKUP(A1641,#REF!,2,0),"")</f>
        <v/>
      </c>
      <c r="G1641" s="3" t="str">
        <f t="array" ref="G1641">_xlfn.XLOOKUP(I1641,Base_Datos!D:D,Base_Datos!B:B,"")</f>
        <v>DFSK</v>
      </c>
      <c r="H1641" s="3" t="str">
        <f t="array" ref="H1641">IF(I1641="","",IFERROR(_xlfn.XLOOKUP(I1641,Base_Datos!$D$2:$D3876,Base_Datos!$C$2:$C3876),""))</f>
        <v>Serie C</v>
      </c>
      <c r="I1641" s="3" t="s">
        <v>332</v>
      </c>
      <c r="J1641" s="3" t="str">
        <f>IF(I1641="","",IFERROR(VLOOKUP(I1641,Base_Datos!$D$2:$E$72,2,0),""))</f>
        <v>(1.5L)</v>
      </c>
      <c r="K1641" s="3" t="s">
        <v>3692</v>
      </c>
      <c r="L1641" s="3"/>
      <c r="M1641" s="7">
        <v>23</v>
      </c>
      <c r="N1641" s="7">
        <v>0</v>
      </c>
    </row>
    <row r="1642" spans="1:14" ht="14.25" x14ac:dyDescent="0.2">
      <c r="A1642" s="3">
        <v>89097</v>
      </c>
      <c r="B1642" s="3" t="s">
        <v>1965</v>
      </c>
      <c r="C1642" s="3" t="s">
        <v>18</v>
      </c>
      <c r="D1642" s="6" t="s">
        <v>287</v>
      </c>
      <c r="E1642" s="6" t="s">
        <v>287</v>
      </c>
      <c r="F1642" s="3" t="str">
        <f>IFERROR( VLOOKUP(A1642,#REF!,2,0),"")</f>
        <v/>
      </c>
      <c r="G1642" s="3" t="str">
        <f t="array" ref="G1642">_xlfn.XLOOKUP(I1642,Base_Datos!D:D,Base_Datos!B:B,"")</f>
        <v>DFSK</v>
      </c>
      <c r="H1642" s="3" t="str">
        <f t="array" ref="H1642">IF(I1642="","",IFERROR(_xlfn.XLOOKUP(I1642,Base_Datos!$D$2:$D3876,Base_Datos!$C$2:$C3876),""))</f>
        <v>Serie C</v>
      </c>
      <c r="I1642" s="3" t="s">
        <v>332</v>
      </c>
      <c r="J1642" s="3" t="str">
        <f>IF(I1642="","",IFERROR(VLOOKUP(I1642,Base_Datos!$D$2:$E$72,2,0),""))</f>
        <v>(1.5L)</v>
      </c>
      <c r="K1642" s="3" t="s">
        <v>3693</v>
      </c>
      <c r="L1642" s="3"/>
      <c r="M1642" s="7">
        <v>106</v>
      </c>
      <c r="N1642" s="7">
        <v>0</v>
      </c>
    </row>
    <row r="1643" spans="1:14" ht="14.25" x14ac:dyDescent="0.2">
      <c r="A1643" s="3">
        <v>89098</v>
      </c>
      <c r="B1643" s="3" t="s">
        <v>3694</v>
      </c>
      <c r="C1643" s="3" t="s">
        <v>18</v>
      </c>
      <c r="D1643" s="6" t="s">
        <v>288</v>
      </c>
      <c r="E1643" s="6" t="s">
        <v>703</v>
      </c>
      <c r="F1643" s="3" t="str">
        <f>IFERROR( VLOOKUP(A1643,#REF!,2,0),"")</f>
        <v/>
      </c>
      <c r="G1643" s="3" t="str">
        <f t="array" ref="G1643">_xlfn.XLOOKUP(I1643,Base_Datos!D:D,Base_Datos!B:B,"")</f>
        <v>DFSK</v>
      </c>
      <c r="H1643" s="3" t="str">
        <f t="array" ref="H1643">IF(I1643="","",IFERROR(_xlfn.XLOOKUP(I1643,Base_Datos!$D$2:$D3876,Base_Datos!$C$2:$C3876),""))</f>
        <v>Serie Glory</v>
      </c>
      <c r="I1643" s="3" t="s">
        <v>1765</v>
      </c>
      <c r="J1643" s="3" t="str">
        <f>IF(I1643="","",IFERROR(VLOOKUP(I1643,Base_Datos!$D$2:$E$72,2,0),""))</f>
        <v>(1.5L)</v>
      </c>
      <c r="K1643" s="3" t="s">
        <v>3695</v>
      </c>
      <c r="L1643" s="3"/>
      <c r="M1643" s="7">
        <v>984</v>
      </c>
      <c r="N1643" s="7">
        <v>0</v>
      </c>
    </row>
    <row r="1644" spans="1:14" ht="14.25" x14ac:dyDescent="0.2">
      <c r="A1644" s="3">
        <v>89100</v>
      </c>
      <c r="B1644" s="3" t="s">
        <v>3521</v>
      </c>
      <c r="C1644" s="3" t="s">
        <v>18</v>
      </c>
      <c r="D1644" s="6" t="s">
        <v>289</v>
      </c>
      <c r="E1644" s="6" t="s">
        <v>289</v>
      </c>
      <c r="F1644" s="3" t="str">
        <f>IFERROR( VLOOKUP(A1644,#REF!,2,0),"")</f>
        <v/>
      </c>
      <c r="G1644" s="3" t="str">
        <f t="array" ref="G1644">_xlfn.XLOOKUP(I1644,Base_Datos!D:D,Base_Datos!B:B,"")</f>
        <v>DFSK</v>
      </c>
      <c r="H1644" s="3" t="str">
        <f t="array" ref="H1644">IF(I1644="","",IFERROR(_xlfn.XLOOKUP(I1644,Base_Datos!$D$2:$D3876,Base_Datos!$C$2:$C3876),""))</f>
        <v>Serie C</v>
      </c>
      <c r="I1644" s="3" t="s">
        <v>332</v>
      </c>
      <c r="J1644" s="3" t="str">
        <f>IF(I1644="","",IFERROR(VLOOKUP(I1644,Base_Datos!$D$2:$E$72,2,0),""))</f>
        <v>(1.5L)</v>
      </c>
      <c r="K1644" s="3" t="s">
        <v>3693</v>
      </c>
      <c r="L1644" s="3"/>
      <c r="M1644" s="7">
        <v>20</v>
      </c>
      <c r="N1644" s="7">
        <v>0</v>
      </c>
    </row>
    <row r="1645" spans="1:14" ht="14.25" x14ac:dyDescent="0.2">
      <c r="A1645" s="3">
        <v>89102</v>
      </c>
      <c r="B1645" s="3" t="s">
        <v>3696</v>
      </c>
      <c r="C1645" s="3" t="s">
        <v>18</v>
      </c>
      <c r="D1645" s="6" t="s">
        <v>290</v>
      </c>
      <c r="E1645" s="6" t="s">
        <v>3697</v>
      </c>
      <c r="F1645" s="3" t="str">
        <f>IFERROR( VLOOKUP(A1645,#REF!,2,0),"")</f>
        <v/>
      </c>
      <c r="G1645" s="3" t="str">
        <f t="array" ref="G1645">_xlfn.XLOOKUP(I1645,Base_Datos!D:D,Base_Datos!B:B,"")</f>
        <v>DFSK</v>
      </c>
      <c r="H1645" s="3" t="str">
        <f t="array" ref="H1645">IF(I1645="","",IFERROR(_xlfn.XLOOKUP(I1645,Base_Datos!$D$2:$D3876,Base_Datos!$C$2:$C3876),""))</f>
        <v>Serie C</v>
      </c>
      <c r="I1645" s="3" t="s">
        <v>265</v>
      </c>
      <c r="J1645" s="3" t="str">
        <f>IF(I1645="","",IFERROR(VLOOKUP(I1645,Base_Datos!$D$2:$E$72,2,0),""))</f>
        <v>(1.5L)</v>
      </c>
      <c r="K1645" s="3" t="s">
        <v>3698</v>
      </c>
      <c r="L1645" s="3"/>
      <c r="M1645" s="7">
        <v>300</v>
      </c>
      <c r="N1645" s="7">
        <v>0</v>
      </c>
    </row>
    <row r="1646" spans="1:14" ht="14.25" x14ac:dyDescent="0.2">
      <c r="A1646" s="3">
        <v>89103</v>
      </c>
      <c r="B1646" s="3" t="s">
        <v>3699</v>
      </c>
      <c r="C1646" s="3" t="s">
        <v>18</v>
      </c>
      <c r="D1646" s="6" t="s">
        <v>291</v>
      </c>
      <c r="E1646" s="6" t="s">
        <v>291</v>
      </c>
      <c r="F1646" s="3" t="str">
        <f>IFERROR( VLOOKUP(A1646,#REF!,2,0),"")</f>
        <v/>
      </c>
      <c r="G1646" s="3" t="str">
        <f t="array" ref="G1646">_xlfn.XLOOKUP(I1646,Base_Datos!D:D,Base_Datos!B:B,"")</f>
        <v>DFSK</v>
      </c>
      <c r="H1646" s="3" t="str">
        <f t="array" ref="H1646">IF(I1646="","",IFERROR(_xlfn.XLOOKUP(I1646,Base_Datos!$D$2:$D3876,Base_Datos!$C$2:$C3876),""))</f>
        <v>Serie K</v>
      </c>
      <c r="I1646" s="3" t="s">
        <v>475</v>
      </c>
      <c r="J1646" s="3" t="str">
        <f>IF(I1646="","",IFERROR(VLOOKUP(I1646,Base_Datos!$D$2:$E$72,2,0),""))</f>
        <v>(1.1L)</v>
      </c>
      <c r="K1646" s="3" t="s">
        <v>3700</v>
      </c>
      <c r="L1646" s="3"/>
      <c r="M1646" s="7">
        <v>4</v>
      </c>
      <c r="N1646" s="7">
        <v>0</v>
      </c>
    </row>
    <row r="1647" spans="1:14" ht="14.25" x14ac:dyDescent="0.2">
      <c r="A1647" s="3">
        <v>89104</v>
      </c>
      <c r="B1647" s="3" t="s">
        <v>3701</v>
      </c>
      <c r="C1647" s="3" t="s">
        <v>18</v>
      </c>
      <c r="D1647" s="6" t="s">
        <v>292</v>
      </c>
      <c r="E1647" s="6" t="s">
        <v>440</v>
      </c>
      <c r="F1647" s="3" t="str">
        <f>IFERROR( VLOOKUP(A1647,#REF!,2,0),"")</f>
        <v/>
      </c>
      <c r="G1647" s="3" t="str">
        <f t="array" ref="G1647">_xlfn.XLOOKUP(I1647,Base_Datos!D:D,Base_Datos!B:B,"")</f>
        <v>DFSK</v>
      </c>
      <c r="H1647" s="3" t="str">
        <f t="array" ref="H1647">IF(I1647="","",IFERROR(_xlfn.XLOOKUP(I1647,Base_Datos!$D$2:$D3876,Base_Datos!$C$2:$C3876),""))</f>
        <v>Serie C</v>
      </c>
      <c r="I1647" s="3" t="s">
        <v>343</v>
      </c>
      <c r="J1647" s="3" t="str">
        <f>IF(I1647="","",IFERROR(VLOOKUP(I1647,Base_Datos!$D$2:$E$72,2,0),""))</f>
        <v>(1.5L)</v>
      </c>
      <c r="K1647" s="3" t="s">
        <v>2391</v>
      </c>
      <c r="L1647" s="3"/>
      <c r="M1647" s="7">
        <v>104</v>
      </c>
      <c r="N1647" s="7">
        <v>0</v>
      </c>
    </row>
    <row r="1648" spans="1:14" ht="14.25" x14ac:dyDescent="0.2">
      <c r="A1648" s="3">
        <v>89106</v>
      </c>
      <c r="B1648" s="3" t="s">
        <v>3702</v>
      </c>
      <c r="C1648" s="3" t="s">
        <v>18</v>
      </c>
      <c r="D1648" s="6" t="s">
        <v>294</v>
      </c>
      <c r="E1648" s="6" t="s">
        <v>3703</v>
      </c>
      <c r="F1648" s="3" t="str">
        <f>IFERROR( VLOOKUP(A1648,#REF!,2,0),"")</f>
        <v/>
      </c>
      <c r="G1648" s="3" t="str">
        <f t="array" ref="G1648">_xlfn.XLOOKUP(I1648,Base_Datos!D:D,Base_Datos!B:B,"")</f>
        <v>DFSK</v>
      </c>
      <c r="H1648" s="3" t="str">
        <f t="array" ref="H1648">IF(I1648="","",IFERROR(_xlfn.XLOOKUP(I1648,Base_Datos!$D$2:$D3876,Base_Datos!$C$2:$C3876),""))</f>
        <v>Serie C</v>
      </c>
      <c r="I1648" s="3" t="s">
        <v>339</v>
      </c>
      <c r="J1648" s="3" t="str">
        <f>IF(I1648="","",IFERROR(VLOOKUP(I1648,Base_Datos!$D$2:$E$72,2,0),""))</f>
        <v>(1.5L)</v>
      </c>
      <c r="K1648" s="3" t="s">
        <v>3704</v>
      </c>
      <c r="L1648" s="3"/>
      <c r="M1648" s="7">
        <v>14</v>
      </c>
      <c r="N1648" s="7">
        <v>0</v>
      </c>
    </row>
    <row r="1649" spans="1:14" ht="14.25" x14ac:dyDescent="0.2">
      <c r="A1649" s="3">
        <v>89108</v>
      </c>
      <c r="B1649" s="3" t="s">
        <v>3705</v>
      </c>
      <c r="C1649" s="3" t="s">
        <v>18</v>
      </c>
      <c r="D1649" s="6" t="s">
        <v>296</v>
      </c>
      <c r="E1649" s="6" t="s">
        <v>3706</v>
      </c>
      <c r="F1649" s="3" t="str">
        <f>IFERROR( VLOOKUP(A1649,#REF!,2,0),"")</f>
        <v/>
      </c>
      <c r="G1649" s="3" t="str">
        <f t="array" ref="G1649">_xlfn.XLOOKUP(I1649,Base_Datos!D:D,Base_Datos!B:B,"")</f>
        <v>DFSK</v>
      </c>
      <c r="H1649" s="3" t="str">
        <f t="array" ref="H1649">IF(I1649="","",IFERROR(_xlfn.XLOOKUP(I1649,Base_Datos!$D$2:$D3876,Base_Datos!$C$2:$C3876),""))</f>
        <v>Serie C</v>
      </c>
      <c r="I1649" s="3" t="s">
        <v>339</v>
      </c>
      <c r="J1649" s="3" t="str">
        <f>IF(I1649="","",IFERROR(VLOOKUP(I1649,Base_Datos!$D$2:$E$72,2,0),""))</f>
        <v>(1.5L)</v>
      </c>
      <c r="K1649" s="3" t="s">
        <v>3704</v>
      </c>
      <c r="L1649" s="3"/>
      <c r="M1649" s="7">
        <v>14</v>
      </c>
      <c r="N1649" s="7">
        <v>0</v>
      </c>
    </row>
    <row r="1650" spans="1:14" ht="14.25" x14ac:dyDescent="0.2">
      <c r="A1650" s="3">
        <v>89110</v>
      </c>
      <c r="B1650" s="3" t="s">
        <v>3707</v>
      </c>
      <c r="C1650" s="3" t="s">
        <v>18</v>
      </c>
      <c r="D1650" s="6" t="s">
        <v>298</v>
      </c>
      <c r="E1650" s="6" t="s">
        <v>3708</v>
      </c>
      <c r="F1650" s="3" t="str">
        <f>IFERROR( VLOOKUP(A1650,#REF!,2,0),"")</f>
        <v/>
      </c>
      <c r="G1650" s="3" t="str">
        <f t="array" ref="G1650">_xlfn.XLOOKUP(I1650,Base_Datos!D:D,Base_Datos!B:B,"")</f>
        <v>DFSK</v>
      </c>
      <c r="H1650" s="3" t="str">
        <f t="array" ref="H1650">IF(I1650="","",IFERROR(_xlfn.XLOOKUP(I1650,Base_Datos!$D$2:$D3876,Base_Datos!$C$2:$C3876),""))</f>
        <v>Serie Glory</v>
      </c>
      <c r="I1650" s="3" t="s">
        <v>1765</v>
      </c>
      <c r="J1650" s="3" t="str">
        <f>IF(I1650="","",IFERROR(VLOOKUP(I1650,Base_Datos!$D$2:$E$72,2,0),""))</f>
        <v>(1.5L)</v>
      </c>
      <c r="K1650" s="3" t="s">
        <v>2881</v>
      </c>
      <c r="L1650" s="3"/>
      <c r="M1650" s="7">
        <v>35</v>
      </c>
      <c r="N1650" s="7">
        <v>0</v>
      </c>
    </row>
    <row r="1651" spans="1:14" ht="14.25" x14ac:dyDescent="0.2">
      <c r="A1651" s="3">
        <v>89111</v>
      </c>
      <c r="B1651" s="3" t="s">
        <v>3066</v>
      </c>
      <c r="C1651" s="3" t="s">
        <v>18</v>
      </c>
      <c r="D1651" s="6" t="s">
        <v>299</v>
      </c>
      <c r="E1651" s="6" t="s">
        <v>3709</v>
      </c>
      <c r="F1651" s="3" t="str">
        <f>IFERROR( VLOOKUP(A1651,#REF!,2,0),"")</f>
        <v/>
      </c>
      <c r="G1651" s="3" t="str">
        <f t="array" ref="G1651">_xlfn.XLOOKUP(I1651,Base_Datos!D:D,Base_Datos!B:B,"")</f>
        <v>DFSK</v>
      </c>
      <c r="H1651" s="3" t="str">
        <f t="array" ref="H1651">IF(I1651="","",IFERROR(_xlfn.XLOOKUP(I1651,Base_Datos!$D$2:$D3876,Base_Datos!$C$2:$C3876),""))</f>
        <v>Serie C</v>
      </c>
      <c r="I1651" s="3" t="s">
        <v>332</v>
      </c>
      <c r="J1651" s="3" t="str">
        <f>IF(I1651="","",IFERROR(VLOOKUP(I1651,Base_Datos!$D$2:$E$72,2,0),""))</f>
        <v>(1.5L)</v>
      </c>
      <c r="K1651" s="3" t="s">
        <v>2439</v>
      </c>
      <c r="L1651" s="3"/>
      <c r="M1651" s="7">
        <v>50</v>
      </c>
      <c r="N1651" s="7">
        <v>0</v>
      </c>
    </row>
    <row r="1652" spans="1:14" ht="14.25" x14ac:dyDescent="0.2">
      <c r="A1652" s="3">
        <v>89112</v>
      </c>
      <c r="B1652" s="3" t="s">
        <v>2059</v>
      </c>
      <c r="C1652" s="3" t="s">
        <v>18</v>
      </c>
      <c r="D1652" s="6" t="s">
        <v>300</v>
      </c>
      <c r="E1652" s="6" t="s">
        <v>3710</v>
      </c>
      <c r="F1652" s="3" t="str">
        <f>IFERROR( VLOOKUP(A1652,#REF!,2,0),"")</f>
        <v/>
      </c>
      <c r="G1652" s="3" t="str">
        <f t="array" ref="G1652">_xlfn.XLOOKUP(I1652,Base_Datos!D:D,Base_Datos!B:B,"")</f>
        <v>DFSK</v>
      </c>
      <c r="H1652" s="3" t="str">
        <f t="array" ref="H1652">IF(I1652="","",IFERROR(_xlfn.XLOOKUP(I1652,Base_Datos!$D$2:$D3876,Base_Datos!$C$2:$C3876),""))</f>
        <v>Serie C</v>
      </c>
      <c r="I1652" s="3" t="s">
        <v>343</v>
      </c>
      <c r="J1652" s="3" t="str">
        <f>IF(I1652="","",IFERROR(VLOOKUP(I1652,Base_Datos!$D$2:$E$72,2,0),""))</f>
        <v>(1.5L)</v>
      </c>
      <c r="K1652" s="3" t="s">
        <v>2391</v>
      </c>
      <c r="L1652" s="3"/>
      <c r="M1652" s="7">
        <v>42</v>
      </c>
      <c r="N1652" s="7">
        <v>0</v>
      </c>
    </row>
    <row r="1653" spans="1:14" ht="14.25" x14ac:dyDescent="0.2">
      <c r="A1653" s="3">
        <v>89113</v>
      </c>
      <c r="B1653" s="3" t="s">
        <v>2061</v>
      </c>
      <c r="C1653" s="3" t="s">
        <v>18</v>
      </c>
      <c r="D1653" s="6" t="s">
        <v>301</v>
      </c>
      <c r="E1653" s="6" t="s">
        <v>301</v>
      </c>
      <c r="F1653" s="3" t="str">
        <f>IFERROR( VLOOKUP(A1653,#REF!,2,0),"")</f>
        <v/>
      </c>
      <c r="G1653" s="3" t="str">
        <f t="array" ref="G1653">_xlfn.XLOOKUP(I1653,Base_Datos!D:D,Base_Datos!B:B,"")</f>
        <v>DFSK</v>
      </c>
      <c r="H1653" s="3" t="str">
        <f t="array" ref="H1653">IF(I1653="","",IFERROR(_xlfn.XLOOKUP(I1653,Base_Datos!$D$2:$D3876,Base_Datos!$C$2:$C3876),""))</f>
        <v>Serie C</v>
      </c>
      <c r="I1653" s="3" t="s">
        <v>332</v>
      </c>
      <c r="J1653" s="3" t="str">
        <f>IF(I1653="","",IFERROR(VLOOKUP(I1653,Base_Datos!$D$2:$E$72,2,0),""))</f>
        <v>(1.5L)</v>
      </c>
      <c r="K1653" s="3" t="s">
        <v>2439</v>
      </c>
      <c r="L1653" s="3"/>
      <c r="M1653" s="7">
        <v>49</v>
      </c>
      <c r="N1653" s="7">
        <v>0</v>
      </c>
    </row>
    <row r="1654" spans="1:14" ht="14.25" x14ac:dyDescent="0.2">
      <c r="A1654" s="3">
        <v>89114</v>
      </c>
      <c r="B1654" s="3" t="s">
        <v>2061</v>
      </c>
      <c r="C1654" s="3" t="s">
        <v>18</v>
      </c>
      <c r="D1654" s="6" t="s">
        <v>302</v>
      </c>
      <c r="E1654" s="6" t="s">
        <v>302</v>
      </c>
      <c r="F1654" s="3" t="str">
        <f>IFERROR( VLOOKUP(A1654,#REF!,2,0),"")</f>
        <v/>
      </c>
      <c r="G1654" s="3" t="str">
        <f t="array" ref="G1654">_xlfn.XLOOKUP(I1654,Base_Datos!D:D,Base_Datos!B:B,"")</f>
        <v>DFSK</v>
      </c>
      <c r="H1654" s="3" t="str">
        <f t="array" ref="H1654">IF(I1654="","",IFERROR(_xlfn.XLOOKUP(I1654,Base_Datos!$D$2:$D3876,Base_Datos!$C$2:$C3876),""))</f>
        <v>Serie C</v>
      </c>
      <c r="I1654" s="3" t="s">
        <v>343</v>
      </c>
      <c r="J1654" s="3" t="str">
        <f>IF(I1654="","",IFERROR(VLOOKUP(I1654,Base_Datos!$D$2:$E$72,2,0),""))</f>
        <v>(1.5L)</v>
      </c>
      <c r="K1654" s="3" t="s">
        <v>2391</v>
      </c>
      <c r="L1654" s="3"/>
      <c r="M1654" s="7">
        <v>42</v>
      </c>
      <c r="N1654" s="7">
        <v>0</v>
      </c>
    </row>
    <row r="1655" spans="1:14" ht="14.25" x14ac:dyDescent="0.2">
      <c r="A1655" s="3">
        <v>89115</v>
      </c>
      <c r="B1655" s="3" t="s">
        <v>3711</v>
      </c>
      <c r="C1655" s="3" t="s">
        <v>18</v>
      </c>
      <c r="D1655" s="6" t="s">
        <v>303</v>
      </c>
      <c r="E1655" s="6" t="s">
        <v>303</v>
      </c>
      <c r="F1655" s="3" t="str">
        <f>IFERROR( VLOOKUP(A1655,#REF!,2,0),"")</f>
        <v/>
      </c>
      <c r="G1655" s="3" t="str">
        <f t="array" ref="G1655">_xlfn.XLOOKUP(I1655,Base_Datos!D:D,Base_Datos!B:B,"")</f>
        <v>DFSK</v>
      </c>
      <c r="H1655" s="3" t="str">
        <f t="array" ref="H1655">IF(I1655="","",IFERROR(_xlfn.XLOOKUP(I1655,Base_Datos!$D$2:$D3876,Base_Datos!$C$2:$C3876),""))</f>
        <v>Serie C</v>
      </c>
      <c r="I1655" s="3" t="s">
        <v>343</v>
      </c>
      <c r="J1655" s="3" t="str">
        <f>IF(I1655="","",IFERROR(VLOOKUP(I1655,Base_Datos!$D$2:$E$72,2,0),""))</f>
        <v>(1.5L)</v>
      </c>
      <c r="K1655" s="3" t="s">
        <v>2391</v>
      </c>
      <c r="L1655" s="3"/>
      <c r="M1655" s="7">
        <v>44</v>
      </c>
      <c r="N1655" s="7">
        <v>0</v>
      </c>
    </row>
    <row r="1656" spans="1:14" ht="14.25" x14ac:dyDescent="0.2">
      <c r="A1656" s="3">
        <v>89117</v>
      </c>
      <c r="B1656" s="3" t="s">
        <v>3712</v>
      </c>
      <c r="C1656" s="3" t="s">
        <v>18</v>
      </c>
      <c r="D1656" s="6" t="s">
        <v>304</v>
      </c>
      <c r="E1656" s="6" t="s">
        <v>304</v>
      </c>
      <c r="F1656" s="3" t="str">
        <f>IFERROR( VLOOKUP(A1656,#REF!,2,0),"")</f>
        <v/>
      </c>
      <c r="G1656" s="3" t="str">
        <f t="array" ref="G1656">_xlfn.XLOOKUP(I1656,Base_Datos!D:D,Base_Datos!B:B,"")</f>
        <v>DFSK</v>
      </c>
      <c r="H1656" s="3" t="str">
        <f t="array" ref="H1656">IF(I1656="","",IFERROR(_xlfn.XLOOKUP(I1656,Base_Datos!$D$2:$D3876,Base_Datos!$C$2:$C3876),""))</f>
        <v>Serie C</v>
      </c>
      <c r="I1656" s="3" t="s">
        <v>343</v>
      </c>
      <c r="J1656" s="3" t="str">
        <f>IF(I1656="","",IFERROR(VLOOKUP(I1656,Base_Datos!$D$2:$E$72,2,0),""))</f>
        <v>(1.5L)</v>
      </c>
      <c r="K1656" s="3" t="s">
        <v>2391</v>
      </c>
      <c r="L1656" s="3"/>
      <c r="M1656" s="7">
        <v>44</v>
      </c>
      <c r="N1656" s="7">
        <v>0</v>
      </c>
    </row>
    <row r="1657" spans="1:14" ht="14.25" x14ac:dyDescent="0.2">
      <c r="A1657" s="3">
        <v>89120</v>
      </c>
      <c r="B1657" s="3" t="s">
        <v>3713</v>
      </c>
      <c r="C1657" s="3" t="s">
        <v>18</v>
      </c>
      <c r="D1657" s="6" t="s">
        <v>307</v>
      </c>
      <c r="E1657" s="6" t="s">
        <v>832</v>
      </c>
      <c r="F1657" s="3" t="str">
        <f>IFERROR( VLOOKUP(A1657,#REF!,2,0),"")</f>
        <v/>
      </c>
      <c r="G1657" s="3" t="str">
        <f t="array" ref="G1657">_xlfn.XLOOKUP(I1657,Base_Datos!D:D,Base_Datos!B:B,"")</f>
        <v>DFSK</v>
      </c>
      <c r="H1657" s="3" t="str">
        <f t="array" ref="H1657">IF(I1657="","",IFERROR(_xlfn.XLOOKUP(I1657,Base_Datos!$D$2:$D3876,Base_Datos!$C$2:$C3876),""))</f>
        <v>Serie K</v>
      </c>
      <c r="I1657" s="3" t="s">
        <v>475</v>
      </c>
      <c r="J1657" s="3" t="str">
        <f>IF(I1657="","",IFERROR(VLOOKUP(I1657,Base_Datos!$D$2:$E$72,2,0),""))</f>
        <v>(1.1L)</v>
      </c>
      <c r="K1657" s="3" t="s">
        <v>3714</v>
      </c>
      <c r="L1657" s="3"/>
      <c r="M1657" s="7">
        <v>55</v>
      </c>
      <c r="N1657" s="7">
        <v>0</v>
      </c>
    </row>
    <row r="1658" spans="1:14" ht="14.25" x14ac:dyDescent="0.2">
      <c r="A1658" s="3">
        <v>89122</v>
      </c>
      <c r="B1658" s="3" t="s">
        <v>3715</v>
      </c>
      <c r="C1658" s="3" t="s">
        <v>18</v>
      </c>
      <c r="D1658" s="6" t="s">
        <v>308</v>
      </c>
      <c r="E1658" s="6" t="s">
        <v>308</v>
      </c>
      <c r="F1658" s="3" t="str">
        <f>IFERROR( VLOOKUP(A1658,#REF!,2,0),"")</f>
        <v/>
      </c>
      <c r="G1658" s="3" t="str">
        <f t="array" ref="G1658">_xlfn.XLOOKUP(I1658,Base_Datos!D:D,Base_Datos!B:B,"")</f>
        <v>DFSK</v>
      </c>
      <c r="H1658" s="3" t="str">
        <f t="array" ref="H1658">IF(I1658="","",IFERROR(_xlfn.XLOOKUP(I1658,Base_Datos!$D$2:$D3876,Base_Datos!$C$2:$C3876),""))</f>
        <v>Serie C</v>
      </c>
      <c r="I1658" s="3" t="s">
        <v>332</v>
      </c>
      <c r="J1658" s="3" t="str">
        <f>IF(I1658="","",IFERROR(VLOOKUP(I1658,Base_Datos!$D$2:$E$72,2,0),""))</f>
        <v>(1.5L)</v>
      </c>
      <c r="K1658" s="3" t="s">
        <v>2439</v>
      </c>
      <c r="L1658" s="3"/>
      <c r="M1658" s="7">
        <v>43</v>
      </c>
      <c r="N1658" s="7">
        <v>0</v>
      </c>
    </row>
    <row r="1659" spans="1:14" ht="14.25" x14ac:dyDescent="0.2">
      <c r="A1659" s="3">
        <v>89123</v>
      </c>
      <c r="B1659" s="3" t="s">
        <v>3716</v>
      </c>
      <c r="C1659" s="3" t="s">
        <v>18</v>
      </c>
      <c r="D1659" s="6" t="s">
        <v>309</v>
      </c>
      <c r="E1659" s="6" t="s">
        <v>309</v>
      </c>
      <c r="F1659" s="3" t="str">
        <f>IFERROR( VLOOKUP(A1659,#REF!,2,0),"")</f>
        <v/>
      </c>
      <c r="G1659" s="3" t="str">
        <f t="array" ref="G1659">_xlfn.XLOOKUP(I1659,Base_Datos!D:D,Base_Datos!B:B,"")</f>
        <v>DFSK</v>
      </c>
      <c r="H1659" s="3" t="str">
        <f t="array" ref="H1659">IF(I1659="","",IFERROR(_xlfn.XLOOKUP(I1659,Base_Datos!$D$2:$D3876,Base_Datos!$C$2:$C3876),""))</f>
        <v>Serie C</v>
      </c>
      <c r="I1659" s="3" t="s">
        <v>265</v>
      </c>
      <c r="J1659" s="3" t="str">
        <f>IF(I1659="","",IFERROR(VLOOKUP(I1659,Base_Datos!$D$2:$E$72,2,0),""))</f>
        <v>(1.5L)</v>
      </c>
      <c r="K1659" s="3" t="s">
        <v>2435</v>
      </c>
      <c r="L1659" s="3"/>
      <c r="M1659" s="7">
        <v>21</v>
      </c>
      <c r="N1659" s="7">
        <v>0</v>
      </c>
    </row>
    <row r="1660" spans="1:14" ht="14.25" x14ac:dyDescent="0.2">
      <c r="A1660" s="3">
        <v>89124</v>
      </c>
      <c r="B1660" s="3" t="s">
        <v>3717</v>
      </c>
      <c r="C1660" s="3" t="s">
        <v>18</v>
      </c>
      <c r="D1660" s="6" t="s">
        <v>310</v>
      </c>
      <c r="E1660" s="6" t="s">
        <v>310</v>
      </c>
      <c r="F1660" s="3" t="str">
        <f>IFERROR( VLOOKUP(A1660,#REF!,2,0),"")</f>
        <v/>
      </c>
      <c r="G1660" s="3" t="str">
        <f t="array" ref="G1660">_xlfn.XLOOKUP(I1660,Base_Datos!D:D,Base_Datos!B:B,"")</f>
        <v>DFSK</v>
      </c>
      <c r="H1660" s="3" t="str">
        <f t="array" ref="H1660">IF(I1660="","",IFERROR(_xlfn.XLOOKUP(I1660,Base_Datos!$D$2:$D3876,Base_Datos!$C$2:$C3876),""))</f>
        <v>Serie C</v>
      </c>
      <c r="I1660" s="3" t="s">
        <v>332</v>
      </c>
      <c r="J1660" s="3" t="str">
        <f>IF(I1660="","",IFERROR(VLOOKUP(I1660,Base_Datos!$D$2:$E$72,2,0),""))</f>
        <v>(1.5L)</v>
      </c>
      <c r="K1660" s="3" t="s">
        <v>2439</v>
      </c>
      <c r="L1660" s="3"/>
      <c r="M1660" s="7">
        <v>43</v>
      </c>
      <c r="N1660" s="7">
        <v>0</v>
      </c>
    </row>
    <row r="1661" spans="1:14" ht="14.25" x14ac:dyDescent="0.2">
      <c r="A1661" s="3">
        <v>89125</v>
      </c>
      <c r="B1661" s="3" t="s">
        <v>3718</v>
      </c>
      <c r="C1661" s="3" t="s">
        <v>18</v>
      </c>
      <c r="D1661" s="6" t="s">
        <v>311</v>
      </c>
      <c r="E1661" s="6" t="s">
        <v>3719</v>
      </c>
      <c r="F1661" s="3" t="str">
        <f>IFERROR( VLOOKUP(A1661,#REF!,2,0),"")</f>
        <v/>
      </c>
      <c r="G1661" s="3" t="str">
        <f t="array" ref="G1661">_xlfn.XLOOKUP(I1661,Base_Datos!D:D,Base_Datos!B:B,"")</f>
        <v>DFSK</v>
      </c>
      <c r="H1661" s="3" t="str">
        <f t="array" ref="H1661">IF(I1661="","",IFERROR(_xlfn.XLOOKUP(I1661,Base_Datos!$D$2:$D3876,Base_Datos!$C$2:$C3876),""))</f>
        <v>Serie C</v>
      </c>
      <c r="I1661" s="3" t="s">
        <v>265</v>
      </c>
      <c r="J1661" s="3" t="str">
        <f>IF(I1661="","",IFERROR(VLOOKUP(I1661,Base_Datos!$D$2:$E$72,2,0),""))</f>
        <v>(1.5L)</v>
      </c>
      <c r="K1661" s="3" t="s">
        <v>2435</v>
      </c>
      <c r="L1661" s="3"/>
      <c r="M1661" s="7">
        <v>22</v>
      </c>
      <c r="N1661" s="7">
        <v>0</v>
      </c>
    </row>
    <row r="1662" spans="1:14" ht="14.25" x14ac:dyDescent="0.2">
      <c r="A1662" s="3">
        <v>89126</v>
      </c>
      <c r="B1662" s="3" t="s">
        <v>3720</v>
      </c>
      <c r="C1662" s="3" t="s">
        <v>18</v>
      </c>
      <c r="D1662" s="6" t="s">
        <v>312</v>
      </c>
      <c r="E1662" s="6" t="s">
        <v>3721</v>
      </c>
      <c r="F1662" s="3" t="str">
        <f>IFERROR( VLOOKUP(A1662,#REF!,2,0),"")</f>
        <v/>
      </c>
      <c r="G1662" s="3" t="str">
        <f t="array" ref="G1662">_xlfn.XLOOKUP(I1662,Base_Datos!D:D,Base_Datos!B:B,"")</f>
        <v>DFSK</v>
      </c>
      <c r="H1662" s="3" t="str">
        <f t="array" ref="H1662">IF(I1662="","",IFERROR(_xlfn.XLOOKUP(I1662,Base_Datos!$D$2:$D3876,Base_Datos!$C$2:$C3876),""))</f>
        <v>Serie C</v>
      </c>
      <c r="I1662" s="3" t="s">
        <v>339</v>
      </c>
      <c r="J1662" s="3" t="str">
        <f>IF(I1662="","",IFERROR(VLOOKUP(I1662,Base_Datos!$D$2:$E$72,2,0),""))</f>
        <v>(1.5L)</v>
      </c>
      <c r="K1662" s="3" t="s">
        <v>3704</v>
      </c>
      <c r="L1662" s="3"/>
      <c r="M1662" s="7">
        <v>60</v>
      </c>
      <c r="N1662" s="7">
        <v>0</v>
      </c>
    </row>
    <row r="1663" spans="1:14" ht="14.25" x14ac:dyDescent="0.2">
      <c r="A1663" s="3">
        <v>89127</v>
      </c>
      <c r="B1663" s="3" t="s">
        <v>2074</v>
      </c>
      <c r="C1663" s="3" t="s">
        <v>18</v>
      </c>
      <c r="D1663" s="6" t="s">
        <v>313</v>
      </c>
      <c r="E1663" s="6" t="s">
        <v>3722</v>
      </c>
      <c r="F1663" s="3" t="str">
        <f>IFERROR( VLOOKUP(A1663,#REF!,2,0),"")</f>
        <v/>
      </c>
      <c r="G1663" s="3" t="str">
        <f t="array" ref="G1663">_xlfn.XLOOKUP(I1663,Base_Datos!D:D,Base_Datos!B:B,"")</f>
        <v>DFSK</v>
      </c>
      <c r="H1663" s="3" t="str">
        <f t="array" ref="H1663">IF(I1663="","",IFERROR(_xlfn.XLOOKUP(I1663,Base_Datos!$D$2:$D3876,Base_Datos!$C$2:$C3876),""))</f>
        <v>Serie C</v>
      </c>
      <c r="I1663" s="3" t="s">
        <v>265</v>
      </c>
      <c r="J1663" s="3" t="str">
        <f>IF(I1663="","",IFERROR(VLOOKUP(I1663,Base_Datos!$D$2:$E$72,2,0),""))</f>
        <v>(1.5L)</v>
      </c>
      <c r="K1663" s="3" t="s">
        <v>2435</v>
      </c>
      <c r="L1663" s="3"/>
      <c r="M1663" s="7">
        <v>3</v>
      </c>
      <c r="N1663" s="7">
        <v>0</v>
      </c>
    </row>
    <row r="1664" spans="1:14" ht="14.25" x14ac:dyDescent="0.2">
      <c r="A1664" s="3">
        <v>89128</v>
      </c>
      <c r="B1664" s="3" t="s">
        <v>3723</v>
      </c>
      <c r="C1664" s="3" t="s">
        <v>18</v>
      </c>
      <c r="D1664" s="6" t="s">
        <v>314</v>
      </c>
      <c r="E1664" s="6" t="s">
        <v>3724</v>
      </c>
      <c r="F1664" s="3" t="str">
        <f>IFERROR( VLOOKUP(A1664,#REF!,2,0),"")</f>
        <v/>
      </c>
      <c r="G1664" s="3" t="str">
        <f t="array" ref="G1664">_xlfn.XLOOKUP(I1664,Base_Datos!D:D,Base_Datos!B:B,"")</f>
        <v>DFSK</v>
      </c>
      <c r="H1664" s="3" t="str">
        <f t="array" ref="H1664">IF(I1664="","",IFERROR(_xlfn.XLOOKUP(I1664,Base_Datos!$D$2:$D3876,Base_Datos!$C$2:$C3876),""))</f>
        <v>Serie C</v>
      </c>
      <c r="I1664" s="3" t="s">
        <v>332</v>
      </c>
      <c r="J1664" s="3" t="str">
        <f>IF(I1664="","",IFERROR(VLOOKUP(I1664,Base_Datos!$D$2:$E$72,2,0),""))</f>
        <v>(1.5L)</v>
      </c>
      <c r="K1664" s="3" t="s">
        <v>2439</v>
      </c>
      <c r="L1664" s="3"/>
      <c r="M1664" s="7">
        <v>20</v>
      </c>
      <c r="N1664" s="7">
        <v>0</v>
      </c>
    </row>
    <row r="1665" spans="1:14" ht="14.25" x14ac:dyDescent="0.2">
      <c r="A1665" s="3">
        <v>89129</v>
      </c>
      <c r="B1665" s="3" t="s">
        <v>3725</v>
      </c>
      <c r="C1665" s="3" t="s">
        <v>18</v>
      </c>
      <c r="D1665" s="6" t="s">
        <v>315</v>
      </c>
      <c r="E1665" s="6" t="s">
        <v>3726</v>
      </c>
      <c r="F1665" s="3" t="str">
        <f>IFERROR( VLOOKUP(A1665,#REF!,2,0),"")</f>
        <v/>
      </c>
      <c r="G1665" s="3" t="str">
        <f t="array" ref="G1665">_xlfn.XLOOKUP(I1665,Base_Datos!D:D,Base_Datos!B:B,"")</f>
        <v>DFSK</v>
      </c>
      <c r="H1665" s="3" t="str">
        <f t="array" ref="H1665">IF(I1665="","",IFERROR(_xlfn.XLOOKUP(I1665,Base_Datos!$D$2:$D3876,Base_Datos!$C$2:$C3876),""))</f>
        <v>Serie C</v>
      </c>
      <c r="I1665" s="3" t="s">
        <v>343</v>
      </c>
      <c r="J1665" s="3" t="str">
        <f>IF(I1665="","",IFERROR(VLOOKUP(I1665,Base_Datos!$D$2:$E$72,2,0),""))</f>
        <v>(1.5L)</v>
      </c>
      <c r="K1665" s="3" t="s">
        <v>2391</v>
      </c>
      <c r="L1665" s="3"/>
      <c r="M1665" s="7">
        <v>20</v>
      </c>
      <c r="N1665" s="7">
        <v>0</v>
      </c>
    </row>
    <row r="1666" spans="1:14" ht="14.25" x14ac:dyDescent="0.2">
      <c r="A1666" s="3">
        <v>89131</v>
      </c>
      <c r="B1666" s="3" t="s">
        <v>3727</v>
      </c>
      <c r="C1666" s="3" t="s">
        <v>18</v>
      </c>
      <c r="D1666" s="6" t="s">
        <v>317</v>
      </c>
      <c r="E1666" s="6" t="s">
        <v>317</v>
      </c>
      <c r="F1666" s="3" t="str">
        <f>IFERROR( VLOOKUP(A1666,#REF!,2,0),"")</f>
        <v/>
      </c>
      <c r="G1666" s="3" t="str">
        <f t="array" ref="G1666">_xlfn.XLOOKUP(I1666,Base_Datos!D:D,Base_Datos!B:B,"")</f>
        <v>DFSK</v>
      </c>
      <c r="H1666" s="3" t="str">
        <f t="array" ref="H1666">IF(I1666="","",IFERROR(_xlfn.XLOOKUP(I1666,Base_Datos!$D$2:$D3876,Base_Datos!$C$2:$C3876),""))</f>
        <v>Serie C</v>
      </c>
      <c r="I1666" s="3" t="s">
        <v>332</v>
      </c>
      <c r="J1666" s="3" t="str">
        <f>IF(I1666="","",IFERROR(VLOOKUP(I1666,Base_Datos!$D$2:$E$72,2,0),""))</f>
        <v>(1.5L)</v>
      </c>
      <c r="K1666" s="3" t="s">
        <v>2439</v>
      </c>
      <c r="L1666" s="3"/>
      <c r="M1666" s="7">
        <v>25</v>
      </c>
      <c r="N1666" s="7">
        <v>0</v>
      </c>
    </row>
    <row r="1667" spans="1:14" ht="14.25" x14ac:dyDescent="0.2">
      <c r="A1667" s="3">
        <v>89133</v>
      </c>
      <c r="B1667" s="3" t="s">
        <v>3728</v>
      </c>
      <c r="C1667" s="3" t="s">
        <v>18</v>
      </c>
      <c r="D1667" s="6" t="s">
        <v>319</v>
      </c>
      <c r="E1667" s="6" t="s">
        <v>319</v>
      </c>
      <c r="F1667" s="3" t="str">
        <f>IFERROR( VLOOKUP(A1667,#REF!,2,0),"")</f>
        <v/>
      </c>
      <c r="G1667" s="3" t="str">
        <f t="array" ref="G1667">_xlfn.XLOOKUP(I1667,Base_Datos!D:D,Base_Datos!B:B,"")</f>
        <v>DFSK</v>
      </c>
      <c r="H1667" s="3" t="str">
        <f t="array" ref="H1667">IF(I1667="","",IFERROR(_xlfn.XLOOKUP(I1667,Base_Datos!$D$2:$D3876,Base_Datos!$C$2:$C3876),""))</f>
        <v>Serie C</v>
      </c>
      <c r="I1667" s="3" t="s">
        <v>332</v>
      </c>
      <c r="J1667" s="3" t="str">
        <f>IF(I1667="","",IFERROR(VLOOKUP(I1667,Base_Datos!$D$2:$E$72,2,0),""))</f>
        <v>(1.5L)</v>
      </c>
      <c r="K1667" s="3" t="s">
        <v>2439</v>
      </c>
      <c r="L1667" s="3"/>
      <c r="M1667" s="7">
        <v>21</v>
      </c>
      <c r="N1667" s="7">
        <v>0</v>
      </c>
    </row>
    <row r="1668" spans="1:14" ht="14.25" x14ac:dyDescent="0.2">
      <c r="A1668" s="3">
        <v>89134</v>
      </c>
      <c r="B1668" s="3" t="s">
        <v>3729</v>
      </c>
      <c r="C1668" s="3" t="s">
        <v>18</v>
      </c>
      <c r="D1668" s="6" t="s">
        <v>320</v>
      </c>
      <c r="E1668" s="6" t="s">
        <v>3730</v>
      </c>
      <c r="F1668" s="3" t="str">
        <f>IFERROR( VLOOKUP(A1668,#REF!,2,0),"")</f>
        <v/>
      </c>
      <c r="G1668" s="3" t="str">
        <f t="array" ref="G1668">_xlfn.XLOOKUP(I1668,Base_Datos!D:D,Base_Datos!B:B,"")</f>
        <v>DFSK</v>
      </c>
      <c r="H1668" s="3" t="str">
        <f t="array" ref="H1668">IF(I1668="","",IFERROR(_xlfn.XLOOKUP(I1668,Base_Datos!$D$2:$D3876,Base_Datos!$C$2:$C3876),""))</f>
        <v>Serie C</v>
      </c>
      <c r="I1668" s="3" t="s">
        <v>332</v>
      </c>
      <c r="J1668" s="3" t="str">
        <f>IF(I1668="","",IFERROR(VLOOKUP(I1668,Base_Datos!$D$2:$E$72,2,0),""))</f>
        <v>(1.5L)</v>
      </c>
      <c r="K1668" s="3" t="s">
        <v>2439</v>
      </c>
      <c r="L1668" s="3"/>
      <c r="M1668" s="7">
        <v>20</v>
      </c>
      <c r="N1668" s="7">
        <v>0</v>
      </c>
    </row>
    <row r="1669" spans="1:14" ht="14.25" x14ac:dyDescent="0.2">
      <c r="A1669" s="3">
        <v>89136</v>
      </c>
      <c r="B1669" s="3" t="s">
        <v>2601</v>
      </c>
      <c r="C1669" s="3" t="s">
        <v>18</v>
      </c>
      <c r="D1669" s="6" t="s">
        <v>321</v>
      </c>
      <c r="E1669" s="6" t="s">
        <v>321</v>
      </c>
      <c r="F1669" s="3" t="str">
        <f>IFERROR( VLOOKUP(A1669,#REF!,2,0),"")</f>
        <v/>
      </c>
      <c r="G1669" s="3" t="str">
        <f t="array" ref="G1669">_xlfn.XLOOKUP(I1669,Base_Datos!D:D,Base_Datos!B:B,"")</f>
        <v>DFSK</v>
      </c>
      <c r="H1669" s="3" t="str">
        <f t="array" ref="H1669">IF(I1669="","",IFERROR(_xlfn.XLOOKUP(I1669,Base_Datos!$D$2:$D3876,Base_Datos!$C$2:$C3876),""))</f>
        <v>Serie C</v>
      </c>
      <c r="I1669" s="3" t="s">
        <v>332</v>
      </c>
      <c r="J1669" s="3" t="str">
        <f>IF(I1669="","",IFERROR(VLOOKUP(I1669,Base_Datos!$D$2:$E$72,2,0),""))</f>
        <v>(1.5L)</v>
      </c>
      <c r="K1669" s="3" t="s">
        <v>2439</v>
      </c>
      <c r="L1669" s="3"/>
      <c r="M1669" s="7">
        <v>51</v>
      </c>
      <c r="N1669" s="7">
        <v>0</v>
      </c>
    </row>
    <row r="1670" spans="1:14" ht="14.25" x14ac:dyDescent="0.2">
      <c r="A1670" s="3">
        <v>89137</v>
      </c>
      <c r="B1670" s="3" t="s">
        <v>2601</v>
      </c>
      <c r="C1670" s="3" t="s">
        <v>18</v>
      </c>
      <c r="D1670" s="6" t="s">
        <v>322</v>
      </c>
      <c r="E1670" s="6" t="s">
        <v>322</v>
      </c>
      <c r="F1670" s="3" t="str">
        <f>IFERROR( VLOOKUP(A1670,#REF!,2,0),"")</f>
        <v/>
      </c>
      <c r="G1670" s="3" t="str">
        <f t="array" ref="G1670">_xlfn.XLOOKUP(I1670,Base_Datos!D:D,Base_Datos!B:B,"")</f>
        <v>DFSK</v>
      </c>
      <c r="H1670" s="3" t="str">
        <f t="array" ref="H1670">IF(I1670="","",IFERROR(_xlfn.XLOOKUP(I1670,Base_Datos!$D$2:$D3876,Base_Datos!$C$2:$C3876),""))</f>
        <v>Serie C</v>
      </c>
      <c r="I1670" s="3" t="s">
        <v>343</v>
      </c>
      <c r="J1670" s="3" t="str">
        <f>IF(I1670="","",IFERROR(VLOOKUP(I1670,Base_Datos!$D$2:$E$72,2,0),""))</f>
        <v>(1.5L)</v>
      </c>
      <c r="K1670" s="3" t="s">
        <v>2391</v>
      </c>
      <c r="L1670" s="3"/>
      <c r="M1670" s="7">
        <v>35</v>
      </c>
      <c r="N1670" s="7">
        <v>0</v>
      </c>
    </row>
    <row r="1671" spans="1:14" ht="14.25" x14ac:dyDescent="0.2">
      <c r="A1671" s="3">
        <v>89141</v>
      </c>
      <c r="B1671" s="3" t="s">
        <v>3731</v>
      </c>
      <c r="C1671" s="3" t="s">
        <v>18</v>
      </c>
      <c r="D1671" s="6" t="s">
        <v>325</v>
      </c>
      <c r="E1671" s="6" t="s">
        <v>325</v>
      </c>
      <c r="F1671" s="3" t="str">
        <f>IFERROR( VLOOKUP(A1671,#REF!,2,0),"")</f>
        <v/>
      </c>
      <c r="G1671" s="3" t="str">
        <f t="array" ref="G1671">_xlfn.XLOOKUP(I1671,Base_Datos!D:D,Base_Datos!B:B,"")</f>
        <v>DFSK</v>
      </c>
      <c r="H1671" s="3" t="str">
        <f t="array" ref="H1671">IF(I1671="","",IFERROR(_xlfn.XLOOKUP(I1671,Base_Datos!$D$2:$D3876,Base_Datos!$C$2:$C3876),""))</f>
        <v>Serie C</v>
      </c>
      <c r="I1671" s="3" t="s">
        <v>343</v>
      </c>
      <c r="J1671" s="3" t="str">
        <f>IF(I1671="","",IFERROR(VLOOKUP(I1671,Base_Datos!$D$2:$E$72,2,0),""))</f>
        <v>(1.5L)</v>
      </c>
      <c r="K1671" s="3" t="s">
        <v>2391</v>
      </c>
      <c r="L1671" s="3"/>
      <c r="M1671" s="7">
        <v>10</v>
      </c>
      <c r="N1671" s="7">
        <v>0</v>
      </c>
    </row>
    <row r="1672" spans="1:14" ht="14.25" x14ac:dyDescent="0.2">
      <c r="A1672" s="3">
        <v>89144</v>
      </c>
      <c r="B1672" s="3" t="s">
        <v>3732</v>
      </c>
      <c r="C1672" s="3" t="s">
        <v>18</v>
      </c>
      <c r="D1672" s="6" t="s">
        <v>328</v>
      </c>
      <c r="E1672" s="6" t="s">
        <v>328</v>
      </c>
      <c r="F1672" s="3" t="str">
        <f>IFERROR( VLOOKUP(A1672,#REF!,2,0),"")</f>
        <v/>
      </c>
      <c r="G1672" s="3" t="str">
        <f t="array" ref="G1672">_xlfn.XLOOKUP(I1672,Base_Datos!D:D,Base_Datos!B:B,"")</f>
        <v>DFSK</v>
      </c>
      <c r="H1672" s="3" t="str">
        <f t="array" ref="H1672">IF(I1672="","",IFERROR(_xlfn.XLOOKUP(I1672,Base_Datos!$D$2:$D3876,Base_Datos!$C$2:$C3876),""))</f>
        <v>Serie C</v>
      </c>
      <c r="I1672" s="3" t="s">
        <v>343</v>
      </c>
      <c r="J1672" s="3" t="str">
        <f>IF(I1672="","",IFERROR(VLOOKUP(I1672,Base_Datos!$D$2:$E$72,2,0),""))</f>
        <v>(1.5L)</v>
      </c>
      <c r="K1672" s="3" t="s">
        <v>2391</v>
      </c>
      <c r="L1672" s="3"/>
      <c r="M1672" s="7">
        <v>11</v>
      </c>
      <c r="N1672" s="7">
        <v>0</v>
      </c>
    </row>
    <row r="1673" spans="1:14" ht="14.25" x14ac:dyDescent="0.2">
      <c r="A1673" s="3">
        <v>89150</v>
      </c>
      <c r="B1673" s="3" t="s">
        <v>3363</v>
      </c>
      <c r="C1673" s="3" t="s">
        <v>18</v>
      </c>
      <c r="D1673" s="6" t="s">
        <v>333</v>
      </c>
      <c r="E1673" s="6" t="s">
        <v>333</v>
      </c>
      <c r="F1673" s="3" t="str">
        <f>IFERROR( VLOOKUP(A1673,#REF!,2,0),"")</f>
        <v/>
      </c>
      <c r="G1673" s="3" t="str">
        <f t="array" ref="G1673">_xlfn.XLOOKUP(I1673,Base_Datos!D:D,Base_Datos!B:B,"")</f>
        <v>DFSK</v>
      </c>
      <c r="H1673" s="3" t="str">
        <f t="array" ref="H1673">IF(I1673="","",IFERROR(_xlfn.XLOOKUP(I1673,Base_Datos!$D$2:$D3876,Base_Datos!$C$2:$C3876),""))</f>
        <v>Serie C</v>
      </c>
      <c r="I1673" s="3" t="s">
        <v>332</v>
      </c>
      <c r="J1673" s="3" t="str">
        <f>IF(I1673="","",IFERROR(VLOOKUP(I1673,Base_Datos!$D$2:$E$72,2,0),""))</f>
        <v>(1.5L)</v>
      </c>
      <c r="K1673" s="3" t="s">
        <v>2439</v>
      </c>
      <c r="L1673" s="3"/>
      <c r="M1673" s="7">
        <v>30</v>
      </c>
      <c r="N1673" s="7">
        <v>0</v>
      </c>
    </row>
    <row r="1674" spans="1:14" ht="14.25" x14ac:dyDescent="0.2">
      <c r="A1674" s="3">
        <v>89151</v>
      </c>
      <c r="B1674" s="3" t="s">
        <v>3361</v>
      </c>
      <c r="C1674" s="3" t="s">
        <v>18</v>
      </c>
      <c r="D1674" s="6" t="s">
        <v>334</v>
      </c>
      <c r="E1674" s="6" t="s">
        <v>3733</v>
      </c>
      <c r="F1674" s="3" t="str">
        <f>IFERROR( VLOOKUP(A1674,#REF!,2,0),"")</f>
        <v/>
      </c>
      <c r="G1674" s="3" t="str">
        <f t="array" ref="G1674">_xlfn.XLOOKUP(I1674,Base_Datos!D:D,Base_Datos!B:B,"")</f>
        <v>DFSK</v>
      </c>
      <c r="H1674" s="3" t="str">
        <f t="array" ref="H1674">IF(I1674="","",IFERROR(_xlfn.XLOOKUP(I1674,Base_Datos!$D$2:$D3876,Base_Datos!$C$2:$C3876),""))</f>
        <v>Serie C</v>
      </c>
      <c r="I1674" s="3" t="s">
        <v>265</v>
      </c>
      <c r="J1674" s="3" t="str">
        <f>IF(I1674="","",IFERROR(VLOOKUP(I1674,Base_Datos!$D$2:$E$72,2,0),""))</f>
        <v>(1.5L)</v>
      </c>
      <c r="K1674" s="3" t="s">
        <v>2435</v>
      </c>
      <c r="L1674" s="3"/>
      <c r="M1674" s="7">
        <v>30</v>
      </c>
      <c r="N1674" s="7">
        <v>0</v>
      </c>
    </row>
    <row r="1675" spans="1:14" ht="14.25" x14ac:dyDescent="0.2">
      <c r="A1675" s="3">
        <v>89155</v>
      </c>
      <c r="B1675" s="3" t="s">
        <v>3734</v>
      </c>
      <c r="C1675" s="3" t="s">
        <v>18</v>
      </c>
      <c r="D1675" s="6" t="s">
        <v>335</v>
      </c>
      <c r="E1675" s="6" t="s">
        <v>402</v>
      </c>
      <c r="F1675" s="3" t="str">
        <f>IFERROR( VLOOKUP(A1675,#REF!,2,0),"")</f>
        <v/>
      </c>
      <c r="G1675" s="3" t="str">
        <f t="array" ref="G1675">_xlfn.XLOOKUP(I1675,Base_Datos!D:D,Base_Datos!B:B,"")</f>
        <v>DFSK</v>
      </c>
      <c r="H1675" s="3" t="str">
        <f t="array" ref="H1675">IF(I1675="","",IFERROR(_xlfn.XLOOKUP(I1675,Base_Datos!$D$2:$D3876,Base_Datos!$C$2:$C3876),""))</f>
        <v>Serie C</v>
      </c>
      <c r="I1675" s="3" t="s">
        <v>265</v>
      </c>
      <c r="J1675" s="3" t="str">
        <f>IF(I1675="","",IFERROR(VLOOKUP(I1675,Base_Datos!$D$2:$E$72,2,0),""))</f>
        <v>(1.5L)</v>
      </c>
      <c r="K1675" s="3" t="s">
        <v>2435</v>
      </c>
      <c r="L1675" s="3"/>
      <c r="M1675" s="7">
        <v>20</v>
      </c>
      <c r="N1675" s="7">
        <v>0</v>
      </c>
    </row>
    <row r="1676" spans="1:14" ht="14.25" x14ac:dyDescent="0.2">
      <c r="A1676" s="3">
        <v>89156</v>
      </c>
      <c r="B1676" s="3" t="s">
        <v>3735</v>
      </c>
      <c r="C1676" s="3" t="s">
        <v>18</v>
      </c>
      <c r="D1676" s="6" t="s">
        <v>336</v>
      </c>
      <c r="E1676" s="6" t="s">
        <v>403</v>
      </c>
      <c r="F1676" s="3" t="str">
        <f>IFERROR( VLOOKUP(A1676,#REF!,2,0),"")</f>
        <v/>
      </c>
      <c r="G1676" s="3" t="str">
        <f t="array" ref="G1676">_xlfn.XLOOKUP(I1676,Base_Datos!D:D,Base_Datos!B:B,"")</f>
        <v>DFSK</v>
      </c>
      <c r="H1676" s="3" t="str">
        <f t="array" ref="H1676">IF(I1676="","",IFERROR(_xlfn.XLOOKUP(I1676,Base_Datos!$D$2:$D3876,Base_Datos!$C$2:$C3876),""))</f>
        <v>Serie C</v>
      </c>
      <c r="I1676" s="3" t="s">
        <v>332</v>
      </c>
      <c r="J1676" s="3" t="str">
        <f>IF(I1676="","",IFERROR(VLOOKUP(I1676,Base_Datos!$D$2:$E$72,2,0),""))</f>
        <v>(1.5L)</v>
      </c>
      <c r="K1676" s="3" t="s">
        <v>2439</v>
      </c>
      <c r="L1676" s="3"/>
      <c r="M1676" s="7">
        <v>19</v>
      </c>
      <c r="N1676" s="7">
        <v>0</v>
      </c>
    </row>
    <row r="1677" spans="1:14" ht="14.25" x14ac:dyDescent="0.2">
      <c r="A1677" s="3">
        <v>89160</v>
      </c>
      <c r="B1677" s="3" t="s">
        <v>2415</v>
      </c>
      <c r="C1677" s="3" t="s">
        <v>18</v>
      </c>
      <c r="D1677" s="6" t="s">
        <v>337</v>
      </c>
      <c r="E1677" s="6" t="s">
        <v>1782</v>
      </c>
      <c r="F1677" s="3" t="str">
        <f>IFERROR( VLOOKUP(A1677,#REF!,2,0),"")</f>
        <v/>
      </c>
      <c r="G1677" s="3" t="str">
        <f t="array" ref="G1677">_xlfn.XLOOKUP(I1677,Base_Datos!D:D,Base_Datos!B:B,"")</f>
        <v>DFSK</v>
      </c>
      <c r="H1677" s="3" t="str">
        <f t="array" ref="H1677">IF(I1677="","",IFERROR(_xlfn.XLOOKUP(I1677,Base_Datos!$D$2:$D3876,Base_Datos!$C$2:$C3876),""))</f>
        <v>Serie C</v>
      </c>
      <c r="I1677" s="3" t="s">
        <v>265</v>
      </c>
      <c r="J1677" s="3" t="str">
        <f>IF(I1677="","",IFERROR(VLOOKUP(I1677,Base_Datos!$D$2:$E$72,2,0),""))</f>
        <v>(1.5L)</v>
      </c>
      <c r="K1677" s="3" t="s">
        <v>2435</v>
      </c>
      <c r="L1677" s="3"/>
      <c r="M1677" s="7">
        <v>25</v>
      </c>
      <c r="N1677" s="7">
        <v>0</v>
      </c>
    </row>
    <row r="1678" spans="1:14" ht="14.25" x14ac:dyDescent="0.2">
      <c r="A1678" s="3">
        <v>89161</v>
      </c>
      <c r="B1678" s="3" t="s">
        <v>3736</v>
      </c>
      <c r="C1678" s="3" t="s">
        <v>18</v>
      </c>
      <c r="D1678" s="6" t="s">
        <v>338</v>
      </c>
      <c r="E1678" s="6" t="s">
        <v>3737</v>
      </c>
      <c r="F1678" s="3" t="str">
        <f>IFERROR( VLOOKUP(A1678,#REF!,2,0),"")</f>
        <v/>
      </c>
      <c r="G1678" s="3" t="str">
        <f t="array" ref="G1678">_xlfn.XLOOKUP(I1678,Base_Datos!D:D,Base_Datos!B:B,"")</f>
        <v>DFSK</v>
      </c>
      <c r="H1678" s="3" t="str">
        <f t="array" ref="H1678">IF(I1678="","",IFERROR(_xlfn.XLOOKUP(I1678,Base_Datos!$D$2:$D3876,Base_Datos!$C$2:$C3876),""))</f>
        <v>Serie C</v>
      </c>
      <c r="I1678" s="3" t="s">
        <v>339</v>
      </c>
      <c r="J1678" s="3" t="str">
        <f>IF(I1678="","",IFERROR(VLOOKUP(I1678,Base_Datos!$D$2:$E$72,2,0),""))</f>
        <v>(1.5L)</v>
      </c>
      <c r="K1678" s="3" t="s">
        <v>3738</v>
      </c>
      <c r="L1678" s="3"/>
      <c r="M1678" s="7">
        <v>0</v>
      </c>
      <c r="N1678" s="7">
        <v>0</v>
      </c>
    </row>
    <row r="1679" spans="1:14" ht="14.25" x14ac:dyDescent="0.2">
      <c r="A1679" s="3">
        <v>89162</v>
      </c>
      <c r="B1679" s="3" t="s">
        <v>3486</v>
      </c>
      <c r="C1679" s="3" t="s">
        <v>18</v>
      </c>
      <c r="D1679" s="6" t="s">
        <v>340</v>
      </c>
      <c r="E1679" s="6" t="s">
        <v>340</v>
      </c>
      <c r="F1679" s="3" t="str">
        <f>IFERROR( VLOOKUP(A1679,#REF!,2,0),"")</f>
        <v/>
      </c>
      <c r="G1679" s="3" t="str">
        <f t="array" ref="G1679">_xlfn.XLOOKUP(I1679,Base_Datos!D:D,Base_Datos!B:B,"")</f>
        <v>DFSK</v>
      </c>
      <c r="H1679" s="3" t="str">
        <f t="array" ref="H1679">IF(I1679="","",IFERROR(_xlfn.XLOOKUP(I1679,Base_Datos!$D$2:$D3876,Base_Datos!$C$2:$C3876),""))</f>
        <v>Serie D</v>
      </c>
      <c r="I1679" s="3" t="s">
        <v>2785</v>
      </c>
      <c r="J1679" s="3" t="str">
        <f>IF(I1679="","",IFERROR(VLOOKUP(I1679,Base_Datos!$D$2:$E$72,2,0),""))</f>
        <v>(1.5L)</v>
      </c>
      <c r="K1679" s="3" t="s">
        <v>1782</v>
      </c>
      <c r="L1679" s="3"/>
      <c r="M1679" s="7">
        <v>12</v>
      </c>
      <c r="N1679" s="7">
        <v>0</v>
      </c>
    </row>
    <row r="1680" spans="1:14" ht="14.25" x14ac:dyDescent="0.2">
      <c r="A1680" s="3">
        <v>89163</v>
      </c>
      <c r="B1680" s="3" t="s">
        <v>3739</v>
      </c>
      <c r="C1680" s="3" t="s">
        <v>18</v>
      </c>
      <c r="D1680" s="6" t="s">
        <v>341</v>
      </c>
      <c r="E1680" s="6" t="s">
        <v>341</v>
      </c>
      <c r="F1680" s="3" t="str">
        <f>IFERROR( VLOOKUP(A1680,#REF!,2,0),"")</f>
        <v/>
      </c>
      <c r="G1680" s="3" t="str">
        <f t="array" ref="G1680">_xlfn.XLOOKUP(I1680,Base_Datos!D:D,Base_Datos!B:B,"")</f>
        <v>DFSK</v>
      </c>
      <c r="H1680" s="3" t="str">
        <f t="array" ref="H1680">IF(I1680="","",IFERROR(_xlfn.XLOOKUP(I1680,Base_Datos!$D$2:$D3876,Base_Datos!$C$2:$C3876),""))</f>
        <v>Serie Glory</v>
      </c>
      <c r="I1680" s="3" t="s">
        <v>112</v>
      </c>
      <c r="J1680" s="3" t="str">
        <f>IF(I1680="","",IFERROR(VLOOKUP(I1680,Base_Datos!$D$2:$E$72,2,0),""))</f>
        <v>(1.8L)</v>
      </c>
      <c r="K1680" s="3" t="s">
        <v>3562</v>
      </c>
      <c r="L1680" s="3"/>
      <c r="M1680" s="7">
        <v>13</v>
      </c>
      <c r="N1680" s="7">
        <v>0</v>
      </c>
    </row>
    <row r="1681" spans="1:14" ht="14.25" x14ac:dyDescent="0.2">
      <c r="A1681" s="3">
        <v>89165</v>
      </c>
      <c r="B1681" s="3" t="s">
        <v>2280</v>
      </c>
      <c r="C1681" s="3" t="s">
        <v>18</v>
      </c>
      <c r="D1681" s="6" t="s">
        <v>342</v>
      </c>
      <c r="E1681" s="6" t="s">
        <v>3740</v>
      </c>
      <c r="F1681" s="3" t="str">
        <f>IFERROR( VLOOKUP(A1681,#REF!,2,0),"")</f>
        <v/>
      </c>
      <c r="G1681" s="3" t="str">
        <f t="array" ref="G1681">_xlfn.XLOOKUP(I1681,Base_Datos!D:D,Base_Datos!B:B,"")</f>
        <v>DFSK</v>
      </c>
      <c r="H1681" s="3" t="str">
        <f t="array" ref="H1681">IF(I1681="","",IFERROR(_xlfn.XLOOKUP(I1681,Base_Datos!$D$2:$D3876,Base_Datos!$C$2:$C3876),""))</f>
        <v>Serie C</v>
      </c>
      <c r="I1681" s="3" t="s">
        <v>265</v>
      </c>
      <c r="J1681" s="3" t="str">
        <f>IF(I1681="","",IFERROR(VLOOKUP(I1681,Base_Datos!$D$2:$E$72,2,0),""))</f>
        <v>(1.5L)</v>
      </c>
      <c r="K1681" s="3" t="s">
        <v>1782</v>
      </c>
      <c r="L1681" s="3"/>
      <c r="M1681" s="7">
        <v>10</v>
      </c>
      <c r="N1681" s="7">
        <v>0</v>
      </c>
    </row>
    <row r="1682" spans="1:14" ht="14.25" x14ac:dyDescent="0.2">
      <c r="A1682" s="3">
        <v>89166</v>
      </c>
      <c r="B1682" s="3" t="s">
        <v>1796</v>
      </c>
      <c r="C1682" s="3" t="s">
        <v>2</v>
      </c>
      <c r="D1682" s="6" t="s">
        <v>344</v>
      </c>
      <c r="E1682" s="6" t="s">
        <v>3741</v>
      </c>
      <c r="F1682" s="3" t="str">
        <f>IFERROR( VLOOKUP(A1682,#REF!,2,0),"")</f>
        <v/>
      </c>
      <c r="G1682" s="3">
        <f t="array" ref="G1682">_xlfn.XLOOKUP(I1682,Base_Datos!D:D,Base_Datos!B:B,"")</f>
        <v>0</v>
      </c>
      <c r="H1682" s="3" t="str">
        <f t="array" ref="H1682">IF(I1682="","",IFERROR(_xlfn.XLOOKUP(I1682,Base_Datos!$D$2:$D3876,Base_Datos!$C$2:$C3876),""))</f>
        <v/>
      </c>
      <c r="I1682" s="3"/>
      <c r="J1682" s="3" t="str">
        <f>IF(I1682="","",IFERROR(VLOOKUP(I1682,Base_Datos!$D$2:$E$72,2,0),""))</f>
        <v/>
      </c>
      <c r="K1682" s="3" t="s">
        <v>1782</v>
      </c>
      <c r="L1682" s="3"/>
      <c r="M1682" s="7">
        <v>0</v>
      </c>
      <c r="N1682" s="7">
        <v>0</v>
      </c>
    </row>
    <row r="1683" spans="1:14" ht="14.25" x14ac:dyDescent="0.2">
      <c r="A1683" s="3">
        <v>89170</v>
      </c>
      <c r="B1683" s="3" t="s">
        <v>2426</v>
      </c>
      <c r="C1683" s="3" t="s">
        <v>18</v>
      </c>
      <c r="D1683" s="6" t="s">
        <v>347</v>
      </c>
      <c r="E1683" s="6" t="s">
        <v>2427</v>
      </c>
      <c r="F1683" s="3" t="str">
        <f>IFERROR( VLOOKUP(A1683,#REF!,2,0),"")</f>
        <v/>
      </c>
      <c r="G1683" s="3" t="str">
        <f t="array" ref="G1683">_xlfn.XLOOKUP(I1683,Base_Datos!D:D,Base_Datos!B:B,"")</f>
        <v>DFSK</v>
      </c>
      <c r="H1683" s="3" t="str">
        <f t="array" ref="H1683">IF(I1683="","",IFERROR(_xlfn.XLOOKUP(I1683,Base_Datos!$D$2:$D3876,Base_Datos!$C$2:$C3876),""))</f>
        <v>Serie C</v>
      </c>
      <c r="I1683" s="3" t="s">
        <v>339</v>
      </c>
      <c r="J1683" s="3" t="str">
        <f>IF(I1683="","",IFERROR(VLOOKUP(I1683,Base_Datos!$D$2:$E$72,2,0),""))</f>
        <v>(1.5L)</v>
      </c>
      <c r="K1683" s="3" t="s">
        <v>3742</v>
      </c>
      <c r="L1683" s="3"/>
      <c r="M1683" s="7">
        <v>7</v>
      </c>
      <c r="N1683" s="7">
        <v>0</v>
      </c>
    </row>
    <row r="1684" spans="1:14" ht="14.25" x14ac:dyDescent="0.2">
      <c r="A1684" s="3">
        <v>89172</v>
      </c>
      <c r="B1684" s="3" t="s">
        <v>3502</v>
      </c>
      <c r="C1684" s="3" t="s">
        <v>18</v>
      </c>
      <c r="D1684" s="6" t="s">
        <v>349</v>
      </c>
      <c r="E1684" s="6" t="s">
        <v>349</v>
      </c>
      <c r="F1684" s="3" t="str">
        <f>IFERROR( VLOOKUP(A1684,#REF!,2,0),"")</f>
        <v/>
      </c>
      <c r="G1684" s="3" t="str">
        <f t="array" ref="G1684">_xlfn.XLOOKUP(I1684,Base_Datos!D:D,Base_Datos!B:B,"")</f>
        <v>DFSK</v>
      </c>
      <c r="H1684" s="3" t="str">
        <f t="array" ref="H1684">IF(I1684="","",IFERROR(_xlfn.XLOOKUP(I1684,Base_Datos!$D$2:$D3876,Base_Datos!$C$2:$C3876),""))</f>
        <v>Serie C</v>
      </c>
      <c r="I1684" s="3" t="s">
        <v>339</v>
      </c>
      <c r="J1684" s="3" t="str">
        <f>IF(I1684="","",IFERROR(VLOOKUP(I1684,Base_Datos!$D$2:$E$72,2,0),""))</f>
        <v>(1.5L)</v>
      </c>
      <c r="K1684" s="3" t="s">
        <v>1782</v>
      </c>
      <c r="L1684" s="3"/>
      <c r="M1684" s="7">
        <v>22</v>
      </c>
      <c r="N1684" s="7">
        <v>0</v>
      </c>
    </row>
    <row r="1685" spans="1:14" ht="14.25" x14ac:dyDescent="0.2">
      <c r="A1685" s="3">
        <v>89173</v>
      </c>
      <c r="B1685" s="3" t="s">
        <v>3507</v>
      </c>
      <c r="C1685" s="3" t="s">
        <v>18</v>
      </c>
      <c r="D1685" s="6" t="s">
        <v>350</v>
      </c>
      <c r="E1685" s="6" t="s">
        <v>350</v>
      </c>
      <c r="F1685" s="3" t="str">
        <f>IFERROR( VLOOKUP(A1685,#REF!,2,0),"")</f>
        <v/>
      </c>
      <c r="G1685" s="3" t="str">
        <f t="array" ref="G1685">_xlfn.XLOOKUP(I1685,Base_Datos!D:D,Base_Datos!B:B,"")</f>
        <v>DFSK</v>
      </c>
      <c r="H1685" s="3" t="str">
        <f t="array" ref="H1685">IF(I1685="","",IFERROR(_xlfn.XLOOKUP(I1685,Base_Datos!$D$2:$D3876,Base_Datos!$C$2:$C3876),""))</f>
        <v>Serie C</v>
      </c>
      <c r="I1685" s="3" t="s">
        <v>339</v>
      </c>
      <c r="J1685" s="3" t="str">
        <f>IF(I1685="","",IFERROR(VLOOKUP(I1685,Base_Datos!$D$2:$E$72,2,0),""))</f>
        <v>(1.5L)</v>
      </c>
      <c r="K1685" s="3" t="s">
        <v>2425</v>
      </c>
      <c r="L1685" s="3"/>
      <c r="M1685" s="7">
        <v>65</v>
      </c>
      <c r="N1685" s="7">
        <v>0</v>
      </c>
    </row>
    <row r="1686" spans="1:14" ht="14.25" x14ac:dyDescent="0.2">
      <c r="A1686" s="3">
        <v>89177</v>
      </c>
      <c r="B1686" s="3" t="s">
        <v>3029</v>
      </c>
      <c r="C1686" s="3" t="s">
        <v>18</v>
      </c>
      <c r="D1686" s="6" t="s">
        <v>354</v>
      </c>
      <c r="E1686" s="6" t="s">
        <v>354</v>
      </c>
      <c r="F1686" s="3" t="str">
        <f>IFERROR( VLOOKUP(A1686,#REF!,2,0),"")</f>
        <v/>
      </c>
      <c r="G1686" s="3" t="str">
        <f t="array" ref="G1686">_xlfn.XLOOKUP(I1686,Base_Datos!D:D,Base_Datos!B:B,"")</f>
        <v>DFSK</v>
      </c>
      <c r="H1686" s="3" t="str">
        <f t="array" ref="H1686">IF(I1686="","",IFERROR(_xlfn.XLOOKUP(I1686,Base_Datos!$D$2:$D3876,Base_Datos!$C$2:$C3876),""))</f>
        <v>Serie D</v>
      </c>
      <c r="I1686" s="3" t="s">
        <v>2785</v>
      </c>
      <c r="J1686" s="3" t="str">
        <f>IF(I1686="","",IFERROR(VLOOKUP(I1686,Base_Datos!$D$2:$E$72,2,0),""))</f>
        <v>(1.5L)</v>
      </c>
      <c r="K1686" s="3" t="s">
        <v>1782</v>
      </c>
      <c r="L1686" s="3"/>
      <c r="M1686" s="7">
        <v>17</v>
      </c>
      <c r="N1686" s="7">
        <v>0</v>
      </c>
    </row>
    <row r="1687" spans="1:14" ht="14.25" x14ac:dyDescent="0.2">
      <c r="A1687" s="3">
        <v>89179</v>
      </c>
      <c r="B1687" s="3" t="s">
        <v>3027</v>
      </c>
      <c r="C1687" s="3" t="s">
        <v>18</v>
      </c>
      <c r="D1687" s="6" t="s">
        <v>356</v>
      </c>
      <c r="E1687" s="6" t="s">
        <v>356</v>
      </c>
      <c r="F1687" s="3" t="str">
        <f>IFERROR( VLOOKUP(A1687,#REF!,2,0),"")</f>
        <v/>
      </c>
      <c r="G1687" s="3" t="str">
        <f t="array" ref="G1687">_xlfn.XLOOKUP(I1687,Base_Datos!D:D,Base_Datos!B:B,"")</f>
        <v>DFSK</v>
      </c>
      <c r="H1687" s="3" t="str">
        <f t="array" ref="H1687">IF(I1687="","",IFERROR(_xlfn.XLOOKUP(I1687,Base_Datos!$D$2:$D3876,Base_Datos!$C$2:$C3876),""))</f>
        <v>Serie D</v>
      </c>
      <c r="I1687" s="3" t="s">
        <v>2785</v>
      </c>
      <c r="J1687" s="3" t="str">
        <f>IF(I1687="","",IFERROR(VLOOKUP(I1687,Base_Datos!$D$2:$E$72,2,0),""))</f>
        <v>(1.5L)</v>
      </c>
      <c r="K1687" s="3" t="s">
        <v>1782</v>
      </c>
      <c r="L1687" s="3"/>
      <c r="M1687" s="7">
        <v>20</v>
      </c>
      <c r="N1687" s="7">
        <v>0</v>
      </c>
    </row>
    <row r="1688" spans="1:14" ht="14.25" x14ac:dyDescent="0.2">
      <c r="A1688" s="3">
        <v>89180</v>
      </c>
      <c r="B1688" s="3" t="s">
        <v>3743</v>
      </c>
      <c r="C1688" s="3" t="s">
        <v>18</v>
      </c>
      <c r="D1688" s="6" t="s">
        <v>357</v>
      </c>
      <c r="E1688" s="6" t="s">
        <v>357</v>
      </c>
      <c r="F1688" s="3" t="str">
        <f>IFERROR( VLOOKUP(A1688,#REF!,2,0),"")</f>
        <v/>
      </c>
      <c r="G1688" s="3" t="str">
        <f t="array" ref="G1688">_xlfn.XLOOKUP(I1688,Base_Datos!D:D,Base_Datos!B:B,"")</f>
        <v>DFSK</v>
      </c>
      <c r="H1688" s="3" t="str">
        <f t="array" ref="H1688">IF(I1688="","",IFERROR(_xlfn.XLOOKUP(I1688,Base_Datos!$D$2:$D3876,Base_Datos!$C$2:$C3876),""))</f>
        <v>Serie D</v>
      </c>
      <c r="I1688" s="3" t="s">
        <v>2785</v>
      </c>
      <c r="J1688" s="3" t="str">
        <f>IF(I1688="","",IFERROR(VLOOKUP(I1688,Base_Datos!$D$2:$E$72,2,0),""))</f>
        <v>(1.5L)</v>
      </c>
      <c r="K1688" s="3" t="s">
        <v>2788</v>
      </c>
      <c r="L1688" s="3"/>
      <c r="M1688" s="7">
        <v>17</v>
      </c>
      <c r="N1688" s="7">
        <v>0</v>
      </c>
    </row>
    <row r="1689" spans="1:14" ht="14.25" x14ac:dyDescent="0.2">
      <c r="A1689" s="3">
        <v>89181</v>
      </c>
      <c r="B1689" s="3" t="s">
        <v>3744</v>
      </c>
      <c r="C1689" s="3" t="s">
        <v>18</v>
      </c>
      <c r="D1689" s="6" t="s">
        <v>358</v>
      </c>
      <c r="E1689" s="6" t="s">
        <v>358</v>
      </c>
      <c r="F1689" s="3" t="str">
        <f>IFERROR( VLOOKUP(A1689,#REF!,2,0),"")</f>
        <v/>
      </c>
      <c r="G1689" s="3" t="str">
        <f t="array" ref="G1689">_xlfn.XLOOKUP(I1689,Base_Datos!D:D,Base_Datos!B:B,"")</f>
        <v>DFSK</v>
      </c>
      <c r="H1689" s="3" t="str">
        <f t="array" ref="H1689">IF(I1689="","",IFERROR(_xlfn.XLOOKUP(I1689,Base_Datos!$D$2:$D3876,Base_Datos!$C$2:$C3876),""))</f>
        <v>Serie D</v>
      </c>
      <c r="I1689" s="3" t="s">
        <v>2785</v>
      </c>
      <c r="J1689" s="3" t="str">
        <f>IF(I1689="","",IFERROR(VLOOKUP(I1689,Base_Datos!$D$2:$E$72,2,0),""))</f>
        <v>(1.5L)</v>
      </c>
      <c r="K1689" s="3" t="s">
        <v>3745</v>
      </c>
      <c r="L1689" s="3"/>
      <c r="M1689" s="7">
        <v>18</v>
      </c>
      <c r="N1689" s="7">
        <v>0</v>
      </c>
    </row>
    <row r="1690" spans="1:14" ht="14.25" x14ac:dyDescent="0.2">
      <c r="A1690" s="3">
        <v>89182</v>
      </c>
      <c r="B1690" s="3" t="s">
        <v>2458</v>
      </c>
      <c r="C1690" s="3" t="s">
        <v>18</v>
      </c>
      <c r="D1690" s="6" t="s">
        <v>359</v>
      </c>
      <c r="E1690" s="6" t="s">
        <v>359</v>
      </c>
      <c r="F1690" s="3" t="str">
        <f>IFERROR( VLOOKUP(A1690,#REF!,2,0),"")</f>
        <v/>
      </c>
      <c r="G1690" s="3" t="str">
        <f t="array" ref="G1690">_xlfn.XLOOKUP(I1690,Base_Datos!D:D,Base_Datos!B:B,"")</f>
        <v>DFSK</v>
      </c>
      <c r="H1690" s="3" t="str">
        <f t="array" ref="H1690">IF(I1690="","",IFERROR(_xlfn.XLOOKUP(I1690,Base_Datos!$D$2:$D3876,Base_Datos!$C$2:$C3876),""))</f>
        <v>Serie D</v>
      </c>
      <c r="I1690" s="3" t="s">
        <v>2785</v>
      </c>
      <c r="J1690" s="3" t="str">
        <f>IF(I1690="","",IFERROR(VLOOKUP(I1690,Base_Datos!$D$2:$E$72,2,0),""))</f>
        <v>(1.5L)</v>
      </c>
      <c r="K1690" s="3" t="s">
        <v>1782</v>
      </c>
      <c r="L1690" s="3"/>
      <c r="M1690" s="7">
        <v>18</v>
      </c>
      <c r="N1690" s="7">
        <v>0</v>
      </c>
    </row>
    <row r="1691" spans="1:14" ht="14.25" x14ac:dyDescent="0.2">
      <c r="A1691" s="3">
        <v>89190</v>
      </c>
      <c r="B1691" s="3" t="s">
        <v>3746</v>
      </c>
      <c r="C1691" s="3" t="s">
        <v>18</v>
      </c>
      <c r="D1691" s="6" t="s">
        <v>3747</v>
      </c>
      <c r="E1691" s="6" t="s">
        <v>3747</v>
      </c>
      <c r="F1691" s="3" t="str">
        <f>IFERROR( VLOOKUP(A1691,#REF!,2,0),"")</f>
        <v/>
      </c>
      <c r="G1691" s="3" t="str">
        <f t="array" ref="G1691">_xlfn.XLOOKUP(I1691,Base_Datos!D:D,Base_Datos!B:B,"")</f>
        <v>DFSK</v>
      </c>
      <c r="H1691" s="3" t="str">
        <f t="array" ref="H1691">IF(I1691="","",IFERROR(_xlfn.XLOOKUP(I1691,Base_Datos!$D$2:$D3876,Base_Datos!$C$2:$C3876),""))</f>
        <v>Serie D</v>
      </c>
      <c r="I1691" s="3" t="s">
        <v>2785</v>
      </c>
      <c r="J1691" s="3" t="str">
        <f>IF(I1691="","",IFERROR(VLOOKUP(I1691,Base_Datos!$D$2:$E$72,2,0),""))</f>
        <v>(1.5L)</v>
      </c>
      <c r="K1691" s="3" t="s">
        <v>2788</v>
      </c>
      <c r="L1691" s="3"/>
      <c r="M1691" s="7">
        <v>18</v>
      </c>
      <c r="N1691" s="7">
        <v>0</v>
      </c>
    </row>
    <row r="1692" spans="1:14" ht="14.25" x14ac:dyDescent="0.2">
      <c r="A1692" s="3">
        <v>89202</v>
      </c>
      <c r="B1692" s="3" t="s">
        <v>2245</v>
      </c>
      <c r="C1692" s="3" t="s">
        <v>18</v>
      </c>
      <c r="D1692" s="6" t="s">
        <v>376</v>
      </c>
      <c r="E1692" s="6" t="s">
        <v>376</v>
      </c>
      <c r="F1692" s="3" t="str">
        <f>IFERROR( VLOOKUP(A1692,#REF!,2,0),"")</f>
        <v/>
      </c>
      <c r="G1692" s="3" t="str">
        <f t="array" ref="G1692">_xlfn.XLOOKUP(I1692,Base_Datos!D:D,Base_Datos!B:B,"")</f>
        <v>DFSK</v>
      </c>
      <c r="H1692" s="3" t="str">
        <f t="array" ref="H1692">IF(I1692="","",IFERROR(_xlfn.XLOOKUP(I1692,Base_Datos!$D$2:$D3876,Base_Datos!$C$2:$C3876),""))</f>
        <v>Serie C</v>
      </c>
      <c r="I1692" s="3" t="s">
        <v>343</v>
      </c>
      <c r="J1692" s="3" t="str">
        <f>IF(I1692="","",IFERROR(VLOOKUP(I1692,Base_Datos!$D$2:$E$72,2,0),""))</f>
        <v>(1.5L)</v>
      </c>
      <c r="K1692" s="3" t="s">
        <v>2391</v>
      </c>
      <c r="L1692" s="3"/>
      <c r="M1692" s="7">
        <v>25</v>
      </c>
      <c r="N1692" s="7">
        <v>0</v>
      </c>
    </row>
    <row r="1693" spans="1:14" ht="14.25" x14ac:dyDescent="0.2">
      <c r="A1693" s="3">
        <v>89203</v>
      </c>
      <c r="B1693" s="3" t="s">
        <v>3748</v>
      </c>
      <c r="C1693" s="3" t="s">
        <v>18</v>
      </c>
      <c r="D1693" s="6" t="s">
        <v>377</v>
      </c>
      <c r="E1693" s="6" t="s">
        <v>377</v>
      </c>
      <c r="F1693" s="3" t="str">
        <f>IFERROR( VLOOKUP(A1693,#REF!,2,0),"")</f>
        <v/>
      </c>
      <c r="G1693" s="3" t="str">
        <f t="array" ref="G1693">_xlfn.XLOOKUP(I1693,Base_Datos!D:D,Base_Datos!B:B,"")</f>
        <v>DFSK</v>
      </c>
      <c r="H1693" s="3" t="str">
        <f t="array" ref="H1693">IF(I1693="","",IFERROR(_xlfn.XLOOKUP(I1693,Base_Datos!$D$2:$D3876,Base_Datos!$C$2:$C3876),""))</f>
        <v>Serie C</v>
      </c>
      <c r="I1693" s="3" t="s">
        <v>343</v>
      </c>
      <c r="J1693" s="3" t="str">
        <f>IF(I1693="","",IFERROR(VLOOKUP(I1693,Base_Datos!$D$2:$E$72,2,0),""))</f>
        <v>(1.5L)</v>
      </c>
      <c r="K1693" s="3" t="s">
        <v>2391</v>
      </c>
      <c r="L1693" s="3"/>
      <c r="M1693" s="7">
        <v>43</v>
      </c>
      <c r="N1693" s="7">
        <v>0</v>
      </c>
    </row>
    <row r="1694" spans="1:14" ht="14.25" x14ac:dyDescent="0.2">
      <c r="A1694" s="3">
        <v>89204</v>
      </c>
      <c r="B1694" s="3" t="s">
        <v>3749</v>
      </c>
      <c r="C1694" s="3" t="s">
        <v>18</v>
      </c>
      <c r="D1694" s="6" t="s">
        <v>378</v>
      </c>
      <c r="E1694" s="6" t="s">
        <v>378</v>
      </c>
      <c r="F1694" s="3" t="str">
        <f>IFERROR( VLOOKUP(A1694,#REF!,2,0),"")</f>
        <v/>
      </c>
      <c r="G1694" s="3" t="str">
        <f t="array" ref="G1694">_xlfn.XLOOKUP(I1694,Base_Datos!D:D,Base_Datos!B:B,"")</f>
        <v>DFSK</v>
      </c>
      <c r="H1694" s="3" t="str">
        <f t="array" ref="H1694">IF(I1694="","",IFERROR(_xlfn.XLOOKUP(I1694,Base_Datos!$D$2:$D3876,Base_Datos!$C$2:$C3876),""))</f>
        <v>Serie C</v>
      </c>
      <c r="I1694" s="3" t="s">
        <v>343</v>
      </c>
      <c r="J1694" s="3" t="str">
        <f>IF(I1694="","",IFERROR(VLOOKUP(I1694,Base_Datos!$D$2:$E$72,2,0),""))</f>
        <v>(1.5L)</v>
      </c>
      <c r="K1694" s="3" t="s">
        <v>2395</v>
      </c>
      <c r="L1694" s="3"/>
      <c r="M1694" s="7">
        <v>68</v>
      </c>
      <c r="N1694" s="7">
        <v>0</v>
      </c>
    </row>
    <row r="1695" spans="1:14" ht="14.25" x14ac:dyDescent="0.2">
      <c r="A1695" s="3">
        <v>89205</v>
      </c>
      <c r="B1695" s="9" t="s">
        <v>2275</v>
      </c>
      <c r="C1695" s="3" t="s">
        <v>18</v>
      </c>
      <c r="D1695" s="6" t="s">
        <v>379</v>
      </c>
      <c r="E1695" s="6" t="s">
        <v>3750</v>
      </c>
      <c r="F1695" s="3" t="str">
        <f>IFERROR( VLOOKUP(A1695,#REF!,2,0),"")</f>
        <v/>
      </c>
      <c r="G1695" s="3" t="str">
        <f t="array" ref="G1695">_xlfn.XLOOKUP(I1695,Base_Datos!D:D,Base_Datos!B:B,"")</f>
        <v>DFSK</v>
      </c>
      <c r="H1695" s="3" t="str">
        <f t="array" ref="H1695">IF(I1695="","",IFERROR(_xlfn.XLOOKUP(I1695,Base_Datos!$D$2:$D3876,Base_Datos!$C$2:$C3876),""))</f>
        <v>Serie C</v>
      </c>
      <c r="I1695" s="3" t="s">
        <v>339</v>
      </c>
      <c r="J1695" s="3" t="str">
        <f>IF(I1695="","",IFERROR(VLOOKUP(I1695,Base_Datos!$D$2:$E$72,2,0),""))</f>
        <v>(1.5L)</v>
      </c>
      <c r="K1695" s="3" t="s">
        <v>3751</v>
      </c>
      <c r="L1695" s="3"/>
      <c r="M1695" s="7">
        <v>7</v>
      </c>
      <c r="N1695" s="7">
        <v>0</v>
      </c>
    </row>
    <row r="1696" spans="1:14" ht="14.25" x14ac:dyDescent="0.2">
      <c r="A1696" s="3">
        <v>89207</v>
      </c>
      <c r="B1696" s="3" t="s">
        <v>3752</v>
      </c>
      <c r="C1696" s="3" t="s">
        <v>18</v>
      </c>
      <c r="D1696" s="6" t="s">
        <v>381</v>
      </c>
      <c r="E1696" s="6" t="s">
        <v>381</v>
      </c>
      <c r="F1696" s="3" t="str">
        <f>IFERROR( VLOOKUP(A1696,#REF!,2,0),"")</f>
        <v/>
      </c>
      <c r="G1696" s="3" t="str">
        <f t="array" ref="G1696">_xlfn.XLOOKUP(I1696,Base_Datos!D:D,Base_Datos!B:B,"")</f>
        <v>DFSK</v>
      </c>
      <c r="H1696" s="3" t="str">
        <f t="array" ref="H1696">IF(I1696="","",IFERROR(_xlfn.XLOOKUP(I1696,Base_Datos!$D$2:$D3876,Base_Datos!$C$2:$C3876),""))</f>
        <v>Serie C</v>
      </c>
      <c r="I1696" s="3" t="s">
        <v>332</v>
      </c>
      <c r="J1696" s="3" t="str">
        <f>IF(I1696="","",IFERROR(VLOOKUP(I1696,Base_Datos!$D$2:$E$72,2,0),""))</f>
        <v>(1.5L)</v>
      </c>
      <c r="K1696" s="3" t="s">
        <v>2439</v>
      </c>
      <c r="L1696" s="3"/>
      <c r="M1696" s="7">
        <v>23</v>
      </c>
      <c r="N1696" s="7">
        <v>0</v>
      </c>
    </row>
    <row r="1697" spans="1:14" ht="14.25" x14ac:dyDescent="0.2">
      <c r="A1697" s="3">
        <v>89208</v>
      </c>
      <c r="B1697" s="3" t="s">
        <v>3753</v>
      </c>
      <c r="C1697" s="3" t="s">
        <v>18</v>
      </c>
      <c r="D1697" s="6" t="s">
        <v>382</v>
      </c>
      <c r="E1697" s="6" t="s">
        <v>382</v>
      </c>
      <c r="F1697" s="3" t="str">
        <f>IFERROR( VLOOKUP(A1697,#REF!,2,0),"")</f>
        <v/>
      </c>
      <c r="G1697" s="3" t="str">
        <f t="array" ref="G1697">_xlfn.XLOOKUP(I1697,Base_Datos!D:D,Base_Datos!B:B,"")</f>
        <v>DFSK</v>
      </c>
      <c r="H1697" s="3" t="str">
        <f t="array" ref="H1697">IF(I1697="","",IFERROR(_xlfn.XLOOKUP(I1697,Base_Datos!$D$2:$D3876,Base_Datos!$C$2:$C3876),""))</f>
        <v>Serie C</v>
      </c>
      <c r="I1697" s="3" t="s">
        <v>332</v>
      </c>
      <c r="J1697" s="3" t="str">
        <f>IF(I1697="","",IFERROR(VLOOKUP(I1697,Base_Datos!$D$2:$E$72,2,0),""))</f>
        <v>(1.5L)</v>
      </c>
      <c r="K1697" s="3" t="s">
        <v>2439</v>
      </c>
      <c r="L1697" s="3"/>
      <c r="M1697" s="7">
        <v>23</v>
      </c>
      <c r="N1697" s="7">
        <v>0</v>
      </c>
    </row>
    <row r="1698" spans="1:14" ht="14.25" x14ac:dyDescent="0.2">
      <c r="A1698" s="3">
        <v>89209</v>
      </c>
      <c r="B1698" s="3" t="s">
        <v>3754</v>
      </c>
      <c r="C1698" s="3" t="s">
        <v>18</v>
      </c>
      <c r="D1698" s="6" t="s">
        <v>383</v>
      </c>
      <c r="E1698" s="6" t="s">
        <v>333</v>
      </c>
      <c r="F1698" s="3" t="str">
        <f>IFERROR( VLOOKUP(A1698,#REF!,2,0),"")</f>
        <v/>
      </c>
      <c r="G1698" s="3" t="str">
        <f t="array" ref="G1698">_xlfn.XLOOKUP(I1698,Base_Datos!D:D,Base_Datos!B:B,"")</f>
        <v>DFSK</v>
      </c>
      <c r="H1698" s="3" t="str">
        <f t="array" ref="H1698">IF(I1698="","",IFERROR(_xlfn.XLOOKUP(I1698,Base_Datos!$D$2:$D3876,Base_Datos!$C$2:$C3876),""))</f>
        <v>Serie C</v>
      </c>
      <c r="I1698" s="3" t="s">
        <v>343</v>
      </c>
      <c r="J1698" s="3" t="str">
        <f>IF(I1698="","",IFERROR(VLOOKUP(I1698,Base_Datos!$D$2:$E$72,2,0),""))</f>
        <v>(1.5L)</v>
      </c>
      <c r="K1698" s="3" t="s">
        <v>1782</v>
      </c>
      <c r="L1698" s="3"/>
      <c r="M1698" s="7">
        <v>22</v>
      </c>
      <c r="N1698" s="7">
        <v>0</v>
      </c>
    </row>
    <row r="1699" spans="1:14" ht="14.25" x14ac:dyDescent="0.2">
      <c r="A1699" s="3">
        <v>89210</v>
      </c>
      <c r="B1699" s="3" t="s">
        <v>3755</v>
      </c>
      <c r="C1699" s="3" t="s">
        <v>18</v>
      </c>
      <c r="D1699" s="6" t="s">
        <v>384</v>
      </c>
      <c r="E1699" s="6" t="s">
        <v>384</v>
      </c>
      <c r="F1699" s="3" t="str">
        <f>IFERROR( VLOOKUP(A1699,#REF!,2,0),"")</f>
        <v/>
      </c>
      <c r="G1699" s="3" t="str">
        <f t="array" ref="G1699">_xlfn.XLOOKUP(I1699,Base_Datos!D:D,Base_Datos!B:B,"")</f>
        <v>DFSK</v>
      </c>
      <c r="H1699" s="3" t="str">
        <f t="array" ref="H1699">IF(I1699="","",IFERROR(_xlfn.XLOOKUP(I1699,Base_Datos!$D$2:$D3876,Base_Datos!$C$2:$C3876),""))</f>
        <v>Serie C</v>
      </c>
      <c r="I1699" s="3" t="s">
        <v>332</v>
      </c>
      <c r="J1699" s="3" t="str">
        <f>IF(I1699="","",IFERROR(VLOOKUP(I1699,Base_Datos!$D$2:$E$72,2,0),""))</f>
        <v>(1.5L)</v>
      </c>
      <c r="K1699" s="3" t="s">
        <v>1782</v>
      </c>
      <c r="L1699" s="3"/>
      <c r="M1699" s="7">
        <v>23</v>
      </c>
      <c r="N1699" s="7">
        <v>0</v>
      </c>
    </row>
    <row r="1700" spans="1:14" ht="14.25" x14ac:dyDescent="0.2">
      <c r="A1700" s="3">
        <v>89215</v>
      </c>
      <c r="B1700" s="3" t="s">
        <v>1884</v>
      </c>
      <c r="C1700" s="3" t="s">
        <v>18</v>
      </c>
      <c r="D1700" s="6" t="s">
        <v>388</v>
      </c>
      <c r="E1700" s="6" t="s">
        <v>388</v>
      </c>
      <c r="F1700" s="3" t="str">
        <f>IFERROR( VLOOKUP(A1700,#REF!,2,0),"")</f>
        <v/>
      </c>
      <c r="G1700" s="3" t="str">
        <f t="array" ref="G1700">_xlfn.XLOOKUP(I1700,Base_Datos!D:D,Base_Datos!B:B,"")</f>
        <v>DFSK</v>
      </c>
      <c r="H1700" s="3" t="str">
        <f t="array" ref="H1700">IF(I1700="","",IFERROR(_xlfn.XLOOKUP(I1700,Base_Datos!$D$2:$D3876,Base_Datos!$C$2:$C3876),""))</f>
        <v>Serie C</v>
      </c>
      <c r="I1700" s="3" t="s">
        <v>265</v>
      </c>
      <c r="J1700" s="3" t="str">
        <f>IF(I1700="","",IFERROR(VLOOKUP(I1700,Base_Datos!$D$2:$E$72,2,0),""))</f>
        <v>(1.5L)</v>
      </c>
      <c r="K1700" s="3" t="s">
        <v>1782</v>
      </c>
      <c r="L1700" s="3"/>
      <c r="M1700" s="7">
        <v>97</v>
      </c>
      <c r="N1700" s="7">
        <v>0</v>
      </c>
    </row>
    <row r="1701" spans="1:14" ht="14.25" x14ac:dyDescent="0.2">
      <c r="A1701" s="3">
        <v>89217</v>
      </c>
      <c r="B1701" s="3" t="s">
        <v>3756</v>
      </c>
      <c r="C1701" s="3" t="s">
        <v>18</v>
      </c>
      <c r="D1701" s="6" t="s">
        <v>390</v>
      </c>
      <c r="E1701" s="6" t="s">
        <v>390</v>
      </c>
      <c r="F1701" s="3" t="str">
        <f>IFERROR( VLOOKUP(A1701,#REF!,2,0),"")</f>
        <v/>
      </c>
      <c r="G1701" s="3" t="str">
        <f t="array" ref="G1701">_xlfn.XLOOKUP(I1701,Base_Datos!D:D,Base_Datos!B:B,"")</f>
        <v>DFSK</v>
      </c>
      <c r="H1701" s="3" t="str">
        <f t="array" ref="H1701">IF(I1701="","",IFERROR(_xlfn.XLOOKUP(I1701,Base_Datos!$D$2:$D3876,Base_Datos!$C$2:$C3876),""))</f>
        <v>Serie C</v>
      </c>
      <c r="I1701" s="3" t="s">
        <v>265</v>
      </c>
      <c r="J1701" s="3" t="str">
        <f>IF(I1701="","",IFERROR(VLOOKUP(I1701,Base_Datos!$D$2:$E$72,2,0),""))</f>
        <v>(1.5L)</v>
      </c>
      <c r="K1701" s="3" t="s">
        <v>2435</v>
      </c>
      <c r="L1701" s="3"/>
      <c r="M1701" s="7">
        <v>23</v>
      </c>
      <c r="N1701" s="7">
        <v>0</v>
      </c>
    </row>
    <row r="1702" spans="1:14" ht="14.25" x14ac:dyDescent="0.2">
      <c r="A1702" s="3">
        <v>89218</v>
      </c>
      <c r="B1702" s="3" t="s">
        <v>3757</v>
      </c>
      <c r="C1702" s="3" t="s">
        <v>18</v>
      </c>
      <c r="D1702" s="6" t="s">
        <v>391</v>
      </c>
      <c r="E1702" s="6" t="s">
        <v>391</v>
      </c>
      <c r="F1702" s="3" t="str">
        <f>IFERROR( VLOOKUP(A1702,#REF!,2,0),"")</f>
        <v/>
      </c>
      <c r="G1702" s="3" t="str">
        <f t="array" ref="G1702">_xlfn.XLOOKUP(I1702,Base_Datos!D:D,Base_Datos!B:B,"")</f>
        <v>DFSK</v>
      </c>
      <c r="H1702" s="3" t="str">
        <f t="array" ref="H1702">IF(I1702="","",IFERROR(_xlfn.XLOOKUP(I1702,Base_Datos!$D$2:$D3876,Base_Datos!$C$2:$C3876),""))</f>
        <v>Serie C</v>
      </c>
      <c r="I1702" s="3" t="s">
        <v>265</v>
      </c>
      <c r="J1702" s="3" t="str">
        <f>IF(I1702="","",IFERROR(VLOOKUP(I1702,Base_Datos!$D$2:$E$72,2,0),""))</f>
        <v>(1.5L)</v>
      </c>
      <c r="K1702" s="3" t="s">
        <v>2435</v>
      </c>
      <c r="L1702" s="3"/>
      <c r="M1702" s="7">
        <v>21</v>
      </c>
      <c r="N1702" s="7">
        <v>0</v>
      </c>
    </row>
    <row r="1703" spans="1:14" ht="14.25" x14ac:dyDescent="0.2">
      <c r="A1703" s="3">
        <v>89221</v>
      </c>
      <c r="B1703" s="3" t="s">
        <v>2245</v>
      </c>
      <c r="C1703" s="3" t="s">
        <v>18</v>
      </c>
      <c r="D1703" s="6" t="s">
        <v>394</v>
      </c>
      <c r="E1703" s="6" t="s">
        <v>394</v>
      </c>
      <c r="F1703" s="3" t="str">
        <f>IFERROR( VLOOKUP(A1703,#REF!,2,0),"")</f>
        <v/>
      </c>
      <c r="G1703" s="3" t="str">
        <f t="array" ref="G1703">_xlfn.XLOOKUP(I1703,Base_Datos!D:D,Base_Datos!B:B,"")</f>
        <v>DFSK</v>
      </c>
      <c r="H1703" s="3" t="str">
        <f t="array" ref="H1703">IF(I1703="","",IFERROR(_xlfn.XLOOKUP(I1703,Base_Datos!$D$2:$D3876,Base_Datos!$C$2:$C3876),""))</f>
        <v>Serie C</v>
      </c>
      <c r="I1703" s="3" t="s">
        <v>332</v>
      </c>
      <c r="J1703" s="3" t="str">
        <f>IF(I1703="","",IFERROR(VLOOKUP(I1703,Base_Datos!$D$2:$E$72,2,0),""))</f>
        <v>(1.5L)</v>
      </c>
      <c r="K1703" s="3" t="s">
        <v>2439</v>
      </c>
      <c r="L1703" s="3"/>
      <c r="M1703" s="7">
        <v>25</v>
      </c>
      <c r="N1703" s="7">
        <v>0</v>
      </c>
    </row>
    <row r="1704" spans="1:14" ht="14.25" x14ac:dyDescent="0.2">
      <c r="A1704" s="3">
        <v>89222</v>
      </c>
      <c r="B1704" s="3" t="s">
        <v>3758</v>
      </c>
      <c r="C1704" s="3" t="s">
        <v>18</v>
      </c>
      <c r="D1704" s="6" t="s">
        <v>395</v>
      </c>
      <c r="E1704" s="6" t="s">
        <v>395</v>
      </c>
      <c r="F1704" s="3" t="str">
        <f>IFERROR( VLOOKUP(A1704,#REF!,2,0),"")</f>
        <v/>
      </c>
      <c r="G1704" s="3" t="str">
        <f t="array" ref="G1704">_xlfn.XLOOKUP(I1704,Base_Datos!D:D,Base_Datos!B:B,"")</f>
        <v>DFSK</v>
      </c>
      <c r="H1704" s="3" t="str">
        <f t="array" ref="H1704">IF(I1704="","",IFERROR(_xlfn.XLOOKUP(I1704,Base_Datos!$D$2:$D3876,Base_Datos!$C$2:$C3876),""))</f>
        <v>Serie C</v>
      </c>
      <c r="I1704" s="3" t="s">
        <v>265</v>
      </c>
      <c r="J1704" s="3" t="str">
        <f>IF(I1704="","",IFERROR(VLOOKUP(I1704,Base_Datos!$D$2:$E$72,2,0),""))</f>
        <v>(1.5L)</v>
      </c>
      <c r="K1704" s="3" t="s">
        <v>2435</v>
      </c>
      <c r="L1704" s="3"/>
      <c r="M1704" s="7">
        <v>18</v>
      </c>
      <c r="N1704" s="7">
        <v>0</v>
      </c>
    </row>
    <row r="1705" spans="1:14" ht="14.25" x14ac:dyDescent="0.2">
      <c r="A1705" s="3">
        <v>89233</v>
      </c>
      <c r="B1705" s="3" t="s">
        <v>3711</v>
      </c>
      <c r="C1705" s="3" t="s">
        <v>18</v>
      </c>
      <c r="D1705" s="6" t="s">
        <v>962</v>
      </c>
      <c r="E1705" s="6" t="s">
        <v>672</v>
      </c>
      <c r="F1705" s="3" t="str">
        <f>IFERROR( VLOOKUP(A1705,#REF!,2,0),"")</f>
        <v/>
      </c>
      <c r="G1705" s="3" t="str">
        <f t="array" ref="G1705">_xlfn.XLOOKUP(I1705,Base_Datos!D:D,Base_Datos!B:B,"")</f>
        <v>DFSK</v>
      </c>
      <c r="H1705" s="3" t="str">
        <f t="array" ref="H1705">IF(I1705="","",IFERROR(_xlfn.XLOOKUP(I1705,Base_Datos!$D$2:$D3876,Base_Datos!$C$2:$C3876),""))</f>
        <v>Serie C</v>
      </c>
      <c r="I1705" s="3" t="s">
        <v>332</v>
      </c>
      <c r="J1705" s="3" t="str">
        <f>IF(I1705="","",IFERROR(VLOOKUP(I1705,Base_Datos!$D$2:$E$72,2,0),""))</f>
        <v>(1.5L)</v>
      </c>
      <c r="K1705" s="3" t="s">
        <v>2439</v>
      </c>
      <c r="L1705" s="3"/>
      <c r="M1705" s="7">
        <v>13</v>
      </c>
      <c r="N1705" s="7">
        <v>0</v>
      </c>
    </row>
    <row r="1706" spans="1:14" ht="14.25" x14ac:dyDescent="0.2">
      <c r="A1706" s="3">
        <v>89234</v>
      </c>
      <c r="B1706" s="3" t="s">
        <v>3759</v>
      </c>
      <c r="C1706" s="3" t="s">
        <v>18</v>
      </c>
      <c r="D1706" s="6" t="s">
        <v>961</v>
      </c>
      <c r="E1706" s="6" t="s">
        <v>3760</v>
      </c>
      <c r="F1706" s="3" t="str">
        <f>IFERROR( VLOOKUP(A1706,#REF!,2,0),"")</f>
        <v/>
      </c>
      <c r="G1706" s="3" t="str">
        <f t="array" ref="G1706">_xlfn.XLOOKUP(I1706,Base_Datos!D:D,Base_Datos!B:B,"")</f>
        <v>DFSK</v>
      </c>
      <c r="H1706" s="3" t="str">
        <f t="array" ref="H1706">IF(I1706="","",IFERROR(_xlfn.XLOOKUP(I1706,Base_Datos!$D$2:$D3876,Base_Datos!$C$2:$C3876),""))</f>
        <v>Serie C</v>
      </c>
      <c r="I1706" s="3" t="s">
        <v>343</v>
      </c>
      <c r="J1706" s="3" t="str">
        <f>IF(I1706="","",IFERROR(VLOOKUP(I1706,Base_Datos!$D$2:$E$72,2,0),""))</f>
        <v>(1.5L)</v>
      </c>
      <c r="K1706" s="3" t="s">
        <v>1782</v>
      </c>
      <c r="L1706" s="3"/>
      <c r="M1706" s="7">
        <v>5</v>
      </c>
      <c r="N1706" s="7">
        <v>0</v>
      </c>
    </row>
    <row r="1707" spans="1:14" ht="14.25" x14ac:dyDescent="0.2">
      <c r="A1707" s="3">
        <v>89235</v>
      </c>
      <c r="B1707" s="3" t="s">
        <v>3761</v>
      </c>
      <c r="C1707" s="3" t="s">
        <v>18</v>
      </c>
      <c r="D1707" s="6" t="s">
        <v>967</v>
      </c>
      <c r="E1707" s="6" t="s">
        <v>3762</v>
      </c>
      <c r="F1707" s="3" t="str">
        <f>IFERROR( VLOOKUP(A1707,#REF!,2,0),"")</f>
        <v/>
      </c>
      <c r="G1707" s="3" t="str">
        <f t="array" ref="G1707">_xlfn.XLOOKUP(I1707,Base_Datos!D:D,Base_Datos!B:B,"")</f>
        <v>DFSK</v>
      </c>
      <c r="H1707" s="3" t="str">
        <f t="array" ref="H1707">IF(I1707="","",IFERROR(_xlfn.XLOOKUP(I1707,Base_Datos!$D$2:$D3876,Base_Datos!$C$2:$C3876),""))</f>
        <v>Serie C</v>
      </c>
      <c r="I1707" s="3" t="s">
        <v>265</v>
      </c>
      <c r="J1707" s="3" t="str">
        <f>IF(I1707="","",IFERROR(VLOOKUP(I1707,Base_Datos!$D$2:$E$72,2,0),""))</f>
        <v>(1.5L)</v>
      </c>
      <c r="K1707" s="3" t="s">
        <v>1782</v>
      </c>
      <c r="L1707" s="3"/>
      <c r="M1707" s="7">
        <v>5</v>
      </c>
      <c r="N1707" s="7">
        <v>0</v>
      </c>
    </row>
    <row r="1708" spans="1:14" ht="14.25" x14ac:dyDescent="0.2">
      <c r="A1708" s="3">
        <v>89236</v>
      </c>
      <c r="B1708" s="3" t="s">
        <v>1813</v>
      </c>
      <c r="C1708" s="3" t="s">
        <v>18</v>
      </c>
      <c r="D1708" s="6" t="s">
        <v>965</v>
      </c>
      <c r="E1708" s="6" t="s">
        <v>965</v>
      </c>
      <c r="F1708" s="3" t="str">
        <f>IFERROR( VLOOKUP(A1708,#REF!,2,0),"")</f>
        <v/>
      </c>
      <c r="G1708" s="3" t="str">
        <f t="array" ref="G1708">_xlfn.XLOOKUP(I1708,Base_Datos!D:D,Base_Datos!B:B,"")</f>
        <v>DFSK</v>
      </c>
      <c r="H1708" s="3" t="str">
        <f t="array" ref="H1708">IF(I1708="","",IFERROR(_xlfn.XLOOKUP(I1708,Base_Datos!$D$2:$D3876,Base_Datos!$C$2:$C3876),""))</f>
        <v>Serie C</v>
      </c>
      <c r="I1708" s="3" t="s">
        <v>343</v>
      </c>
      <c r="J1708" s="3" t="str">
        <f>IF(I1708="","",IFERROR(VLOOKUP(I1708,Base_Datos!$D$2:$E$72,2,0),""))</f>
        <v>(1.5L)</v>
      </c>
      <c r="K1708" s="3" t="s">
        <v>1782</v>
      </c>
      <c r="L1708" s="3"/>
      <c r="M1708" s="7">
        <v>2</v>
      </c>
      <c r="N1708" s="7">
        <v>0</v>
      </c>
    </row>
    <row r="1709" spans="1:14" ht="14.25" x14ac:dyDescent="0.2">
      <c r="A1709" s="3">
        <v>89237</v>
      </c>
      <c r="B1709" s="3" t="s">
        <v>2433</v>
      </c>
      <c r="C1709" s="3" t="s">
        <v>18</v>
      </c>
      <c r="D1709" s="6" t="s">
        <v>963</v>
      </c>
      <c r="E1709" s="6" t="s">
        <v>211</v>
      </c>
      <c r="F1709" s="3" t="str">
        <f>IFERROR( VLOOKUP(A1709,#REF!,2,0),"")</f>
        <v/>
      </c>
      <c r="G1709" s="3" t="str">
        <f t="array" ref="G1709">_xlfn.XLOOKUP(I1709,Base_Datos!D:D,Base_Datos!B:B,"")</f>
        <v>DFSK</v>
      </c>
      <c r="H1709" s="3" t="str">
        <f t="array" ref="H1709">IF(I1709="","",IFERROR(_xlfn.XLOOKUP(I1709,Base_Datos!$D$2:$D3876,Base_Datos!$C$2:$C3876),""))</f>
        <v>Serie C</v>
      </c>
      <c r="I1709" s="3" t="s">
        <v>265</v>
      </c>
      <c r="J1709" s="3" t="str">
        <f>IF(I1709="","",IFERROR(VLOOKUP(I1709,Base_Datos!$D$2:$E$72,2,0),""))</f>
        <v>(1.5L)</v>
      </c>
      <c r="K1709" s="3" t="s">
        <v>2667</v>
      </c>
      <c r="L1709" s="3"/>
      <c r="M1709" s="7">
        <v>7</v>
      </c>
      <c r="N1709" s="7">
        <v>0</v>
      </c>
    </row>
    <row r="1710" spans="1:14" ht="14.25" x14ac:dyDescent="0.2">
      <c r="A1710" s="3">
        <v>89238</v>
      </c>
      <c r="B1710" s="3" t="s">
        <v>3763</v>
      </c>
      <c r="C1710" s="3" t="s">
        <v>18</v>
      </c>
      <c r="D1710" s="6" t="s">
        <v>968</v>
      </c>
      <c r="E1710" s="6" t="s">
        <v>3764</v>
      </c>
      <c r="F1710" s="3" t="str">
        <f>IFERROR( VLOOKUP(A1710,#REF!,2,0),"")</f>
        <v/>
      </c>
      <c r="G1710" s="3" t="str">
        <f t="array" ref="G1710">_xlfn.XLOOKUP(I1710,Base_Datos!D:D,Base_Datos!B:B,"")</f>
        <v>DFSK</v>
      </c>
      <c r="H1710" s="3" t="str">
        <f t="array" ref="H1710">IF(I1710="","",IFERROR(_xlfn.XLOOKUP(I1710,Base_Datos!$D$2:$D3876,Base_Datos!$C$2:$C3876),""))</f>
        <v>Serie C</v>
      </c>
      <c r="I1710" s="3" t="s">
        <v>339</v>
      </c>
      <c r="J1710" s="3" t="str">
        <f>IF(I1710="","",IFERROR(VLOOKUP(I1710,Base_Datos!$D$2:$E$72,2,0),""))</f>
        <v>(1.5L)</v>
      </c>
      <c r="K1710" s="3" t="s">
        <v>2435</v>
      </c>
      <c r="L1710" s="3"/>
      <c r="M1710" s="7">
        <v>19</v>
      </c>
      <c r="N1710" s="7">
        <v>0</v>
      </c>
    </row>
    <row r="1711" spans="1:14" ht="14.25" x14ac:dyDescent="0.2">
      <c r="A1711" s="3">
        <v>89239</v>
      </c>
      <c r="B1711" s="3" t="s">
        <v>3765</v>
      </c>
      <c r="C1711" s="3" t="s">
        <v>18</v>
      </c>
      <c r="D1711" s="6" t="s">
        <v>969</v>
      </c>
      <c r="E1711" s="6" t="s">
        <v>969</v>
      </c>
      <c r="F1711" s="3" t="str">
        <f>IFERROR( VLOOKUP(A1711,#REF!,2,0),"")</f>
        <v/>
      </c>
      <c r="G1711" s="3" t="str">
        <f t="array" ref="G1711">_xlfn.XLOOKUP(I1711,Base_Datos!D:D,Base_Datos!B:B,"")</f>
        <v>DFSK</v>
      </c>
      <c r="H1711" s="3" t="str">
        <f t="array" ref="H1711">IF(I1711="","",IFERROR(_xlfn.XLOOKUP(I1711,Base_Datos!$D$2:$D3876,Base_Datos!$C$2:$C3876),""))</f>
        <v>Serie C</v>
      </c>
      <c r="I1711" s="3" t="s">
        <v>332</v>
      </c>
      <c r="J1711" s="3" t="str">
        <f>IF(I1711="","",IFERROR(VLOOKUP(I1711,Base_Datos!$D$2:$E$72,2,0),""))</f>
        <v>(1.5L)</v>
      </c>
      <c r="K1711" s="3" t="s">
        <v>1782</v>
      </c>
      <c r="L1711" s="3"/>
      <c r="M1711" s="7">
        <v>5</v>
      </c>
      <c r="N1711" s="7">
        <v>0</v>
      </c>
    </row>
    <row r="1712" spans="1:14" ht="14.25" x14ac:dyDescent="0.2">
      <c r="A1712" s="3">
        <v>89240</v>
      </c>
      <c r="B1712" s="3" t="s">
        <v>3766</v>
      </c>
      <c r="C1712" s="3" t="s">
        <v>18</v>
      </c>
      <c r="D1712" s="6" t="s">
        <v>970</v>
      </c>
      <c r="E1712" s="6" t="s">
        <v>3767</v>
      </c>
      <c r="F1712" s="3" t="str">
        <f>IFERROR( VLOOKUP(A1712,#REF!,2,0),"")</f>
        <v/>
      </c>
      <c r="G1712" s="3" t="str">
        <f t="array" ref="G1712">_xlfn.XLOOKUP(I1712,Base_Datos!D:D,Base_Datos!B:B,"")</f>
        <v>DFSK</v>
      </c>
      <c r="H1712" s="3" t="str">
        <f t="array" ref="H1712">IF(I1712="","",IFERROR(_xlfn.XLOOKUP(I1712,Base_Datos!$D$2:$D3876,Base_Datos!$C$2:$C3876),""))</f>
        <v>Serie C</v>
      </c>
      <c r="I1712" s="3" t="s">
        <v>339</v>
      </c>
      <c r="J1712" s="3" t="str">
        <f>IF(I1712="","",IFERROR(VLOOKUP(I1712,Base_Datos!$D$2:$E$72,2,0),""))</f>
        <v>(1.5L)</v>
      </c>
      <c r="K1712" s="3" t="s">
        <v>2435</v>
      </c>
      <c r="L1712" s="3"/>
      <c r="M1712" s="7">
        <v>23</v>
      </c>
      <c r="N1712" s="7">
        <v>0</v>
      </c>
    </row>
    <row r="1713" spans="1:14" ht="14.25" x14ac:dyDescent="0.2">
      <c r="A1713" s="3">
        <v>89241</v>
      </c>
      <c r="B1713" s="3" t="s">
        <v>3768</v>
      </c>
      <c r="C1713" s="3" t="s">
        <v>18</v>
      </c>
      <c r="D1713" s="6" t="s">
        <v>971</v>
      </c>
      <c r="E1713" s="6" t="s">
        <v>971</v>
      </c>
      <c r="F1713" s="3" t="str">
        <f>IFERROR( VLOOKUP(A1713,#REF!,2,0),"")</f>
        <v/>
      </c>
      <c r="G1713" s="3" t="str">
        <f t="array" ref="G1713">_xlfn.XLOOKUP(I1713,Base_Datos!D:D,Base_Datos!B:B,"")</f>
        <v>DFSK</v>
      </c>
      <c r="H1713" s="3" t="str">
        <f t="array" ref="H1713">IF(I1713="","",IFERROR(_xlfn.XLOOKUP(I1713,Base_Datos!$D$2:$D3876,Base_Datos!$C$2:$C3876),""))</f>
        <v>Serie C</v>
      </c>
      <c r="I1713" s="3" t="s">
        <v>265</v>
      </c>
      <c r="J1713" s="3" t="str">
        <f>IF(I1713="","",IFERROR(VLOOKUP(I1713,Base_Datos!$D$2:$E$72,2,0),""))</f>
        <v>(1.5L)</v>
      </c>
      <c r="K1713" s="3" t="s">
        <v>1782</v>
      </c>
      <c r="L1713" s="3"/>
      <c r="M1713" s="7">
        <v>3</v>
      </c>
      <c r="N1713" s="7">
        <v>0</v>
      </c>
    </row>
    <row r="1714" spans="1:14" ht="14.25" x14ac:dyDescent="0.2">
      <c r="A1714" s="3">
        <v>89242</v>
      </c>
      <c r="B1714" s="3" t="s">
        <v>1803</v>
      </c>
      <c r="C1714" s="3" t="s">
        <v>18</v>
      </c>
      <c r="D1714" s="6" t="s">
        <v>964</v>
      </c>
      <c r="E1714" s="6" t="s">
        <v>964</v>
      </c>
      <c r="F1714" s="3" t="str">
        <f>IFERROR( VLOOKUP(A1714,#REF!,2,0),"")</f>
        <v/>
      </c>
      <c r="G1714" s="3" t="str">
        <f t="array" ref="G1714">_xlfn.XLOOKUP(I1714,Base_Datos!D:D,Base_Datos!B:B,"")</f>
        <v>DFSK</v>
      </c>
      <c r="H1714" s="3" t="str">
        <f t="array" ref="H1714">IF(I1714="","",IFERROR(_xlfn.XLOOKUP(I1714,Base_Datos!$D$2:$D3876,Base_Datos!$C$2:$C3876),""))</f>
        <v>Serie C</v>
      </c>
      <c r="I1714" s="3" t="s">
        <v>265</v>
      </c>
      <c r="J1714" s="3" t="str">
        <f>IF(I1714="","",IFERROR(VLOOKUP(I1714,Base_Datos!$D$2:$E$72,2,0),""))</f>
        <v>(1.5L)</v>
      </c>
      <c r="K1714" s="3" t="s">
        <v>1782</v>
      </c>
      <c r="L1714" s="3"/>
      <c r="M1714" s="7">
        <v>5</v>
      </c>
      <c r="N1714" s="7">
        <v>0</v>
      </c>
    </row>
    <row r="1715" spans="1:14" ht="14.25" x14ac:dyDescent="0.2">
      <c r="A1715" s="3">
        <v>89243</v>
      </c>
      <c r="B1715" s="3" t="s">
        <v>1872</v>
      </c>
      <c r="C1715" s="3" t="s">
        <v>18</v>
      </c>
      <c r="D1715" s="6" t="s">
        <v>972</v>
      </c>
      <c r="E1715" s="6" t="s">
        <v>972</v>
      </c>
      <c r="F1715" s="3" t="str">
        <f>IFERROR( VLOOKUP(A1715,#REF!,2,0),"")</f>
        <v/>
      </c>
      <c r="G1715" s="3" t="str">
        <f t="array" ref="G1715">_xlfn.XLOOKUP(I1715,Base_Datos!D:D,Base_Datos!B:B,"")</f>
        <v>DFSK</v>
      </c>
      <c r="H1715" s="3" t="str">
        <f t="array" ref="H1715">IF(I1715="","",IFERROR(_xlfn.XLOOKUP(I1715,Base_Datos!$D$2:$D3876,Base_Datos!$C$2:$C3876),""))</f>
        <v>Serie C</v>
      </c>
      <c r="I1715" s="3" t="s">
        <v>265</v>
      </c>
      <c r="J1715" s="3" t="str">
        <f>IF(I1715="","",IFERROR(VLOOKUP(I1715,Base_Datos!$D$2:$E$72,2,0),""))</f>
        <v>(1.5L)</v>
      </c>
      <c r="K1715" s="3" t="s">
        <v>1782</v>
      </c>
      <c r="L1715" s="3"/>
      <c r="M1715" s="7">
        <v>2</v>
      </c>
      <c r="N1715" s="7">
        <v>0</v>
      </c>
    </row>
    <row r="1716" spans="1:14" ht="14.25" x14ac:dyDescent="0.2">
      <c r="A1716" s="3">
        <v>89244</v>
      </c>
      <c r="B1716" s="3" t="s">
        <v>1781</v>
      </c>
      <c r="C1716" s="3" t="s">
        <v>18</v>
      </c>
      <c r="D1716" s="6" t="s">
        <v>966</v>
      </c>
      <c r="E1716" s="6" t="s">
        <v>966</v>
      </c>
      <c r="F1716" s="3" t="str">
        <f>IFERROR( VLOOKUP(A1716,#REF!,2,0),"")</f>
        <v/>
      </c>
      <c r="G1716" s="3" t="str">
        <f t="array" ref="G1716">_xlfn.XLOOKUP(I1716,Base_Datos!D:D,Base_Datos!B:B,"")</f>
        <v>DFSK</v>
      </c>
      <c r="H1716" s="3" t="str">
        <f t="array" ref="H1716">IF(I1716="","",IFERROR(_xlfn.XLOOKUP(I1716,Base_Datos!$D$2:$D3876,Base_Datos!$C$2:$C3876),""))</f>
        <v>Serie C</v>
      </c>
      <c r="I1716" s="3" t="s">
        <v>343</v>
      </c>
      <c r="J1716" s="3" t="str">
        <f>IF(I1716="","",IFERROR(VLOOKUP(I1716,Base_Datos!$D$2:$E$72,2,0),""))</f>
        <v>(1.5L)</v>
      </c>
      <c r="K1716" s="3" t="s">
        <v>2395</v>
      </c>
      <c r="L1716" s="3"/>
      <c r="M1716" s="7">
        <v>31</v>
      </c>
      <c r="N1716" s="7">
        <v>0</v>
      </c>
    </row>
    <row r="1717" spans="1:14" ht="14.25" x14ac:dyDescent="0.2">
      <c r="A1717" s="3">
        <v>89247</v>
      </c>
      <c r="B1717" s="3" t="s">
        <v>3769</v>
      </c>
      <c r="C1717" s="3" t="s">
        <v>18</v>
      </c>
      <c r="D1717" s="6" t="s">
        <v>3770</v>
      </c>
      <c r="E1717" s="6" t="s">
        <v>3770</v>
      </c>
      <c r="F1717" s="3" t="str">
        <f>IFERROR( VLOOKUP(A1717,#REF!,2,0),"")</f>
        <v/>
      </c>
      <c r="G1717" s="3" t="str">
        <f t="array" ref="G1717">_xlfn.XLOOKUP(I1717,Base_Datos!D:D,Base_Datos!B:B,"")</f>
        <v>DFSK</v>
      </c>
      <c r="H1717" s="3" t="str">
        <f t="array" ref="H1717">IF(I1717="","",IFERROR(_xlfn.XLOOKUP(I1717,Base_Datos!$D$2:$D3876,Base_Datos!$C$2:$C3876),""))</f>
        <v>Serie Glory</v>
      </c>
      <c r="I1717" s="3" t="s">
        <v>1765</v>
      </c>
      <c r="J1717" s="3" t="str">
        <f>IF(I1717="","",IFERROR(VLOOKUP(I1717,Base_Datos!$D$2:$E$72,2,0),""))</f>
        <v>(1.5L)</v>
      </c>
      <c r="K1717" s="3" t="s">
        <v>1782</v>
      </c>
      <c r="L1717" s="3"/>
      <c r="M1717" s="7">
        <v>2</v>
      </c>
      <c r="N1717" s="7">
        <v>0</v>
      </c>
    </row>
    <row r="1718" spans="1:14" ht="14.25" x14ac:dyDescent="0.2">
      <c r="A1718" s="3">
        <v>89248</v>
      </c>
      <c r="B1718" s="3" t="s">
        <v>3771</v>
      </c>
      <c r="C1718" s="3" t="s">
        <v>18</v>
      </c>
      <c r="D1718" s="6" t="s">
        <v>3112</v>
      </c>
      <c r="E1718" s="6" t="s">
        <v>3112</v>
      </c>
      <c r="F1718" s="3" t="str">
        <f>IFERROR( VLOOKUP(A1718,#REF!,2,0),"")</f>
        <v/>
      </c>
      <c r="G1718" s="3" t="str">
        <f t="array" ref="G1718">_xlfn.XLOOKUP(I1718,Base_Datos!D:D,Base_Datos!B:B,"")</f>
        <v>DFSK</v>
      </c>
      <c r="H1718" s="3" t="str">
        <f t="array" ref="H1718">IF(I1718="","",IFERROR(_xlfn.XLOOKUP(I1718,Base_Datos!$D$2:$D3876,Base_Datos!$C$2:$C3876),""))</f>
        <v>Serie D</v>
      </c>
      <c r="I1718" s="3" t="s">
        <v>973</v>
      </c>
      <c r="J1718" s="3" t="str">
        <f>IF(I1718="","",IFERROR(VLOOKUP(I1718,Base_Datos!$D$2:$E$72,2,0),""))</f>
        <v>(1.5L)</v>
      </c>
      <c r="K1718" s="3" t="s">
        <v>1782</v>
      </c>
      <c r="L1718" s="3"/>
      <c r="M1718" s="7">
        <v>30</v>
      </c>
      <c r="N1718" s="7">
        <v>0</v>
      </c>
    </row>
    <row r="1719" spans="1:14" ht="14.25" x14ac:dyDescent="0.2">
      <c r="A1719" s="3">
        <v>89249</v>
      </c>
      <c r="B1719" s="3" t="s">
        <v>3772</v>
      </c>
      <c r="C1719" s="3" t="s">
        <v>18</v>
      </c>
      <c r="D1719" s="6" t="s">
        <v>1178</v>
      </c>
      <c r="E1719" s="6" t="s">
        <v>1178</v>
      </c>
      <c r="F1719" s="3" t="str">
        <f>IFERROR( VLOOKUP(A1719,#REF!,2,0),"")</f>
        <v/>
      </c>
      <c r="G1719" s="3" t="str">
        <f t="array" ref="G1719">_xlfn.XLOOKUP(I1719,Base_Datos!D:D,Base_Datos!B:B,"")</f>
        <v>DFSK</v>
      </c>
      <c r="H1719" s="3" t="str">
        <f t="array" ref="H1719">IF(I1719="","",IFERROR(_xlfn.XLOOKUP(I1719,Base_Datos!$D$2:$D3876,Base_Datos!$C$2:$C3876),""))</f>
        <v>Serie D</v>
      </c>
      <c r="I1719" s="3" t="s">
        <v>145</v>
      </c>
      <c r="J1719" s="3" t="str">
        <f>IF(I1719="","",IFERROR(VLOOKUP(I1719,Base_Datos!$D$2:$E$72,2,0),""))</f>
        <v>(2.4L)</v>
      </c>
      <c r="K1719" s="3" t="s">
        <v>1782</v>
      </c>
      <c r="L1719" s="3"/>
      <c r="M1719" s="7">
        <v>0</v>
      </c>
      <c r="N1719" s="7">
        <v>0</v>
      </c>
    </row>
    <row r="1720" spans="1:14" ht="14.25" x14ac:dyDescent="0.2">
      <c r="A1720" s="3">
        <v>89250</v>
      </c>
      <c r="B1720" s="3" t="s">
        <v>3736</v>
      </c>
      <c r="C1720" s="3" t="s">
        <v>22</v>
      </c>
      <c r="D1720" s="6" t="s">
        <v>405</v>
      </c>
      <c r="E1720" s="6" t="s">
        <v>405</v>
      </c>
      <c r="F1720" s="3" t="str">
        <f>IFERROR( VLOOKUP(A1720,#REF!,2,0),"")</f>
        <v/>
      </c>
      <c r="G1720" s="3" t="str">
        <f t="array" ref="G1720">_xlfn.XLOOKUP(I1720,Base_Datos!D:D,Base_Datos!B:B,"")</f>
        <v>DFSK</v>
      </c>
      <c r="H1720" s="3" t="str">
        <f t="array" ref="H1720">IF(I1720="","",IFERROR(_xlfn.XLOOKUP(I1720,Base_Datos!$D$2:$D3876,Base_Datos!$C$2:$C3876),""))</f>
        <v>Serie D</v>
      </c>
      <c r="I1720" s="3" t="s">
        <v>973</v>
      </c>
      <c r="J1720" s="3" t="str">
        <f>IF(I1720="","",IFERROR(VLOOKUP(I1720,Base_Datos!$D$2:$E$72,2,0),""))</f>
        <v>(1.5L)</v>
      </c>
      <c r="K1720" s="3" t="s">
        <v>1782</v>
      </c>
      <c r="L1720" s="3"/>
      <c r="M1720" s="7">
        <v>1</v>
      </c>
      <c r="N1720" s="7">
        <v>0</v>
      </c>
    </row>
    <row r="1721" spans="1:14" ht="14.25" x14ac:dyDescent="0.2">
      <c r="A1721" s="3">
        <v>89252</v>
      </c>
      <c r="B1721" s="3" t="s">
        <v>3544</v>
      </c>
      <c r="C1721" s="3" t="s">
        <v>18</v>
      </c>
      <c r="D1721" s="6" t="s">
        <v>406</v>
      </c>
      <c r="E1721" s="6" t="s">
        <v>406</v>
      </c>
      <c r="F1721" s="3" t="str">
        <f>IFERROR( VLOOKUP(A1721,#REF!,2,0),"")</f>
        <v/>
      </c>
      <c r="G1721" s="3" t="str">
        <f t="array" ref="G1721">_xlfn.XLOOKUP(I1721,Base_Datos!D:D,Base_Datos!B:B,"")</f>
        <v>DFSK</v>
      </c>
      <c r="H1721" s="3" t="str">
        <f t="array" ref="H1721">IF(I1721="","",IFERROR(_xlfn.XLOOKUP(I1721,Base_Datos!$D$2:$D3876,Base_Datos!$C$2:$C3876),""))</f>
        <v>Serie D</v>
      </c>
      <c r="I1721" s="3" t="s">
        <v>973</v>
      </c>
      <c r="J1721" s="3" t="str">
        <f>IF(I1721="","",IFERROR(VLOOKUP(I1721,Base_Datos!$D$2:$E$72,2,0),""))</f>
        <v>(1.5L)</v>
      </c>
      <c r="K1721" s="3" t="s">
        <v>1782</v>
      </c>
      <c r="L1721" s="3"/>
      <c r="M1721" s="7">
        <v>1</v>
      </c>
      <c r="N1721" s="7">
        <v>0</v>
      </c>
    </row>
    <row r="1722" spans="1:14" ht="14.25" x14ac:dyDescent="0.2">
      <c r="A1722" s="3">
        <v>89268</v>
      </c>
      <c r="B1722" s="3" t="s">
        <v>3773</v>
      </c>
      <c r="C1722" s="3" t="s">
        <v>18</v>
      </c>
      <c r="D1722" s="6" t="s">
        <v>407</v>
      </c>
      <c r="E1722" s="6" t="s">
        <v>407</v>
      </c>
      <c r="F1722" s="3" t="str">
        <f>IFERROR( VLOOKUP(A1722,#REF!,2,0),"")</f>
        <v/>
      </c>
      <c r="G1722" s="3" t="str">
        <f t="array" ref="G1722">_xlfn.XLOOKUP(I1722,Base_Datos!D:D,Base_Datos!B:B,"")</f>
        <v>DFSK</v>
      </c>
      <c r="H1722" s="3" t="str">
        <f t="array" ref="H1722">IF(I1722="","",IFERROR(_xlfn.XLOOKUP(I1722,Base_Datos!$D$2:$D3876,Base_Datos!$C$2:$C3876),""))</f>
        <v>Serie Glory</v>
      </c>
      <c r="I1722" s="3" t="s">
        <v>404</v>
      </c>
      <c r="J1722" s="3" t="str">
        <f>IF(I1722="","",IFERROR(VLOOKUP(I1722,Base_Datos!$D$2:$E$72,2,0),""))</f>
        <v>(1.5L)</v>
      </c>
      <c r="K1722" s="3" t="s">
        <v>1782</v>
      </c>
      <c r="L1722" s="3"/>
      <c r="M1722" s="7">
        <v>3</v>
      </c>
      <c r="N1722" s="7">
        <v>0</v>
      </c>
    </row>
    <row r="1723" spans="1:14" ht="14.25" x14ac:dyDescent="0.2">
      <c r="A1723" s="3">
        <v>89269</v>
      </c>
      <c r="B1723" s="3" t="s">
        <v>3774</v>
      </c>
      <c r="C1723" s="3" t="s">
        <v>18</v>
      </c>
      <c r="D1723" s="6" t="s">
        <v>408</v>
      </c>
      <c r="E1723" s="6" t="s">
        <v>408</v>
      </c>
      <c r="F1723" s="3" t="str">
        <f>IFERROR( VLOOKUP(A1723,#REF!,2,0),"")</f>
        <v/>
      </c>
      <c r="G1723" s="3" t="str">
        <f t="array" ref="G1723">_xlfn.XLOOKUP(I1723,Base_Datos!D:D,Base_Datos!B:B,"")</f>
        <v>DFSK</v>
      </c>
      <c r="H1723" s="3" t="str">
        <f t="array" ref="H1723">IF(I1723="","",IFERROR(_xlfn.XLOOKUP(I1723,Base_Datos!$D$2:$D3876,Base_Datos!$C$2:$C3876),""))</f>
        <v>Serie Glory</v>
      </c>
      <c r="I1723" s="3" t="s">
        <v>404</v>
      </c>
      <c r="J1723" s="3" t="str">
        <f>IF(I1723="","",IFERROR(VLOOKUP(I1723,Base_Datos!$D$2:$E$72,2,0),""))</f>
        <v>(1.5L)</v>
      </c>
      <c r="K1723" s="3" t="s">
        <v>1782</v>
      </c>
      <c r="L1723" s="3"/>
      <c r="M1723" s="7">
        <v>3</v>
      </c>
      <c r="N1723" s="7">
        <v>0</v>
      </c>
    </row>
    <row r="1724" spans="1:14" ht="14.25" x14ac:dyDescent="0.2">
      <c r="A1724" s="3">
        <v>89272</v>
      </c>
      <c r="B1724" s="3" t="s">
        <v>3126</v>
      </c>
      <c r="C1724" s="3" t="s">
        <v>18</v>
      </c>
      <c r="D1724" s="6" t="s">
        <v>409</v>
      </c>
      <c r="E1724" s="6" t="s">
        <v>409</v>
      </c>
      <c r="F1724" s="3" t="str">
        <f>IFERROR( VLOOKUP(A1724,#REF!,2,0),"")</f>
        <v/>
      </c>
      <c r="G1724" s="3" t="str">
        <f t="array" ref="G1724">_xlfn.XLOOKUP(I1724,Base_Datos!D:D,Base_Datos!B:B,"")</f>
        <v>DFSK</v>
      </c>
      <c r="H1724" s="3" t="str">
        <f t="array" ref="H1724">IF(I1724="","",IFERROR(_xlfn.XLOOKUP(I1724,Base_Datos!$D$2:$D3876,Base_Datos!$C$2:$C3876),""))</f>
        <v>Serie Glory</v>
      </c>
      <c r="I1724" s="3" t="s">
        <v>404</v>
      </c>
      <c r="J1724" s="3" t="str">
        <f>IF(I1724="","",IFERROR(VLOOKUP(I1724,Base_Datos!$D$2:$E$72,2,0),""))</f>
        <v>(1.5L)</v>
      </c>
      <c r="K1724" s="3" t="s">
        <v>1782</v>
      </c>
      <c r="L1724" s="3"/>
      <c r="M1724" s="7">
        <v>3</v>
      </c>
      <c r="N1724" s="7">
        <v>0</v>
      </c>
    </row>
    <row r="1725" spans="1:14" ht="14.25" x14ac:dyDescent="0.2">
      <c r="A1725" s="3">
        <v>89274</v>
      </c>
      <c r="B1725" s="3" t="s">
        <v>3775</v>
      </c>
      <c r="C1725" s="3" t="s">
        <v>18</v>
      </c>
      <c r="D1725" s="6" t="s">
        <v>410</v>
      </c>
      <c r="E1725" s="6" t="s">
        <v>3776</v>
      </c>
      <c r="F1725" s="3" t="str">
        <f>IFERROR( VLOOKUP(A1725,#REF!,2,0),"")</f>
        <v/>
      </c>
      <c r="G1725" s="3" t="str">
        <f t="array" ref="G1725">_xlfn.XLOOKUP(I1725,Base_Datos!D:D,Base_Datos!B:B,"")</f>
        <v>DFSK</v>
      </c>
      <c r="H1725" s="3" t="str">
        <f t="array" ref="H1725">IF(I1725="","",IFERROR(_xlfn.XLOOKUP(I1725,Base_Datos!$D$2:$D3876,Base_Datos!$C$2:$C3876),""))</f>
        <v>Serie Glory</v>
      </c>
      <c r="I1725" s="3" t="s">
        <v>404</v>
      </c>
      <c r="J1725" s="3" t="str">
        <f>IF(I1725="","",IFERROR(VLOOKUP(I1725,Base_Datos!$D$2:$E$72,2,0),""))</f>
        <v>(1.5L)</v>
      </c>
      <c r="K1725" s="3" t="s">
        <v>1782</v>
      </c>
      <c r="L1725" s="3"/>
      <c r="M1725" s="7">
        <v>3</v>
      </c>
      <c r="N1725" s="7">
        <v>0</v>
      </c>
    </row>
    <row r="1726" spans="1:14" ht="14.25" x14ac:dyDescent="0.2">
      <c r="A1726" s="3">
        <v>89275</v>
      </c>
      <c r="B1726" s="3" t="s">
        <v>3777</v>
      </c>
      <c r="C1726" s="3" t="s">
        <v>18</v>
      </c>
      <c r="D1726" s="6" t="s">
        <v>411</v>
      </c>
      <c r="E1726" s="6" t="s">
        <v>411</v>
      </c>
      <c r="F1726" s="3" t="str">
        <f>IFERROR( VLOOKUP(A1726,#REF!,2,0),"")</f>
        <v/>
      </c>
      <c r="G1726" s="3" t="str">
        <f t="array" ref="G1726">_xlfn.XLOOKUP(I1726,Base_Datos!D:D,Base_Datos!B:B,"")</f>
        <v>DFSK</v>
      </c>
      <c r="H1726" s="3" t="str">
        <f t="array" ref="H1726">IF(I1726="","",IFERROR(_xlfn.XLOOKUP(I1726,Base_Datos!$D$2:$D3876,Base_Datos!$C$2:$C3876),""))</f>
        <v>Serie Glory</v>
      </c>
      <c r="I1726" s="3" t="s">
        <v>404</v>
      </c>
      <c r="J1726" s="3" t="str">
        <f>IF(I1726="","",IFERROR(VLOOKUP(I1726,Base_Datos!$D$2:$E$72,2,0),""))</f>
        <v>(1.5L)</v>
      </c>
      <c r="K1726" s="3" t="s">
        <v>1782</v>
      </c>
      <c r="L1726" s="3"/>
      <c r="M1726" s="7">
        <v>2</v>
      </c>
      <c r="N1726" s="7">
        <v>0</v>
      </c>
    </row>
    <row r="1727" spans="1:14" ht="14.25" x14ac:dyDescent="0.2">
      <c r="A1727" s="3">
        <v>89283</v>
      </c>
      <c r="B1727" s="3" t="s">
        <v>3394</v>
      </c>
      <c r="C1727" s="3" t="s">
        <v>18</v>
      </c>
      <c r="D1727" s="6" t="s">
        <v>412</v>
      </c>
      <c r="E1727" s="6" t="s">
        <v>412</v>
      </c>
      <c r="F1727" s="3" t="str">
        <f>IFERROR( VLOOKUP(A1727,#REF!,2,0),"")</f>
        <v/>
      </c>
      <c r="G1727" s="3" t="str">
        <f t="array" ref="G1727">_xlfn.XLOOKUP(I1727,Base_Datos!D:D,Base_Datos!B:B,"")</f>
        <v>DFSK</v>
      </c>
      <c r="H1727" s="3" t="str">
        <f t="array" ref="H1727">IF(I1727="","",IFERROR(_xlfn.XLOOKUP(I1727,Base_Datos!$D$2:$D3876,Base_Datos!$C$2:$C3876),""))</f>
        <v>Serie Glory</v>
      </c>
      <c r="I1727" s="3" t="s">
        <v>404</v>
      </c>
      <c r="J1727" s="3" t="str">
        <f>IF(I1727="","",IFERROR(VLOOKUP(I1727,Base_Datos!$D$2:$E$72,2,0),""))</f>
        <v>(1.5L)</v>
      </c>
      <c r="K1727" s="3" t="s">
        <v>1782</v>
      </c>
      <c r="L1727" s="3"/>
      <c r="M1727" s="7">
        <v>3</v>
      </c>
      <c r="N1727" s="7">
        <v>0</v>
      </c>
    </row>
    <row r="1728" spans="1:14" ht="14.25" x14ac:dyDescent="0.2">
      <c r="A1728" s="3">
        <v>89284</v>
      </c>
      <c r="B1728" s="3" t="s">
        <v>3393</v>
      </c>
      <c r="C1728" s="3" t="s">
        <v>18</v>
      </c>
      <c r="D1728" s="6" t="s">
        <v>413</v>
      </c>
      <c r="E1728" s="6" t="s">
        <v>413</v>
      </c>
      <c r="F1728" s="3" t="str">
        <f>IFERROR( VLOOKUP(A1728,#REF!,2,0),"")</f>
        <v/>
      </c>
      <c r="G1728" s="3" t="str">
        <f t="array" ref="G1728">_xlfn.XLOOKUP(I1728,Base_Datos!D:D,Base_Datos!B:B,"")</f>
        <v>DFSK</v>
      </c>
      <c r="H1728" s="3" t="str">
        <f t="array" ref="H1728">IF(I1728="","",IFERROR(_xlfn.XLOOKUP(I1728,Base_Datos!$D$2:$D3876,Base_Datos!$C$2:$C3876),""))</f>
        <v>Serie Glory</v>
      </c>
      <c r="I1728" s="3" t="s">
        <v>404</v>
      </c>
      <c r="J1728" s="3" t="str">
        <f>IF(I1728="","",IFERROR(VLOOKUP(I1728,Base_Datos!$D$2:$E$72,2,0),""))</f>
        <v>(1.5L)</v>
      </c>
      <c r="K1728" s="3" t="s">
        <v>1782</v>
      </c>
      <c r="L1728" s="3"/>
      <c r="M1728" s="7">
        <v>3</v>
      </c>
      <c r="N1728" s="7">
        <v>0</v>
      </c>
    </row>
    <row r="1729" spans="1:14" ht="14.25" x14ac:dyDescent="0.2">
      <c r="A1729" s="3">
        <v>89285</v>
      </c>
      <c r="B1729" s="3" t="s">
        <v>2240</v>
      </c>
      <c r="C1729" s="3" t="s">
        <v>18</v>
      </c>
      <c r="D1729" s="6" t="s">
        <v>414</v>
      </c>
      <c r="E1729" s="6" t="s">
        <v>414</v>
      </c>
      <c r="F1729" s="3" t="str">
        <f>IFERROR( VLOOKUP(A1729,#REF!,2,0),"")</f>
        <v/>
      </c>
      <c r="G1729" s="3" t="str">
        <f t="array" ref="G1729">_xlfn.XLOOKUP(I1729,Base_Datos!D:D,Base_Datos!B:B,"")</f>
        <v>DFSK</v>
      </c>
      <c r="H1729" s="3" t="str">
        <f t="array" ref="H1729">IF(I1729="","",IFERROR(_xlfn.XLOOKUP(I1729,Base_Datos!$D$2:$D3876,Base_Datos!$C$2:$C3876),""))</f>
        <v>Serie Glory</v>
      </c>
      <c r="I1729" s="3" t="s">
        <v>404</v>
      </c>
      <c r="J1729" s="3" t="str">
        <f>IF(I1729="","",IFERROR(VLOOKUP(I1729,Base_Datos!$D$2:$E$72,2,0),""))</f>
        <v>(1.5L)</v>
      </c>
      <c r="K1729" s="3" t="s">
        <v>1782</v>
      </c>
      <c r="L1729" s="3"/>
      <c r="M1729" s="7">
        <v>3</v>
      </c>
      <c r="N1729" s="7">
        <v>0</v>
      </c>
    </row>
    <row r="1730" spans="1:14" ht="14.25" x14ac:dyDescent="0.2">
      <c r="A1730" s="3">
        <v>89289</v>
      </c>
      <c r="B1730" s="3" t="s">
        <v>1877</v>
      </c>
      <c r="C1730" s="3" t="s">
        <v>18</v>
      </c>
      <c r="D1730" s="6" t="s">
        <v>415</v>
      </c>
      <c r="E1730" s="6" t="s">
        <v>415</v>
      </c>
      <c r="F1730" s="3" t="str">
        <f>IFERROR( VLOOKUP(A1730,#REF!,2,0),"")</f>
        <v/>
      </c>
      <c r="G1730" s="3" t="str">
        <f t="array" ref="G1730">_xlfn.XLOOKUP(I1730,Base_Datos!D:D,Base_Datos!B:B,"")</f>
        <v>DFSK</v>
      </c>
      <c r="H1730" s="3" t="str">
        <f t="array" ref="H1730">IF(I1730="","",IFERROR(_xlfn.XLOOKUP(I1730,Base_Datos!$D$2:$D3876,Base_Datos!$C$2:$C3876),""))</f>
        <v>Serie Glory</v>
      </c>
      <c r="I1730" s="3" t="s">
        <v>404</v>
      </c>
      <c r="J1730" s="3" t="str">
        <f>IF(I1730="","",IFERROR(VLOOKUP(I1730,Base_Datos!$D$2:$E$72,2,0),""))</f>
        <v>(1.5L)</v>
      </c>
      <c r="K1730" s="3" t="s">
        <v>1782</v>
      </c>
      <c r="L1730" s="3"/>
      <c r="M1730" s="7">
        <v>3</v>
      </c>
      <c r="N1730" s="7">
        <v>0</v>
      </c>
    </row>
    <row r="1731" spans="1:14" ht="14.25" x14ac:dyDescent="0.2">
      <c r="A1731" s="3">
        <v>89290</v>
      </c>
      <c r="B1731" s="3" t="s">
        <v>3778</v>
      </c>
      <c r="C1731" s="3" t="s">
        <v>18</v>
      </c>
      <c r="D1731" s="6" t="s">
        <v>416</v>
      </c>
      <c r="E1731" s="6" t="s">
        <v>416</v>
      </c>
      <c r="F1731" s="3" t="str">
        <f>IFERROR( VLOOKUP(A1731,#REF!,2,0),"")</f>
        <v/>
      </c>
      <c r="G1731" s="3" t="str">
        <f t="array" ref="G1731">_xlfn.XLOOKUP(I1731,Base_Datos!D:D,Base_Datos!B:B,"")</f>
        <v>DFSK</v>
      </c>
      <c r="H1731" s="3" t="str">
        <f t="array" ref="H1731">IF(I1731="","",IFERROR(_xlfn.XLOOKUP(I1731,Base_Datos!$D$2:$D3876,Base_Datos!$C$2:$C3876),""))</f>
        <v>Serie Glory</v>
      </c>
      <c r="I1731" s="3" t="s">
        <v>404</v>
      </c>
      <c r="J1731" s="3" t="str">
        <f>IF(I1731="","",IFERROR(VLOOKUP(I1731,Base_Datos!$D$2:$E$72,2,0),""))</f>
        <v>(1.5L)</v>
      </c>
      <c r="K1731" s="3" t="s">
        <v>1782</v>
      </c>
      <c r="L1731" s="3"/>
      <c r="M1731" s="7">
        <v>6</v>
      </c>
      <c r="N1731" s="7">
        <v>0</v>
      </c>
    </row>
    <row r="1732" spans="1:14" ht="14.25" x14ac:dyDescent="0.2">
      <c r="A1732" s="3">
        <v>89293</v>
      </c>
      <c r="B1732" s="3" t="s">
        <v>3779</v>
      </c>
      <c r="C1732" s="3" t="s">
        <v>18</v>
      </c>
      <c r="D1732" s="6" t="s">
        <v>417</v>
      </c>
      <c r="E1732" s="6" t="s">
        <v>417</v>
      </c>
      <c r="F1732" s="3" t="str">
        <f>IFERROR( VLOOKUP(A1732,#REF!,2,0),"")</f>
        <v/>
      </c>
      <c r="G1732" s="3" t="str">
        <f t="array" ref="G1732">_xlfn.XLOOKUP(I1732,Base_Datos!D:D,Base_Datos!B:B,"")</f>
        <v>DFSK</v>
      </c>
      <c r="H1732" s="3" t="str">
        <f t="array" ref="H1732">IF(I1732="","",IFERROR(_xlfn.XLOOKUP(I1732,Base_Datos!$D$2:$D3876,Base_Datos!$C$2:$C3876),""))</f>
        <v>Serie Glory</v>
      </c>
      <c r="I1732" s="3" t="s">
        <v>404</v>
      </c>
      <c r="J1732" s="3" t="str">
        <f>IF(I1732="","",IFERROR(VLOOKUP(I1732,Base_Datos!$D$2:$E$72,2,0),""))</f>
        <v>(1.5L)</v>
      </c>
      <c r="K1732" s="3" t="s">
        <v>1782</v>
      </c>
      <c r="L1732" s="3"/>
      <c r="M1732" s="7">
        <v>8</v>
      </c>
      <c r="N1732" s="7">
        <v>0</v>
      </c>
    </row>
    <row r="1733" spans="1:14" ht="14.25" x14ac:dyDescent="0.2">
      <c r="A1733" s="3">
        <v>89303</v>
      </c>
      <c r="B1733" s="3" t="s">
        <v>1827</v>
      </c>
      <c r="C1733" s="3" t="s">
        <v>18</v>
      </c>
      <c r="D1733" s="6" t="s">
        <v>419</v>
      </c>
      <c r="E1733" s="6" t="s">
        <v>419</v>
      </c>
      <c r="F1733" s="3" t="str">
        <f>IFERROR( VLOOKUP(A1733,#REF!,2,0),"")</f>
        <v/>
      </c>
      <c r="G1733" s="3" t="str">
        <f t="array" ref="G1733">_xlfn.XLOOKUP(I1733,Base_Datos!D:D,Base_Datos!B:B,"")</f>
        <v>DFSK</v>
      </c>
      <c r="H1733" s="3" t="str">
        <f t="array" ref="H1733">IF(I1733="","",IFERROR(_xlfn.XLOOKUP(I1733,Base_Datos!$D$2:$D3876,Base_Datos!$C$2:$C3876),""))</f>
        <v>Serie Glory</v>
      </c>
      <c r="I1733" s="3" t="s">
        <v>404</v>
      </c>
      <c r="J1733" s="3" t="str">
        <f>IF(I1733="","",IFERROR(VLOOKUP(I1733,Base_Datos!$D$2:$E$72,2,0),""))</f>
        <v>(1.5L)</v>
      </c>
      <c r="K1733" s="3" t="s">
        <v>1782</v>
      </c>
      <c r="L1733" s="3"/>
      <c r="M1733" s="7">
        <v>3</v>
      </c>
      <c r="N1733" s="7">
        <v>0</v>
      </c>
    </row>
    <row r="1734" spans="1:14" ht="14.25" x14ac:dyDescent="0.2">
      <c r="A1734" s="3">
        <v>89304</v>
      </c>
      <c r="B1734" s="3" t="s">
        <v>2448</v>
      </c>
      <c r="C1734" s="3" t="s">
        <v>18</v>
      </c>
      <c r="D1734" s="6" t="s">
        <v>420</v>
      </c>
      <c r="E1734" s="6" t="s">
        <v>420</v>
      </c>
      <c r="F1734" s="3" t="str">
        <f>IFERROR( VLOOKUP(A1734,#REF!,2,0),"")</f>
        <v/>
      </c>
      <c r="G1734" s="3" t="str">
        <f t="array" ref="G1734">_xlfn.XLOOKUP(I1734,Base_Datos!D:D,Base_Datos!B:B,"")</f>
        <v>DFSK</v>
      </c>
      <c r="H1734" s="3" t="str">
        <f t="array" ref="H1734">IF(I1734="","",IFERROR(_xlfn.XLOOKUP(I1734,Base_Datos!$D$2:$D3876,Base_Datos!$C$2:$C3876),""))</f>
        <v>Serie Glory</v>
      </c>
      <c r="I1734" s="3" t="s">
        <v>404</v>
      </c>
      <c r="J1734" s="3" t="str">
        <f>IF(I1734="","",IFERROR(VLOOKUP(I1734,Base_Datos!$D$2:$E$72,2,0),""))</f>
        <v>(1.5L)</v>
      </c>
      <c r="K1734" s="3" t="s">
        <v>1782</v>
      </c>
      <c r="L1734" s="3"/>
      <c r="M1734" s="7">
        <v>3</v>
      </c>
      <c r="N1734" s="7">
        <v>0</v>
      </c>
    </row>
    <row r="1735" spans="1:14" ht="14.25" x14ac:dyDescent="0.2">
      <c r="A1735" s="3">
        <v>89310</v>
      </c>
      <c r="B1735" s="3" t="s">
        <v>3780</v>
      </c>
      <c r="C1735" s="3" t="s">
        <v>18</v>
      </c>
      <c r="D1735" s="6" t="s">
        <v>421</v>
      </c>
      <c r="E1735" s="6" t="s">
        <v>421</v>
      </c>
      <c r="F1735" s="3" t="str">
        <f>IFERROR( VLOOKUP(A1735,#REF!,2,0),"")</f>
        <v/>
      </c>
      <c r="G1735" s="3" t="str">
        <f t="array" ref="G1735">_xlfn.XLOOKUP(I1735,Base_Datos!D:D,Base_Datos!B:B,"")</f>
        <v>DFSK</v>
      </c>
      <c r="H1735" s="3" t="str">
        <f t="array" ref="H1735">IF(I1735="","",IFERROR(_xlfn.XLOOKUP(I1735,Base_Datos!$D$2:$D3876,Base_Datos!$C$2:$C3876),""))</f>
        <v>Serie Glory</v>
      </c>
      <c r="I1735" s="3" t="s">
        <v>404</v>
      </c>
      <c r="J1735" s="3" t="str">
        <f>IF(I1735="","",IFERROR(VLOOKUP(I1735,Base_Datos!$D$2:$E$72,2,0),""))</f>
        <v>(1.5L)</v>
      </c>
      <c r="K1735" s="3" t="s">
        <v>1782</v>
      </c>
      <c r="L1735" s="3"/>
      <c r="M1735" s="7">
        <v>40</v>
      </c>
      <c r="N1735" s="7">
        <v>0</v>
      </c>
    </row>
    <row r="1736" spans="1:14" ht="14.25" x14ac:dyDescent="0.2">
      <c r="A1736" s="3">
        <v>89312</v>
      </c>
      <c r="B1736" s="3" t="s">
        <v>3781</v>
      </c>
      <c r="C1736" s="3" t="s">
        <v>18</v>
      </c>
      <c r="D1736" s="6" t="s">
        <v>422</v>
      </c>
      <c r="E1736" s="6" t="s">
        <v>422</v>
      </c>
      <c r="F1736" s="3" t="str">
        <f>IFERROR( VLOOKUP(A1736,#REF!,2,0),"")</f>
        <v/>
      </c>
      <c r="G1736" s="3" t="str">
        <f t="array" ref="G1736">_xlfn.XLOOKUP(I1736,Base_Datos!D:D,Base_Datos!B:B,"")</f>
        <v>DFSK</v>
      </c>
      <c r="H1736" s="3" t="str">
        <f t="array" ref="H1736">IF(I1736="","",IFERROR(_xlfn.XLOOKUP(I1736,Base_Datos!$D$2:$D3876,Base_Datos!$C$2:$C3876),""))</f>
        <v>Serie Glory</v>
      </c>
      <c r="I1736" s="3" t="s">
        <v>404</v>
      </c>
      <c r="J1736" s="3" t="str">
        <f>IF(I1736="","",IFERROR(VLOOKUP(I1736,Base_Datos!$D$2:$E$72,2,0),""))</f>
        <v>(1.5L)</v>
      </c>
      <c r="K1736" s="3" t="s">
        <v>1782</v>
      </c>
      <c r="L1736" s="3"/>
      <c r="M1736" s="7">
        <v>5</v>
      </c>
      <c r="N1736" s="7">
        <v>0</v>
      </c>
    </row>
    <row r="1737" spans="1:14" ht="14.25" x14ac:dyDescent="0.2">
      <c r="A1737" s="3">
        <v>89313</v>
      </c>
      <c r="B1737" s="3" t="s">
        <v>3782</v>
      </c>
      <c r="C1737" s="3" t="s">
        <v>18</v>
      </c>
      <c r="D1737" s="6" t="s">
        <v>423</v>
      </c>
      <c r="E1737" s="6" t="s">
        <v>423</v>
      </c>
      <c r="F1737" s="3" t="str">
        <f>IFERROR( VLOOKUP(A1737,#REF!,2,0),"")</f>
        <v/>
      </c>
      <c r="G1737" s="3" t="str">
        <f t="array" ref="G1737">_xlfn.XLOOKUP(I1737,Base_Datos!D:D,Base_Datos!B:B,"")</f>
        <v>DFSK</v>
      </c>
      <c r="H1737" s="3" t="str">
        <f t="array" ref="H1737">IF(I1737="","",IFERROR(_xlfn.XLOOKUP(I1737,Base_Datos!$D$2:$D3876,Base_Datos!$C$2:$C3876),""))</f>
        <v>Serie Glory</v>
      </c>
      <c r="I1737" s="3" t="s">
        <v>404</v>
      </c>
      <c r="J1737" s="3" t="str">
        <f>IF(I1737="","",IFERROR(VLOOKUP(I1737,Base_Datos!$D$2:$E$72,2,0),""))</f>
        <v>(1.5L)</v>
      </c>
      <c r="K1737" s="3" t="s">
        <v>1782</v>
      </c>
      <c r="L1737" s="3"/>
      <c r="M1737" s="7">
        <v>5</v>
      </c>
      <c r="N1737" s="7">
        <v>0</v>
      </c>
    </row>
    <row r="1738" spans="1:14" ht="14.25" x14ac:dyDescent="0.2">
      <c r="A1738" s="3">
        <v>89323</v>
      </c>
      <c r="B1738" s="3" t="s">
        <v>3783</v>
      </c>
      <c r="C1738" s="3" t="s">
        <v>18</v>
      </c>
      <c r="D1738" s="6" t="s">
        <v>424</v>
      </c>
      <c r="E1738" s="6" t="s">
        <v>424</v>
      </c>
      <c r="F1738" s="3" t="str">
        <f>IFERROR( VLOOKUP(A1738,#REF!,2,0),"")</f>
        <v/>
      </c>
      <c r="G1738" s="3" t="str">
        <f t="array" ref="G1738">_xlfn.XLOOKUP(I1738,Base_Datos!D:D,Base_Datos!B:B,"")</f>
        <v>DFSK</v>
      </c>
      <c r="H1738" s="3" t="str">
        <f t="array" ref="H1738">IF(I1738="","",IFERROR(_xlfn.XLOOKUP(I1738,Base_Datos!$D$2:$D3876,Base_Datos!$C$2:$C3876),""))</f>
        <v>Serie Glory</v>
      </c>
      <c r="I1738" s="3" t="s">
        <v>404</v>
      </c>
      <c r="J1738" s="3" t="str">
        <f>IF(I1738="","",IFERROR(VLOOKUP(I1738,Base_Datos!$D$2:$E$72,2,0),""))</f>
        <v>(1.5L)</v>
      </c>
      <c r="K1738" s="3" t="s">
        <v>1782</v>
      </c>
      <c r="L1738" s="3"/>
      <c r="M1738" s="7">
        <v>23</v>
      </c>
      <c r="N1738" s="7">
        <v>0</v>
      </c>
    </row>
    <row r="1739" spans="1:14" ht="14.25" x14ac:dyDescent="0.2">
      <c r="A1739" s="3">
        <v>89324</v>
      </c>
      <c r="B1739" s="3" t="s">
        <v>3784</v>
      </c>
      <c r="C1739" s="3" t="s">
        <v>18</v>
      </c>
      <c r="D1739" s="6" t="s">
        <v>425</v>
      </c>
      <c r="E1739" s="6" t="s">
        <v>425</v>
      </c>
      <c r="F1739" s="3" t="str">
        <f>IFERROR( VLOOKUP(A1739,#REF!,2,0),"")</f>
        <v/>
      </c>
      <c r="G1739" s="3" t="str">
        <f t="array" ref="G1739">_xlfn.XLOOKUP(I1739,Base_Datos!D:D,Base_Datos!B:B,"")</f>
        <v>DFSK</v>
      </c>
      <c r="H1739" s="3" t="str">
        <f t="array" ref="H1739">IF(I1739="","",IFERROR(_xlfn.XLOOKUP(I1739,Base_Datos!$D$2:$D3876,Base_Datos!$C$2:$C3876),""))</f>
        <v>Serie Glory</v>
      </c>
      <c r="I1739" s="3" t="s">
        <v>404</v>
      </c>
      <c r="J1739" s="3" t="str">
        <f>IF(I1739="","",IFERROR(VLOOKUP(I1739,Base_Datos!$D$2:$E$72,2,0),""))</f>
        <v>(1.5L)</v>
      </c>
      <c r="K1739" s="3" t="s">
        <v>1782</v>
      </c>
      <c r="L1739" s="3"/>
      <c r="M1739" s="7">
        <v>21</v>
      </c>
      <c r="N1739" s="7">
        <v>0</v>
      </c>
    </row>
    <row r="1740" spans="1:14" ht="14.25" x14ac:dyDescent="0.2">
      <c r="A1740" s="3">
        <v>89325</v>
      </c>
      <c r="B1740" s="3" t="s">
        <v>3598</v>
      </c>
      <c r="C1740" s="3" t="s">
        <v>18</v>
      </c>
      <c r="D1740" s="6" t="s">
        <v>426</v>
      </c>
      <c r="E1740" s="6" t="s">
        <v>3785</v>
      </c>
      <c r="F1740" s="3" t="str">
        <f>IFERROR( VLOOKUP(A1740,#REF!,2,0),"")</f>
        <v/>
      </c>
      <c r="G1740" s="3" t="str">
        <f t="array" ref="G1740">_xlfn.XLOOKUP(I1740,Base_Datos!D:D,Base_Datos!B:B,"")</f>
        <v>DFSK</v>
      </c>
      <c r="H1740" s="3" t="str">
        <f t="array" ref="H1740">IF(I1740="","",IFERROR(_xlfn.XLOOKUP(I1740,Base_Datos!$D$2:$D3876,Base_Datos!$C$2:$C3876),""))</f>
        <v>Serie Glory</v>
      </c>
      <c r="I1740" s="3" t="s">
        <v>404</v>
      </c>
      <c r="J1740" s="3" t="str">
        <f>IF(I1740="","",IFERROR(VLOOKUP(I1740,Base_Datos!$D$2:$E$72,2,0),""))</f>
        <v>(1.5L)</v>
      </c>
      <c r="K1740" s="3" t="s">
        <v>1782</v>
      </c>
      <c r="L1740" s="3"/>
      <c r="M1740" s="7">
        <v>4</v>
      </c>
      <c r="N1740" s="7">
        <v>0</v>
      </c>
    </row>
    <row r="1741" spans="1:14" ht="14.25" x14ac:dyDescent="0.2">
      <c r="A1741" s="3">
        <v>89328</v>
      </c>
      <c r="B1741" s="3" t="s">
        <v>3786</v>
      </c>
      <c r="C1741" s="3" t="s">
        <v>15</v>
      </c>
      <c r="D1741" s="6" t="s">
        <v>427</v>
      </c>
      <c r="E1741" s="6" t="s">
        <v>427</v>
      </c>
      <c r="F1741" s="3" t="str">
        <f>IFERROR( VLOOKUP(A1741,#REF!,2,0),"")</f>
        <v/>
      </c>
      <c r="G1741" s="3">
        <f t="array" ref="G1741">_xlfn.XLOOKUP(I1741,Base_Datos!D:D,Base_Datos!B:B,"")</f>
        <v>0</v>
      </c>
      <c r="H1741" s="3" t="str">
        <f t="array" ref="H1741">IF(I1741="","",IFERROR(_xlfn.XLOOKUP(I1741,Base_Datos!$D$2:$D3876,Base_Datos!$C$2:$C3876),""))</f>
        <v/>
      </c>
      <c r="I1741" s="3"/>
      <c r="J1741" s="3" t="str">
        <f>IF(I1741="","",IFERROR(VLOOKUP(I1741,Base_Datos!$D$2:$E$72,2,0),""))</f>
        <v/>
      </c>
      <c r="K1741" s="3" t="s">
        <v>1782</v>
      </c>
      <c r="L1741" s="3"/>
      <c r="M1741" s="7">
        <v>24</v>
      </c>
      <c r="N1741" s="7">
        <v>0</v>
      </c>
    </row>
    <row r="1742" spans="1:14" ht="14.25" x14ac:dyDescent="0.2">
      <c r="A1742" s="3">
        <v>89329</v>
      </c>
      <c r="B1742" s="3" t="s">
        <v>3786</v>
      </c>
      <c r="C1742" s="3" t="s">
        <v>15</v>
      </c>
      <c r="D1742" s="6" t="s">
        <v>428</v>
      </c>
      <c r="E1742" s="6" t="s">
        <v>428</v>
      </c>
      <c r="F1742" s="3" t="str">
        <f>IFERROR( VLOOKUP(A1742,#REF!,2,0),"")</f>
        <v/>
      </c>
      <c r="G1742" s="3">
        <f t="array" ref="G1742">_xlfn.XLOOKUP(I1742,Base_Datos!D:D,Base_Datos!B:B,"")</f>
        <v>0</v>
      </c>
      <c r="H1742" s="3" t="str">
        <f t="array" ref="H1742">IF(I1742="","",IFERROR(_xlfn.XLOOKUP(I1742,Base_Datos!$D$2:$D3876,Base_Datos!$C$2:$C3876),""))</f>
        <v/>
      </c>
      <c r="I1742" s="3"/>
      <c r="J1742" s="3" t="str">
        <f>IF(I1742="","",IFERROR(VLOOKUP(I1742,Base_Datos!$D$2:$E$72,2,0),""))</f>
        <v/>
      </c>
      <c r="K1742" s="3" t="s">
        <v>1782</v>
      </c>
      <c r="L1742" s="3"/>
      <c r="M1742" s="7">
        <v>24</v>
      </c>
      <c r="N1742" s="7">
        <v>0</v>
      </c>
    </row>
    <row r="1743" spans="1:14" ht="14.25" x14ac:dyDescent="0.2">
      <c r="A1743" s="3">
        <v>89330</v>
      </c>
      <c r="B1743" s="3" t="s">
        <v>3786</v>
      </c>
      <c r="C1743" s="3" t="s">
        <v>15</v>
      </c>
      <c r="D1743" s="6" t="s">
        <v>429</v>
      </c>
      <c r="E1743" s="6" t="s">
        <v>429</v>
      </c>
      <c r="F1743" s="3" t="str">
        <f>IFERROR( VLOOKUP(A1743,#REF!,2,0),"")</f>
        <v/>
      </c>
      <c r="G1743" s="3">
        <f t="array" ref="G1743">_xlfn.XLOOKUP(I1743,Base_Datos!D:D,Base_Datos!B:B,"")</f>
        <v>0</v>
      </c>
      <c r="H1743" s="3" t="str">
        <f t="array" ref="H1743">IF(I1743="","",IFERROR(_xlfn.XLOOKUP(I1743,Base_Datos!$D$2:$D3876,Base_Datos!$C$2:$C3876),""))</f>
        <v/>
      </c>
      <c r="I1743" s="3"/>
      <c r="J1743" s="3" t="str">
        <f>IF(I1743="","",IFERROR(VLOOKUP(I1743,Base_Datos!$D$2:$E$72,2,0),""))</f>
        <v/>
      </c>
      <c r="K1743" s="3" t="s">
        <v>1782</v>
      </c>
      <c r="L1743" s="3"/>
      <c r="M1743" s="7">
        <v>25</v>
      </c>
      <c r="N1743" s="7">
        <v>0</v>
      </c>
    </row>
    <row r="1744" spans="1:14" ht="14.25" x14ac:dyDescent="0.2">
      <c r="A1744" s="3">
        <v>89331</v>
      </c>
      <c r="B1744" s="3" t="s">
        <v>3786</v>
      </c>
      <c r="C1744" s="3" t="s">
        <v>15</v>
      </c>
      <c r="D1744" s="6" t="s">
        <v>430</v>
      </c>
      <c r="E1744" s="6" t="s">
        <v>430</v>
      </c>
      <c r="F1744" s="3" t="str">
        <f>IFERROR( VLOOKUP(A1744,#REF!,2,0),"")</f>
        <v/>
      </c>
      <c r="G1744" s="3">
        <f t="array" ref="G1744">_xlfn.XLOOKUP(I1744,Base_Datos!D:D,Base_Datos!B:B,"")</f>
        <v>0</v>
      </c>
      <c r="H1744" s="3" t="str">
        <f t="array" ref="H1744">IF(I1744="","",IFERROR(_xlfn.XLOOKUP(I1744,Base_Datos!$D$2:$D3876,Base_Datos!$C$2:$C3876),""))</f>
        <v/>
      </c>
      <c r="I1744" s="3"/>
      <c r="J1744" s="3" t="str">
        <f>IF(I1744="","",IFERROR(VLOOKUP(I1744,Base_Datos!$D$2:$E$72,2,0),""))</f>
        <v/>
      </c>
      <c r="K1744" s="3" t="s">
        <v>1782</v>
      </c>
      <c r="L1744" s="3"/>
      <c r="M1744" s="7">
        <v>24</v>
      </c>
      <c r="N1744" s="7">
        <v>0</v>
      </c>
    </row>
    <row r="1745" spans="1:14" ht="14.25" x14ac:dyDescent="0.2">
      <c r="A1745" s="3">
        <v>89332</v>
      </c>
      <c r="B1745" s="3" t="s">
        <v>3786</v>
      </c>
      <c r="C1745" s="3" t="s">
        <v>15</v>
      </c>
      <c r="D1745" s="6" t="s">
        <v>431</v>
      </c>
      <c r="E1745" s="6" t="s">
        <v>431</v>
      </c>
      <c r="F1745" s="3" t="str">
        <f>IFERROR( VLOOKUP(A1745,#REF!,2,0),"")</f>
        <v/>
      </c>
      <c r="G1745" s="3">
        <f t="array" ref="G1745">_xlfn.XLOOKUP(I1745,Base_Datos!D:D,Base_Datos!B:B,"")</f>
        <v>0</v>
      </c>
      <c r="H1745" s="3" t="str">
        <f t="array" ref="H1745">IF(I1745="","",IFERROR(_xlfn.XLOOKUP(I1745,Base_Datos!$D$2:$D3876,Base_Datos!$C$2:$C3876),""))</f>
        <v/>
      </c>
      <c r="I1745" s="3"/>
      <c r="J1745" s="3" t="str">
        <f>IF(I1745="","",IFERROR(VLOOKUP(I1745,Base_Datos!$D$2:$E$72,2,0),""))</f>
        <v/>
      </c>
      <c r="K1745" s="3" t="s">
        <v>1782</v>
      </c>
      <c r="L1745" s="3"/>
      <c r="M1745" s="7">
        <v>24</v>
      </c>
      <c r="N1745" s="7">
        <v>0</v>
      </c>
    </row>
    <row r="1746" spans="1:14" ht="14.25" x14ac:dyDescent="0.2">
      <c r="A1746" s="3">
        <v>89333</v>
      </c>
      <c r="B1746" s="3" t="s">
        <v>3787</v>
      </c>
      <c r="C1746" s="3" t="s">
        <v>15</v>
      </c>
      <c r="D1746" s="6" t="s">
        <v>432</v>
      </c>
      <c r="E1746" s="6" t="s">
        <v>3788</v>
      </c>
      <c r="F1746" s="3" t="str">
        <f>IFERROR( VLOOKUP(A1746,#REF!,2,0),"")</f>
        <v/>
      </c>
      <c r="G1746" s="3">
        <f t="array" ref="G1746">_xlfn.XLOOKUP(I1746,Base_Datos!D:D,Base_Datos!B:B,"")</f>
        <v>0</v>
      </c>
      <c r="H1746" s="3" t="str">
        <f t="array" ref="H1746">IF(I1746="","",IFERROR(_xlfn.XLOOKUP(I1746,Base_Datos!$D$2:$D3876,Base_Datos!$C$2:$C3876),""))</f>
        <v/>
      </c>
      <c r="I1746" s="3"/>
      <c r="J1746" s="3" t="str">
        <f>IF(I1746="","",IFERROR(VLOOKUP(I1746,Base_Datos!$D$2:$E$72,2,0),""))</f>
        <v/>
      </c>
      <c r="K1746" s="3" t="s">
        <v>1782</v>
      </c>
      <c r="L1746" s="3"/>
      <c r="M1746" s="7">
        <v>24</v>
      </c>
      <c r="N1746" s="7">
        <v>0</v>
      </c>
    </row>
    <row r="1747" spans="1:14" ht="14.25" x14ac:dyDescent="0.2">
      <c r="A1747" s="3">
        <v>89334</v>
      </c>
      <c r="B1747" s="3" t="s">
        <v>3787</v>
      </c>
      <c r="C1747" s="3" t="s">
        <v>15</v>
      </c>
      <c r="D1747" s="6" t="s">
        <v>3789</v>
      </c>
      <c r="E1747" s="6" t="s">
        <v>3789</v>
      </c>
      <c r="F1747" s="3" t="str">
        <f>IFERROR( VLOOKUP(A1747,#REF!,2,0),"")</f>
        <v/>
      </c>
      <c r="G1747" s="3">
        <f t="array" ref="G1747">_xlfn.XLOOKUP(I1747,Base_Datos!D:D,Base_Datos!B:B,"")</f>
        <v>0</v>
      </c>
      <c r="H1747" s="3" t="str">
        <f t="array" ref="H1747">IF(I1747="","",IFERROR(_xlfn.XLOOKUP(I1747,Base_Datos!$D$2:$D3876,Base_Datos!$C$2:$C3876),""))</f>
        <v/>
      </c>
      <c r="I1747" s="3"/>
      <c r="J1747" s="3" t="str">
        <f>IF(I1747="","",IFERROR(VLOOKUP(I1747,Base_Datos!$D$2:$E$72,2,0),""))</f>
        <v/>
      </c>
      <c r="K1747" s="3" t="s">
        <v>1782</v>
      </c>
      <c r="L1747" s="3"/>
      <c r="M1747" s="7">
        <v>23</v>
      </c>
      <c r="N1747" s="7">
        <v>0</v>
      </c>
    </row>
    <row r="1748" spans="1:14" ht="14.25" x14ac:dyDescent="0.2">
      <c r="A1748" s="3">
        <v>89335</v>
      </c>
      <c r="B1748" s="3" t="s">
        <v>3787</v>
      </c>
      <c r="C1748" s="3" t="s">
        <v>15</v>
      </c>
      <c r="D1748" s="6" t="s">
        <v>433</v>
      </c>
      <c r="E1748" s="6" t="s">
        <v>433</v>
      </c>
      <c r="F1748" s="3" t="str">
        <f>IFERROR( VLOOKUP(A1748,#REF!,2,0),"")</f>
        <v/>
      </c>
      <c r="G1748" s="3">
        <f t="array" ref="G1748">_xlfn.XLOOKUP(I1748,Base_Datos!D:D,Base_Datos!B:B,"")</f>
        <v>0</v>
      </c>
      <c r="H1748" s="3" t="str">
        <f t="array" ref="H1748">IF(I1748="","",IFERROR(_xlfn.XLOOKUP(I1748,Base_Datos!$D$2:$D3876,Base_Datos!$C$2:$C3876),""))</f>
        <v/>
      </c>
      <c r="I1748" s="3"/>
      <c r="J1748" s="3" t="str">
        <f>IF(I1748="","",IFERROR(VLOOKUP(I1748,Base_Datos!$D$2:$E$72,2,0),""))</f>
        <v/>
      </c>
      <c r="K1748" s="3" t="s">
        <v>1782</v>
      </c>
      <c r="L1748" s="3"/>
      <c r="M1748" s="7">
        <v>24</v>
      </c>
      <c r="N1748" s="7">
        <v>0</v>
      </c>
    </row>
    <row r="1749" spans="1:14" ht="14.25" x14ac:dyDescent="0.2">
      <c r="A1749" s="3">
        <v>89336</v>
      </c>
      <c r="B1749" s="3" t="s">
        <v>3787</v>
      </c>
      <c r="C1749" s="3" t="s">
        <v>15</v>
      </c>
      <c r="D1749" s="6" t="s">
        <v>434</v>
      </c>
      <c r="E1749" s="6" t="s">
        <v>434</v>
      </c>
      <c r="F1749" s="3" t="str">
        <f>IFERROR( VLOOKUP(A1749,#REF!,2,0),"")</f>
        <v/>
      </c>
      <c r="G1749" s="3">
        <f t="array" ref="G1749">_xlfn.XLOOKUP(I1749,Base_Datos!D:D,Base_Datos!B:B,"")</f>
        <v>0</v>
      </c>
      <c r="H1749" s="3" t="str">
        <f t="array" ref="H1749">IF(I1749="","",IFERROR(_xlfn.XLOOKUP(I1749,Base_Datos!$D$2:$D3876,Base_Datos!$C$2:$C3876),""))</f>
        <v/>
      </c>
      <c r="I1749" s="3"/>
      <c r="J1749" s="3" t="str">
        <f>IF(I1749="","",IFERROR(VLOOKUP(I1749,Base_Datos!$D$2:$E$72,2,0),""))</f>
        <v/>
      </c>
      <c r="K1749" s="3" t="s">
        <v>1782</v>
      </c>
      <c r="L1749" s="3"/>
      <c r="M1749" s="7">
        <v>24</v>
      </c>
      <c r="N1749" s="7">
        <v>0</v>
      </c>
    </row>
    <row r="1750" spans="1:14" ht="14.25" x14ac:dyDescent="0.2">
      <c r="A1750" s="3">
        <v>89337</v>
      </c>
      <c r="B1750" s="3" t="s">
        <v>3790</v>
      </c>
      <c r="C1750" s="3" t="s">
        <v>15</v>
      </c>
      <c r="D1750" s="6" t="s">
        <v>435</v>
      </c>
      <c r="E1750" s="6" t="s">
        <v>435</v>
      </c>
      <c r="F1750" s="3" t="str">
        <f>IFERROR( VLOOKUP(A1750,#REF!,2,0),"")</f>
        <v/>
      </c>
      <c r="G1750" s="3">
        <f t="array" ref="G1750">_xlfn.XLOOKUP(I1750,Base_Datos!D:D,Base_Datos!B:B,"")</f>
        <v>0</v>
      </c>
      <c r="H1750" s="3" t="str">
        <f t="array" ref="H1750">IF(I1750="","",IFERROR(_xlfn.XLOOKUP(I1750,Base_Datos!$D$2:$D3876,Base_Datos!$C$2:$C3876),""))</f>
        <v/>
      </c>
      <c r="I1750" s="3"/>
      <c r="J1750" s="3" t="str">
        <f>IF(I1750="","",IFERROR(VLOOKUP(I1750,Base_Datos!$D$2:$E$72,2,0),""))</f>
        <v/>
      </c>
      <c r="K1750" s="3" t="s">
        <v>1782</v>
      </c>
      <c r="L1750" s="3"/>
      <c r="M1750" s="7">
        <v>24</v>
      </c>
      <c r="N1750" s="7">
        <v>0</v>
      </c>
    </row>
    <row r="1751" spans="1:14" ht="14.25" x14ac:dyDescent="0.2">
      <c r="A1751" s="3">
        <v>89338</v>
      </c>
      <c r="B1751" s="3" t="s">
        <v>3790</v>
      </c>
      <c r="C1751" s="3" t="s">
        <v>15</v>
      </c>
      <c r="D1751" s="6" t="s">
        <v>436</v>
      </c>
      <c r="E1751" s="6" t="s">
        <v>436</v>
      </c>
      <c r="F1751" s="3" t="str">
        <f>IFERROR( VLOOKUP(A1751,#REF!,2,0),"")</f>
        <v/>
      </c>
      <c r="G1751" s="3">
        <f t="array" ref="G1751">_xlfn.XLOOKUP(I1751,Base_Datos!D:D,Base_Datos!B:B,"")</f>
        <v>0</v>
      </c>
      <c r="H1751" s="3" t="str">
        <f t="array" ref="H1751">IF(I1751="","",IFERROR(_xlfn.XLOOKUP(I1751,Base_Datos!$D$2:$D3876,Base_Datos!$C$2:$C3876),""))</f>
        <v/>
      </c>
      <c r="I1751" s="3"/>
      <c r="J1751" s="3" t="str">
        <f>IF(I1751="","",IFERROR(VLOOKUP(I1751,Base_Datos!$D$2:$E$72,2,0),""))</f>
        <v/>
      </c>
      <c r="K1751" s="3" t="s">
        <v>1782</v>
      </c>
      <c r="L1751" s="3"/>
      <c r="M1751" s="7">
        <v>23</v>
      </c>
      <c r="N1751" s="7">
        <v>0</v>
      </c>
    </row>
    <row r="1752" spans="1:14" ht="14.25" x14ac:dyDescent="0.2">
      <c r="A1752" s="3">
        <v>89339</v>
      </c>
      <c r="B1752" s="3" t="s">
        <v>3791</v>
      </c>
      <c r="C1752" s="3" t="s">
        <v>15</v>
      </c>
      <c r="D1752" s="6" t="s">
        <v>437</v>
      </c>
      <c r="E1752" s="6" t="s">
        <v>437</v>
      </c>
      <c r="F1752" s="3" t="str">
        <f>IFERROR( VLOOKUP(A1752,#REF!,2,0),"")</f>
        <v/>
      </c>
      <c r="G1752" s="3">
        <f t="array" ref="G1752">_xlfn.XLOOKUP(I1752,Base_Datos!D:D,Base_Datos!B:B,"")</f>
        <v>0</v>
      </c>
      <c r="H1752" s="3" t="str">
        <f t="array" ref="H1752">IF(I1752="","",IFERROR(_xlfn.XLOOKUP(I1752,Base_Datos!$D$2:$D3876,Base_Datos!$C$2:$C3876),""))</f>
        <v/>
      </c>
      <c r="I1752" s="3"/>
      <c r="J1752" s="3" t="str">
        <f>IF(I1752="","",IFERROR(VLOOKUP(I1752,Base_Datos!$D$2:$E$72,2,0),""))</f>
        <v/>
      </c>
      <c r="K1752" s="3" t="s">
        <v>1782</v>
      </c>
      <c r="L1752" s="3"/>
      <c r="M1752" s="7">
        <v>0</v>
      </c>
      <c r="N1752" s="7">
        <v>0</v>
      </c>
    </row>
    <row r="1753" spans="1:14" ht="14.25" x14ac:dyDescent="0.2">
      <c r="A1753" s="3" t="s">
        <v>25</v>
      </c>
      <c r="B1753" s="3" t="s">
        <v>3792</v>
      </c>
      <c r="C1753" s="3" t="s">
        <v>15</v>
      </c>
      <c r="D1753" s="6" t="s">
        <v>3793</v>
      </c>
      <c r="E1753" s="6" t="s">
        <v>3793</v>
      </c>
      <c r="F1753" s="3" t="str">
        <f>IFERROR( VLOOKUP(A1753,#REF!,2,0),"")</f>
        <v/>
      </c>
      <c r="G1753" s="3">
        <f t="array" ref="G1753">_xlfn.XLOOKUP(I1753,Base_Datos!D:D,Base_Datos!B:B,"")</f>
        <v>0</v>
      </c>
      <c r="H1753" s="3" t="str">
        <f t="array" ref="H1753">IF(I1753="","",IFERROR(_xlfn.XLOOKUP(I1753,Base_Datos!$D$2:$D3876,Base_Datos!$C$2:$C3876),""))</f>
        <v/>
      </c>
      <c r="I1753" s="3"/>
      <c r="J1753" s="3" t="str">
        <f>IF(I1753="","",IFERROR(VLOOKUP(I1753,Base_Datos!$D$2:$E$72,2,0),""))</f>
        <v/>
      </c>
      <c r="K1753" s="3" t="s">
        <v>1782</v>
      </c>
      <c r="L1753" s="3"/>
      <c r="M1753" s="7">
        <v>0</v>
      </c>
      <c r="N1753" s="7">
        <v>0</v>
      </c>
    </row>
    <row r="1754" spans="1:14" ht="14.25" x14ac:dyDescent="0.2">
      <c r="A1754" s="3">
        <v>89340</v>
      </c>
      <c r="B1754" s="3" t="s">
        <v>3794</v>
      </c>
      <c r="C1754" s="3" t="s">
        <v>18</v>
      </c>
      <c r="D1754" s="6" t="s">
        <v>438</v>
      </c>
      <c r="E1754" s="6" t="s">
        <v>438</v>
      </c>
      <c r="F1754" s="3" t="str">
        <f>IFERROR( VLOOKUP(A1754,#REF!,2,0),"")</f>
        <v/>
      </c>
      <c r="G1754" s="3" t="str">
        <f t="array" ref="G1754">_xlfn.XLOOKUP(I1754,Base_Datos!D:D,Base_Datos!B:B,"")</f>
        <v>DFSK</v>
      </c>
      <c r="H1754" s="3" t="str">
        <f t="array" ref="H1754">IF(I1754="","",IFERROR(_xlfn.XLOOKUP(I1754,Base_Datos!$D$2:$D3876,Base_Datos!$C$2:$C3876),""))</f>
        <v>Serie D</v>
      </c>
      <c r="I1754" s="3" t="s">
        <v>2785</v>
      </c>
      <c r="J1754" s="3" t="str">
        <f>IF(I1754="","",IFERROR(VLOOKUP(I1754,Base_Datos!$D$2:$E$72,2,0),""))</f>
        <v>(1.5L)</v>
      </c>
      <c r="K1754" s="3" t="s">
        <v>1860</v>
      </c>
      <c r="L1754" s="3"/>
      <c r="M1754" s="7">
        <v>20</v>
      </c>
      <c r="N1754" s="7">
        <v>0</v>
      </c>
    </row>
    <row r="1755" spans="1:14" ht="14.25" x14ac:dyDescent="0.2">
      <c r="A1755" s="3">
        <v>89355</v>
      </c>
      <c r="B1755" s="3" t="s">
        <v>3795</v>
      </c>
      <c r="C1755" s="3" t="s">
        <v>18</v>
      </c>
      <c r="D1755" s="6" t="s">
        <v>441</v>
      </c>
      <c r="E1755" s="6" t="s">
        <v>441</v>
      </c>
      <c r="F1755" s="3" t="str">
        <f>IFERROR( VLOOKUP(A1755,#REF!,2,0),"")</f>
        <v/>
      </c>
      <c r="G1755" s="3" t="str">
        <f t="array" ref="G1755">_xlfn.XLOOKUP(I1755,Base_Datos!D:D,Base_Datos!B:B,"")</f>
        <v>DFSK</v>
      </c>
      <c r="H1755" s="3" t="str">
        <f t="array" ref="H1755">IF(I1755="","",IFERROR(_xlfn.XLOOKUP(I1755,Base_Datos!$D$2:$D3876,Base_Datos!$C$2:$C3876),""))</f>
        <v>Serie Glory</v>
      </c>
      <c r="I1755" s="3" t="s">
        <v>404</v>
      </c>
      <c r="J1755" s="3" t="str">
        <f>IF(I1755="","",IFERROR(VLOOKUP(I1755,Base_Datos!$D$2:$E$72,2,0),""))</f>
        <v>(1.5L)</v>
      </c>
      <c r="K1755" s="3" t="s">
        <v>1782</v>
      </c>
      <c r="L1755" s="3"/>
      <c r="M1755" s="7">
        <v>8</v>
      </c>
      <c r="N1755" s="7">
        <v>0</v>
      </c>
    </row>
    <row r="1756" spans="1:14" ht="14.25" x14ac:dyDescent="0.2">
      <c r="A1756" s="3">
        <v>89359</v>
      </c>
      <c r="B1756" s="3" t="s">
        <v>3796</v>
      </c>
      <c r="C1756" s="3" t="s">
        <v>18</v>
      </c>
      <c r="D1756" s="6" t="s">
        <v>442</v>
      </c>
      <c r="E1756" s="6" t="s">
        <v>2493</v>
      </c>
      <c r="F1756" s="3" t="str">
        <f>IFERROR( VLOOKUP(A1756,#REF!,2,0),"")</f>
        <v/>
      </c>
      <c r="G1756" s="3" t="str">
        <f t="array" ref="G1756">_xlfn.XLOOKUP(I1756,Base_Datos!D:D,Base_Datos!B:B,"")</f>
        <v>DFSK</v>
      </c>
      <c r="H1756" s="3" t="str">
        <f t="array" ref="H1756">IF(I1756="","",IFERROR(_xlfn.XLOOKUP(I1756,Base_Datos!$D$2:$D3876,Base_Datos!$C$2:$C3876),""))</f>
        <v>Serie Glory</v>
      </c>
      <c r="I1756" s="3" t="s">
        <v>1765</v>
      </c>
      <c r="J1756" s="3" t="str">
        <f>IF(I1756="","",IFERROR(VLOOKUP(I1756,Base_Datos!$D$2:$E$72,2,0),""))</f>
        <v>(1.5L)</v>
      </c>
      <c r="K1756" s="3" t="s">
        <v>3797</v>
      </c>
      <c r="L1756" s="3"/>
      <c r="M1756" s="7">
        <v>66</v>
      </c>
      <c r="N1756" s="7">
        <v>0</v>
      </c>
    </row>
    <row r="1757" spans="1:14" ht="14.25" x14ac:dyDescent="0.2">
      <c r="A1757" s="3">
        <v>89367</v>
      </c>
      <c r="B1757" s="3" t="s">
        <v>2402</v>
      </c>
      <c r="C1757" s="3" t="s">
        <v>18</v>
      </c>
      <c r="D1757" s="6" t="s">
        <v>443</v>
      </c>
      <c r="E1757" s="6" t="s">
        <v>443</v>
      </c>
      <c r="F1757" s="3" t="str">
        <f>IFERROR( VLOOKUP(A1757,#REF!,2,0),"")</f>
        <v/>
      </c>
      <c r="G1757" s="3" t="str">
        <f t="array" ref="G1757">_xlfn.XLOOKUP(I1757,Base_Datos!D:D,Base_Datos!B:B,"")</f>
        <v>DFSK</v>
      </c>
      <c r="H1757" s="3" t="str">
        <f t="array" ref="H1757">IF(I1757="","",IFERROR(_xlfn.XLOOKUP(I1757,Base_Datos!$D$2:$D3876,Base_Datos!$C$2:$C3876),""))</f>
        <v>Serie Glory</v>
      </c>
      <c r="I1757" s="3" t="s">
        <v>404</v>
      </c>
      <c r="J1757" s="3" t="str">
        <f>IF(I1757="","",IFERROR(VLOOKUP(I1757,Base_Datos!$D$2:$E$72,2,0),""))</f>
        <v>(1.5L)</v>
      </c>
      <c r="K1757" s="3" t="s">
        <v>1782</v>
      </c>
      <c r="L1757" s="3"/>
      <c r="M1757" s="7">
        <v>5</v>
      </c>
      <c r="N1757" s="7">
        <v>0</v>
      </c>
    </row>
    <row r="1758" spans="1:14" ht="14.25" x14ac:dyDescent="0.2">
      <c r="A1758" s="3">
        <v>89373</v>
      </c>
      <c r="B1758" s="3" t="s">
        <v>3798</v>
      </c>
      <c r="C1758" s="3" t="s">
        <v>15</v>
      </c>
      <c r="D1758" s="6" t="s">
        <v>444</v>
      </c>
      <c r="E1758" s="6" t="s">
        <v>444</v>
      </c>
      <c r="F1758" s="3" t="str">
        <f>IFERROR( VLOOKUP(A1758,#REF!,2,0),"")</f>
        <v/>
      </c>
      <c r="G1758" s="3">
        <f t="array" ref="G1758">_xlfn.XLOOKUP(I1758,Base_Datos!D:D,Base_Datos!B:B,"")</f>
        <v>0</v>
      </c>
      <c r="H1758" s="3" t="str">
        <f t="array" ref="H1758">IF(I1758="","",IFERROR(_xlfn.XLOOKUP(I1758,Base_Datos!$D$2:$D3876,Base_Datos!$C$2:$C3876),""))</f>
        <v/>
      </c>
      <c r="I1758" s="3"/>
      <c r="J1758" s="3" t="str">
        <f>IF(I1758="","",IFERROR(VLOOKUP(I1758,Base_Datos!$D$2:$E$72,2,0),""))</f>
        <v/>
      </c>
      <c r="K1758" s="3" t="s">
        <v>1782</v>
      </c>
      <c r="L1758" s="3"/>
      <c r="M1758" s="7">
        <v>1</v>
      </c>
      <c r="N1758" s="7">
        <v>0</v>
      </c>
    </row>
    <row r="1759" spans="1:14" ht="14.25" x14ac:dyDescent="0.2">
      <c r="A1759" s="3">
        <v>89374</v>
      </c>
      <c r="B1759" s="3" t="s">
        <v>3799</v>
      </c>
      <c r="C1759" s="3" t="s">
        <v>15</v>
      </c>
      <c r="D1759" s="6" t="s">
        <v>444</v>
      </c>
      <c r="E1759" s="6" t="s">
        <v>444</v>
      </c>
      <c r="F1759" s="3" t="str">
        <f>IFERROR( VLOOKUP(A1759,#REF!,2,0),"")</f>
        <v/>
      </c>
      <c r="G1759" s="3">
        <f t="array" ref="G1759">_xlfn.XLOOKUP(I1759,Base_Datos!D:D,Base_Datos!B:B,"")</f>
        <v>0</v>
      </c>
      <c r="H1759" s="3" t="str">
        <f t="array" ref="H1759">IF(I1759="","",IFERROR(_xlfn.XLOOKUP(I1759,Base_Datos!$D$2:$D3876,Base_Datos!$C$2:$C3876),""))</f>
        <v/>
      </c>
      <c r="I1759" s="3"/>
      <c r="J1759" s="3" t="str">
        <f>IF(I1759="","",IFERROR(VLOOKUP(I1759,Base_Datos!$D$2:$E$72,2,0),""))</f>
        <v/>
      </c>
      <c r="K1759" s="3" t="s">
        <v>1782</v>
      </c>
      <c r="L1759" s="3"/>
      <c r="M1759" s="7">
        <v>0</v>
      </c>
      <c r="N1759" s="7">
        <v>0</v>
      </c>
    </row>
    <row r="1760" spans="1:14" ht="14.25" x14ac:dyDescent="0.2">
      <c r="A1760" s="3">
        <v>89375</v>
      </c>
      <c r="B1760" s="3" t="s">
        <v>3800</v>
      </c>
      <c r="C1760" s="3" t="s">
        <v>15</v>
      </c>
      <c r="D1760" s="6" t="s">
        <v>445</v>
      </c>
      <c r="E1760" s="6" t="s">
        <v>445</v>
      </c>
      <c r="F1760" s="3" t="str">
        <f>IFERROR( VLOOKUP(A1760,#REF!,2,0),"")</f>
        <v/>
      </c>
      <c r="G1760" s="3">
        <f t="array" ref="G1760">_xlfn.XLOOKUP(I1760,Base_Datos!D:D,Base_Datos!B:B,"")</f>
        <v>0</v>
      </c>
      <c r="H1760" s="3" t="str">
        <f t="array" ref="H1760">IF(I1760="","",IFERROR(_xlfn.XLOOKUP(I1760,Base_Datos!$D$2:$D3876,Base_Datos!$C$2:$C3876),""))</f>
        <v/>
      </c>
      <c r="I1760" s="3"/>
      <c r="J1760" s="3" t="str">
        <f>IF(I1760="","",IFERROR(VLOOKUP(I1760,Base_Datos!$D$2:$E$72,2,0),""))</f>
        <v/>
      </c>
      <c r="K1760" s="3" t="s">
        <v>1782</v>
      </c>
      <c r="L1760" s="3"/>
      <c r="M1760" s="7">
        <v>0</v>
      </c>
      <c r="N1760" s="7">
        <v>0</v>
      </c>
    </row>
    <row r="1761" spans="1:14" ht="14.25" x14ac:dyDescent="0.2">
      <c r="A1761" s="3">
        <v>89376</v>
      </c>
      <c r="B1761" s="3" t="s">
        <v>3801</v>
      </c>
      <c r="C1761" s="3" t="s">
        <v>15</v>
      </c>
      <c r="D1761" s="6" t="s">
        <v>3802</v>
      </c>
      <c r="E1761" s="6" t="s">
        <v>3802</v>
      </c>
      <c r="F1761" s="3" t="str">
        <f>IFERROR( VLOOKUP(A1761,#REF!,2,0),"")</f>
        <v/>
      </c>
      <c r="G1761" s="3">
        <f t="array" ref="G1761">_xlfn.XLOOKUP(I1761,Base_Datos!D:D,Base_Datos!B:B,"")</f>
        <v>0</v>
      </c>
      <c r="H1761" s="3" t="str">
        <f t="array" ref="H1761">IF(I1761="","",IFERROR(_xlfn.XLOOKUP(I1761,Base_Datos!$D$2:$D3876,Base_Datos!$C$2:$C3876),""))</f>
        <v/>
      </c>
      <c r="I1761" s="3"/>
      <c r="J1761" s="3" t="str">
        <f>IF(I1761="","",IFERROR(VLOOKUP(I1761,Base_Datos!$D$2:$E$72,2,0),""))</f>
        <v/>
      </c>
      <c r="K1761" s="3" t="s">
        <v>1782</v>
      </c>
      <c r="L1761" s="3"/>
      <c r="M1761" s="7">
        <v>0</v>
      </c>
      <c r="N1761" s="7">
        <v>0</v>
      </c>
    </row>
    <row r="1762" spans="1:14" ht="14.25" x14ac:dyDescent="0.2">
      <c r="A1762" s="3">
        <v>89377</v>
      </c>
      <c r="B1762" s="3" t="s">
        <v>3803</v>
      </c>
      <c r="C1762" s="3" t="s">
        <v>18</v>
      </c>
      <c r="D1762" s="6" t="s">
        <v>3804</v>
      </c>
      <c r="E1762" s="6" t="s">
        <v>3804</v>
      </c>
      <c r="F1762" s="3" t="str">
        <f>IFERROR( VLOOKUP(A1762,#REF!,2,0),"")</f>
        <v/>
      </c>
      <c r="G1762" s="3" t="str">
        <f t="array" ref="G1762">_xlfn.XLOOKUP(I1762,Base_Datos!D:D,Base_Datos!B:B,"")</f>
        <v>DFSK</v>
      </c>
      <c r="H1762" s="3" t="str">
        <f t="array" ref="H1762">IF(I1762="","",IFERROR(_xlfn.XLOOKUP(I1762,Base_Datos!$D$2:$D3876,Base_Datos!$C$2:$C3876),""))</f>
        <v>Serie Glory</v>
      </c>
      <c r="I1762" s="3" t="s">
        <v>1765</v>
      </c>
      <c r="J1762" s="3" t="str">
        <f>IF(I1762="","",IFERROR(VLOOKUP(I1762,Base_Datos!$D$2:$E$72,2,0),""))</f>
        <v>(1.5L)</v>
      </c>
      <c r="K1762" s="3" t="s">
        <v>3805</v>
      </c>
      <c r="L1762" s="3"/>
      <c r="M1762" s="7">
        <v>20</v>
      </c>
      <c r="N1762" s="7">
        <v>0</v>
      </c>
    </row>
    <row r="1763" spans="1:14" ht="14.25" x14ac:dyDescent="0.2">
      <c r="A1763" s="3">
        <v>89378</v>
      </c>
      <c r="B1763" s="3" t="s">
        <v>3806</v>
      </c>
      <c r="C1763" s="3" t="s">
        <v>15</v>
      </c>
      <c r="D1763" s="6" t="s">
        <v>258</v>
      </c>
      <c r="E1763" s="6" t="s">
        <v>1782</v>
      </c>
      <c r="F1763" s="3" t="str">
        <f>IFERROR( VLOOKUP(A1763,#REF!,2,0),"")</f>
        <v/>
      </c>
      <c r="G1763" s="3">
        <f t="array" ref="G1763">_xlfn.XLOOKUP(I1763,Base_Datos!D:D,Base_Datos!B:B,"")</f>
        <v>0</v>
      </c>
      <c r="H1763" s="3" t="str">
        <f t="array" ref="H1763">IF(I1763="","",IFERROR(_xlfn.XLOOKUP(I1763,Base_Datos!$D$2:$D3876,Base_Datos!$C$2:$C3876),""))</f>
        <v/>
      </c>
      <c r="I1763" s="3"/>
      <c r="J1763" s="3" t="str">
        <f>IF(I1763="","",IFERROR(VLOOKUP(I1763,Base_Datos!$D$2:$E$72,2,0),""))</f>
        <v/>
      </c>
      <c r="K1763" s="3" t="s">
        <v>1782</v>
      </c>
      <c r="L1763" s="3"/>
      <c r="M1763" s="7">
        <v>5</v>
      </c>
      <c r="N1763" s="7">
        <v>0</v>
      </c>
    </row>
    <row r="1764" spans="1:14" ht="14.25" x14ac:dyDescent="0.2">
      <c r="A1764" s="3">
        <v>89379</v>
      </c>
      <c r="B1764" s="3" t="s">
        <v>3807</v>
      </c>
      <c r="C1764" s="3" t="s">
        <v>15</v>
      </c>
      <c r="D1764" s="6" t="s">
        <v>259</v>
      </c>
      <c r="E1764" s="6" t="s">
        <v>1782</v>
      </c>
      <c r="F1764" s="3" t="str">
        <f>IFERROR( VLOOKUP(A1764,#REF!,2,0),"")</f>
        <v/>
      </c>
      <c r="G1764" s="3">
        <f t="array" ref="G1764">_xlfn.XLOOKUP(I1764,Base_Datos!D:D,Base_Datos!B:B,"")</f>
        <v>0</v>
      </c>
      <c r="H1764" s="3" t="str">
        <f t="array" ref="H1764">IF(I1764="","",IFERROR(_xlfn.XLOOKUP(I1764,Base_Datos!$D$2:$D3876,Base_Datos!$C$2:$C3876),""))</f>
        <v/>
      </c>
      <c r="I1764" s="3"/>
      <c r="J1764" s="3" t="str">
        <f>IF(I1764="","",IFERROR(VLOOKUP(I1764,Base_Datos!$D$2:$E$72,2,0),""))</f>
        <v/>
      </c>
      <c r="K1764" s="3" t="s">
        <v>1782</v>
      </c>
      <c r="L1764" s="3"/>
      <c r="M1764" s="7">
        <v>7</v>
      </c>
      <c r="N1764" s="7">
        <v>0</v>
      </c>
    </row>
    <row r="1765" spans="1:14" ht="14.25" x14ac:dyDescent="0.2">
      <c r="A1765" s="3">
        <v>89380</v>
      </c>
      <c r="B1765" s="3" t="s">
        <v>3224</v>
      </c>
      <c r="C1765" s="3" t="s">
        <v>18</v>
      </c>
      <c r="D1765" s="6" t="s">
        <v>446</v>
      </c>
      <c r="E1765" s="6" t="s">
        <v>446</v>
      </c>
      <c r="F1765" s="3" t="str">
        <f>IFERROR( VLOOKUP(A1765,#REF!,2,0),"")</f>
        <v/>
      </c>
      <c r="G1765" s="3" t="str">
        <f t="array" ref="G1765">_xlfn.XLOOKUP(I1765,Base_Datos!D:D,Base_Datos!B:B,"")</f>
        <v>DFSK</v>
      </c>
      <c r="H1765" s="3" t="str">
        <f t="array" ref="H1765">IF(I1765="","",IFERROR(_xlfn.XLOOKUP(I1765,Base_Datos!$D$2:$D3876,Base_Datos!$C$2:$C3876),""))</f>
        <v>Serie D</v>
      </c>
      <c r="I1765" s="3" t="s">
        <v>145</v>
      </c>
      <c r="J1765" s="3" t="str">
        <f>IF(I1765="","",IFERROR(VLOOKUP(I1765,Base_Datos!$D$2:$E$72,2,0),""))</f>
        <v>(2.4L)</v>
      </c>
      <c r="K1765" s="3" t="s">
        <v>1782</v>
      </c>
      <c r="L1765" s="3"/>
      <c r="M1765" s="7">
        <v>12</v>
      </c>
      <c r="N1765" s="7">
        <v>0</v>
      </c>
    </row>
    <row r="1766" spans="1:14" ht="14.25" x14ac:dyDescent="0.2">
      <c r="A1766" s="3">
        <v>89381</v>
      </c>
      <c r="B1766" s="3" t="s">
        <v>3808</v>
      </c>
      <c r="C1766" s="3" t="s">
        <v>18</v>
      </c>
      <c r="D1766" s="6" t="s">
        <v>447</v>
      </c>
      <c r="E1766" s="6" t="s">
        <v>447</v>
      </c>
      <c r="F1766" s="3" t="str">
        <f>IFERROR( VLOOKUP(A1766,#REF!,2,0),"")</f>
        <v/>
      </c>
      <c r="G1766" s="3" t="str">
        <f t="array" ref="G1766">_xlfn.XLOOKUP(I1766,Base_Datos!D:D,Base_Datos!B:B,"")</f>
        <v>DFSK</v>
      </c>
      <c r="H1766" s="3" t="str">
        <f t="array" ref="H1766">IF(I1766="","",IFERROR(_xlfn.XLOOKUP(I1766,Base_Datos!$D$2:$D3876,Base_Datos!$C$2:$C3876),""))</f>
        <v>Serie Glory</v>
      </c>
      <c r="I1766" s="3" t="s">
        <v>1765</v>
      </c>
      <c r="J1766" s="3" t="str">
        <f>IF(I1766="","",IFERROR(VLOOKUP(I1766,Base_Datos!$D$2:$E$72,2,0),""))</f>
        <v>(1.5L)</v>
      </c>
      <c r="K1766" s="3" t="s">
        <v>1782</v>
      </c>
      <c r="L1766" s="3"/>
      <c r="M1766" s="7">
        <v>12</v>
      </c>
      <c r="N1766" s="7">
        <v>0</v>
      </c>
    </row>
    <row r="1767" spans="1:14" ht="14.25" x14ac:dyDescent="0.2">
      <c r="A1767" s="3">
        <v>89382</v>
      </c>
      <c r="B1767" s="3" t="s">
        <v>3809</v>
      </c>
      <c r="C1767" s="3" t="s">
        <v>18</v>
      </c>
      <c r="D1767" s="6" t="s">
        <v>448</v>
      </c>
      <c r="E1767" s="6" t="s">
        <v>448</v>
      </c>
      <c r="F1767" s="3" t="str">
        <f>IFERROR( VLOOKUP(A1767,#REF!,2,0),"")</f>
        <v/>
      </c>
      <c r="G1767" s="3" t="str">
        <f t="array" ref="G1767">_xlfn.XLOOKUP(I1767,Base_Datos!D:D,Base_Datos!B:B,"")</f>
        <v>DFSK</v>
      </c>
      <c r="H1767" s="3" t="str">
        <f t="array" ref="H1767">IF(I1767="","",IFERROR(_xlfn.XLOOKUP(I1767,Base_Datos!$D$2:$D3876,Base_Datos!$C$2:$C3876),""))</f>
        <v>Serie D</v>
      </c>
      <c r="I1767" s="3" t="s">
        <v>145</v>
      </c>
      <c r="J1767" s="3" t="str">
        <f>IF(I1767="","",IFERROR(VLOOKUP(I1767,Base_Datos!$D$2:$E$72,2,0),""))</f>
        <v>(2.4L)</v>
      </c>
      <c r="K1767" s="3" t="s">
        <v>1782</v>
      </c>
      <c r="L1767" s="3"/>
      <c r="M1767" s="7">
        <v>6</v>
      </c>
      <c r="N1767" s="7">
        <v>0</v>
      </c>
    </row>
    <row r="1768" spans="1:14" ht="14.25" x14ac:dyDescent="0.2">
      <c r="A1768" s="3">
        <v>89383</v>
      </c>
      <c r="B1768" s="3" t="s">
        <v>3810</v>
      </c>
      <c r="C1768" s="3" t="s">
        <v>18</v>
      </c>
      <c r="D1768" s="6" t="s">
        <v>449</v>
      </c>
      <c r="E1768" s="6" t="s">
        <v>449</v>
      </c>
      <c r="F1768" s="3" t="str">
        <f>IFERROR( VLOOKUP(A1768,#REF!,2,0),"")</f>
        <v/>
      </c>
      <c r="G1768" s="3" t="str">
        <f t="array" ref="G1768">_xlfn.XLOOKUP(I1768,Base_Datos!D:D,Base_Datos!B:B,"")</f>
        <v>DFSK</v>
      </c>
      <c r="H1768" s="3" t="str">
        <f t="array" ref="H1768">IF(I1768="","",IFERROR(_xlfn.XLOOKUP(I1768,Base_Datos!$D$2:$D3876,Base_Datos!$C$2:$C3876),""))</f>
        <v>Serie Glory</v>
      </c>
      <c r="I1768" s="3" t="s">
        <v>1765</v>
      </c>
      <c r="J1768" s="3" t="str">
        <f>IF(I1768="","",IFERROR(VLOOKUP(I1768,Base_Datos!$D$2:$E$72,2,0),""))</f>
        <v>(1.5L)</v>
      </c>
      <c r="K1768" s="3" t="s">
        <v>1782</v>
      </c>
      <c r="L1768" s="3"/>
      <c r="M1768" s="7">
        <v>246</v>
      </c>
      <c r="N1768" s="7">
        <v>0</v>
      </c>
    </row>
    <row r="1769" spans="1:14" ht="14.25" x14ac:dyDescent="0.2">
      <c r="A1769" s="3">
        <v>89384</v>
      </c>
      <c r="B1769" s="3" t="s">
        <v>3811</v>
      </c>
      <c r="C1769" s="3" t="s">
        <v>18</v>
      </c>
      <c r="D1769" s="6" t="s">
        <v>450</v>
      </c>
      <c r="E1769" s="6" t="s">
        <v>450</v>
      </c>
      <c r="F1769" s="3" t="str">
        <f>IFERROR( VLOOKUP(A1769,#REF!,2,0),"")</f>
        <v/>
      </c>
      <c r="G1769" s="3" t="str">
        <f t="array" ref="G1769">_xlfn.XLOOKUP(I1769,Base_Datos!D:D,Base_Datos!B:B,"")</f>
        <v>DFSK</v>
      </c>
      <c r="H1769" s="3" t="str">
        <f t="array" ref="H1769">IF(I1769="","",IFERROR(_xlfn.XLOOKUP(I1769,Base_Datos!$D$2:$D3876,Base_Datos!$C$2:$C3876),""))</f>
        <v>Serie D</v>
      </c>
      <c r="I1769" s="3" t="s">
        <v>145</v>
      </c>
      <c r="J1769" s="3" t="str">
        <f>IF(I1769="","",IFERROR(VLOOKUP(I1769,Base_Datos!$D$2:$E$72,2,0),""))</f>
        <v>(2.4L)</v>
      </c>
      <c r="K1769" s="3" t="s">
        <v>1782</v>
      </c>
      <c r="L1769" s="3"/>
      <c r="M1769" s="7">
        <v>1</v>
      </c>
      <c r="N1769" s="7">
        <v>0</v>
      </c>
    </row>
    <row r="1770" spans="1:14" ht="14.25" x14ac:dyDescent="0.2">
      <c r="A1770" s="3">
        <v>89385</v>
      </c>
      <c r="B1770" s="3" t="s">
        <v>3812</v>
      </c>
      <c r="C1770" s="3" t="s">
        <v>15</v>
      </c>
      <c r="D1770" s="6" t="s">
        <v>451</v>
      </c>
      <c r="E1770" s="6" t="s">
        <v>451</v>
      </c>
      <c r="F1770" s="3" t="str">
        <f>IFERROR( VLOOKUP(A1770,#REF!,2,0),"")</f>
        <v/>
      </c>
      <c r="G1770" s="3">
        <f t="array" ref="G1770">_xlfn.XLOOKUP(I1770,Base_Datos!D:D,Base_Datos!B:B,"")</f>
        <v>0</v>
      </c>
      <c r="H1770" s="3" t="str">
        <f t="array" ref="H1770">IF(I1770="","",IFERROR(_xlfn.XLOOKUP(I1770,Base_Datos!$D$2:$D3876,Base_Datos!$C$2:$C3876),""))</f>
        <v/>
      </c>
      <c r="I1770" s="3"/>
      <c r="J1770" s="3" t="str">
        <f>IF(I1770="","",IFERROR(VLOOKUP(I1770,Base_Datos!$D$2:$E$72,2,0),""))</f>
        <v/>
      </c>
      <c r="K1770" s="3" t="s">
        <v>1782</v>
      </c>
      <c r="L1770" s="3"/>
      <c r="M1770" s="7">
        <v>14</v>
      </c>
      <c r="N1770" s="7">
        <v>0</v>
      </c>
    </row>
    <row r="1771" spans="1:14" ht="14.25" x14ac:dyDescent="0.2">
      <c r="A1771" s="3">
        <v>89386</v>
      </c>
      <c r="B1771" s="3" t="s">
        <v>3456</v>
      </c>
      <c r="C1771" s="3" t="s">
        <v>18</v>
      </c>
      <c r="D1771" s="6" t="s">
        <v>452</v>
      </c>
      <c r="E1771" s="6" t="s">
        <v>452</v>
      </c>
      <c r="F1771" s="3" t="str">
        <f>IFERROR( VLOOKUP(A1771,#REF!,2,0),"")</f>
        <v/>
      </c>
      <c r="G1771" s="3" t="str">
        <f t="array" ref="G1771">_xlfn.XLOOKUP(I1771,Base_Datos!D:D,Base_Datos!B:B,"")</f>
        <v>DFSK</v>
      </c>
      <c r="H1771" s="3" t="str">
        <f t="array" ref="H1771">IF(I1771="","",IFERROR(_xlfn.XLOOKUP(I1771,Base_Datos!$D$2:$D3876,Base_Datos!$C$2:$C3876),""))</f>
        <v>Serie D</v>
      </c>
      <c r="I1771" s="3" t="s">
        <v>145</v>
      </c>
      <c r="J1771" s="3" t="str">
        <f>IF(I1771="","",IFERROR(VLOOKUP(I1771,Base_Datos!$D$2:$E$72,2,0),""))</f>
        <v>(2.4L)</v>
      </c>
      <c r="K1771" s="3" t="s">
        <v>1782</v>
      </c>
      <c r="L1771" s="3"/>
      <c r="M1771" s="7">
        <v>4</v>
      </c>
      <c r="N1771" s="7">
        <v>0</v>
      </c>
    </row>
    <row r="1772" spans="1:14" ht="14.25" x14ac:dyDescent="0.2">
      <c r="A1772" s="3">
        <v>89387</v>
      </c>
      <c r="B1772" s="3" t="s">
        <v>3813</v>
      </c>
      <c r="C1772" s="3" t="s">
        <v>15</v>
      </c>
      <c r="D1772" s="6" t="s">
        <v>453</v>
      </c>
      <c r="E1772" s="6" t="s">
        <v>453</v>
      </c>
      <c r="F1772" s="3" t="str">
        <f>IFERROR( VLOOKUP(A1772,#REF!,2,0),"")</f>
        <v/>
      </c>
      <c r="G1772" s="3">
        <f t="array" ref="G1772">_xlfn.XLOOKUP(I1772,Base_Datos!D:D,Base_Datos!B:B,"")</f>
        <v>0</v>
      </c>
      <c r="H1772" s="3" t="str">
        <f t="array" ref="H1772">IF(I1772="","",IFERROR(_xlfn.XLOOKUP(I1772,Base_Datos!$D$2:$D3876,Base_Datos!$C$2:$C3876),""))</f>
        <v/>
      </c>
      <c r="I1772" s="3"/>
      <c r="J1772" s="3" t="str">
        <f>IF(I1772="","",IFERROR(VLOOKUP(I1772,Base_Datos!$D$2:$E$72,2,0),""))</f>
        <v/>
      </c>
      <c r="K1772" s="3" t="s">
        <v>1782</v>
      </c>
      <c r="L1772" s="3"/>
      <c r="M1772" s="7">
        <v>14</v>
      </c>
      <c r="N1772" s="7">
        <v>0</v>
      </c>
    </row>
    <row r="1773" spans="1:14" ht="14.25" x14ac:dyDescent="0.2">
      <c r="A1773" s="3">
        <v>89388</v>
      </c>
      <c r="B1773" s="3" t="s">
        <v>3814</v>
      </c>
      <c r="C1773" s="3" t="s">
        <v>18</v>
      </c>
      <c r="D1773" s="6" t="s">
        <v>454</v>
      </c>
      <c r="E1773" s="6" t="s">
        <v>454</v>
      </c>
      <c r="F1773" s="3" t="str">
        <f>IFERROR( VLOOKUP(A1773,#REF!,2,0),"")</f>
        <v/>
      </c>
      <c r="G1773" s="3" t="str">
        <f t="array" ref="G1773">_xlfn.XLOOKUP(I1773,Base_Datos!D:D,Base_Datos!B:B,"")</f>
        <v>DFSK</v>
      </c>
      <c r="H1773" s="3" t="str">
        <f t="array" ref="H1773">IF(I1773="","",IFERROR(_xlfn.XLOOKUP(I1773,Base_Datos!$D$2:$D3876,Base_Datos!$C$2:$C3876),""))</f>
        <v>Serie D</v>
      </c>
      <c r="I1773" s="3" t="s">
        <v>145</v>
      </c>
      <c r="J1773" s="3" t="str">
        <f>IF(I1773="","",IFERROR(VLOOKUP(I1773,Base_Datos!$D$2:$E$72,2,0),""))</f>
        <v>(2.4L)</v>
      </c>
      <c r="K1773" s="3" t="s">
        <v>1782</v>
      </c>
      <c r="L1773" s="3"/>
      <c r="M1773" s="7">
        <v>12</v>
      </c>
      <c r="N1773" s="7">
        <v>0</v>
      </c>
    </row>
    <row r="1774" spans="1:14" ht="14.25" x14ac:dyDescent="0.2">
      <c r="A1774" s="3">
        <v>89389</v>
      </c>
      <c r="B1774" s="3" t="s">
        <v>1820</v>
      </c>
      <c r="C1774" s="3" t="s">
        <v>18</v>
      </c>
      <c r="D1774" s="6" t="s">
        <v>455</v>
      </c>
      <c r="E1774" s="6" t="s">
        <v>455</v>
      </c>
      <c r="F1774" s="3" t="str">
        <f>IFERROR( VLOOKUP(A1774,#REF!,2,0),"")</f>
        <v/>
      </c>
      <c r="G1774" s="3" t="str">
        <f t="array" ref="G1774">_xlfn.XLOOKUP(I1774,Base_Datos!D:D,Base_Datos!B:B,"")</f>
        <v>DFSK</v>
      </c>
      <c r="H1774" s="3" t="str">
        <f t="array" ref="H1774">IF(I1774="","",IFERROR(_xlfn.XLOOKUP(I1774,Base_Datos!$D$2:$D3876,Base_Datos!$C$2:$C3876),""))</f>
        <v>Serie Glory</v>
      </c>
      <c r="I1774" s="3" t="s">
        <v>404</v>
      </c>
      <c r="J1774" s="3" t="str">
        <f>IF(I1774="","",IFERROR(VLOOKUP(I1774,Base_Datos!$D$2:$E$72,2,0),""))</f>
        <v>(1.5L)</v>
      </c>
      <c r="K1774" s="3" t="s">
        <v>1782</v>
      </c>
      <c r="L1774" s="3"/>
      <c r="M1774" s="7">
        <v>9</v>
      </c>
      <c r="N1774" s="7">
        <v>0</v>
      </c>
    </row>
    <row r="1775" spans="1:14" ht="14.25" x14ac:dyDescent="0.2">
      <c r="A1775" s="3">
        <v>89390</v>
      </c>
      <c r="B1775" s="3" t="s">
        <v>3815</v>
      </c>
      <c r="C1775" s="3" t="s">
        <v>18</v>
      </c>
      <c r="D1775" s="6" t="s">
        <v>241</v>
      </c>
      <c r="E1775" s="6" t="s">
        <v>241</v>
      </c>
      <c r="F1775" s="3" t="str">
        <f>IFERROR( VLOOKUP(A1775,#REF!,2,0),"")</f>
        <v/>
      </c>
      <c r="G1775" s="3" t="str">
        <f t="array" ref="G1775">_xlfn.XLOOKUP(I1775,Base_Datos!D:D,Base_Datos!B:B,"")</f>
        <v>DFSK</v>
      </c>
      <c r="H1775" s="3" t="str">
        <f t="array" ref="H1775">IF(I1775="","",IFERROR(_xlfn.XLOOKUP(I1775,Base_Datos!$D$2:$D3876,Base_Datos!$C$2:$C3876),""))</f>
        <v>Serie C</v>
      </c>
      <c r="I1775" s="3" t="s">
        <v>343</v>
      </c>
      <c r="J1775" s="3" t="str">
        <f>IF(I1775="","",IFERROR(VLOOKUP(I1775,Base_Datos!$D$2:$E$72,2,0),""))</f>
        <v>(1.5L)</v>
      </c>
      <c r="K1775" s="3" t="s">
        <v>2566</v>
      </c>
      <c r="L1775" s="3"/>
      <c r="M1775" s="7">
        <v>95</v>
      </c>
      <c r="N1775" s="7">
        <v>0</v>
      </c>
    </row>
    <row r="1776" spans="1:14" ht="14.25" x14ac:dyDescent="0.2">
      <c r="A1776" s="3">
        <v>89391</v>
      </c>
      <c r="B1776" s="3" t="s">
        <v>3519</v>
      </c>
      <c r="C1776" s="3" t="s">
        <v>18</v>
      </c>
      <c r="D1776" s="6" t="s">
        <v>456</v>
      </c>
      <c r="E1776" s="6" t="s">
        <v>456</v>
      </c>
      <c r="F1776" s="3" t="str">
        <f>IFERROR( VLOOKUP(A1776,#REF!,2,0),"")</f>
        <v/>
      </c>
      <c r="G1776" s="3" t="str">
        <f t="array" ref="G1776">_xlfn.XLOOKUP(I1776,Base_Datos!D:D,Base_Datos!B:B,"")</f>
        <v>DFSK</v>
      </c>
      <c r="H1776" s="3" t="str">
        <f t="array" ref="H1776">IF(I1776="","",IFERROR(_xlfn.XLOOKUP(I1776,Base_Datos!$D$2:$D3876,Base_Datos!$C$2:$C3876),""))</f>
        <v>Serie D</v>
      </c>
      <c r="I1776" s="3" t="s">
        <v>145</v>
      </c>
      <c r="J1776" s="3" t="str">
        <f>IF(I1776="","",IFERROR(VLOOKUP(I1776,Base_Datos!$D$2:$E$72,2,0),""))</f>
        <v>(2.4L)</v>
      </c>
      <c r="K1776" s="3" t="s">
        <v>1782</v>
      </c>
      <c r="L1776" s="3"/>
      <c r="M1776" s="7">
        <v>4</v>
      </c>
      <c r="N1776" s="7">
        <v>0</v>
      </c>
    </row>
    <row r="1777" spans="1:14" ht="14.25" x14ac:dyDescent="0.2">
      <c r="A1777" s="3">
        <v>89392</v>
      </c>
      <c r="B1777" s="3" t="s">
        <v>2775</v>
      </c>
      <c r="C1777" s="3" t="s">
        <v>18</v>
      </c>
      <c r="D1777" s="6" t="s">
        <v>457</v>
      </c>
      <c r="E1777" s="6" t="s">
        <v>3816</v>
      </c>
      <c r="F1777" s="3" t="str">
        <f>IFERROR( VLOOKUP(A1777,#REF!,2,0),"")</f>
        <v/>
      </c>
      <c r="G1777" s="3" t="str">
        <f t="array" ref="G1777">_xlfn.XLOOKUP(I1777,Base_Datos!D:D,Base_Datos!B:B,"")</f>
        <v>DFSK</v>
      </c>
      <c r="H1777" s="3" t="str">
        <f t="array" ref="H1777">IF(I1777="","",IFERROR(_xlfn.XLOOKUP(I1777,Base_Datos!$D$2:$D3876,Base_Datos!$C$2:$C3876),""))</f>
        <v>Serie C</v>
      </c>
      <c r="I1777" s="3" t="s">
        <v>343</v>
      </c>
      <c r="J1777" s="3" t="str">
        <f>IF(I1777="","",IFERROR(VLOOKUP(I1777,Base_Datos!$D$2:$E$72,2,0),""))</f>
        <v>(1.5L)</v>
      </c>
      <c r="K1777" s="3" t="s">
        <v>3817</v>
      </c>
      <c r="L1777" s="3"/>
      <c r="M1777" s="7">
        <v>17</v>
      </c>
      <c r="N1777" s="7">
        <v>0</v>
      </c>
    </row>
    <row r="1778" spans="1:14" ht="14.25" x14ac:dyDescent="0.2">
      <c r="A1778" s="3">
        <v>89393</v>
      </c>
      <c r="B1778" s="3" t="s">
        <v>3818</v>
      </c>
      <c r="C1778" s="3" t="s">
        <v>15</v>
      </c>
      <c r="D1778" s="6" t="s">
        <v>281</v>
      </c>
      <c r="E1778" s="6" t="s">
        <v>174</v>
      </c>
      <c r="F1778" s="3" t="str">
        <f>IFERROR( VLOOKUP(A1778,#REF!,2,0),"")</f>
        <v/>
      </c>
      <c r="G1778" s="3">
        <f t="array" ref="G1778">_xlfn.XLOOKUP(I1778,Base_Datos!D:D,Base_Datos!B:B,"")</f>
        <v>0</v>
      </c>
      <c r="H1778" s="3" t="str">
        <f t="array" ref="H1778">IF(I1778="","",IFERROR(_xlfn.XLOOKUP(I1778,Base_Datos!$D$2:$D3876,Base_Datos!$C$2:$C3876),""))</f>
        <v/>
      </c>
      <c r="I1778" s="3"/>
      <c r="J1778" s="3" t="str">
        <f>IF(I1778="","",IFERROR(VLOOKUP(I1778,Base_Datos!$D$2:$E$72,2,0),""))</f>
        <v/>
      </c>
      <c r="K1778" s="3" t="s">
        <v>1782</v>
      </c>
      <c r="L1778" s="3"/>
      <c r="M1778" s="7">
        <v>3</v>
      </c>
      <c r="N1778" s="7">
        <v>0</v>
      </c>
    </row>
    <row r="1779" spans="1:14" ht="14.25" x14ac:dyDescent="0.2">
      <c r="A1779" s="3">
        <v>89394</v>
      </c>
      <c r="B1779" s="3" t="s">
        <v>2761</v>
      </c>
      <c r="C1779" s="3" t="s">
        <v>18</v>
      </c>
      <c r="D1779" s="6" t="s">
        <v>282</v>
      </c>
      <c r="E1779" s="6" t="s">
        <v>282</v>
      </c>
      <c r="F1779" s="3" t="str">
        <f>IFERROR( VLOOKUP(A1779,#REF!,2,0),"")</f>
        <v/>
      </c>
      <c r="G1779" s="3" t="str">
        <f t="array" ref="G1779">_xlfn.XLOOKUP(I1779,Base_Datos!D:D,Base_Datos!B:B,"")</f>
        <v>DFSK</v>
      </c>
      <c r="H1779" s="3" t="str">
        <f t="array" ref="H1779">IF(I1779="","",IFERROR(_xlfn.XLOOKUP(I1779,Base_Datos!$D$2:$D3876,Base_Datos!$C$2:$C3876),""))</f>
        <v>Serie C</v>
      </c>
      <c r="I1779" s="3" t="s">
        <v>343</v>
      </c>
      <c r="J1779" s="3" t="str">
        <f>IF(I1779="","",IFERROR(VLOOKUP(I1779,Base_Datos!$D$2:$E$72,2,0),""))</f>
        <v>(1.5L)</v>
      </c>
      <c r="K1779" s="3" t="s">
        <v>1782</v>
      </c>
      <c r="L1779" s="3"/>
      <c r="M1779" s="7">
        <v>1</v>
      </c>
      <c r="N1779" s="7">
        <v>0</v>
      </c>
    </row>
    <row r="1780" spans="1:14" ht="14.25" x14ac:dyDescent="0.2">
      <c r="A1780" s="3">
        <v>89395</v>
      </c>
      <c r="B1780" s="3" t="s">
        <v>3819</v>
      </c>
      <c r="C1780" s="3" t="s">
        <v>18</v>
      </c>
      <c r="D1780" s="6" t="s">
        <v>458</v>
      </c>
      <c r="E1780" s="6" t="s">
        <v>458</v>
      </c>
      <c r="F1780" s="3" t="str">
        <f>IFERROR( VLOOKUP(A1780,#REF!,2,0),"")</f>
        <v/>
      </c>
      <c r="G1780" s="3" t="str">
        <f t="array" ref="G1780">_xlfn.XLOOKUP(I1780,Base_Datos!D:D,Base_Datos!B:B,"")</f>
        <v>DFSK</v>
      </c>
      <c r="H1780" s="3" t="str">
        <f t="array" ref="H1780">IF(I1780="","",IFERROR(_xlfn.XLOOKUP(I1780,Base_Datos!$D$2:$D3876,Base_Datos!$C$2:$C3876),""))</f>
        <v>Serie D</v>
      </c>
      <c r="I1780" s="3" t="s">
        <v>145</v>
      </c>
      <c r="J1780" s="3" t="str">
        <f>IF(I1780="","",IFERROR(VLOOKUP(I1780,Base_Datos!$D$2:$E$72,2,0),""))</f>
        <v>(2.4L)</v>
      </c>
      <c r="K1780" s="3" t="s">
        <v>1782</v>
      </c>
      <c r="L1780" s="3"/>
      <c r="M1780" s="7">
        <v>6</v>
      </c>
      <c r="N1780" s="7">
        <v>0</v>
      </c>
    </row>
    <row r="1781" spans="1:14" ht="14.25" x14ac:dyDescent="0.2">
      <c r="A1781" s="3">
        <v>89396</v>
      </c>
      <c r="B1781" s="3" t="s">
        <v>3820</v>
      </c>
      <c r="C1781" s="3" t="s">
        <v>18</v>
      </c>
      <c r="D1781" s="6" t="s">
        <v>459</v>
      </c>
      <c r="E1781" s="6" t="s">
        <v>459</v>
      </c>
      <c r="F1781" s="3" t="str">
        <f>IFERROR( VLOOKUP(A1781,#REF!,2,0),"")</f>
        <v/>
      </c>
      <c r="G1781" s="3" t="str">
        <f t="array" ref="G1781">_xlfn.XLOOKUP(I1781,Base_Datos!D:D,Base_Datos!B:B,"")</f>
        <v>DFSK</v>
      </c>
      <c r="H1781" s="3" t="str">
        <f t="array" ref="H1781">IF(I1781="","",IFERROR(_xlfn.XLOOKUP(I1781,Base_Datos!$D$2:$D3876,Base_Datos!$C$2:$C3876),""))</f>
        <v>Serie D</v>
      </c>
      <c r="I1781" s="3" t="s">
        <v>145</v>
      </c>
      <c r="J1781" s="3" t="str">
        <f>IF(I1781="","",IFERROR(VLOOKUP(I1781,Base_Datos!$D$2:$E$72,2,0),""))</f>
        <v>(2.4L)</v>
      </c>
      <c r="K1781" s="3" t="s">
        <v>1782</v>
      </c>
      <c r="L1781" s="3"/>
      <c r="M1781" s="7">
        <v>6</v>
      </c>
      <c r="N1781" s="7">
        <v>0</v>
      </c>
    </row>
    <row r="1782" spans="1:14" ht="14.25" x14ac:dyDescent="0.2">
      <c r="A1782" s="3">
        <v>89397</v>
      </c>
      <c r="B1782" s="3" t="s">
        <v>3821</v>
      </c>
      <c r="C1782" s="3" t="s">
        <v>18</v>
      </c>
      <c r="D1782" s="6" t="s">
        <v>460</v>
      </c>
      <c r="E1782" s="6" t="s">
        <v>3822</v>
      </c>
      <c r="F1782" s="3" t="str">
        <f>IFERROR( VLOOKUP(A1782,#REF!,2,0),"")</f>
        <v/>
      </c>
      <c r="G1782" s="3" t="str">
        <f t="array" ref="G1782">_xlfn.XLOOKUP(I1782,Base_Datos!D:D,Base_Datos!B:B,"")</f>
        <v>DFSK</v>
      </c>
      <c r="H1782" s="3" t="str">
        <f t="array" ref="H1782">IF(I1782="","",IFERROR(_xlfn.XLOOKUP(I1782,Base_Datos!$D$2:$D3876,Base_Datos!$C$2:$C3876),""))</f>
        <v>Serie D</v>
      </c>
      <c r="I1782" s="3" t="s">
        <v>145</v>
      </c>
      <c r="J1782" s="3" t="str">
        <f>IF(I1782="","",IFERROR(VLOOKUP(I1782,Base_Datos!$D$2:$E$72,2,0),""))</f>
        <v>(2.4L)</v>
      </c>
      <c r="K1782" s="3" t="s">
        <v>1782</v>
      </c>
      <c r="L1782" s="3"/>
      <c r="M1782" s="7">
        <v>11</v>
      </c>
      <c r="N1782" s="7">
        <v>0</v>
      </c>
    </row>
    <row r="1783" spans="1:14" ht="14.25" x14ac:dyDescent="0.2">
      <c r="A1783" s="3">
        <v>89398</v>
      </c>
      <c r="B1783" s="3" t="s">
        <v>3823</v>
      </c>
      <c r="C1783" s="3" t="s">
        <v>18</v>
      </c>
      <c r="D1783" s="6" t="s">
        <v>285</v>
      </c>
      <c r="E1783" s="6" t="s">
        <v>605</v>
      </c>
      <c r="F1783" s="3" t="str">
        <f>IFERROR( VLOOKUP(A1783,#REF!,2,0),"")</f>
        <v/>
      </c>
      <c r="G1783" s="3" t="str">
        <f t="array" ref="G1783">_xlfn.XLOOKUP(I1783,Base_Datos!D:D,Base_Datos!B:B,"")</f>
        <v>DFSK</v>
      </c>
      <c r="H1783" s="3" t="str">
        <f t="array" ref="H1783">IF(I1783="","",IFERROR(_xlfn.XLOOKUP(I1783,Base_Datos!$D$2:$D3876,Base_Datos!$C$2:$C3876),""))</f>
        <v>Serie D</v>
      </c>
      <c r="I1783" s="3" t="s">
        <v>145</v>
      </c>
      <c r="J1783" s="3" t="str">
        <f>IF(I1783="","",IFERROR(VLOOKUP(I1783,Base_Datos!$D$2:$E$72,2,0),""))</f>
        <v>(2.4L)</v>
      </c>
      <c r="K1783" s="3" t="s">
        <v>1782</v>
      </c>
      <c r="L1783" s="3"/>
      <c r="M1783" s="7">
        <v>6</v>
      </c>
      <c r="N1783" s="7">
        <v>0</v>
      </c>
    </row>
    <row r="1784" spans="1:14" ht="14.25" x14ac:dyDescent="0.2">
      <c r="A1784" s="3">
        <v>89399</v>
      </c>
      <c r="B1784" s="3" t="s">
        <v>3824</v>
      </c>
      <c r="C1784" s="3" t="s">
        <v>18</v>
      </c>
      <c r="D1784" s="6" t="s">
        <v>461</v>
      </c>
      <c r="E1784" s="6" t="s">
        <v>461</v>
      </c>
      <c r="F1784" s="3" t="str">
        <f>IFERROR( VLOOKUP(A1784,#REF!,2,0),"")</f>
        <v/>
      </c>
      <c r="G1784" s="3" t="str">
        <f t="array" ref="G1784">_xlfn.XLOOKUP(I1784,Base_Datos!D:D,Base_Datos!B:B,"")</f>
        <v>DFSK</v>
      </c>
      <c r="H1784" s="3" t="str">
        <f t="array" ref="H1784">IF(I1784="","",IFERROR(_xlfn.XLOOKUP(I1784,Base_Datos!$D$2:$D3876,Base_Datos!$C$2:$C3876),""))</f>
        <v>Serie D</v>
      </c>
      <c r="I1784" s="3" t="s">
        <v>145</v>
      </c>
      <c r="J1784" s="3" t="str">
        <f>IF(I1784="","",IFERROR(VLOOKUP(I1784,Base_Datos!$D$2:$E$72,2,0),""))</f>
        <v>(2.4L)</v>
      </c>
      <c r="K1784" s="3" t="s">
        <v>1782</v>
      </c>
      <c r="L1784" s="3"/>
      <c r="M1784" s="7">
        <v>8</v>
      </c>
      <c r="N1784" s="7">
        <v>0</v>
      </c>
    </row>
    <row r="1785" spans="1:14" ht="14.25" x14ac:dyDescent="0.2">
      <c r="A1785" s="3">
        <v>89400</v>
      </c>
      <c r="B1785" s="3" t="s">
        <v>3825</v>
      </c>
      <c r="C1785" s="3" t="s">
        <v>18</v>
      </c>
      <c r="D1785" s="6" t="s">
        <v>462</v>
      </c>
      <c r="E1785" s="6" t="s">
        <v>456</v>
      </c>
      <c r="F1785" s="3" t="str">
        <f>IFERROR( VLOOKUP(A1785,#REF!,2,0),"")</f>
        <v/>
      </c>
      <c r="G1785" s="3" t="str">
        <f t="array" ref="G1785">_xlfn.XLOOKUP(I1785,Base_Datos!D:D,Base_Datos!B:B,"")</f>
        <v>DFSK</v>
      </c>
      <c r="H1785" s="3" t="str">
        <f t="array" ref="H1785">IF(I1785="","",IFERROR(_xlfn.XLOOKUP(I1785,Base_Datos!$D$2:$D3876,Base_Datos!$C$2:$C3876),""))</f>
        <v>Serie D</v>
      </c>
      <c r="I1785" s="3" t="s">
        <v>145</v>
      </c>
      <c r="J1785" s="3" t="str">
        <f>IF(I1785="","",IFERROR(VLOOKUP(I1785,Base_Datos!$D$2:$E$72,2,0),""))</f>
        <v>(2.4L)</v>
      </c>
      <c r="K1785" s="3" t="s">
        <v>1782</v>
      </c>
      <c r="L1785" s="3"/>
      <c r="M1785" s="7">
        <v>8</v>
      </c>
      <c r="N1785" s="7">
        <v>0</v>
      </c>
    </row>
    <row r="1786" spans="1:14" ht="14.25" x14ac:dyDescent="0.2">
      <c r="A1786" s="3">
        <v>89401</v>
      </c>
      <c r="B1786" s="3" t="s">
        <v>3826</v>
      </c>
      <c r="C1786" s="3" t="s">
        <v>18</v>
      </c>
      <c r="D1786" s="6" t="s">
        <v>3827</v>
      </c>
      <c r="E1786" s="6" t="s">
        <v>3827</v>
      </c>
      <c r="F1786" s="3" t="str">
        <f>IFERROR( VLOOKUP(A1786,#REF!,2,0),"")</f>
        <v/>
      </c>
      <c r="G1786" s="3" t="str">
        <f t="array" ref="G1786">_xlfn.XLOOKUP(I1786,Base_Datos!D:D,Base_Datos!B:B,"")</f>
        <v>DFSK</v>
      </c>
      <c r="H1786" s="3" t="str">
        <f t="array" ref="H1786">IF(I1786="","",IFERROR(_xlfn.XLOOKUP(I1786,Base_Datos!$D$2:$D3876,Base_Datos!$C$2:$C3876),""))</f>
        <v>Serie D</v>
      </c>
      <c r="I1786" s="3" t="s">
        <v>145</v>
      </c>
      <c r="J1786" s="3" t="str">
        <f>IF(I1786="","",IFERROR(VLOOKUP(I1786,Base_Datos!$D$2:$E$72,2,0),""))</f>
        <v>(2.4L)</v>
      </c>
      <c r="K1786" s="3" t="s">
        <v>1782</v>
      </c>
      <c r="L1786" s="3"/>
      <c r="M1786" s="7">
        <v>3</v>
      </c>
      <c r="N1786" s="7">
        <v>0</v>
      </c>
    </row>
    <row r="1787" spans="1:14" ht="14.25" x14ac:dyDescent="0.2">
      <c r="A1787" s="3">
        <v>89402</v>
      </c>
      <c r="B1787" s="3" t="s">
        <v>1787</v>
      </c>
      <c r="C1787" s="3" t="s">
        <v>18</v>
      </c>
      <c r="D1787" s="6" t="s">
        <v>463</v>
      </c>
      <c r="E1787" s="6" t="s">
        <v>463</v>
      </c>
      <c r="F1787" s="3" t="str">
        <f>IFERROR( VLOOKUP(A1787,#REF!,2,0),"")</f>
        <v/>
      </c>
      <c r="G1787" s="3" t="str">
        <f t="array" ref="G1787">_xlfn.XLOOKUP(I1787,Base_Datos!D:D,Base_Datos!B:B,"")</f>
        <v>DFSK</v>
      </c>
      <c r="H1787" s="3" t="str">
        <f t="array" ref="H1787">IF(I1787="","",IFERROR(_xlfn.XLOOKUP(I1787,Base_Datos!$D$2:$D3876,Base_Datos!$C$2:$C3876),""))</f>
        <v>Serie C</v>
      </c>
      <c r="I1787" s="3" t="s">
        <v>343</v>
      </c>
      <c r="J1787" s="3" t="str">
        <f>IF(I1787="","",IFERROR(VLOOKUP(I1787,Base_Datos!$D$2:$E$72,2,0),""))</f>
        <v>(1.5L)</v>
      </c>
      <c r="K1787" s="3" t="s">
        <v>2408</v>
      </c>
      <c r="L1787" s="3"/>
      <c r="M1787" s="7">
        <v>26</v>
      </c>
      <c r="N1787" s="7">
        <v>0</v>
      </c>
    </row>
    <row r="1788" spans="1:14" ht="14.25" x14ac:dyDescent="0.2">
      <c r="A1788" s="3">
        <v>89403</v>
      </c>
      <c r="B1788" s="3" t="s">
        <v>3828</v>
      </c>
      <c r="C1788" s="3" t="s">
        <v>15</v>
      </c>
      <c r="D1788" s="6" t="s">
        <v>287</v>
      </c>
      <c r="E1788" s="6" t="s">
        <v>287</v>
      </c>
      <c r="F1788" s="3" t="str">
        <f>IFERROR( VLOOKUP(A1788,#REF!,2,0),"")</f>
        <v/>
      </c>
      <c r="G1788" s="3">
        <f t="array" ref="G1788">_xlfn.XLOOKUP(I1788,Base_Datos!D:D,Base_Datos!B:B,"")</f>
        <v>0</v>
      </c>
      <c r="H1788" s="3" t="str">
        <f t="array" ref="H1788">IF(I1788="","",IFERROR(_xlfn.XLOOKUP(I1788,Base_Datos!$D$2:$D3876,Base_Datos!$C$2:$C3876),""))</f>
        <v/>
      </c>
      <c r="I1788" s="3"/>
      <c r="J1788" s="3" t="str">
        <f>IF(I1788="","",IFERROR(VLOOKUP(I1788,Base_Datos!$D$2:$E$72,2,0),""))</f>
        <v/>
      </c>
      <c r="K1788" s="3" t="s">
        <v>1782</v>
      </c>
      <c r="L1788" s="3"/>
      <c r="M1788" s="7">
        <v>0</v>
      </c>
      <c r="N1788" s="7">
        <v>0</v>
      </c>
    </row>
    <row r="1789" spans="1:14" ht="14.25" x14ac:dyDescent="0.2">
      <c r="A1789" s="3">
        <v>89404</v>
      </c>
      <c r="B1789" s="3" t="s">
        <v>2929</v>
      </c>
      <c r="C1789" s="3" t="s">
        <v>18</v>
      </c>
      <c r="D1789" s="6" t="s">
        <v>3829</v>
      </c>
      <c r="E1789" s="6" t="s">
        <v>3829</v>
      </c>
      <c r="F1789" s="3" t="str">
        <f>IFERROR( VLOOKUP(A1789,#REF!,2,0),"")</f>
        <v/>
      </c>
      <c r="G1789" s="3" t="str">
        <f t="array" ref="G1789">_xlfn.XLOOKUP(I1789,Base_Datos!D:D,Base_Datos!B:B,"")</f>
        <v>DFSK</v>
      </c>
      <c r="H1789" s="3" t="str">
        <f t="array" ref="H1789">IF(I1789="","",IFERROR(_xlfn.XLOOKUP(I1789,Base_Datos!$D$2:$D3876,Base_Datos!$C$2:$C3876),""))</f>
        <v>Serie Glory</v>
      </c>
      <c r="I1789" s="3" t="s">
        <v>404</v>
      </c>
      <c r="J1789" s="3" t="str">
        <f>IF(I1789="","",IFERROR(VLOOKUP(I1789,Base_Datos!$D$2:$E$72,2,0),""))</f>
        <v>(1.5L)</v>
      </c>
      <c r="K1789" s="3" t="s">
        <v>1782</v>
      </c>
      <c r="L1789" s="3"/>
      <c r="M1789" s="7">
        <v>2</v>
      </c>
      <c r="N1789" s="7">
        <v>0</v>
      </c>
    </row>
    <row r="1790" spans="1:14" ht="14.25" x14ac:dyDescent="0.2">
      <c r="A1790" s="3">
        <v>89405</v>
      </c>
      <c r="B1790" s="3" t="s">
        <v>1829</v>
      </c>
      <c r="C1790" s="3" t="s">
        <v>18</v>
      </c>
      <c r="D1790" s="6" t="s">
        <v>464</v>
      </c>
      <c r="E1790" s="6" t="s">
        <v>464</v>
      </c>
      <c r="F1790" s="3" t="str">
        <f>IFERROR( VLOOKUP(A1790,#REF!,2,0),"")</f>
        <v/>
      </c>
      <c r="G1790" s="3" t="str">
        <f t="array" ref="G1790">_xlfn.XLOOKUP(I1790,Base_Datos!D:D,Base_Datos!B:B,"")</f>
        <v>DFSK</v>
      </c>
      <c r="H1790" s="3" t="str">
        <f t="array" ref="H1790">IF(I1790="","",IFERROR(_xlfn.XLOOKUP(I1790,Base_Datos!$D$2:$D3876,Base_Datos!$C$2:$C3876),""))</f>
        <v>Serie D</v>
      </c>
      <c r="I1790" s="3" t="s">
        <v>145</v>
      </c>
      <c r="J1790" s="3" t="str">
        <f>IF(I1790="","",IFERROR(VLOOKUP(I1790,Base_Datos!$D$2:$E$72,2,0),""))</f>
        <v>(2.4L)</v>
      </c>
      <c r="K1790" s="3" t="s">
        <v>1782</v>
      </c>
      <c r="L1790" s="3"/>
      <c r="M1790" s="7">
        <v>5</v>
      </c>
      <c r="N1790" s="7">
        <v>0</v>
      </c>
    </row>
    <row r="1791" spans="1:14" ht="14.25" x14ac:dyDescent="0.2">
      <c r="A1791" s="3">
        <v>89406</v>
      </c>
      <c r="B1791" s="3" t="s">
        <v>3830</v>
      </c>
      <c r="C1791" s="3" t="s">
        <v>15</v>
      </c>
      <c r="D1791" s="6" t="s">
        <v>465</v>
      </c>
      <c r="E1791" s="6" t="s">
        <v>465</v>
      </c>
      <c r="F1791" s="3" t="str">
        <f>IFERROR( VLOOKUP(A1791,#REF!,2,0),"")</f>
        <v/>
      </c>
      <c r="G1791" s="3">
        <f t="array" ref="G1791">_xlfn.XLOOKUP(I1791,Base_Datos!D:D,Base_Datos!B:B,"")</f>
        <v>0</v>
      </c>
      <c r="H1791" s="3" t="str">
        <f t="array" ref="H1791">IF(I1791="","",IFERROR(_xlfn.XLOOKUP(I1791,Base_Datos!$D$2:$D3876,Base_Datos!$C$2:$C3876),""))</f>
        <v/>
      </c>
      <c r="I1791" s="3"/>
      <c r="J1791" s="3" t="str">
        <f>IF(I1791="","",IFERROR(VLOOKUP(I1791,Base_Datos!$D$2:$E$72,2,0),""))</f>
        <v/>
      </c>
      <c r="K1791" s="3" t="s">
        <v>1782</v>
      </c>
      <c r="L1791" s="3"/>
      <c r="M1791" s="7">
        <v>8</v>
      </c>
      <c r="N1791" s="7">
        <v>0</v>
      </c>
    </row>
    <row r="1792" spans="1:14" ht="14.25" x14ac:dyDescent="0.2">
      <c r="A1792" s="3">
        <v>89407</v>
      </c>
      <c r="B1792" s="3" t="s">
        <v>3831</v>
      </c>
      <c r="C1792" s="3" t="s">
        <v>15</v>
      </c>
      <c r="D1792" s="6" t="s">
        <v>3832</v>
      </c>
      <c r="E1792" s="6" t="s">
        <v>3832</v>
      </c>
      <c r="F1792" s="3" t="str">
        <f>IFERROR( VLOOKUP(A1792,#REF!,2,0),"")</f>
        <v/>
      </c>
      <c r="G1792" s="3">
        <f t="array" ref="G1792">_xlfn.XLOOKUP(I1792,Base_Datos!D:D,Base_Datos!B:B,"")</f>
        <v>0</v>
      </c>
      <c r="H1792" s="3" t="str">
        <f t="array" ref="H1792">IF(I1792="","",IFERROR(_xlfn.XLOOKUP(I1792,Base_Datos!$D$2:$D3876,Base_Datos!$C$2:$C3876),""))</f>
        <v/>
      </c>
      <c r="I1792" s="3"/>
      <c r="J1792" s="3" t="str">
        <f>IF(I1792="","",IFERROR(VLOOKUP(I1792,Base_Datos!$D$2:$E$72,2,0),""))</f>
        <v/>
      </c>
      <c r="K1792" s="3" t="s">
        <v>1782</v>
      </c>
      <c r="L1792" s="3"/>
      <c r="M1792" s="7">
        <v>0</v>
      </c>
      <c r="N1792" s="7">
        <v>0</v>
      </c>
    </row>
    <row r="1793" spans="1:14" ht="14.25" x14ac:dyDescent="0.2">
      <c r="A1793" s="3">
        <v>89408</v>
      </c>
      <c r="B1793" s="3" t="s">
        <v>3833</v>
      </c>
      <c r="C1793" s="3" t="s">
        <v>15</v>
      </c>
      <c r="D1793" s="6" t="s">
        <v>3834</v>
      </c>
      <c r="E1793" s="6" t="s">
        <v>3834</v>
      </c>
      <c r="F1793" s="3" t="str">
        <f>IFERROR( VLOOKUP(A1793,#REF!,2,0),"")</f>
        <v/>
      </c>
      <c r="G1793" s="3">
        <f t="array" ref="G1793">_xlfn.XLOOKUP(I1793,Base_Datos!D:D,Base_Datos!B:B,"")</f>
        <v>0</v>
      </c>
      <c r="H1793" s="3" t="str">
        <f t="array" ref="H1793">IF(I1793="","",IFERROR(_xlfn.XLOOKUP(I1793,Base_Datos!$D$2:$D3876,Base_Datos!$C$2:$C3876),""))</f>
        <v/>
      </c>
      <c r="I1793" s="3"/>
      <c r="J1793" s="3" t="str">
        <f>IF(I1793="","",IFERROR(VLOOKUP(I1793,Base_Datos!$D$2:$E$72,2,0),""))</f>
        <v/>
      </c>
      <c r="K1793" s="3" t="s">
        <v>1782</v>
      </c>
      <c r="L1793" s="3"/>
      <c r="M1793" s="7">
        <v>0</v>
      </c>
      <c r="N1793" s="7">
        <v>0</v>
      </c>
    </row>
    <row r="1794" spans="1:14" ht="14.25" x14ac:dyDescent="0.2">
      <c r="A1794" s="3">
        <v>89409</v>
      </c>
      <c r="B1794" s="3" t="s">
        <v>3389</v>
      </c>
      <c r="C1794" s="3" t="s">
        <v>18</v>
      </c>
      <c r="D1794" s="6" t="s">
        <v>466</v>
      </c>
      <c r="E1794" s="6" t="s">
        <v>466</v>
      </c>
      <c r="F1794" s="3" t="str">
        <f>IFERROR( VLOOKUP(A1794,#REF!,2,0),"")</f>
        <v/>
      </c>
      <c r="G1794" s="3" t="str">
        <f t="array" ref="G1794">_xlfn.XLOOKUP(I1794,Base_Datos!D:D,Base_Datos!B:B,"")</f>
        <v>DFSK</v>
      </c>
      <c r="H1794" s="3" t="str">
        <f t="array" ref="H1794">IF(I1794="","",IFERROR(_xlfn.XLOOKUP(I1794,Base_Datos!$D$2:$D3876,Base_Datos!$C$2:$C3876),""))</f>
        <v>Serie Glory</v>
      </c>
      <c r="I1794" s="3" t="s">
        <v>404</v>
      </c>
      <c r="J1794" s="3" t="str">
        <f>IF(I1794="","",IFERROR(VLOOKUP(I1794,Base_Datos!$D$2:$E$72,2,0),""))</f>
        <v>(1.5L)</v>
      </c>
      <c r="K1794" s="3" t="s">
        <v>1801</v>
      </c>
      <c r="L1794" s="3"/>
      <c r="M1794" s="7">
        <v>2</v>
      </c>
      <c r="N1794" s="7">
        <v>0</v>
      </c>
    </row>
    <row r="1795" spans="1:14" ht="14.25" x14ac:dyDescent="0.2">
      <c r="A1795" s="3">
        <v>89410</v>
      </c>
      <c r="B1795" s="3" t="s">
        <v>3387</v>
      </c>
      <c r="C1795" s="3" t="s">
        <v>18</v>
      </c>
      <c r="D1795" s="6" t="s">
        <v>467</v>
      </c>
      <c r="E1795" s="6" t="s">
        <v>3835</v>
      </c>
      <c r="F1795" s="3" t="str">
        <f>IFERROR( VLOOKUP(A1795,#REF!,2,0),"")</f>
        <v/>
      </c>
      <c r="G1795" s="3" t="str">
        <f t="array" ref="G1795">_xlfn.XLOOKUP(I1795,Base_Datos!D:D,Base_Datos!B:B,"")</f>
        <v>DFSK</v>
      </c>
      <c r="H1795" s="3" t="str">
        <f t="array" ref="H1795">IF(I1795="","",IFERROR(_xlfn.XLOOKUP(I1795,Base_Datos!$D$2:$D3876,Base_Datos!$C$2:$C3876),""))</f>
        <v>Serie Glory</v>
      </c>
      <c r="I1795" s="3" t="s">
        <v>404</v>
      </c>
      <c r="J1795" s="3" t="str">
        <f>IF(I1795="","",IFERROR(VLOOKUP(I1795,Base_Datos!$D$2:$E$72,2,0),""))</f>
        <v>(1.5L)</v>
      </c>
      <c r="K1795" s="3" t="s">
        <v>1782</v>
      </c>
      <c r="L1795" s="3"/>
      <c r="M1795" s="7">
        <v>2</v>
      </c>
      <c r="N1795" s="7">
        <v>0</v>
      </c>
    </row>
    <row r="1796" spans="1:14" ht="14.25" x14ac:dyDescent="0.2">
      <c r="A1796" s="3">
        <v>89411</v>
      </c>
      <c r="B1796" s="3" t="s">
        <v>3594</v>
      </c>
      <c r="C1796" s="3" t="s">
        <v>18</v>
      </c>
      <c r="D1796" s="6" t="s">
        <v>468</v>
      </c>
      <c r="E1796" s="6" t="s">
        <v>468</v>
      </c>
      <c r="F1796" s="3" t="str">
        <f>IFERROR( VLOOKUP(A1796,#REF!,2,0),"")</f>
        <v/>
      </c>
      <c r="G1796" s="3" t="str">
        <f t="array" ref="G1796">_xlfn.XLOOKUP(I1796,Base_Datos!D:D,Base_Datos!B:B,"")</f>
        <v>DFSK</v>
      </c>
      <c r="H1796" s="3" t="str">
        <f t="array" ref="H1796">IF(I1796="","",IFERROR(_xlfn.XLOOKUP(I1796,Base_Datos!$D$2:$D3876,Base_Datos!$C$2:$C3876),""))</f>
        <v>Serie D</v>
      </c>
      <c r="I1796" s="3" t="s">
        <v>145</v>
      </c>
      <c r="J1796" s="3" t="str">
        <f>IF(I1796="","",IFERROR(VLOOKUP(I1796,Base_Datos!$D$2:$E$72,2,0),""))</f>
        <v>(2.4L)</v>
      </c>
      <c r="K1796" s="3" t="s">
        <v>1782</v>
      </c>
      <c r="L1796" s="3"/>
      <c r="M1796" s="7">
        <v>3</v>
      </c>
      <c r="N1796" s="7">
        <v>0</v>
      </c>
    </row>
    <row r="1797" spans="1:14" ht="14.25" x14ac:dyDescent="0.2">
      <c r="A1797" s="3">
        <v>89412</v>
      </c>
      <c r="B1797" s="3" t="s">
        <v>3239</v>
      </c>
      <c r="C1797" s="3" t="s">
        <v>18</v>
      </c>
      <c r="D1797" s="6" t="s">
        <v>469</v>
      </c>
      <c r="E1797" s="6" t="s">
        <v>469</v>
      </c>
      <c r="F1797" s="3" t="str">
        <f>IFERROR( VLOOKUP(A1797,#REF!,2,0),"")</f>
        <v/>
      </c>
      <c r="G1797" s="3" t="str">
        <f t="array" ref="G1797">_xlfn.XLOOKUP(I1797,Base_Datos!D:D,Base_Datos!B:B,"")</f>
        <v>DFSK</v>
      </c>
      <c r="H1797" s="3" t="str">
        <f t="array" ref="H1797">IF(I1797="","",IFERROR(_xlfn.XLOOKUP(I1797,Base_Datos!$D$2:$D3876,Base_Datos!$C$2:$C3876),""))</f>
        <v>Serie Glory</v>
      </c>
      <c r="I1797" s="3" t="s">
        <v>404</v>
      </c>
      <c r="J1797" s="3" t="str">
        <f>IF(I1797="","",IFERROR(VLOOKUP(I1797,Base_Datos!$D$2:$E$72,2,0),""))</f>
        <v>(1.5L)</v>
      </c>
      <c r="K1797" s="3" t="s">
        <v>1782</v>
      </c>
      <c r="L1797" s="3"/>
      <c r="M1797" s="7">
        <v>19</v>
      </c>
      <c r="N1797" s="7">
        <v>0</v>
      </c>
    </row>
    <row r="1798" spans="1:14" ht="14.25" x14ac:dyDescent="0.2">
      <c r="A1798" s="3">
        <v>89413</v>
      </c>
      <c r="B1798" s="3" t="s">
        <v>3836</v>
      </c>
      <c r="C1798" s="3" t="s">
        <v>15</v>
      </c>
      <c r="D1798" s="6" t="s">
        <v>470</v>
      </c>
      <c r="E1798" s="6" t="s">
        <v>470</v>
      </c>
      <c r="F1798" s="3" t="str">
        <f>IFERROR( VLOOKUP(A1798,#REF!,2,0),"")</f>
        <v/>
      </c>
      <c r="G1798" s="3">
        <f t="array" ref="G1798">_xlfn.XLOOKUP(I1798,Base_Datos!D:D,Base_Datos!B:B,"")</f>
        <v>0</v>
      </c>
      <c r="H1798" s="3" t="str">
        <f t="array" ref="H1798">IF(I1798="","",IFERROR(_xlfn.XLOOKUP(I1798,Base_Datos!$D$2:$D3876,Base_Datos!$C$2:$C3876),""))</f>
        <v/>
      </c>
      <c r="I1798" s="3"/>
      <c r="J1798" s="3" t="str">
        <f>IF(I1798="","",IFERROR(VLOOKUP(I1798,Base_Datos!$D$2:$E$72,2,0),""))</f>
        <v/>
      </c>
      <c r="K1798" s="3" t="s">
        <v>1782</v>
      </c>
      <c r="L1798" s="3"/>
      <c r="M1798" s="7">
        <v>23</v>
      </c>
      <c r="N1798" s="7">
        <v>0</v>
      </c>
    </row>
    <row r="1799" spans="1:14" ht="14.25" x14ac:dyDescent="0.2">
      <c r="A1799" s="3">
        <v>89414</v>
      </c>
      <c r="B1799" s="3" t="s">
        <v>3837</v>
      </c>
      <c r="C1799" s="3" t="s">
        <v>15</v>
      </c>
      <c r="D1799" s="6" t="s">
        <v>471</v>
      </c>
      <c r="E1799" s="6" t="s">
        <v>471</v>
      </c>
      <c r="F1799" s="3" t="str">
        <f>IFERROR( VLOOKUP(A1799,#REF!,2,0),"")</f>
        <v/>
      </c>
      <c r="G1799" s="3">
        <f t="array" ref="G1799">_xlfn.XLOOKUP(I1799,Base_Datos!D:D,Base_Datos!B:B,"")</f>
        <v>0</v>
      </c>
      <c r="H1799" s="3" t="str">
        <f t="array" ref="H1799">IF(I1799="","",IFERROR(_xlfn.XLOOKUP(I1799,Base_Datos!$D$2:$D3876,Base_Datos!$C$2:$C3876),""))</f>
        <v/>
      </c>
      <c r="I1799" s="3"/>
      <c r="J1799" s="3" t="str">
        <f>IF(I1799="","",IFERROR(VLOOKUP(I1799,Base_Datos!$D$2:$E$72,2,0),""))</f>
        <v/>
      </c>
      <c r="K1799" s="3" t="s">
        <v>1782</v>
      </c>
      <c r="L1799" s="3"/>
      <c r="M1799" s="7">
        <v>23</v>
      </c>
      <c r="N1799" s="7">
        <v>0</v>
      </c>
    </row>
    <row r="1800" spans="1:14" ht="14.25" x14ac:dyDescent="0.2">
      <c r="A1800" s="3">
        <v>89415</v>
      </c>
      <c r="B1800" s="3" t="s">
        <v>3838</v>
      </c>
      <c r="C1800" s="3" t="s">
        <v>18</v>
      </c>
      <c r="D1800" s="6" t="s">
        <v>472</v>
      </c>
      <c r="E1800" s="6" t="s">
        <v>472</v>
      </c>
      <c r="F1800" s="3" t="str">
        <f>IFERROR( VLOOKUP(A1800,#REF!,2,0),"")</f>
        <v/>
      </c>
      <c r="G1800" s="3" t="str">
        <f t="array" ref="G1800">_xlfn.XLOOKUP(I1800,Base_Datos!D:D,Base_Datos!B:B,"")</f>
        <v>DFSK</v>
      </c>
      <c r="H1800" s="3" t="str">
        <f t="array" ref="H1800">IF(I1800="","",IFERROR(_xlfn.XLOOKUP(I1800,Base_Datos!$D$2:$D3876,Base_Datos!$C$2:$C3876),""))</f>
        <v>Serie D</v>
      </c>
      <c r="I1800" s="3" t="s">
        <v>145</v>
      </c>
      <c r="J1800" s="3" t="str">
        <f>IF(I1800="","",IFERROR(VLOOKUP(I1800,Base_Datos!$D$2:$E$72,2,0),""))</f>
        <v>(2.4L)</v>
      </c>
      <c r="K1800" s="3" t="s">
        <v>1782</v>
      </c>
      <c r="L1800" s="3"/>
      <c r="M1800" s="7">
        <v>4</v>
      </c>
      <c r="N1800" s="7">
        <v>0</v>
      </c>
    </row>
    <row r="1801" spans="1:14" ht="14.25" x14ac:dyDescent="0.2">
      <c r="A1801" s="3">
        <v>89416</v>
      </c>
      <c r="B1801" s="3" t="s">
        <v>2678</v>
      </c>
      <c r="C1801" s="3" t="s">
        <v>18</v>
      </c>
      <c r="D1801" s="6" t="s">
        <v>473</v>
      </c>
      <c r="E1801" s="6" t="s">
        <v>473</v>
      </c>
      <c r="F1801" s="3" t="str">
        <f>IFERROR( VLOOKUP(A1801,#REF!,2,0),"")</f>
        <v/>
      </c>
      <c r="G1801" s="3" t="str">
        <f t="array" ref="G1801">_xlfn.XLOOKUP(I1801,Base_Datos!D:D,Base_Datos!B:B,"")</f>
        <v>DFSK</v>
      </c>
      <c r="H1801" s="3" t="str">
        <f t="array" ref="H1801">IF(I1801="","",IFERROR(_xlfn.XLOOKUP(I1801,Base_Datos!$D$2:$D3876,Base_Datos!$C$2:$C3876),""))</f>
        <v>Serie K</v>
      </c>
      <c r="I1801" s="3" t="s">
        <v>475</v>
      </c>
      <c r="J1801" s="3" t="str">
        <f>IF(I1801="","",IFERROR(VLOOKUP(I1801,Base_Datos!$D$2:$E$72,2,0),""))</f>
        <v>(1.1L)</v>
      </c>
      <c r="K1801" s="3" t="s">
        <v>3839</v>
      </c>
      <c r="L1801" s="3"/>
      <c r="M1801" s="7">
        <v>10</v>
      </c>
      <c r="N1801" s="7">
        <v>0</v>
      </c>
    </row>
    <row r="1802" spans="1:14" ht="14.25" x14ac:dyDescent="0.2">
      <c r="A1802" s="3">
        <v>89419</v>
      </c>
      <c r="B1802" s="3" t="s">
        <v>2715</v>
      </c>
      <c r="C1802" s="3" t="s">
        <v>18</v>
      </c>
      <c r="D1802" s="6" t="s">
        <v>474</v>
      </c>
      <c r="E1802" s="6" t="s">
        <v>474</v>
      </c>
      <c r="F1802" s="3" t="str">
        <f>IFERROR( VLOOKUP(A1802,#REF!,2,0),"")</f>
        <v/>
      </c>
      <c r="G1802" s="3" t="str">
        <f t="array" ref="G1802">_xlfn.XLOOKUP(I1802,Base_Datos!D:D,Base_Datos!B:B,"")</f>
        <v>DFSK</v>
      </c>
      <c r="H1802" s="3" t="str">
        <f t="array" ref="H1802">IF(I1802="","",IFERROR(_xlfn.XLOOKUP(I1802,Base_Datos!$D$2:$D3876,Base_Datos!$C$2:$C3876),""))</f>
        <v>Serie D</v>
      </c>
      <c r="I1802" s="3" t="s">
        <v>2785</v>
      </c>
      <c r="J1802" s="3" t="str">
        <f>IF(I1802="","",IFERROR(VLOOKUP(I1802,Base_Datos!$D$2:$E$72,2,0),""))</f>
        <v>(1.5L)</v>
      </c>
      <c r="K1802" s="3" t="s">
        <v>1782</v>
      </c>
      <c r="L1802" s="3"/>
      <c r="M1802" s="7">
        <v>10</v>
      </c>
      <c r="N1802" s="7">
        <v>0</v>
      </c>
    </row>
    <row r="1803" spans="1:14" ht="14.25" x14ac:dyDescent="0.2">
      <c r="A1803" s="3">
        <v>89420</v>
      </c>
      <c r="B1803" s="3" t="s">
        <v>2717</v>
      </c>
      <c r="C1803" s="3" t="s">
        <v>18</v>
      </c>
      <c r="D1803" s="6" t="s">
        <v>3840</v>
      </c>
      <c r="E1803" s="6" t="s">
        <v>3840</v>
      </c>
      <c r="F1803" s="3" t="str">
        <f>IFERROR( VLOOKUP(A1803,#REF!,2,0),"")</f>
        <v/>
      </c>
      <c r="G1803" s="3" t="str">
        <f t="array" ref="G1803">_xlfn.XLOOKUP(I1803,Base_Datos!D:D,Base_Datos!B:B,"")</f>
        <v>DFSK</v>
      </c>
      <c r="H1803" s="3" t="str">
        <f t="array" ref="H1803">IF(I1803="","",IFERROR(_xlfn.XLOOKUP(I1803,Base_Datos!$D$2:$D3876,Base_Datos!$C$2:$C3876),""))</f>
        <v>Serie D</v>
      </c>
      <c r="I1803" s="3" t="s">
        <v>2785</v>
      </c>
      <c r="J1803" s="3" t="str">
        <f>IF(I1803="","",IFERROR(VLOOKUP(I1803,Base_Datos!$D$2:$E$72,2,0),""))</f>
        <v>(1.5L)</v>
      </c>
      <c r="K1803" s="3" t="s">
        <v>1782</v>
      </c>
      <c r="L1803" s="3"/>
      <c r="M1803" s="7">
        <v>10</v>
      </c>
      <c r="N1803" s="7">
        <v>0</v>
      </c>
    </row>
    <row r="1804" spans="1:14" ht="14.25" x14ac:dyDescent="0.2">
      <c r="A1804" s="3">
        <v>89422</v>
      </c>
      <c r="B1804" s="3" t="s">
        <v>3841</v>
      </c>
      <c r="C1804" s="3" t="s">
        <v>18</v>
      </c>
      <c r="D1804" s="6" t="s">
        <v>329</v>
      </c>
      <c r="E1804" s="6" t="s">
        <v>329</v>
      </c>
      <c r="F1804" s="3" t="str">
        <f>IFERROR( VLOOKUP(A1804,#REF!,2,0),"")</f>
        <v/>
      </c>
      <c r="G1804" s="3" t="str">
        <f t="array" ref="G1804">_xlfn.XLOOKUP(I1804,Base_Datos!D:D,Base_Datos!B:B,"")</f>
        <v>DFSK</v>
      </c>
      <c r="H1804" s="3" t="str">
        <f t="array" ref="H1804">IF(I1804="","",IFERROR(_xlfn.XLOOKUP(I1804,Base_Datos!$D$2:$D3876,Base_Datos!$C$2:$C3876),""))</f>
        <v>Serie C</v>
      </c>
      <c r="I1804" s="3" t="s">
        <v>332</v>
      </c>
      <c r="J1804" s="3" t="str">
        <f>IF(I1804="","",IFERROR(VLOOKUP(I1804,Base_Datos!$D$2:$E$72,2,0),""))</f>
        <v>(1.5L)</v>
      </c>
      <c r="K1804" s="3" t="s">
        <v>1782</v>
      </c>
      <c r="L1804" s="3"/>
      <c r="M1804" s="7">
        <v>4</v>
      </c>
      <c r="N1804" s="7">
        <v>0</v>
      </c>
    </row>
    <row r="1805" spans="1:14" ht="14.25" x14ac:dyDescent="0.2">
      <c r="A1805" s="3">
        <v>89425</v>
      </c>
      <c r="B1805" s="3" t="s">
        <v>3842</v>
      </c>
      <c r="C1805" s="3" t="s">
        <v>23</v>
      </c>
      <c r="D1805" s="6" t="s">
        <v>476</v>
      </c>
      <c r="E1805" s="6" t="s">
        <v>476</v>
      </c>
      <c r="F1805" s="3" t="str">
        <f>IFERROR( VLOOKUP(A1805,#REF!,2,0),"")</f>
        <v/>
      </c>
      <c r="G1805" s="3" t="str">
        <f t="array" ref="G1805">_xlfn.XLOOKUP(I1805,Base_Datos!D:D,Base_Datos!B:B,"")</f>
        <v>DFSK</v>
      </c>
      <c r="H1805" s="3" t="str">
        <f t="array" ref="H1805">IF(I1805="","",IFERROR(_xlfn.XLOOKUP(I1805,Base_Datos!$D$2:$D3876,Base_Datos!$C$2:$C3876),""))</f>
        <v>Serie Glory</v>
      </c>
      <c r="I1805" s="3" t="s">
        <v>404</v>
      </c>
      <c r="J1805" s="3" t="str">
        <f>IF(I1805="","",IFERROR(VLOOKUP(I1805,Base_Datos!$D$2:$E$72,2,0),""))</f>
        <v>(1.5L)</v>
      </c>
      <c r="K1805" s="3" t="s">
        <v>1782</v>
      </c>
      <c r="L1805" s="3"/>
      <c r="M1805" s="7">
        <v>4</v>
      </c>
      <c r="N1805" s="7">
        <v>0</v>
      </c>
    </row>
    <row r="1806" spans="1:14" ht="14.25" x14ac:dyDescent="0.2">
      <c r="A1806" s="3">
        <v>89436</v>
      </c>
      <c r="B1806" s="3" t="s">
        <v>2713</v>
      </c>
      <c r="C1806" s="3" t="s">
        <v>18</v>
      </c>
      <c r="D1806" s="6" t="s">
        <v>1782</v>
      </c>
      <c r="E1806" s="6" t="s">
        <v>1782</v>
      </c>
      <c r="F1806" s="3" t="str">
        <f>IFERROR( VLOOKUP(A1806,#REF!,2,0),"")</f>
        <v/>
      </c>
      <c r="G1806" s="3" t="str">
        <f t="array" ref="G1806">_xlfn.XLOOKUP(I1806,Base_Datos!D:D,Base_Datos!B:B,"")</f>
        <v>DFSK</v>
      </c>
      <c r="H1806" s="3" t="str">
        <f t="array" ref="H1806">IF(I1806="","",IFERROR(_xlfn.XLOOKUP(I1806,Base_Datos!$D$2:$D3876,Base_Datos!$C$2:$C3876),""))</f>
        <v>Serie Glory</v>
      </c>
      <c r="I1806" s="3" t="s">
        <v>404</v>
      </c>
      <c r="J1806" s="3" t="str">
        <f>IF(I1806="","",IFERROR(VLOOKUP(I1806,Base_Datos!$D$2:$E$72,2,0),""))</f>
        <v>(1.5L)</v>
      </c>
      <c r="K1806" s="3" t="s">
        <v>1782</v>
      </c>
      <c r="L1806" s="3"/>
      <c r="M1806" s="7">
        <v>0</v>
      </c>
      <c r="N1806" s="7">
        <v>0</v>
      </c>
    </row>
    <row r="1807" spans="1:14" ht="14.25" x14ac:dyDescent="0.2">
      <c r="A1807" s="3">
        <v>89437</v>
      </c>
      <c r="B1807" s="3" t="s">
        <v>3519</v>
      </c>
      <c r="C1807" s="3" t="s">
        <v>18</v>
      </c>
      <c r="D1807" s="6" t="s">
        <v>477</v>
      </c>
      <c r="E1807" s="6" t="s">
        <v>477</v>
      </c>
      <c r="F1807" s="3" t="str">
        <f>IFERROR( VLOOKUP(A1807,#REF!,2,0),"")</f>
        <v/>
      </c>
      <c r="G1807" s="3" t="str">
        <f t="array" ref="G1807">_xlfn.XLOOKUP(I1807,Base_Datos!D:D,Base_Datos!B:B,"")</f>
        <v>DFSK</v>
      </c>
      <c r="H1807" s="3" t="str">
        <f t="array" ref="H1807">IF(I1807="","",IFERROR(_xlfn.XLOOKUP(I1807,Base_Datos!$D$2:$D3876,Base_Datos!$C$2:$C3876),""))</f>
        <v>Serie Glory</v>
      </c>
      <c r="I1807" s="3" t="s">
        <v>404</v>
      </c>
      <c r="J1807" s="3" t="str">
        <f>IF(I1807="","",IFERROR(VLOOKUP(I1807,Base_Datos!$D$2:$E$72,2,0),""))</f>
        <v>(1.5L)</v>
      </c>
      <c r="K1807" s="3" t="s">
        <v>1782</v>
      </c>
      <c r="L1807" s="3"/>
      <c r="M1807" s="7">
        <v>0</v>
      </c>
      <c r="N1807" s="7">
        <v>0</v>
      </c>
    </row>
    <row r="1808" spans="1:14" ht="14.25" x14ac:dyDescent="0.2">
      <c r="A1808" s="3">
        <v>89445</v>
      </c>
      <c r="B1808" s="3" t="s">
        <v>3843</v>
      </c>
      <c r="C1808" s="3" t="s">
        <v>22</v>
      </c>
      <c r="D1808" s="6" t="s">
        <v>478</v>
      </c>
      <c r="E1808" s="6" t="s">
        <v>478</v>
      </c>
      <c r="F1808" s="3" t="str">
        <f>IFERROR( VLOOKUP(A1808,#REF!,2,0),"")</f>
        <v/>
      </c>
      <c r="G1808" s="3" t="str">
        <f t="array" ref="G1808">_xlfn.XLOOKUP(I1808,Base_Datos!D:D,Base_Datos!B:B,"")</f>
        <v>DFSK</v>
      </c>
      <c r="H1808" s="3" t="str">
        <f t="array" ref="H1808">IF(I1808="","",IFERROR(_xlfn.XLOOKUP(I1808,Base_Datos!$D$2:$D3876,Base_Datos!$C$2:$C3876),""))</f>
        <v>Serie Glory</v>
      </c>
      <c r="I1808" s="3" t="s">
        <v>1765</v>
      </c>
      <c r="J1808" s="3" t="str">
        <f>IF(I1808="","",IFERROR(VLOOKUP(I1808,Base_Datos!$D$2:$E$72,2,0),""))</f>
        <v>(1.5L)</v>
      </c>
      <c r="K1808" s="3" t="s">
        <v>1782</v>
      </c>
      <c r="L1808" s="3"/>
      <c r="M1808" s="7">
        <v>9</v>
      </c>
      <c r="N1808" s="7">
        <v>0</v>
      </c>
    </row>
    <row r="1809" spans="1:14" ht="14.25" x14ac:dyDescent="0.2">
      <c r="A1809" s="3">
        <v>89446</v>
      </c>
      <c r="B1809" s="3" t="s">
        <v>3844</v>
      </c>
      <c r="C1809" s="3" t="s">
        <v>22</v>
      </c>
      <c r="D1809" s="6" t="s">
        <v>479</v>
      </c>
      <c r="E1809" s="6" t="s">
        <v>479</v>
      </c>
      <c r="F1809" s="3" t="str">
        <f>IFERROR( VLOOKUP(A1809,#REF!,2,0),"")</f>
        <v/>
      </c>
      <c r="G1809" s="3" t="str">
        <f t="array" ref="G1809">_xlfn.XLOOKUP(I1809,Base_Datos!D:D,Base_Datos!B:B,"")</f>
        <v>DFSK</v>
      </c>
      <c r="H1809" s="3" t="str">
        <f t="array" ref="H1809">IF(I1809="","",IFERROR(_xlfn.XLOOKUP(I1809,Base_Datos!$D$2:$D3876,Base_Datos!$C$2:$C3876),""))</f>
        <v>Serie Glory</v>
      </c>
      <c r="I1809" s="3" t="s">
        <v>1765</v>
      </c>
      <c r="J1809" s="3" t="str">
        <f>IF(I1809="","",IFERROR(VLOOKUP(I1809,Base_Datos!$D$2:$E$72,2,0),""))</f>
        <v>(1.5L)</v>
      </c>
      <c r="K1809" s="3" t="s">
        <v>1782</v>
      </c>
      <c r="L1809" s="3"/>
      <c r="M1809" s="7">
        <v>0</v>
      </c>
      <c r="N1809" s="7">
        <v>0</v>
      </c>
    </row>
    <row r="1810" spans="1:14" ht="14.25" x14ac:dyDescent="0.2">
      <c r="A1810" s="3">
        <v>89447</v>
      </c>
      <c r="B1810" s="3" t="s">
        <v>2709</v>
      </c>
      <c r="C1810" s="3" t="s">
        <v>18</v>
      </c>
      <c r="D1810" s="6" t="s">
        <v>480</v>
      </c>
      <c r="E1810" s="6" t="s">
        <v>480</v>
      </c>
      <c r="F1810" s="3" t="str">
        <f>IFERROR( VLOOKUP(A1810,#REF!,2,0),"")</f>
        <v/>
      </c>
      <c r="G1810" s="3" t="str">
        <f t="array" ref="G1810">_xlfn.XLOOKUP(I1810,Base_Datos!D:D,Base_Datos!B:B,"")</f>
        <v>DFSK</v>
      </c>
      <c r="H1810" s="3" t="str">
        <f t="array" ref="H1810">IF(I1810="","",IFERROR(_xlfn.XLOOKUP(I1810,Base_Datos!$D$2:$D3876,Base_Datos!$C$2:$C3876),""))</f>
        <v>Serie Glory</v>
      </c>
      <c r="I1810" s="3" t="s">
        <v>1765</v>
      </c>
      <c r="J1810" s="3" t="str">
        <f>IF(I1810="","",IFERROR(VLOOKUP(I1810,Base_Datos!$D$2:$E$72,2,0),""))</f>
        <v>(1.5L)</v>
      </c>
      <c r="K1810" s="3" t="s">
        <v>1782</v>
      </c>
      <c r="L1810" s="3"/>
      <c r="M1810" s="7">
        <v>5</v>
      </c>
      <c r="N1810" s="7">
        <v>0</v>
      </c>
    </row>
    <row r="1811" spans="1:14" ht="14.25" x14ac:dyDescent="0.2">
      <c r="A1811" s="3">
        <v>89448</v>
      </c>
      <c r="B1811" s="3" t="s">
        <v>3845</v>
      </c>
      <c r="C1811" s="3" t="s">
        <v>22</v>
      </c>
      <c r="D1811" s="6" t="s">
        <v>481</v>
      </c>
      <c r="E1811" s="6" t="s">
        <v>481</v>
      </c>
      <c r="F1811" s="3" t="str">
        <f>IFERROR( VLOOKUP(A1811,#REF!,2,0),"")</f>
        <v/>
      </c>
      <c r="G1811" s="3" t="str">
        <f t="array" ref="G1811">_xlfn.XLOOKUP(I1811,Base_Datos!D:D,Base_Datos!B:B,"")</f>
        <v>DFSK</v>
      </c>
      <c r="H1811" s="3" t="str">
        <f t="array" ref="H1811">IF(I1811="","",IFERROR(_xlfn.XLOOKUP(I1811,Base_Datos!$D$2:$D3876,Base_Datos!$C$2:$C3876),""))</f>
        <v>Serie Glory</v>
      </c>
      <c r="I1811" s="3" t="s">
        <v>1765</v>
      </c>
      <c r="J1811" s="3" t="str">
        <f>IF(I1811="","",IFERROR(VLOOKUP(I1811,Base_Datos!$D$2:$E$72,2,0),""))</f>
        <v>(1.5L)</v>
      </c>
      <c r="K1811" s="3" t="s">
        <v>1782</v>
      </c>
      <c r="L1811" s="3"/>
      <c r="M1811" s="7">
        <v>1</v>
      </c>
      <c r="N1811" s="7">
        <v>0</v>
      </c>
    </row>
    <row r="1812" spans="1:14" ht="14.25" x14ac:dyDescent="0.2">
      <c r="A1812" s="3">
        <v>89449</v>
      </c>
      <c r="B1812" s="3" t="s">
        <v>3846</v>
      </c>
      <c r="C1812" s="3" t="s">
        <v>22</v>
      </c>
      <c r="D1812" s="6" t="s">
        <v>482</v>
      </c>
      <c r="E1812" s="6" t="s">
        <v>482</v>
      </c>
      <c r="F1812" s="3" t="str">
        <f>IFERROR( VLOOKUP(A1812,#REF!,2,0),"")</f>
        <v/>
      </c>
      <c r="G1812" s="3" t="str">
        <f t="array" ref="G1812">_xlfn.XLOOKUP(I1812,Base_Datos!D:D,Base_Datos!B:B,"")</f>
        <v>DFSK</v>
      </c>
      <c r="H1812" s="3" t="str">
        <f t="array" ref="H1812">IF(I1812="","",IFERROR(_xlfn.XLOOKUP(I1812,Base_Datos!$D$2:$D3876,Base_Datos!$C$2:$C3876),""))</f>
        <v>Serie D</v>
      </c>
      <c r="I1812" s="3" t="s">
        <v>973</v>
      </c>
      <c r="J1812" s="3" t="str">
        <f>IF(I1812="","",IFERROR(VLOOKUP(I1812,Base_Datos!$D$2:$E$72,2,0),""))</f>
        <v>(1.5L)</v>
      </c>
      <c r="K1812" s="3" t="s">
        <v>1782</v>
      </c>
      <c r="L1812" s="3"/>
      <c r="M1812" s="7">
        <v>0</v>
      </c>
      <c r="N1812" s="7">
        <v>0</v>
      </c>
    </row>
    <row r="1813" spans="1:14" ht="14.25" x14ac:dyDescent="0.2">
      <c r="A1813" s="3">
        <v>89450</v>
      </c>
      <c r="B1813" s="3" t="s">
        <v>3847</v>
      </c>
      <c r="C1813" s="3" t="s">
        <v>22</v>
      </c>
      <c r="D1813" s="6" t="s">
        <v>483</v>
      </c>
      <c r="E1813" s="6" t="s">
        <v>483</v>
      </c>
      <c r="F1813" s="3" t="str">
        <f>IFERROR( VLOOKUP(A1813,#REF!,2,0),"")</f>
        <v/>
      </c>
      <c r="G1813" s="3" t="str">
        <f t="array" ref="G1813">_xlfn.XLOOKUP(I1813,Base_Datos!D:D,Base_Datos!B:B,"")</f>
        <v>DFSK</v>
      </c>
      <c r="H1813" s="3" t="str">
        <f t="array" ref="H1813">IF(I1813="","",IFERROR(_xlfn.XLOOKUP(I1813,Base_Datos!$D$2:$D3876,Base_Datos!$C$2:$C3876),""))</f>
        <v>Serie D</v>
      </c>
      <c r="I1813" s="3" t="s">
        <v>973</v>
      </c>
      <c r="J1813" s="3" t="str">
        <f>IF(I1813="","",IFERROR(VLOOKUP(I1813,Base_Datos!$D$2:$E$72,2,0),""))</f>
        <v>(1.5L)</v>
      </c>
      <c r="K1813" s="3" t="s">
        <v>1782</v>
      </c>
      <c r="L1813" s="3"/>
      <c r="M1813" s="7">
        <v>2</v>
      </c>
      <c r="N1813" s="7">
        <v>0</v>
      </c>
    </row>
    <row r="1814" spans="1:14" ht="14.25" x14ac:dyDescent="0.2">
      <c r="A1814" s="3">
        <v>89451</v>
      </c>
      <c r="B1814" s="3" t="s">
        <v>3848</v>
      </c>
      <c r="C1814" s="3" t="s">
        <v>18</v>
      </c>
      <c r="D1814" s="6" t="s">
        <v>484</v>
      </c>
      <c r="E1814" s="6" t="s">
        <v>484</v>
      </c>
      <c r="F1814" s="3" t="str">
        <f>IFERROR( VLOOKUP(A1814,#REF!,2,0),"")</f>
        <v/>
      </c>
      <c r="G1814" s="3" t="str">
        <f t="array" ref="G1814">_xlfn.XLOOKUP(I1814,Base_Datos!D:D,Base_Datos!B:B,"")</f>
        <v>DFSK</v>
      </c>
      <c r="H1814" s="3" t="str">
        <f t="array" ref="H1814">IF(I1814="","",IFERROR(_xlfn.XLOOKUP(I1814,Base_Datos!$D$2:$D3876,Base_Datos!$C$2:$C3876),""))</f>
        <v>Serie Glory</v>
      </c>
      <c r="I1814" s="3" t="s">
        <v>1765</v>
      </c>
      <c r="J1814" s="3" t="str">
        <f>IF(I1814="","",IFERROR(VLOOKUP(I1814,Base_Datos!$D$2:$E$72,2,0),""))</f>
        <v>(1.5L)</v>
      </c>
      <c r="K1814" s="3" t="s">
        <v>1782</v>
      </c>
      <c r="L1814" s="3"/>
      <c r="M1814" s="7">
        <v>3</v>
      </c>
      <c r="N1814" s="7">
        <v>0</v>
      </c>
    </row>
    <row r="1815" spans="1:14" ht="14.25" x14ac:dyDescent="0.2">
      <c r="A1815" s="3">
        <v>89452</v>
      </c>
      <c r="B1815" s="3" t="s">
        <v>3849</v>
      </c>
      <c r="C1815" s="3" t="s">
        <v>18</v>
      </c>
      <c r="D1815" s="6" t="s">
        <v>485</v>
      </c>
      <c r="E1815" s="6" t="s">
        <v>485</v>
      </c>
      <c r="F1815" s="3" t="str">
        <f>IFERROR( VLOOKUP(A1815,#REF!,2,0),"")</f>
        <v/>
      </c>
      <c r="G1815" s="3" t="str">
        <f t="array" ref="G1815">_xlfn.XLOOKUP(I1815,Base_Datos!D:D,Base_Datos!B:B,"")</f>
        <v>DFSK</v>
      </c>
      <c r="H1815" s="3" t="str">
        <f t="array" ref="H1815">IF(I1815="","",IFERROR(_xlfn.XLOOKUP(I1815,Base_Datos!$D$2:$D3876,Base_Datos!$C$2:$C3876),""))</f>
        <v>Serie Glory</v>
      </c>
      <c r="I1815" s="3" t="s">
        <v>1765</v>
      </c>
      <c r="J1815" s="3" t="str">
        <f>IF(I1815="","",IFERROR(VLOOKUP(I1815,Base_Datos!$D$2:$E$72,2,0),""))</f>
        <v>(1.5L)</v>
      </c>
      <c r="K1815" s="3" t="s">
        <v>1782</v>
      </c>
      <c r="L1815" s="3"/>
      <c r="M1815" s="7">
        <v>3</v>
      </c>
      <c r="N1815" s="7">
        <v>0</v>
      </c>
    </row>
    <row r="1816" spans="1:14" ht="14.25" x14ac:dyDescent="0.2">
      <c r="A1816" s="3">
        <v>89453</v>
      </c>
      <c r="B1816" s="3" t="s">
        <v>3850</v>
      </c>
      <c r="C1816" s="3" t="s">
        <v>18</v>
      </c>
      <c r="D1816" s="6" t="s">
        <v>486</v>
      </c>
      <c r="E1816" s="6" t="s">
        <v>486</v>
      </c>
      <c r="F1816" s="3" t="str">
        <f>IFERROR( VLOOKUP(A1816,#REF!,2,0),"")</f>
        <v/>
      </c>
      <c r="G1816" s="3" t="str">
        <f t="array" ref="G1816">_xlfn.XLOOKUP(I1816,Base_Datos!D:D,Base_Datos!B:B,"")</f>
        <v>DFSK</v>
      </c>
      <c r="H1816" s="3" t="str">
        <f t="array" ref="H1816">IF(I1816="","",IFERROR(_xlfn.XLOOKUP(I1816,Base_Datos!$D$2:$D3876,Base_Datos!$C$2:$C3876),""))</f>
        <v>Serie Glory</v>
      </c>
      <c r="I1816" s="3" t="s">
        <v>1765</v>
      </c>
      <c r="J1816" s="3" t="str">
        <f>IF(I1816="","",IFERROR(VLOOKUP(I1816,Base_Datos!$D$2:$E$72,2,0),""))</f>
        <v>(1.5L)</v>
      </c>
      <c r="K1816" s="3" t="s">
        <v>1782</v>
      </c>
      <c r="L1816" s="3"/>
      <c r="M1816" s="7">
        <v>19</v>
      </c>
      <c r="N1816" s="7">
        <v>0</v>
      </c>
    </row>
    <row r="1817" spans="1:14" ht="14.25" x14ac:dyDescent="0.2">
      <c r="A1817" s="3">
        <v>89454</v>
      </c>
      <c r="B1817" s="3" t="s">
        <v>3851</v>
      </c>
      <c r="C1817" s="3" t="s">
        <v>22</v>
      </c>
      <c r="D1817" s="6" t="s">
        <v>487</v>
      </c>
      <c r="E1817" s="6" t="s">
        <v>487</v>
      </c>
      <c r="F1817" s="3" t="str">
        <f>IFERROR( VLOOKUP(A1817,#REF!,2,0),"")</f>
        <v/>
      </c>
      <c r="G1817" s="3" t="str">
        <f t="array" ref="G1817">_xlfn.XLOOKUP(I1817,Base_Datos!D:D,Base_Datos!B:B,"")</f>
        <v>DFSK</v>
      </c>
      <c r="H1817" s="3" t="str">
        <f t="array" ref="H1817">IF(I1817="","",IFERROR(_xlfn.XLOOKUP(I1817,Base_Datos!$D$2:$D3876,Base_Datos!$C$2:$C3876),""))</f>
        <v>Serie D</v>
      </c>
      <c r="I1817" s="3" t="s">
        <v>973</v>
      </c>
      <c r="J1817" s="3" t="str">
        <f>IF(I1817="","",IFERROR(VLOOKUP(I1817,Base_Datos!$D$2:$E$72,2,0),""))</f>
        <v>(1.5L)</v>
      </c>
      <c r="K1817" s="3" t="s">
        <v>1782</v>
      </c>
      <c r="L1817" s="3"/>
      <c r="M1817" s="7">
        <v>2</v>
      </c>
      <c r="N1817" s="7">
        <v>0</v>
      </c>
    </row>
    <row r="1818" spans="1:14" ht="14.25" x14ac:dyDescent="0.2">
      <c r="A1818" s="3">
        <v>89455</v>
      </c>
      <c r="B1818" s="3" t="s">
        <v>1884</v>
      </c>
      <c r="C1818" s="3" t="s">
        <v>18</v>
      </c>
      <c r="D1818" s="6" t="s">
        <v>488</v>
      </c>
      <c r="E1818" s="6" t="s">
        <v>488</v>
      </c>
      <c r="F1818" s="3" t="str">
        <f>IFERROR( VLOOKUP(A1818,#REF!,2,0),"")</f>
        <v/>
      </c>
      <c r="G1818" s="3" t="str">
        <f t="array" ref="G1818">_xlfn.XLOOKUP(I1818,Base_Datos!D:D,Base_Datos!B:B,"")</f>
        <v>DFSK</v>
      </c>
      <c r="H1818" s="3" t="str">
        <f t="array" ref="H1818">IF(I1818="","",IFERROR(_xlfn.XLOOKUP(I1818,Base_Datos!$D$2:$D3876,Base_Datos!$C$2:$C3876),""))</f>
        <v>Serie Glory</v>
      </c>
      <c r="I1818" s="3" t="s">
        <v>1765</v>
      </c>
      <c r="J1818" s="3" t="str">
        <f>IF(I1818="","",IFERROR(VLOOKUP(I1818,Base_Datos!$D$2:$E$72,2,0),""))</f>
        <v>(1.5L)</v>
      </c>
      <c r="K1818" s="3" t="s">
        <v>1782</v>
      </c>
      <c r="L1818" s="3"/>
      <c r="M1818" s="7">
        <v>0</v>
      </c>
      <c r="N1818" s="7">
        <v>0</v>
      </c>
    </row>
    <row r="1819" spans="1:14" ht="14.25" x14ac:dyDescent="0.2">
      <c r="A1819" s="3">
        <v>89456</v>
      </c>
      <c r="B1819" s="3" t="s">
        <v>3852</v>
      </c>
      <c r="C1819" s="3" t="s">
        <v>18</v>
      </c>
      <c r="D1819" s="6" t="s">
        <v>489</v>
      </c>
      <c r="E1819" s="6" t="s">
        <v>489</v>
      </c>
      <c r="F1819" s="3" t="str">
        <f>IFERROR( VLOOKUP(A1819,#REF!,2,0),"")</f>
        <v/>
      </c>
      <c r="G1819" s="3" t="str">
        <f t="array" ref="G1819">_xlfn.XLOOKUP(I1819,Base_Datos!D:D,Base_Datos!B:B,"")</f>
        <v>DFSK</v>
      </c>
      <c r="H1819" s="3" t="str">
        <f t="array" ref="H1819">IF(I1819="","",IFERROR(_xlfn.XLOOKUP(I1819,Base_Datos!$D$2:$D3876,Base_Datos!$C$2:$C3876),""))</f>
        <v>Serie Glory</v>
      </c>
      <c r="I1819" s="3" t="s">
        <v>1765</v>
      </c>
      <c r="J1819" s="3" t="str">
        <f>IF(I1819="","",IFERROR(VLOOKUP(I1819,Base_Datos!$D$2:$E$72,2,0),""))</f>
        <v>(1.5L)</v>
      </c>
      <c r="K1819" s="3" t="s">
        <v>1782</v>
      </c>
      <c r="L1819" s="3"/>
      <c r="M1819" s="7">
        <v>29</v>
      </c>
      <c r="N1819" s="7">
        <v>0</v>
      </c>
    </row>
    <row r="1820" spans="1:14" ht="14.25" x14ac:dyDescent="0.2">
      <c r="A1820" s="3">
        <v>89457</v>
      </c>
      <c r="B1820" s="3" t="s">
        <v>3598</v>
      </c>
      <c r="C1820" s="3" t="s">
        <v>18</v>
      </c>
      <c r="D1820" s="6" t="s">
        <v>490</v>
      </c>
      <c r="E1820" s="6" t="s">
        <v>490</v>
      </c>
      <c r="F1820" s="3" t="str">
        <f>IFERROR( VLOOKUP(A1820,#REF!,2,0),"")</f>
        <v/>
      </c>
      <c r="G1820" s="3" t="str">
        <f t="array" ref="G1820">_xlfn.XLOOKUP(I1820,Base_Datos!D:D,Base_Datos!B:B,"")</f>
        <v>DFSK</v>
      </c>
      <c r="H1820" s="3" t="str">
        <f t="array" ref="H1820">IF(I1820="","",IFERROR(_xlfn.XLOOKUP(I1820,Base_Datos!$D$2:$D3876,Base_Datos!$C$2:$C3876),""))</f>
        <v>Serie D</v>
      </c>
      <c r="I1820" s="3" t="s">
        <v>973</v>
      </c>
      <c r="J1820" s="3" t="str">
        <f>IF(I1820="","",IFERROR(VLOOKUP(I1820,Base_Datos!$D$2:$E$72,2,0),""))</f>
        <v>(1.5L)</v>
      </c>
      <c r="K1820" s="3" t="s">
        <v>2881</v>
      </c>
      <c r="L1820" s="3"/>
      <c r="M1820" s="7">
        <v>42</v>
      </c>
      <c r="N1820" s="7">
        <v>0</v>
      </c>
    </row>
    <row r="1821" spans="1:14" ht="14.25" x14ac:dyDescent="0.2">
      <c r="A1821" s="3">
        <v>89458</v>
      </c>
      <c r="B1821" s="3" t="s">
        <v>3853</v>
      </c>
      <c r="C1821" s="3" t="s">
        <v>18</v>
      </c>
      <c r="D1821" s="6" t="s">
        <v>491</v>
      </c>
      <c r="E1821" s="6" t="s">
        <v>491</v>
      </c>
      <c r="F1821" s="3" t="str">
        <f>IFERROR( VLOOKUP(A1821,#REF!,2,0),"")</f>
        <v/>
      </c>
      <c r="G1821" s="3" t="str">
        <f t="array" ref="G1821">_xlfn.XLOOKUP(I1821,Base_Datos!D:D,Base_Datos!B:B,"")</f>
        <v>DFSK</v>
      </c>
      <c r="H1821" s="3" t="str">
        <f t="array" ref="H1821">IF(I1821="","",IFERROR(_xlfn.XLOOKUP(I1821,Base_Datos!$D$2:$D3876,Base_Datos!$C$2:$C3876),""))</f>
        <v>Serie Glory</v>
      </c>
      <c r="I1821" s="3" t="s">
        <v>1765</v>
      </c>
      <c r="J1821" s="3" t="str">
        <f>IF(I1821="","",IFERROR(VLOOKUP(I1821,Base_Datos!$D$2:$E$72,2,0),""))</f>
        <v>(1.5L)</v>
      </c>
      <c r="K1821" s="3" t="s">
        <v>1782</v>
      </c>
      <c r="L1821" s="3"/>
      <c r="M1821" s="7">
        <v>10</v>
      </c>
      <c r="N1821" s="7">
        <v>0</v>
      </c>
    </row>
    <row r="1822" spans="1:14" ht="14.25" x14ac:dyDescent="0.2">
      <c r="A1822" s="3">
        <v>89459</v>
      </c>
      <c r="B1822" s="3" t="s">
        <v>3854</v>
      </c>
      <c r="C1822" s="3" t="s">
        <v>22</v>
      </c>
      <c r="D1822" s="6" t="s">
        <v>492</v>
      </c>
      <c r="E1822" s="6" t="s">
        <v>492</v>
      </c>
      <c r="F1822" s="3" t="str">
        <f>IFERROR( VLOOKUP(A1822,#REF!,2,0),"")</f>
        <v/>
      </c>
      <c r="G1822" s="3" t="str">
        <f t="array" ref="G1822">_xlfn.XLOOKUP(I1822,Base_Datos!D:D,Base_Datos!B:B,"")</f>
        <v>DFSK</v>
      </c>
      <c r="H1822" s="3" t="str">
        <f t="array" ref="H1822">IF(I1822="","",IFERROR(_xlfn.XLOOKUP(I1822,Base_Datos!$D$2:$D3876,Base_Datos!$C$2:$C3876),""))</f>
        <v>Serie Glory</v>
      </c>
      <c r="I1822" s="3" t="s">
        <v>1765</v>
      </c>
      <c r="J1822" s="3" t="str">
        <f>IF(I1822="","",IFERROR(VLOOKUP(I1822,Base_Datos!$D$2:$E$72,2,0),""))</f>
        <v>(1.5L)</v>
      </c>
      <c r="K1822" s="3" t="s">
        <v>1782</v>
      </c>
      <c r="L1822" s="3"/>
      <c r="M1822" s="7">
        <v>185</v>
      </c>
      <c r="N1822" s="7">
        <v>0</v>
      </c>
    </row>
    <row r="1823" spans="1:14" ht="14.25" x14ac:dyDescent="0.2">
      <c r="A1823" s="3">
        <v>89460</v>
      </c>
      <c r="B1823" s="3" t="s">
        <v>3855</v>
      </c>
      <c r="C1823" s="3" t="s">
        <v>22</v>
      </c>
      <c r="D1823" s="6" t="s">
        <v>493</v>
      </c>
      <c r="E1823" s="6" t="s">
        <v>493</v>
      </c>
      <c r="F1823" s="3" t="str">
        <f>IFERROR( VLOOKUP(A1823,#REF!,2,0),"")</f>
        <v/>
      </c>
      <c r="G1823" s="3" t="str">
        <f t="array" ref="G1823">_xlfn.XLOOKUP(I1823,Base_Datos!D:D,Base_Datos!B:B,"")</f>
        <v>DFSK</v>
      </c>
      <c r="H1823" s="3" t="str">
        <f t="array" ref="H1823">IF(I1823="","",IFERROR(_xlfn.XLOOKUP(I1823,Base_Datos!$D$2:$D3876,Base_Datos!$C$2:$C3876),""))</f>
        <v>Serie Glory</v>
      </c>
      <c r="I1823" s="3" t="s">
        <v>1765</v>
      </c>
      <c r="J1823" s="3" t="str">
        <f>IF(I1823="","",IFERROR(VLOOKUP(I1823,Base_Datos!$D$2:$E$72,2,0),""))</f>
        <v>(1.5L)</v>
      </c>
      <c r="K1823" s="3" t="s">
        <v>1782</v>
      </c>
      <c r="L1823" s="3"/>
      <c r="M1823" s="7">
        <v>10</v>
      </c>
      <c r="N1823" s="7">
        <v>0</v>
      </c>
    </row>
    <row r="1824" spans="1:14" ht="14.25" x14ac:dyDescent="0.2">
      <c r="A1824" s="3">
        <v>89461</v>
      </c>
      <c r="B1824" s="3" t="s">
        <v>3856</v>
      </c>
      <c r="C1824" s="3" t="s">
        <v>22</v>
      </c>
      <c r="D1824" s="6" t="s">
        <v>494</v>
      </c>
      <c r="E1824" s="6" t="s">
        <v>494</v>
      </c>
      <c r="F1824" s="3" t="str">
        <f>IFERROR( VLOOKUP(A1824,#REF!,2,0),"")</f>
        <v/>
      </c>
      <c r="G1824" s="3" t="str">
        <f t="array" ref="G1824">_xlfn.XLOOKUP(I1824,Base_Datos!D:D,Base_Datos!B:B,"")</f>
        <v>DFSK</v>
      </c>
      <c r="H1824" s="3" t="str">
        <f t="array" ref="H1824">IF(I1824="","",IFERROR(_xlfn.XLOOKUP(I1824,Base_Datos!$D$2:$D3876,Base_Datos!$C$2:$C3876),""))</f>
        <v>Serie Glory</v>
      </c>
      <c r="I1824" s="3" t="s">
        <v>1765</v>
      </c>
      <c r="J1824" s="3" t="str">
        <f>IF(I1824="","",IFERROR(VLOOKUP(I1824,Base_Datos!$D$2:$E$72,2,0),""))</f>
        <v>(1.5L)</v>
      </c>
      <c r="K1824" s="3" t="s">
        <v>1782</v>
      </c>
      <c r="L1824" s="3"/>
      <c r="M1824" s="7">
        <v>10</v>
      </c>
      <c r="N1824" s="7">
        <v>0</v>
      </c>
    </row>
    <row r="1825" spans="1:14" ht="14.25" x14ac:dyDescent="0.2">
      <c r="A1825" s="3">
        <v>89462</v>
      </c>
      <c r="B1825" s="3" t="s">
        <v>2857</v>
      </c>
      <c r="C1825" s="3" t="s">
        <v>22</v>
      </c>
      <c r="D1825" s="6" t="s">
        <v>495</v>
      </c>
      <c r="E1825" s="6" t="s">
        <v>3857</v>
      </c>
      <c r="F1825" s="3" t="str">
        <f>IFERROR( VLOOKUP(A1825,#REF!,2,0),"")</f>
        <v/>
      </c>
      <c r="G1825" s="3" t="str">
        <f t="array" ref="G1825">_xlfn.XLOOKUP(I1825,Base_Datos!D:D,Base_Datos!B:B,"")</f>
        <v>DFSK</v>
      </c>
      <c r="H1825" s="3" t="str">
        <f t="array" ref="H1825">IF(I1825="","",IFERROR(_xlfn.XLOOKUP(I1825,Base_Datos!$D$2:$D3876,Base_Datos!$C$2:$C3876),""))</f>
        <v>Serie Glory</v>
      </c>
      <c r="I1825" s="3" t="s">
        <v>1765</v>
      </c>
      <c r="J1825" s="3" t="str">
        <f>IF(I1825="","",IFERROR(VLOOKUP(I1825,Base_Datos!$D$2:$E$72,2,0),""))</f>
        <v>(1.5L)</v>
      </c>
      <c r="K1825" s="3" t="s">
        <v>1782</v>
      </c>
      <c r="L1825" s="3"/>
      <c r="M1825" s="7">
        <v>2</v>
      </c>
      <c r="N1825" s="7">
        <v>0</v>
      </c>
    </row>
    <row r="1826" spans="1:14" ht="14.25" x14ac:dyDescent="0.2">
      <c r="A1826" s="3">
        <v>89463</v>
      </c>
      <c r="B1826" s="3" t="s">
        <v>2859</v>
      </c>
      <c r="C1826" s="3" t="s">
        <v>22</v>
      </c>
      <c r="D1826" s="6" t="s">
        <v>496</v>
      </c>
      <c r="E1826" s="6" t="s">
        <v>3858</v>
      </c>
      <c r="F1826" s="3" t="str">
        <f>IFERROR( VLOOKUP(A1826,#REF!,2,0),"")</f>
        <v/>
      </c>
      <c r="G1826" s="3" t="str">
        <f t="array" ref="G1826">_xlfn.XLOOKUP(I1826,Base_Datos!D:D,Base_Datos!B:B,"")</f>
        <v>DFSK</v>
      </c>
      <c r="H1826" s="3" t="str">
        <f t="array" ref="H1826">IF(I1826="","",IFERROR(_xlfn.XLOOKUP(I1826,Base_Datos!$D$2:$D3876,Base_Datos!$C$2:$C3876),""))</f>
        <v>Serie Glory</v>
      </c>
      <c r="I1826" s="3" t="s">
        <v>1765</v>
      </c>
      <c r="J1826" s="3" t="str">
        <f>IF(I1826="","",IFERROR(VLOOKUP(I1826,Base_Datos!$D$2:$E$72,2,0),""))</f>
        <v>(1.5L)</v>
      </c>
      <c r="K1826" s="3" t="s">
        <v>1782</v>
      </c>
      <c r="L1826" s="3"/>
      <c r="M1826" s="7">
        <v>4</v>
      </c>
      <c r="N1826" s="7">
        <v>0</v>
      </c>
    </row>
    <row r="1827" spans="1:14" ht="14.25" x14ac:dyDescent="0.2">
      <c r="A1827" s="3">
        <v>89464</v>
      </c>
      <c r="B1827" s="3" t="s">
        <v>3859</v>
      </c>
      <c r="C1827" s="3" t="s">
        <v>18</v>
      </c>
      <c r="D1827" s="6" t="s">
        <v>497</v>
      </c>
      <c r="E1827" s="6" t="s">
        <v>497</v>
      </c>
      <c r="F1827" s="3" t="str">
        <f>IFERROR( VLOOKUP(A1827,#REF!,2,0),"")</f>
        <v/>
      </c>
      <c r="G1827" s="3" t="str">
        <f t="array" ref="G1827">_xlfn.XLOOKUP(I1827,Base_Datos!D:D,Base_Datos!B:B,"")</f>
        <v>DFSK</v>
      </c>
      <c r="H1827" s="3" t="str">
        <f t="array" ref="H1827">IF(I1827="","",IFERROR(_xlfn.XLOOKUP(I1827,Base_Datos!$D$2:$D3876,Base_Datos!$C$2:$C3876),""))</f>
        <v>Serie Glory</v>
      </c>
      <c r="I1827" s="3" t="s">
        <v>1765</v>
      </c>
      <c r="J1827" s="3" t="str">
        <f>IF(I1827="","",IFERROR(VLOOKUP(I1827,Base_Datos!$D$2:$E$72,2,0),""))</f>
        <v>(1.5L)</v>
      </c>
      <c r="K1827" s="3" t="s">
        <v>1782</v>
      </c>
      <c r="L1827" s="3"/>
      <c r="M1827" s="7">
        <v>30</v>
      </c>
      <c r="N1827" s="7">
        <v>0</v>
      </c>
    </row>
    <row r="1828" spans="1:14" ht="14.25" x14ac:dyDescent="0.2">
      <c r="A1828" s="3">
        <v>89465</v>
      </c>
      <c r="B1828" s="3" t="s">
        <v>3860</v>
      </c>
      <c r="C1828" s="3" t="s">
        <v>18</v>
      </c>
      <c r="D1828" s="6" t="s">
        <v>498</v>
      </c>
      <c r="E1828" s="6" t="s">
        <v>498</v>
      </c>
      <c r="F1828" s="3" t="str">
        <f>IFERROR( VLOOKUP(A1828,#REF!,2,0),"")</f>
        <v/>
      </c>
      <c r="G1828" s="3" t="str">
        <f t="array" ref="G1828">_xlfn.XLOOKUP(I1828,Base_Datos!D:D,Base_Datos!B:B,"")</f>
        <v>DFSK</v>
      </c>
      <c r="H1828" s="3" t="str">
        <f t="array" ref="H1828">IF(I1828="","",IFERROR(_xlfn.XLOOKUP(I1828,Base_Datos!$D$2:$D3876,Base_Datos!$C$2:$C3876),""))</f>
        <v>Serie Glory</v>
      </c>
      <c r="I1828" s="3" t="s">
        <v>1765</v>
      </c>
      <c r="J1828" s="3" t="str">
        <f>IF(I1828="","",IFERROR(VLOOKUP(I1828,Base_Datos!$D$2:$E$72,2,0),""))</f>
        <v>(1.5L)</v>
      </c>
      <c r="K1828" s="3" t="s">
        <v>1782</v>
      </c>
      <c r="L1828" s="3"/>
      <c r="M1828" s="7">
        <v>31</v>
      </c>
      <c r="N1828" s="7">
        <v>0</v>
      </c>
    </row>
    <row r="1829" spans="1:14" ht="14.25" x14ac:dyDescent="0.2">
      <c r="A1829" s="3">
        <v>89466</v>
      </c>
      <c r="B1829" s="3" t="s">
        <v>3861</v>
      </c>
      <c r="C1829" s="3" t="s">
        <v>22</v>
      </c>
      <c r="D1829" s="6" t="s">
        <v>499</v>
      </c>
      <c r="E1829" s="6" t="s">
        <v>499</v>
      </c>
      <c r="F1829" s="3" t="str">
        <f>IFERROR( VLOOKUP(A1829,#REF!,2,0),"")</f>
        <v/>
      </c>
      <c r="G1829" s="3" t="str">
        <f t="array" ref="G1829">_xlfn.XLOOKUP(I1829,Base_Datos!D:D,Base_Datos!B:B,"")</f>
        <v>DFSK</v>
      </c>
      <c r="H1829" s="3" t="str">
        <f t="array" ref="H1829">IF(I1829="","",IFERROR(_xlfn.XLOOKUP(I1829,Base_Datos!$D$2:$D3876,Base_Datos!$C$2:$C3876),""))</f>
        <v>Serie D</v>
      </c>
      <c r="I1829" s="3" t="s">
        <v>973</v>
      </c>
      <c r="J1829" s="3" t="str">
        <f>IF(I1829="","",IFERROR(VLOOKUP(I1829,Base_Datos!$D$2:$E$72,2,0),""))</f>
        <v>(1.5L)</v>
      </c>
      <c r="K1829" s="3" t="s">
        <v>1782</v>
      </c>
      <c r="L1829" s="3"/>
      <c r="M1829" s="7">
        <v>3</v>
      </c>
      <c r="N1829" s="7">
        <v>0</v>
      </c>
    </row>
    <row r="1830" spans="1:14" ht="14.25" x14ac:dyDescent="0.2">
      <c r="A1830" s="3">
        <v>89467</v>
      </c>
      <c r="B1830" s="3" t="s">
        <v>3862</v>
      </c>
      <c r="C1830" s="3" t="s">
        <v>22</v>
      </c>
      <c r="D1830" s="6" t="s">
        <v>500</v>
      </c>
      <c r="E1830" s="6" t="s">
        <v>500</v>
      </c>
      <c r="F1830" s="3" t="str">
        <f>IFERROR( VLOOKUP(A1830,#REF!,2,0),"")</f>
        <v/>
      </c>
      <c r="G1830" s="3" t="str">
        <f t="array" ref="G1830">_xlfn.XLOOKUP(I1830,Base_Datos!D:D,Base_Datos!B:B,"")</f>
        <v>DFSK</v>
      </c>
      <c r="H1830" s="3" t="str">
        <f t="array" ref="H1830">IF(I1830="","",IFERROR(_xlfn.XLOOKUP(I1830,Base_Datos!$D$2:$D3876,Base_Datos!$C$2:$C3876),""))</f>
        <v>Serie Glory</v>
      </c>
      <c r="I1830" s="3" t="s">
        <v>1765</v>
      </c>
      <c r="J1830" s="3" t="str">
        <f>IF(I1830="","",IFERROR(VLOOKUP(I1830,Base_Datos!$D$2:$E$72,2,0),""))</f>
        <v>(1.5L)</v>
      </c>
      <c r="K1830" s="3" t="s">
        <v>1782</v>
      </c>
      <c r="L1830" s="3"/>
      <c r="M1830" s="7">
        <v>4</v>
      </c>
      <c r="N1830" s="7">
        <v>0</v>
      </c>
    </row>
    <row r="1831" spans="1:14" ht="14.25" x14ac:dyDescent="0.2">
      <c r="A1831" s="3">
        <v>89468</v>
      </c>
      <c r="B1831" s="3" t="s">
        <v>2614</v>
      </c>
      <c r="C1831" s="3" t="s">
        <v>18</v>
      </c>
      <c r="D1831" s="6" t="s">
        <v>501</v>
      </c>
      <c r="E1831" s="6" t="s">
        <v>501</v>
      </c>
      <c r="F1831" s="3" t="str">
        <f>IFERROR( VLOOKUP(A1831,#REF!,2,0),"")</f>
        <v/>
      </c>
      <c r="G1831" s="3" t="str">
        <f t="array" ref="G1831">_xlfn.XLOOKUP(I1831,Base_Datos!D:D,Base_Datos!B:B,"")</f>
        <v>DFSK</v>
      </c>
      <c r="H1831" s="3" t="str">
        <f t="array" ref="H1831">IF(I1831="","",IFERROR(_xlfn.XLOOKUP(I1831,Base_Datos!$D$2:$D3876,Base_Datos!$C$2:$C3876),""))</f>
        <v>Serie Glory</v>
      </c>
      <c r="I1831" s="3" t="s">
        <v>1765</v>
      </c>
      <c r="J1831" s="3" t="str">
        <f>IF(I1831="","",IFERROR(VLOOKUP(I1831,Base_Datos!$D$2:$E$72,2,0),""))</f>
        <v>(1.5L)</v>
      </c>
      <c r="K1831" s="3" t="s">
        <v>2881</v>
      </c>
      <c r="L1831" s="3"/>
      <c r="M1831" s="7">
        <v>16</v>
      </c>
      <c r="N1831" s="7">
        <v>0</v>
      </c>
    </row>
    <row r="1832" spans="1:14" ht="14.25" x14ac:dyDescent="0.2">
      <c r="A1832" s="3">
        <v>89469</v>
      </c>
      <c r="B1832" s="3" t="s">
        <v>3863</v>
      </c>
      <c r="C1832" s="3" t="s">
        <v>18</v>
      </c>
      <c r="D1832" s="6" t="s">
        <v>502</v>
      </c>
      <c r="E1832" s="6" t="s">
        <v>502</v>
      </c>
      <c r="F1832" s="3" t="str">
        <f>IFERROR( VLOOKUP(A1832,#REF!,2,0),"")</f>
        <v/>
      </c>
      <c r="G1832" s="3" t="str">
        <f t="array" ref="G1832">_xlfn.XLOOKUP(I1832,Base_Datos!D:D,Base_Datos!B:B,"")</f>
        <v>DFSK</v>
      </c>
      <c r="H1832" s="3" t="str">
        <f t="array" ref="H1832">IF(I1832="","",IFERROR(_xlfn.XLOOKUP(I1832,Base_Datos!$D$2:$D3876,Base_Datos!$C$2:$C3876),""))</f>
        <v>Serie Glory</v>
      </c>
      <c r="I1832" s="3" t="s">
        <v>1765</v>
      </c>
      <c r="J1832" s="3" t="str">
        <f>IF(I1832="","",IFERROR(VLOOKUP(I1832,Base_Datos!$D$2:$E$72,2,0),""))</f>
        <v>(1.5L)</v>
      </c>
      <c r="K1832" s="3" t="s">
        <v>2881</v>
      </c>
      <c r="L1832" s="3"/>
      <c r="M1832" s="7">
        <v>17</v>
      </c>
      <c r="N1832" s="7">
        <v>0</v>
      </c>
    </row>
    <row r="1833" spans="1:14" ht="14.25" x14ac:dyDescent="0.2">
      <c r="A1833" s="3">
        <v>89470</v>
      </c>
      <c r="B1833" s="3" t="s">
        <v>3864</v>
      </c>
      <c r="C1833" s="3" t="s">
        <v>18</v>
      </c>
      <c r="D1833" s="6" t="s">
        <v>503</v>
      </c>
      <c r="E1833" s="6" t="s">
        <v>503</v>
      </c>
      <c r="F1833" s="3" t="str">
        <f>IFERROR( VLOOKUP(A1833,#REF!,2,0),"")</f>
        <v/>
      </c>
      <c r="G1833" s="3" t="str">
        <f t="array" ref="G1833">_xlfn.XLOOKUP(I1833,Base_Datos!D:D,Base_Datos!B:B,"")</f>
        <v>DFSK</v>
      </c>
      <c r="H1833" s="3" t="str">
        <f t="array" ref="H1833">IF(I1833="","",IFERROR(_xlfn.XLOOKUP(I1833,Base_Datos!$D$2:$D3876,Base_Datos!$C$2:$C3876),""))</f>
        <v>Serie Glory</v>
      </c>
      <c r="I1833" s="3" t="s">
        <v>1765</v>
      </c>
      <c r="J1833" s="3" t="str">
        <f>IF(I1833="","",IFERROR(VLOOKUP(I1833,Base_Datos!$D$2:$E$72,2,0),""))</f>
        <v>(1.5L)</v>
      </c>
      <c r="K1833" s="3" t="s">
        <v>2881</v>
      </c>
      <c r="L1833" s="3"/>
      <c r="M1833" s="7">
        <v>60</v>
      </c>
      <c r="N1833" s="7">
        <v>0</v>
      </c>
    </row>
    <row r="1834" spans="1:14" ht="14.25" x14ac:dyDescent="0.2">
      <c r="A1834" s="3">
        <v>89471</v>
      </c>
      <c r="B1834" s="3" t="s">
        <v>3865</v>
      </c>
      <c r="C1834" s="3" t="s">
        <v>18</v>
      </c>
      <c r="D1834" s="6" t="s">
        <v>504</v>
      </c>
      <c r="E1834" s="6" t="s">
        <v>504</v>
      </c>
      <c r="F1834" s="3" t="str">
        <f>IFERROR( VLOOKUP(A1834,#REF!,2,0),"")</f>
        <v/>
      </c>
      <c r="G1834" s="3" t="str">
        <f t="array" ref="G1834">_xlfn.XLOOKUP(I1834,Base_Datos!D:D,Base_Datos!B:B,"")</f>
        <v>DFSK</v>
      </c>
      <c r="H1834" s="3" t="str">
        <f t="array" ref="H1834">IF(I1834="","",IFERROR(_xlfn.XLOOKUP(I1834,Base_Datos!$D$2:$D3876,Base_Datos!$C$2:$C3876),""))</f>
        <v>Serie Glory</v>
      </c>
      <c r="I1834" s="3" t="s">
        <v>1765</v>
      </c>
      <c r="J1834" s="3" t="str">
        <f>IF(I1834="","",IFERROR(VLOOKUP(I1834,Base_Datos!$D$2:$E$72,2,0),""))</f>
        <v>(1.5L)</v>
      </c>
      <c r="K1834" s="3" t="s">
        <v>1782</v>
      </c>
      <c r="L1834" s="3"/>
      <c r="M1834" s="7">
        <v>12</v>
      </c>
      <c r="N1834" s="7">
        <v>0</v>
      </c>
    </row>
    <row r="1835" spans="1:14" ht="14.25" x14ac:dyDescent="0.2">
      <c r="A1835" s="3">
        <v>89473</v>
      </c>
      <c r="B1835" s="3" t="s">
        <v>3866</v>
      </c>
      <c r="C1835" s="3" t="s">
        <v>22</v>
      </c>
      <c r="D1835" s="6" t="s">
        <v>506</v>
      </c>
      <c r="E1835" s="6" t="s">
        <v>506</v>
      </c>
      <c r="F1835" s="3" t="str">
        <f>IFERROR( VLOOKUP(A1835,#REF!,2,0),"")</f>
        <v/>
      </c>
      <c r="G1835" s="3" t="str">
        <f t="array" ref="G1835">_xlfn.XLOOKUP(I1835,Base_Datos!D:D,Base_Datos!B:B,"")</f>
        <v>DFSK</v>
      </c>
      <c r="H1835" s="3" t="str">
        <f t="array" ref="H1835">IF(I1835="","",IFERROR(_xlfn.XLOOKUP(I1835,Base_Datos!$D$2:$D3876,Base_Datos!$C$2:$C3876),""))</f>
        <v>Serie Glory</v>
      </c>
      <c r="I1835" s="3" t="s">
        <v>1765</v>
      </c>
      <c r="J1835" s="3" t="str">
        <f>IF(I1835="","",IFERROR(VLOOKUP(I1835,Base_Datos!$D$2:$E$72,2,0),""))</f>
        <v>(1.5L)</v>
      </c>
      <c r="K1835" s="3" t="s">
        <v>1782</v>
      </c>
      <c r="L1835" s="3"/>
      <c r="M1835" s="7">
        <v>4</v>
      </c>
      <c r="N1835" s="7">
        <v>0</v>
      </c>
    </row>
    <row r="1836" spans="1:14" ht="14.25" x14ac:dyDescent="0.2">
      <c r="A1836" s="3">
        <v>89474</v>
      </c>
      <c r="B1836" s="3" t="s">
        <v>3867</v>
      </c>
      <c r="C1836" s="3" t="s">
        <v>18</v>
      </c>
      <c r="D1836" s="6" t="s">
        <v>507</v>
      </c>
      <c r="E1836" s="6" t="s">
        <v>507</v>
      </c>
      <c r="F1836" s="3" t="str">
        <f>IFERROR( VLOOKUP(A1836,#REF!,2,0),"")</f>
        <v/>
      </c>
      <c r="G1836" s="3" t="str">
        <f t="array" ref="G1836">_xlfn.XLOOKUP(I1836,Base_Datos!D:D,Base_Datos!B:B,"")</f>
        <v>DFSK</v>
      </c>
      <c r="H1836" s="3" t="str">
        <f t="array" ref="H1836">IF(I1836="","",IFERROR(_xlfn.XLOOKUP(I1836,Base_Datos!$D$2:$D3876,Base_Datos!$C$2:$C3876),""))</f>
        <v>Serie Glory</v>
      </c>
      <c r="I1836" s="3" t="s">
        <v>1765</v>
      </c>
      <c r="J1836" s="3" t="str">
        <f>IF(I1836="","",IFERROR(VLOOKUP(I1836,Base_Datos!$D$2:$E$72,2,0),""))</f>
        <v>(1.5L)</v>
      </c>
      <c r="K1836" s="3" t="s">
        <v>2881</v>
      </c>
      <c r="L1836" s="3"/>
      <c r="M1836" s="7">
        <v>19</v>
      </c>
      <c r="N1836" s="7">
        <v>0</v>
      </c>
    </row>
    <row r="1837" spans="1:14" ht="14.25" x14ac:dyDescent="0.2">
      <c r="A1837" s="3">
        <v>89475</v>
      </c>
      <c r="B1837" s="3" t="s">
        <v>3868</v>
      </c>
      <c r="C1837" s="3" t="s">
        <v>18</v>
      </c>
      <c r="D1837" s="6" t="s">
        <v>508</v>
      </c>
      <c r="E1837" s="6" t="s">
        <v>508</v>
      </c>
      <c r="F1837" s="3" t="str">
        <f>IFERROR( VLOOKUP(A1837,#REF!,2,0),"")</f>
        <v/>
      </c>
      <c r="G1837" s="3" t="str">
        <f t="array" ref="G1837">_xlfn.XLOOKUP(I1837,Base_Datos!D:D,Base_Datos!B:B,"")</f>
        <v>DFSK</v>
      </c>
      <c r="H1837" s="3" t="str">
        <f t="array" ref="H1837">IF(I1837="","",IFERROR(_xlfn.XLOOKUP(I1837,Base_Datos!$D$2:$D3876,Base_Datos!$C$2:$C3876),""))</f>
        <v>Serie Glory</v>
      </c>
      <c r="I1837" s="3" t="s">
        <v>1765</v>
      </c>
      <c r="J1837" s="3" t="str">
        <f>IF(I1837="","",IFERROR(VLOOKUP(I1837,Base_Datos!$D$2:$E$72,2,0),""))</f>
        <v>(1.5L)</v>
      </c>
      <c r="K1837" s="3" t="s">
        <v>2881</v>
      </c>
      <c r="L1837" s="3"/>
      <c r="M1837" s="7">
        <v>18</v>
      </c>
      <c r="N1837" s="7">
        <v>0</v>
      </c>
    </row>
    <row r="1838" spans="1:14" ht="14.25" x14ac:dyDescent="0.2">
      <c r="A1838" s="3">
        <v>89476</v>
      </c>
      <c r="B1838" s="3" t="s">
        <v>3869</v>
      </c>
      <c r="C1838" s="3" t="s">
        <v>22</v>
      </c>
      <c r="D1838" s="6" t="s">
        <v>509</v>
      </c>
      <c r="E1838" s="6" t="s">
        <v>509</v>
      </c>
      <c r="F1838" s="3" t="str">
        <f>IFERROR( VLOOKUP(A1838,#REF!,2,0),"")</f>
        <v/>
      </c>
      <c r="G1838" s="3" t="str">
        <f t="array" ref="G1838">_xlfn.XLOOKUP(I1838,Base_Datos!D:D,Base_Datos!B:B,"")</f>
        <v>DFSK</v>
      </c>
      <c r="H1838" s="3" t="str">
        <f t="array" ref="H1838">IF(I1838="","",IFERROR(_xlfn.XLOOKUP(I1838,Base_Datos!$D$2:$D3876,Base_Datos!$C$2:$C3876),""))</f>
        <v>Serie Glory</v>
      </c>
      <c r="I1838" s="3" t="s">
        <v>1765</v>
      </c>
      <c r="J1838" s="3" t="str">
        <f>IF(I1838="","",IFERROR(VLOOKUP(I1838,Base_Datos!$D$2:$E$72,2,0),""))</f>
        <v>(1.5L)</v>
      </c>
      <c r="K1838" s="3" t="s">
        <v>1782</v>
      </c>
      <c r="L1838" s="3"/>
      <c r="M1838" s="7">
        <v>4</v>
      </c>
      <c r="N1838" s="7">
        <v>0</v>
      </c>
    </row>
    <row r="1839" spans="1:14" ht="14.25" x14ac:dyDescent="0.2">
      <c r="A1839" s="3">
        <v>89477</v>
      </c>
      <c r="B1839" s="3" t="s">
        <v>3870</v>
      </c>
      <c r="C1839" s="3" t="s">
        <v>22</v>
      </c>
      <c r="D1839" s="6" t="s">
        <v>510</v>
      </c>
      <c r="E1839" s="6" t="s">
        <v>510</v>
      </c>
      <c r="F1839" s="3" t="str">
        <f>IFERROR( VLOOKUP(A1839,#REF!,2,0),"")</f>
        <v/>
      </c>
      <c r="G1839" s="3" t="str">
        <f t="array" ref="G1839">_xlfn.XLOOKUP(I1839,Base_Datos!D:D,Base_Datos!B:B,"")</f>
        <v>DFSK</v>
      </c>
      <c r="H1839" s="3" t="str">
        <f t="array" ref="H1839">IF(I1839="","",IFERROR(_xlfn.XLOOKUP(I1839,Base_Datos!$D$2:$D3876,Base_Datos!$C$2:$C3876),""))</f>
        <v>Serie Glory</v>
      </c>
      <c r="I1839" s="3" t="s">
        <v>1765</v>
      </c>
      <c r="J1839" s="3" t="str">
        <f>IF(I1839="","",IFERROR(VLOOKUP(I1839,Base_Datos!$D$2:$E$72,2,0),""))</f>
        <v>(1.5L)</v>
      </c>
      <c r="K1839" s="3" t="s">
        <v>1782</v>
      </c>
      <c r="L1839" s="3"/>
      <c r="M1839" s="7">
        <v>3</v>
      </c>
      <c r="N1839" s="7">
        <v>0</v>
      </c>
    </row>
    <row r="1840" spans="1:14" ht="14.25" x14ac:dyDescent="0.2">
      <c r="A1840" s="3">
        <v>89478</v>
      </c>
      <c r="B1840" s="3" t="s">
        <v>3871</v>
      </c>
      <c r="C1840" s="3" t="s">
        <v>22</v>
      </c>
      <c r="D1840" s="6" t="s">
        <v>511</v>
      </c>
      <c r="E1840" s="6" t="s">
        <v>511</v>
      </c>
      <c r="F1840" s="3" t="str">
        <f>IFERROR( VLOOKUP(A1840,#REF!,2,0),"")</f>
        <v/>
      </c>
      <c r="G1840" s="3" t="str">
        <f t="array" ref="G1840">_xlfn.XLOOKUP(I1840,Base_Datos!D:D,Base_Datos!B:B,"")</f>
        <v>DFSK</v>
      </c>
      <c r="H1840" s="3" t="str">
        <f t="array" ref="H1840">IF(I1840="","",IFERROR(_xlfn.XLOOKUP(I1840,Base_Datos!$D$2:$D3876,Base_Datos!$C$2:$C3876),""))</f>
        <v>Serie Glory</v>
      </c>
      <c r="I1840" s="3" t="s">
        <v>1765</v>
      </c>
      <c r="J1840" s="3" t="str">
        <f>IF(I1840="","",IFERROR(VLOOKUP(I1840,Base_Datos!$D$2:$E$72,2,0),""))</f>
        <v>(1.5L)</v>
      </c>
      <c r="K1840" s="3" t="s">
        <v>1782</v>
      </c>
      <c r="L1840" s="3"/>
      <c r="M1840" s="7">
        <v>3</v>
      </c>
      <c r="N1840" s="7">
        <v>0</v>
      </c>
    </row>
    <row r="1841" spans="1:14" ht="14.25" x14ac:dyDescent="0.2">
      <c r="A1841" s="3">
        <v>89479</v>
      </c>
      <c r="B1841" s="3" t="s">
        <v>2990</v>
      </c>
      <c r="C1841" s="3" t="s">
        <v>18</v>
      </c>
      <c r="D1841" s="6" t="s">
        <v>512</v>
      </c>
      <c r="E1841" s="6" t="s">
        <v>512</v>
      </c>
      <c r="F1841" s="3" t="str">
        <f>IFERROR( VLOOKUP(A1841,#REF!,2,0),"")</f>
        <v/>
      </c>
      <c r="G1841" s="3" t="str">
        <f t="array" ref="G1841">_xlfn.XLOOKUP(I1841,Base_Datos!D:D,Base_Datos!B:B,"")</f>
        <v>DFSK</v>
      </c>
      <c r="H1841" s="3" t="str">
        <f t="array" ref="H1841">IF(I1841="","",IFERROR(_xlfn.XLOOKUP(I1841,Base_Datos!$D$2:$D3876,Base_Datos!$C$2:$C3876),""))</f>
        <v>Serie Glory</v>
      </c>
      <c r="I1841" s="3" t="s">
        <v>1765</v>
      </c>
      <c r="J1841" s="3" t="str">
        <f>IF(I1841="","",IFERROR(VLOOKUP(I1841,Base_Datos!$D$2:$E$72,2,0),""))</f>
        <v>(1.5L)</v>
      </c>
      <c r="K1841" s="3" t="s">
        <v>2881</v>
      </c>
      <c r="L1841" s="3"/>
      <c r="M1841" s="7">
        <v>14</v>
      </c>
      <c r="N1841" s="7">
        <v>0</v>
      </c>
    </row>
    <row r="1842" spans="1:14" ht="14.25" x14ac:dyDescent="0.2">
      <c r="A1842" s="3">
        <v>89480</v>
      </c>
      <c r="B1842" s="3" t="s">
        <v>3872</v>
      </c>
      <c r="C1842" s="3" t="s">
        <v>22</v>
      </c>
      <c r="D1842" s="6" t="s">
        <v>513</v>
      </c>
      <c r="E1842" s="6" t="s">
        <v>513</v>
      </c>
      <c r="F1842" s="3" t="str">
        <f>IFERROR( VLOOKUP(A1842,#REF!,2,0),"")</f>
        <v/>
      </c>
      <c r="G1842" s="3" t="str">
        <f t="array" ref="G1842">_xlfn.XLOOKUP(I1842,Base_Datos!D:D,Base_Datos!B:B,"")</f>
        <v>DFSK</v>
      </c>
      <c r="H1842" s="3" t="str">
        <f t="array" ref="H1842">IF(I1842="","",IFERROR(_xlfn.XLOOKUP(I1842,Base_Datos!$D$2:$D3876,Base_Datos!$C$2:$C3876),""))</f>
        <v>Serie D</v>
      </c>
      <c r="I1842" s="3" t="s">
        <v>973</v>
      </c>
      <c r="J1842" s="3" t="str">
        <f>IF(I1842="","",IFERROR(VLOOKUP(I1842,Base_Datos!$D$2:$E$72,2,0),""))</f>
        <v>(1.5L)</v>
      </c>
      <c r="K1842" s="3" t="s">
        <v>1782</v>
      </c>
      <c r="L1842" s="3"/>
      <c r="M1842" s="7">
        <v>22</v>
      </c>
      <c r="N1842" s="7">
        <v>0</v>
      </c>
    </row>
    <row r="1843" spans="1:14" ht="14.25" x14ac:dyDescent="0.2">
      <c r="A1843" s="3">
        <v>89481</v>
      </c>
      <c r="B1843" s="3" t="s">
        <v>3873</v>
      </c>
      <c r="C1843" s="3" t="s">
        <v>22</v>
      </c>
      <c r="D1843" s="6" t="s">
        <v>514</v>
      </c>
      <c r="E1843" s="6" t="s">
        <v>514</v>
      </c>
      <c r="F1843" s="3" t="str">
        <f>IFERROR( VLOOKUP(A1843,#REF!,2,0),"")</f>
        <v/>
      </c>
      <c r="G1843" s="3" t="str">
        <f t="array" ref="G1843">_xlfn.XLOOKUP(I1843,Base_Datos!D:D,Base_Datos!B:B,"")</f>
        <v>DFSK</v>
      </c>
      <c r="H1843" s="3" t="str">
        <f t="array" ref="H1843">IF(I1843="","",IFERROR(_xlfn.XLOOKUP(I1843,Base_Datos!$D$2:$D3876,Base_Datos!$C$2:$C3876),""))</f>
        <v>Serie Glory</v>
      </c>
      <c r="I1843" s="3" t="s">
        <v>1765</v>
      </c>
      <c r="J1843" s="3" t="str">
        <f>IF(I1843="","",IFERROR(VLOOKUP(I1843,Base_Datos!$D$2:$E$72,2,0),""))</f>
        <v>(1.5L)</v>
      </c>
      <c r="K1843" s="3" t="s">
        <v>1782</v>
      </c>
      <c r="L1843" s="3"/>
      <c r="M1843" s="7">
        <v>10</v>
      </c>
      <c r="N1843" s="7">
        <v>0</v>
      </c>
    </row>
    <row r="1844" spans="1:14" ht="14.25" x14ac:dyDescent="0.2">
      <c r="A1844" s="3">
        <v>89482</v>
      </c>
      <c r="B1844" s="3" t="s">
        <v>3874</v>
      </c>
      <c r="C1844" s="3" t="s">
        <v>22</v>
      </c>
      <c r="D1844" s="6" t="s">
        <v>515</v>
      </c>
      <c r="E1844" s="6" t="s">
        <v>515</v>
      </c>
      <c r="F1844" s="3" t="str">
        <f>IFERROR( VLOOKUP(A1844,#REF!,2,0),"")</f>
        <v/>
      </c>
      <c r="G1844" s="3" t="str">
        <f t="array" ref="G1844">_xlfn.XLOOKUP(I1844,Base_Datos!D:D,Base_Datos!B:B,"")</f>
        <v>DFSK</v>
      </c>
      <c r="H1844" s="3" t="str">
        <f t="array" ref="H1844">IF(I1844="","",IFERROR(_xlfn.XLOOKUP(I1844,Base_Datos!$D$2:$D3876,Base_Datos!$C$2:$C3876),""))</f>
        <v>Serie D</v>
      </c>
      <c r="I1844" s="3" t="s">
        <v>973</v>
      </c>
      <c r="J1844" s="3" t="str">
        <f>IF(I1844="","",IFERROR(VLOOKUP(I1844,Base_Datos!$D$2:$E$72,2,0),""))</f>
        <v>(1.5L)</v>
      </c>
      <c r="K1844" s="3" t="s">
        <v>1782</v>
      </c>
      <c r="L1844" s="3"/>
      <c r="M1844" s="7">
        <v>9</v>
      </c>
      <c r="N1844" s="7">
        <v>0</v>
      </c>
    </row>
    <row r="1845" spans="1:14" ht="14.25" x14ac:dyDescent="0.2">
      <c r="A1845" s="3">
        <v>89483</v>
      </c>
      <c r="B1845" s="3" t="s">
        <v>3875</v>
      </c>
      <c r="C1845" s="3" t="s">
        <v>22</v>
      </c>
      <c r="D1845" s="6" t="s">
        <v>516</v>
      </c>
      <c r="E1845" s="6" t="s">
        <v>516</v>
      </c>
      <c r="F1845" s="3" t="str">
        <f>IFERROR( VLOOKUP(A1845,#REF!,2,0),"")</f>
        <v/>
      </c>
      <c r="G1845" s="3" t="str">
        <f t="array" ref="G1845">_xlfn.XLOOKUP(I1845,Base_Datos!D:D,Base_Datos!B:B,"")</f>
        <v>DFSK</v>
      </c>
      <c r="H1845" s="3" t="str">
        <f t="array" ref="H1845">IF(I1845="","",IFERROR(_xlfn.XLOOKUP(I1845,Base_Datos!$D$2:$D3876,Base_Datos!$C$2:$C3876),""))</f>
        <v>Serie Glory</v>
      </c>
      <c r="I1845" s="3" t="s">
        <v>1765</v>
      </c>
      <c r="J1845" s="3" t="str">
        <f>IF(I1845="","",IFERROR(VLOOKUP(I1845,Base_Datos!$D$2:$E$72,2,0),""))</f>
        <v>(1.5L)</v>
      </c>
      <c r="K1845" s="3" t="s">
        <v>1782</v>
      </c>
      <c r="L1845" s="3"/>
      <c r="M1845" s="7">
        <v>4</v>
      </c>
      <c r="N1845" s="7">
        <v>0</v>
      </c>
    </row>
    <row r="1846" spans="1:14" ht="14.25" x14ac:dyDescent="0.2">
      <c r="A1846" s="3">
        <v>89484</v>
      </c>
      <c r="B1846" s="3" t="s">
        <v>3876</v>
      </c>
      <c r="C1846" s="3" t="s">
        <v>18</v>
      </c>
      <c r="D1846" s="6" t="s">
        <v>517</v>
      </c>
      <c r="E1846" s="6" t="s">
        <v>517</v>
      </c>
      <c r="F1846" s="3" t="str">
        <f>IFERROR( VLOOKUP(A1846,#REF!,2,0),"")</f>
        <v/>
      </c>
      <c r="G1846" s="3" t="str">
        <f t="array" ref="G1846">_xlfn.XLOOKUP(I1846,Base_Datos!D:D,Base_Datos!B:B,"")</f>
        <v>DFSK</v>
      </c>
      <c r="H1846" s="3" t="str">
        <f t="array" ref="H1846">IF(I1846="","",IFERROR(_xlfn.XLOOKUP(I1846,Base_Datos!$D$2:$D3876,Base_Datos!$C$2:$C3876),""))</f>
        <v>Serie Glory</v>
      </c>
      <c r="I1846" s="3" t="s">
        <v>1765</v>
      </c>
      <c r="J1846" s="3" t="str">
        <f>IF(I1846="","",IFERROR(VLOOKUP(I1846,Base_Datos!$D$2:$E$72,2,0),""))</f>
        <v>(1.5L)</v>
      </c>
      <c r="K1846" s="3" t="s">
        <v>1782</v>
      </c>
      <c r="L1846" s="3"/>
      <c r="M1846" s="7">
        <v>12</v>
      </c>
      <c r="N1846" s="7">
        <v>0</v>
      </c>
    </row>
    <row r="1847" spans="1:14" ht="14.25" x14ac:dyDescent="0.2">
      <c r="A1847" s="3">
        <v>89485</v>
      </c>
      <c r="B1847" s="3" t="s">
        <v>3877</v>
      </c>
      <c r="C1847" s="3" t="s">
        <v>18</v>
      </c>
      <c r="D1847" s="6" t="s">
        <v>518</v>
      </c>
      <c r="E1847" s="6" t="s">
        <v>518</v>
      </c>
      <c r="F1847" s="3" t="str">
        <f>IFERROR( VLOOKUP(A1847,#REF!,2,0),"")</f>
        <v/>
      </c>
      <c r="G1847" s="3" t="str">
        <f t="array" ref="G1847">_xlfn.XLOOKUP(I1847,Base_Datos!D:D,Base_Datos!B:B,"")</f>
        <v>DFSK</v>
      </c>
      <c r="H1847" s="3" t="str">
        <f t="array" ref="H1847">IF(I1847="","",IFERROR(_xlfn.XLOOKUP(I1847,Base_Datos!$D$2:$D3876,Base_Datos!$C$2:$C3876),""))</f>
        <v>Serie Glory</v>
      </c>
      <c r="I1847" s="3" t="s">
        <v>1765</v>
      </c>
      <c r="J1847" s="3" t="str">
        <f>IF(I1847="","",IFERROR(VLOOKUP(I1847,Base_Datos!$D$2:$E$72,2,0),""))</f>
        <v>(1.5L)</v>
      </c>
      <c r="K1847" s="3" t="s">
        <v>2881</v>
      </c>
      <c r="L1847" s="3"/>
      <c r="M1847" s="7">
        <v>53</v>
      </c>
      <c r="N1847" s="7">
        <v>0</v>
      </c>
    </row>
    <row r="1848" spans="1:14" ht="14.25" x14ac:dyDescent="0.2">
      <c r="A1848" s="3">
        <v>89486</v>
      </c>
      <c r="B1848" s="3" t="s">
        <v>3878</v>
      </c>
      <c r="C1848" s="3" t="s">
        <v>18</v>
      </c>
      <c r="D1848" s="6" t="s">
        <v>519</v>
      </c>
      <c r="E1848" s="6" t="s">
        <v>519</v>
      </c>
      <c r="F1848" s="3" t="str">
        <f>IFERROR( VLOOKUP(A1848,#REF!,2,0),"")</f>
        <v/>
      </c>
      <c r="G1848" s="3" t="str">
        <f t="array" ref="G1848">_xlfn.XLOOKUP(I1848,Base_Datos!D:D,Base_Datos!B:B,"")</f>
        <v>DFSK</v>
      </c>
      <c r="H1848" s="3" t="str">
        <f t="array" ref="H1848">IF(I1848="","",IFERROR(_xlfn.XLOOKUP(I1848,Base_Datos!$D$2:$D3876,Base_Datos!$C$2:$C3876),""))</f>
        <v>Serie Glory</v>
      </c>
      <c r="I1848" s="3" t="s">
        <v>1765</v>
      </c>
      <c r="J1848" s="3" t="str">
        <f>IF(I1848="","",IFERROR(VLOOKUP(I1848,Base_Datos!$D$2:$E$72,2,0),""))</f>
        <v>(1.5L)</v>
      </c>
      <c r="K1848" s="3" t="s">
        <v>2881</v>
      </c>
      <c r="L1848" s="3"/>
      <c r="M1848" s="7">
        <v>21</v>
      </c>
      <c r="N1848" s="7">
        <v>0</v>
      </c>
    </row>
    <row r="1849" spans="1:14" ht="14.25" x14ac:dyDescent="0.2">
      <c r="A1849" s="3">
        <v>89487</v>
      </c>
      <c r="B1849" s="3" t="s">
        <v>3879</v>
      </c>
      <c r="C1849" s="3" t="s">
        <v>22</v>
      </c>
      <c r="D1849" s="6" t="s">
        <v>520</v>
      </c>
      <c r="E1849" s="6" t="s">
        <v>520</v>
      </c>
      <c r="F1849" s="3" t="str">
        <f>IFERROR( VLOOKUP(A1849,#REF!,2,0),"")</f>
        <v/>
      </c>
      <c r="G1849" s="3" t="str">
        <f t="array" ref="G1849">_xlfn.XLOOKUP(I1849,Base_Datos!D:D,Base_Datos!B:B,"")</f>
        <v>DFSK</v>
      </c>
      <c r="H1849" s="3" t="str">
        <f t="array" ref="H1849">IF(I1849="","",IFERROR(_xlfn.XLOOKUP(I1849,Base_Datos!$D$2:$D3876,Base_Datos!$C$2:$C3876),""))</f>
        <v>Serie Glory</v>
      </c>
      <c r="I1849" s="3" t="s">
        <v>1765</v>
      </c>
      <c r="J1849" s="3" t="str">
        <f>IF(I1849="","",IFERROR(VLOOKUP(I1849,Base_Datos!$D$2:$E$72,2,0),""))</f>
        <v>(1.5L)</v>
      </c>
      <c r="K1849" s="3" t="s">
        <v>1782</v>
      </c>
      <c r="L1849" s="3"/>
      <c r="M1849" s="7">
        <v>12</v>
      </c>
      <c r="N1849" s="7">
        <v>0</v>
      </c>
    </row>
    <row r="1850" spans="1:14" ht="14.25" x14ac:dyDescent="0.2">
      <c r="A1850" s="3">
        <v>89488</v>
      </c>
      <c r="B1850" s="9" t="s">
        <v>2275</v>
      </c>
      <c r="C1850" s="3" t="s">
        <v>22</v>
      </c>
      <c r="D1850" s="6" t="s">
        <v>521</v>
      </c>
      <c r="E1850" s="6" t="s">
        <v>521</v>
      </c>
      <c r="F1850" s="3" t="str">
        <f>IFERROR( VLOOKUP(A1850,#REF!,2,0),"")</f>
        <v/>
      </c>
      <c r="G1850" s="3" t="str">
        <f t="array" ref="G1850">_xlfn.XLOOKUP(I1850,Base_Datos!D:D,Base_Datos!B:B,"")</f>
        <v>DFSK</v>
      </c>
      <c r="H1850" s="3" t="str">
        <f t="array" ref="H1850">IF(I1850="","",IFERROR(_xlfn.XLOOKUP(I1850,Base_Datos!$D$2:$D3876,Base_Datos!$C$2:$C3876),""))</f>
        <v>Serie Glory</v>
      </c>
      <c r="I1850" s="3" t="s">
        <v>1754</v>
      </c>
      <c r="J1850" s="3" t="str">
        <f>IF(I1850="","",IFERROR(VLOOKUP(I1850,Base_Datos!$D$2:$E$72,2,0),""))</f>
        <v>(1.5L)</v>
      </c>
      <c r="K1850" s="3" t="s">
        <v>1782</v>
      </c>
      <c r="L1850" s="3"/>
      <c r="M1850" s="7">
        <v>2</v>
      </c>
      <c r="N1850" s="7">
        <v>0</v>
      </c>
    </row>
    <row r="1851" spans="1:14" ht="14.25" x14ac:dyDescent="0.2">
      <c r="A1851" s="3">
        <v>89489</v>
      </c>
      <c r="B1851" s="3" t="s">
        <v>3880</v>
      </c>
      <c r="C1851" s="3" t="s">
        <v>22</v>
      </c>
      <c r="D1851" s="6" t="s">
        <v>522</v>
      </c>
      <c r="E1851" s="6" t="s">
        <v>522</v>
      </c>
      <c r="F1851" s="3" t="str">
        <f>IFERROR( VLOOKUP(A1851,#REF!,2,0),"")</f>
        <v/>
      </c>
      <c r="G1851" s="3" t="str">
        <f t="array" ref="G1851">_xlfn.XLOOKUP(I1851,Base_Datos!D:D,Base_Datos!B:B,"")</f>
        <v>DFSK</v>
      </c>
      <c r="H1851" s="3" t="str">
        <f t="array" ref="H1851">IF(I1851="","",IFERROR(_xlfn.XLOOKUP(I1851,Base_Datos!$D$2:$D3876,Base_Datos!$C$2:$C3876),""))</f>
        <v>Serie Glory</v>
      </c>
      <c r="I1851" s="3" t="s">
        <v>1754</v>
      </c>
      <c r="J1851" s="3" t="str">
        <f>IF(I1851="","",IFERROR(VLOOKUP(I1851,Base_Datos!$D$2:$E$72,2,0),""))</f>
        <v>(1.5L)</v>
      </c>
      <c r="K1851" s="3" t="s">
        <v>1801</v>
      </c>
      <c r="L1851" s="3"/>
      <c r="M1851" s="7">
        <v>0</v>
      </c>
      <c r="N1851" s="7">
        <v>0</v>
      </c>
    </row>
    <row r="1852" spans="1:14" ht="14.25" x14ac:dyDescent="0.2">
      <c r="A1852" s="3">
        <v>89490</v>
      </c>
      <c r="B1852" s="3" t="s">
        <v>3881</v>
      </c>
      <c r="C1852" s="3" t="s">
        <v>22</v>
      </c>
      <c r="D1852" s="6" t="s">
        <v>523</v>
      </c>
      <c r="E1852" s="6" t="s">
        <v>523</v>
      </c>
      <c r="F1852" s="3" t="str">
        <f>IFERROR( VLOOKUP(A1852,#REF!,2,0),"")</f>
        <v/>
      </c>
      <c r="G1852" s="3" t="str">
        <f t="array" ref="G1852">_xlfn.XLOOKUP(I1852,Base_Datos!D:D,Base_Datos!B:B,"")</f>
        <v>DFSK</v>
      </c>
      <c r="H1852" s="3" t="str">
        <f t="array" ref="H1852">IF(I1852="","",IFERROR(_xlfn.XLOOKUP(I1852,Base_Datos!$D$2:$D3876,Base_Datos!$C$2:$C3876),""))</f>
        <v>Serie Glory</v>
      </c>
      <c r="I1852" s="3" t="s">
        <v>1754</v>
      </c>
      <c r="J1852" s="3" t="str">
        <f>IF(I1852="","",IFERROR(VLOOKUP(I1852,Base_Datos!$D$2:$E$72,2,0),""))</f>
        <v>(1.5L)</v>
      </c>
      <c r="K1852" s="3" t="s">
        <v>1782</v>
      </c>
      <c r="L1852" s="3"/>
      <c r="M1852" s="7">
        <v>19</v>
      </c>
      <c r="N1852" s="7">
        <v>0</v>
      </c>
    </row>
    <row r="1853" spans="1:14" ht="14.25" x14ac:dyDescent="0.2">
      <c r="A1853" s="3">
        <v>89491</v>
      </c>
      <c r="B1853" s="3" t="s">
        <v>3882</v>
      </c>
      <c r="C1853" s="3" t="s">
        <v>22</v>
      </c>
      <c r="D1853" s="6" t="s">
        <v>524</v>
      </c>
      <c r="E1853" s="6" t="s">
        <v>1782</v>
      </c>
      <c r="F1853" s="3" t="str">
        <f>IFERROR( VLOOKUP(A1853,#REF!,2,0),"")</f>
        <v/>
      </c>
      <c r="G1853" s="3" t="str">
        <f t="array" ref="G1853">_xlfn.XLOOKUP(I1853,Base_Datos!D:D,Base_Datos!B:B,"")</f>
        <v>DFSK</v>
      </c>
      <c r="H1853" s="3" t="str">
        <f t="array" ref="H1853">IF(I1853="","",IFERROR(_xlfn.XLOOKUP(I1853,Base_Datos!$D$2:$D3876,Base_Datos!$C$2:$C3876),""))</f>
        <v>Serie Glory</v>
      </c>
      <c r="I1853" s="3" t="s">
        <v>1754</v>
      </c>
      <c r="J1853" s="3" t="str">
        <f>IF(I1853="","",IFERROR(VLOOKUP(I1853,Base_Datos!$D$2:$E$72,2,0),""))</f>
        <v>(1.5L)</v>
      </c>
      <c r="K1853" s="3" t="s">
        <v>1782</v>
      </c>
      <c r="L1853" s="3"/>
      <c r="M1853" s="7">
        <v>12</v>
      </c>
      <c r="N1853" s="7">
        <v>0</v>
      </c>
    </row>
    <row r="1854" spans="1:14" ht="14.25" x14ac:dyDescent="0.2">
      <c r="A1854" s="3">
        <v>89492</v>
      </c>
      <c r="B1854" s="3" t="s">
        <v>3883</v>
      </c>
      <c r="C1854" s="3" t="s">
        <v>22</v>
      </c>
      <c r="D1854" s="6" t="s">
        <v>525</v>
      </c>
      <c r="E1854" s="6" t="s">
        <v>525</v>
      </c>
      <c r="F1854" s="3" t="str">
        <f>IFERROR( VLOOKUP(A1854,#REF!,2,0),"")</f>
        <v/>
      </c>
      <c r="G1854" s="3" t="str">
        <f t="array" ref="G1854">_xlfn.XLOOKUP(I1854,Base_Datos!D:D,Base_Datos!B:B,"")</f>
        <v>DFSK</v>
      </c>
      <c r="H1854" s="3" t="str">
        <f t="array" ref="H1854">IF(I1854="","",IFERROR(_xlfn.XLOOKUP(I1854,Base_Datos!$D$2:$D3876,Base_Datos!$C$2:$C3876),""))</f>
        <v>Serie Glory</v>
      </c>
      <c r="I1854" s="3" t="s">
        <v>1754</v>
      </c>
      <c r="J1854" s="3" t="str">
        <f>IF(I1854="","",IFERROR(VLOOKUP(I1854,Base_Datos!$D$2:$E$72,2,0),""))</f>
        <v>(1.5L)</v>
      </c>
      <c r="K1854" s="3" t="s">
        <v>3884</v>
      </c>
      <c r="L1854" s="3"/>
      <c r="M1854" s="7">
        <v>26</v>
      </c>
      <c r="N1854" s="7">
        <v>0</v>
      </c>
    </row>
    <row r="1855" spans="1:14" ht="14.25" x14ac:dyDescent="0.2">
      <c r="A1855" s="3">
        <v>89493</v>
      </c>
      <c r="B1855" s="3" t="s">
        <v>1787</v>
      </c>
      <c r="C1855" s="3" t="s">
        <v>18</v>
      </c>
      <c r="D1855" s="6" t="s">
        <v>1000</v>
      </c>
      <c r="E1855" s="6" t="s">
        <v>1000</v>
      </c>
      <c r="F1855" s="3" t="str">
        <f>IFERROR( VLOOKUP(A1855,#REF!,2,0),"")</f>
        <v/>
      </c>
      <c r="G1855" s="3" t="str">
        <f t="array" ref="G1855">_xlfn.XLOOKUP(I1855,Base_Datos!D:D,Base_Datos!B:B,"")</f>
        <v>DFSK</v>
      </c>
      <c r="H1855" s="3" t="str">
        <f t="array" ref="H1855">IF(I1855="","",IFERROR(_xlfn.XLOOKUP(I1855,Base_Datos!$D$2:$D3876,Base_Datos!$C$2:$C3876),""))</f>
        <v>Serie Glory</v>
      </c>
      <c r="I1855" s="3" t="s">
        <v>1765</v>
      </c>
      <c r="J1855" s="3" t="str">
        <f>IF(I1855="","",IFERROR(VLOOKUP(I1855,Base_Datos!$D$2:$E$72,2,0),""))</f>
        <v>(1.5L)</v>
      </c>
      <c r="K1855" s="3" t="s">
        <v>1782</v>
      </c>
      <c r="L1855" s="3"/>
      <c r="M1855" s="7">
        <v>9</v>
      </c>
      <c r="N1855" s="7">
        <v>0</v>
      </c>
    </row>
    <row r="1856" spans="1:14" ht="14.25" x14ac:dyDescent="0.2">
      <c r="A1856" s="3">
        <v>89494</v>
      </c>
      <c r="B1856" s="3" t="s">
        <v>3885</v>
      </c>
      <c r="C1856" s="3" t="s">
        <v>18</v>
      </c>
      <c r="D1856" s="6" t="s">
        <v>996</v>
      </c>
      <c r="E1856" s="6" t="s">
        <v>996</v>
      </c>
      <c r="F1856" s="3" t="str">
        <f>IFERROR( VLOOKUP(A1856,#REF!,2,0),"")</f>
        <v/>
      </c>
      <c r="G1856" s="3" t="str">
        <f t="array" ref="G1856">_xlfn.XLOOKUP(I1856,Base_Datos!D:D,Base_Datos!B:B,"")</f>
        <v>DFSK</v>
      </c>
      <c r="H1856" s="3" t="str">
        <f t="array" ref="H1856">IF(I1856="","",IFERROR(_xlfn.XLOOKUP(I1856,Base_Datos!$D$2:$D3876,Base_Datos!$C$2:$C3876),""))</f>
        <v>Serie Glory</v>
      </c>
      <c r="I1856" s="3" t="s">
        <v>1765</v>
      </c>
      <c r="J1856" s="3" t="str">
        <f>IF(I1856="","",IFERROR(VLOOKUP(I1856,Base_Datos!$D$2:$E$72,2,0),""))</f>
        <v>(1.5L)</v>
      </c>
      <c r="K1856" s="3" t="s">
        <v>1782</v>
      </c>
      <c r="L1856" s="3"/>
      <c r="M1856" s="7">
        <v>2</v>
      </c>
      <c r="N1856" s="7">
        <v>0</v>
      </c>
    </row>
    <row r="1857" spans="1:14" ht="14.25" x14ac:dyDescent="0.2">
      <c r="A1857" s="3">
        <v>89495</v>
      </c>
      <c r="B1857" s="3" t="s">
        <v>3886</v>
      </c>
      <c r="C1857" s="3" t="s">
        <v>18</v>
      </c>
      <c r="D1857" s="6" t="s">
        <v>986</v>
      </c>
      <c r="E1857" s="6" t="s">
        <v>986</v>
      </c>
      <c r="F1857" s="3" t="str">
        <f>IFERROR( VLOOKUP(A1857,#REF!,2,0),"")</f>
        <v/>
      </c>
      <c r="G1857" s="3" t="str">
        <f t="array" ref="G1857">_xlfn.XLOOKUP(I1857,Base_Datos!D:D,Base_Datos!B:B,"")</f>
        <v>DFSK</v>
      </c>
      <c r="H1857" s="3" t="str">
        <f t="array" ref="H1857">IF(I1857="","",IFERROR(_xlfn.XLOOKUP(I1857,Base_Datos!$D$2:$D3876,Base_Datos!$C$2:$C3876),""))</f>
        <v>Serie Glory</v>
      </c>
      <c r="I1857" s="3" t="s">
        <v>1765</v>
      </c>
      <c r="J1857" s="3" t="str">
        <f>IF(I1857="","",IFERROR(VLOOKUP(I1857,Base_Datos!$D$2:$E$72,2,0),""))</f>
        <v>(1.5L)</v>
      </c>
      <c r="K1857" s="3" t="s">
        <v>1782</v>
      </c>
      <c r="L1857" s="3"/>
      <c r="M1857" s="7">
        <v>13</v>
      </c>
      <c r="N1857" s="7">
        <v>0</v>
      </c>
    </row>
    <row r="1858" spans="1:14" ht="14.25" x14ac:dyDescent="0.2">
      <c r="A1858" s="3">
        <v>89496</v>
      </c>
      <c r="B1858" s="3" t="s">
        <v>3887</v>
      </c>
      <c r="C1858" s="3" t="s">
        <v>18</v>
      </c>
      <c r="D1858" s="6" t="s">
        <v>1001</v>
      </c>
      <c r="E1858" s="6" t="s">
        <v>1001</v>
      </c>
      <c r="F1858" s="3" t="str">
        <f>IFERROR( VLOOKUP(A1858,#REF!,2,0),"")</f>
        <v/>
      </c>
      <c r="G1858" s="3" t="str">
        <f t="array" ref="G1858">_xlfn.XLOOKUP(I1858,Base_Datos!D:D,Base_Datos!B:B,"")</f>
        <v>DFSK</v>
      </c>
      <c r="H1858" s="3" t="str">
        <f t="array" ref="H1858">IF(I1858="","",IFERROR(_xlfn.XLOOKUP(I1858,Base_Datos!$D$2:$D3876,Base_Datos!$C$2:$C3876),""))</f>
        <v>Serie Glory</v>
      </c>
      <c r="I1858" s="3" t="s">
        <v>1767</v>
      </c>
      <c r="J1858" s="3" t="str">
        <f>IF(I1858="","",IFERROR(VLOOKUP(I1858,Base_Datos!$D$2:$E$72,2,0),""))</f>
        <v>(1.5L)</v>
      </c>
      <c r="K1858" s="3" t="s">
        <v>1782</v>
      </c>
      <c r="L1858" s="3"/>
      <c r="M1858" s="7">
        <v>19</v>
      </c>
      <c r="N1858" s="7">
        <v>0</v>
      </c>
    </row>
    <row r="1859" spans="1:14" ht="14.25" x14ac:dyDescent="0.2">
      <c r="A1859" s="3">
        <v>89497</v>
      </c>
      <c r="B1859" s="3" t="s">
        <v>1858</v>
      </c>
      <c r="C1859" s="3" t="s">
        <v>18</v>
      </c>
      <c r="D1859" s="6" t="s">
        <v>987</v>
      </c>
      <c r="E1859" s="6" t="s">
        <v>987</v>
      </c>
      <c r="F1859" s="3" t="str">
        <f>IFERROR( VLOOKUP(A1859,#REF!,2,0),"")</f>
        <v/>
      </c>
      <c r="G1859" s="3" t="str">
        <f t="array" ref="G1859">_xlfn.XLOOKUP(I1859,Base_Datos!D:D,Base_Datos!B:B,"")</f>
        <v>DFSK</v>
      </c>
      <c r="H1859" s="3" t="str">
        <f t="array" ref="H1859">IF(I1859="","",IFERROR(_xlfn.XLOOKUP(I1859,Base_Datos!$D$2:$D3876,Base_Datos!$C$2:$C3876),""))</f>
        <v>Serie Glory</v>
      </c>
      <c r="I1859" s="3" t="s">
        <v>1765</v>
      </c>
      <c r="J1859" s="3" t="str">
        <f>IF(I1859="","",IFERROR(VLOOKUP(I1859,Base_Datos!$D$2:$E$72,2,0),""))</f>
        <v>(1.5L)</v>
      </c>
      <c r="K1859" s="3" t="s">
        <v>1782</v>
      </c>
      <c r="L1859" s="3"/>
      <c r="M1859" s="7">
        <v>1</v>
      </c>
      <c r="N1859" s="7">
        <v>0</v>
      </c>
    </row>
    <row r="1860" spans="1:14" ht="14.25" x14ac:dyDescent="0.2">
      <c r="A1860" s="3">
        <v>89498</v>
      </c>
      <c r="B1860" s="3" t="s">
        <v>3888</v>
      </c>
      <c r="C1860" s="3" t="s">
        <v>18</v>
      </c>
      <c r="D1860" s="6" t="s">
        <v>994</v>
      </c>
      <c r="E1860" s="6" t="s">
        <v>994</v>
      </c>
      <c r="F1860" s="3" t="str">
        <f>IFERROR( VLOOKUP(A1860,#REF!,2,0),"")</f>
        <v/>
      </c>
      <c r="G1860" s="3" t="str">
        <f t="array" ref="G1860">_xlfn.XLOOKUP(I1860,Base_Datos!D:D,Base_Datos!B:B,"")</f>
        <v>DFSK</v>
      </c>
      <c r="H1860" s="3" t="str">
        <f t="array" ref="H1860">IF(I1860="","",IFERROR(_xlfn.XLOOKUP(I1860,Base_Datos!$D$2:$D3876,Base_Datos!$C$2:$C3876),""))</f>
        <v>Serie Glory</v>
      </c>
      <c r="I1860" s="3" t="s">
        <v>1765</v>
      </c>
      <c r="J1860" s="3" t="str">
        <f>IF(I1860="","",IFERROR(VLOOKUP(I1860,Base_Datos!$D$2:$E$72,2,0),""))</f>
        <v>(1.5L)</v>
      </c>
      <c r="K1860" s="3" t="s">
        <v>1801</v>
      </c>
      <c r="L1860" s="3"/>
      <c r="M1860" s="7">
        <v>1</v>
      </c>
      <c r="N1860" s="7">
        <v>0</v>
      </c>
    </row>
    <row r="1861" spans="1:14" ht="14.25" x14ac:dyDescent="0.2">
      <c r="A1861" s="3">
        <v>89499</v>
      </c>
      <c r="B1861" s="3" t="s">
        <v>3889</v>
      </c>
      <c r="C1861" s="3" t="s">
        <v>18</v>
      </c>
      <c r="D1861" s="6" t="s">
        <v>526</v>
      </c>
      <c r="E1861" s="6" t="s">
        <v>998</v>
      </c>
      <c r="F1861" s="3" t="str">
        <f>IFERROR( VLOOKUP(A1861,#REF!,2,0),"")</f>
        <v/>
      </c>
      <c r="G1861" s="3" t="str">
        <f t="array" ref="G1861">_xlfn.XLOOKUP(I1861,Base_Datos!D:D,Base_Datos!B:B,"")</f>
        <v>DFSK</v>
      </c>
      <c r="H1861" s="3" t="str">
        <f t="array" ref="H1861">IF(I1861="","",IFERROR(_xlfn.XLOOKUP(I1861,Base_Datos!$D$2:$D3876,Base_Datos!$C$2:$C3876),""))</f>
        <v>Serie Glory</v>
      </c>
      <c r="I1861" s="3" t="s">
        <v>1765</v>
      </c>
      <c r="J1861" s="3" t="str">
        <f>IF(I1861="","",IFERROR(VLOOKUP(I1861,Base_Datos!$D$2:$E$72,2,0),""))</f>
        <v>(1.5L)</v>
      </c>
      <c r="K1861" s="3" t="s">
        <v>2881</v>
      </c>
      <c r="L1861" s="3"/>
      <c r="M1861" s="7">
        <v>40</v>
      </c>
      <c r="N1861" s="7">
        <v>0</v>
      </c>
    </row>
    <row r="1862" spans="1:14" ht="14.25" x14ac:dyDescent="0.2">
      <c r="A1862" s="3">
        <v>89500</v>
      </c>
      <c r="B1862" s="3" t="s">
        <v>3736</v>
      </c>
      <c r="C1862" s="3" t="s">
        <v>22</v>
      </c>
      <c r="D1862" s="6" t="s">
        <v>527</v>
      </c>
      <c r="E1862" s="6" t="s">
        <v>527</v>
      </c>
      <c r="F1862" s="3" t="str">
        <f>IFERROR( VLOOKUP(A1862,#REF!,2,0),"")</f>
        <v/>
      </c>
      <c r="G1862" s="3" t="str">
        <f t="array" ref="G1862">_xlfn.XLOOKUP(I1862,Base_Datos!D:D,Base_Datos!B:B,"")</f>
        <v>DFSK</v>
      </c>
      <c r="H1862" s="3" t="str">
        <f t="array" ref="H1862">IF(I1862="","",IFERROR(_xlfn.XLOOKUP(I1862,Base_Datos!$D$2:$D3876,Base_Datos!$C$2:$C3876),""))</f>
        <v>Serie Glory</v>
      </c>
      <c r="I1862" s="3" t="s">
        <v>1765</v>
      </c>
      <c r="J1862" s="3" t="str">
        <f>IF(I1862="","",IFERROR(VLOOKUP(I1862,Base_Datos!$D$2:$E$72,2,0),""))</f>
        <v>(1.5L)</v>
      </c>
      <c r="K1862" s="3" t="s">
        <v>1801</v>
      </c>
      <c r="L1862" s="3"/>
      <c r="M1862" s="7">
        <v>0</v>
      </c>
      <c r="N1862" s="7">
        <v>0</v>
      </c>
    </row>
    <row r="1863" spans="1:14" ht="14.25" x14ac:dyDescent="0.2">
      <c r="A1863" s="3">
        <v>89501</v>
      </c>
      <c r="B1863" s="3" t="s">
        <v>1781</v>
      </c>
      <c r="C1863" s="3" t="s">
        <v>22</v>
      </c>
      <c r="D1863" s="6" t="s">
        <v>528</v>
      </c>
      <c r="E1863" s="6" t="s">
        <v>528</v>
      </c>
      <c r="F1863" s="3" t="str">
        <f>IFERROR( VLOOKUP(A1863,#REF!,2,0),"")</f>
        <v/>
      </c>
      <c r="G1863" s="3" t="str">
        <f t="array" ref="G1863">_xlfn.XLOOKUP(I1863,Base_Datos!D:D,Base_Datos!B:B,"")</f>
        <v>DFSK</v>
      </c>
      <c r="H1863" s="3" t="str">
        <f t="array" ref="H1863">IF(I1863="","",IFERROR(_xlfn.XLOOKUP(I1863,Base_Datos!$D$2:$D3876,Base_Datos!$C$2:$C3876),""))</f>
        <v>Serie Glory</v>
      </c>
      <c r="I1863" s="3" t="s">
        <v>1765</v>
      </c>
      <c r="J1863" s="3" t="str">
        <f>IF(I1863="","",IFERROR(VLOOKUP(I1863,Base_Datos!$D$2:$E$72,2,0),""))</f>
        <v>(1.5L)</v>
      </c>
      <c r="K1863" s="3" t="s">
        <v>1801</v>
      </c>
      <c r="L1863" s="3"/>
      <c r="M1863" s="7">
        <v>1</v>
      </c>
      <c r="N1863" s="7">
        <v>0</v>
      </c>
    </row>
    <row r="1864" spans="1:14" ht="14.25" x14ac:dyDescent="0.2">
      <c r="A1864" s="3">
        <v>89502</v>
      </c>
      <c r="B1864" s="3" t="s">
        <v>1789</v>
      </c>
      <c r="C1864" s="3" t="s">
        <v>22</v>
      </c>
      <c r="D1864" s="6" t="s">
        <v>488</v>
      </c>
      <c r="E1864" s="6" t="s">
        <v>488</v>
      </c>
      <c r="F1864" s="3" t="str">
        <f>IFERROR( VLOOKUP(A1864,#REF!,2,0),"")</f>
        <v/>
      </c>
      <c r="G1864" s="3" t="str">
        <f t="array" ref="G1864">_xlfn.XLOOKUP(I1864,Base_Datos!D:D,Base_Datos!B:B,"")</f>
        <v>DFSK</v>
      </c>
      <c r="H1864" s="3" t="str">
        <f t="array" ref="H1864">IF(I1864="","",IFERROR(_xlfn.XLOOKUP(I1864,Base_Datos!$D$2:$D3876,Base_Datos!$C$2:$C3876),""))</f>
        <v>Serie Glory</v>
      </c>
      <c r="I1864" s="3" t="s">
        <v>1765</v>
      </c>
      <c r="J1864" s="3" t="str">
        <f>IF(I1864="","",IFERROR(VLOOKUP(I1864,Base_Datos!$D$2:$E$72,2,0),""))</f>
        <v>(1.5L)</v>
      </c>
      <c r="K1864" s="3" t="s">
        <v>1801</v>
      </c>
      <c r="L1864" s="3"/>
      <c r="M1864" s="7">
        <v>0</v>
      </c>
      <c r="N1864" s="7">
        <v>0</v>
      </c>
    </row>
    <row r="1865" spans="1:14" ht="14.25" x14ac:dyDescent="0.2">
      <c r="A1865" s="3">
        <v>89503</v>
      </c>
      <c r="B1865" s="3" t="s">
        <v>3890</v>
      </c>
      <c r="C1865" s="3" t="s">
        <v>18</v>
      </c>
      <c r="D1865" s="6" t="s">
        <v>529</v>
      </c>
      <c r="E1865" s="6" t="s">
        <v>529</v>
      </c>
      <c r="F1865" s="3" t="str">
        <f>IFERROR( VLOOKUP(A1865,#REF!,2,0),"")</f>
        <v/>
      </c>
      <c r="G1865" s="3" t="str">
        <f t="array" ref="G1865">_xlfn.XLOOKUP(I1865,Base_Datos!D:D,Base_Datos!B:B,"")</f>
        <v>DFSK</v>
      </c>
      <c r="H1865" s="3" t="str">
        <f t="array" ref="H1865">IF(I1865="","",IFERROR(_xlfn.XLOOKUP(I1865,Base_Datos!$D$2:$D3876,Base_Datos!$C$2:$C3876),""))</f>
        <v>Serie Glory</v>
      </c>
      <c r="I1865" s="3" t="s">
        <v>1765</v>
      </c>
      <c r="J1865" s="3" t="str">
        <f>IF(I1865="","",IFERROR(VLOOKUP(I1865,Base_Datos!$D$2:$E$72,2,0),""))</f>
        <v>(1.5L)</v>
      </c>
      <c r="K1865" s="3" t="s">
        <v>2881</v>
      </c>
      <c r="L1865" s="3"/>
      <c r="M1865" s="7">
        <v>35</v>
      </c>
      <c r="N1865" s="7">
        <v>0</v>
      </c>
    </row>
    <row r="1866" spans="1:14" ht="14.25" x14ac:dyDescent="0.2">
      <c r="A1866" s="3">
        <v>89504</v>
      </c>
      <c r="B1866" s="3" t="s">
        <v>3890</v>
      </c>
      <c r="C1866" s="3" t="s">
        <v>18</v>
      </c>
      <c r="D1866" s="6" t="s">
        <v>530</v>
      </c>
      <c r="E1866" s="6" t="s">
        <v>530</v>
      </c>
      <c r="F1866" s="3" t="str">
        <f>IFERROR( VLOOKUP(A1866,#REF!,2,0),"")</f>
        <v/>
      </c>
      <c r="G1866" s="3" t="str">
        <f t="array" ref="G1866">_xlfn.XLOOKUP(I1866,Base_Datos!D:D,Base_Datos!B:B,"")</f>
        <v>DFSK</v>
      </c>
      <c r="H1866" s="3" t="str">
        <f t="array" ref="H1866">IF(I1866="","",IFERROR(_xlfn.XLOOKUP(I1866,Base_Datos!$D$2:$D3876,Base_Datos!$C$2:$C3876),""))</f>
        <v>Serie Glory</v>
      </c>
      <c r="I1866" s="3" t="s">
        <v>1765</v>
      </c>
      <c r="J1866" s="3" t="str">
        <f>IF(I1866="","",IFERROR(VLOOKUP(I1866,Base_Datos!$D$2:$E$72,2,0),""))</f>
        <v>(1.5L)</v>
      </c>
      <c r="K1866" s="3" t="s">
        <v>2881</v>
      </c>
      <c r="L1866" s="3"/>
      <c r="M1866" s="7">
        <v>32</v>
      </c>
      <c r="N1866" s="7">
        <v>0</v>
      </c>
    </row>
    <row r="1867" spans="1:14" ht="14.25" x14ac:dyDescent="0.2">
      <c r="A1867" s="3">
        <v>89505</v>
      </c>
      <c r="B1867" s="3" t="s">
        <v>2507</v>
      </c>
      <c r="C1867" s="3" t="s">
        <v>18</v>
      </c>
      <c r="D1867" s="6" t="s">
        <v>3891</v>
      </c>
      <c r="E1867" s="6" t="s">
        <v>3891</v>
      </c>
      <c r="F1867" s="3" t="str">
        <f>IFERROR( VLOOKUP(A1867,#REF!,2,0),"")</f>
        <v/>
      </c>
      <c r="G1867" s="3" t="str">
        <f t="array" ref="G1867">_xlfn.XLOOKUP(I1867,Base_Datos!D:D,Base_Datos!B:B,"")</f>
        <v>DFSK</v>
      </c>
      <c r="H1867" s="3" t="str">
        <f t="array" ref="H1867">IF(I1867="","",IFERROR(_xlfn.XLOOKUP(I1867,Base_Datos!$D$2:$D3876,Base_Datos!$C$2:$C3876),""))</f>
        <v>Serie Glory</v>
      </c>
      <c r="I1867" s="3" t="s">
        <v>1765</v>
      </c>
      <c r="J1867" s="3" t="str">
        <f>IF(I1867="","",IFERROR(VLOOKUP(I1867,Base_Datos!$D$2:$E$72,2,0),""))</f>
        <v>(1.5L)</v>
      </c>
      <c r="K1867" s="3" t="s">
        <v>1782</v>
      </c>
      <c r="L1867" s="3"/>
      <c r="M1867" s="7">
        <v>30</v>
      </c>
      <c r="N1867" s="7">
        <v>0</v>
      </c>
    </row>
    <row r="1868" spans="1:14" ht="14.25" x14ac:dyDescent="0.2">
      <c r="A1868" s="3">
        <v>89506</v>
      </c>
      <c r="B1868" s="3" t="s">
        <v>3892</v>
      </c>
      <c r="C1868" s="3" t="s">
        <v>22</v>
      </c>
      <c r="D1868" s="6" t="s">
        <v>531</v>
      </c>
      <c r="E1868" s="6" t="s">
        <v>3893</v>
      </c>
      <c r="F1868" s="3" t="str">
        <f>IFERROR( VLOOKUP(A1868,#REF!,2,0),"")</f>
        <v/>
      </c>
      <c r="G1868" s="3" t="str">
        <f t="array" ref="G1868">_xlfn.XLOOKUP(I1868,Base_Datos!D:D,Base_Datos!B:B,"")</f>
        <v>DFSK</v>
      </c>
      <c r="H1868" s="3" t="str">
        <f t="array" ref="H1868">IF(I1868="","",IFERROR(_xlfn.XLOOKUP(I1868,Base_Datos!$D$2:$D3876,Base_Datos!$C$2:$C3876),""))</f>
        <v>Serie D</v>
      </c>
      <c r="I1868" s="3" t="s">
        <v>973</v>
      </c>
      <c r="J1868" s="3" t="str">
        <f>IF(I1868="","",IFERROR(VLOOKUP(I1868,Base_Datos!$D$2:$E$72,2,0),""))</f>
        <v>(1.5L)</v>
      </c>
      <c r="K1868" s="3" t="s">
        <v>1782</v>
      </c>
      <c r="L1868" s="3"/>
      <c r="M1868" s="7">
        <v>10</v>
      </c>
      <c r="N1868" s="7">
        <v>0</v>
      </c>
    </row>
    <row r="1869" spans="1:14" ht="14.25" x14ac:dyDescent="0.2">
      <c r="A1869" s="3">
        <v>89507</v>
      </c>
      <c r="B1869" s="3" t="s">
        <v>3894</v>
      </c>
      <c r="C1869" s="3" t="s">
        <v>22</v>
      </c>
      <c r="D1869" s="6" t="s">
        <v>532</v>
      </c>
      <c r="E1869" s="6" t="s">
        <v>532</v>
      </c>
      <c r="F1869" s="3" t="str">
        <f>IFERROR( VLOOKUP(A1869,#REF!,2,0),"")</f>
        <v/>
      </c>
      <c r="G1869" s="3" t="str">
        <f t="array" ref="G1869">_xlfn.XLOOKUP(I1869,Base_Datos!D:D,Base_Datos!B:B,"")</f>
        <v>DFSK</v>
      </c>
      <c r="H1869" s="3" t="str">
        <f t="array" ref="H1869">IF(I1869="","",IFERROR(_xlfn.XLOOKUP(I1869,Base_Datos!$D$2:$D3876,Base_Datos!$C$2:$C3876),""))</f>
        <v>Serie D</v>
      </c>
      <c r="I1869" s="3" t="s">
        <v>973</v>
      </c>
      <c r="J1869" s="3" t="str">
        <f>IF(I1869="","",IFERROR(VLOOKUP(I1869,Base_Datos!$D$2:$E$72,2,0),""))</f>
        <v>(1.5L)</v>
      </c>
      <c r="K1869" s="3" t="s">
        <v>1782</v>
      </c>
      <c r="L1869" s="3"/>
      <c r="M1869" s="7">
        <v>3</v>
      </c>
      <c r="N1869" s="7">
        <v>0</v>
      </c>
    </row>
    <row r="1870" spans="1:14" ht="14.25" x14ac:dyDescent="0.2">
      <c r="A1870" s="3">
        <v>89508</v>
      </c>
      <c r="B1870" s="3" t="s">
        <v>3895</v>
      </c>
      <c r="C1870" s="3" t="s">
        <v>22</v>
      </c>
      <c r="D1870" s="6" t="s">
        <v>533</v>
      </c>
      <c r="E1870" s="6" t="s">
        <v>533</v>
      </c>
      <c r="F1870" s="3" t="str">
        <f>IFERROR( VLOOKUP(A1870,#REF!,2,0),"")</f>
        <v/>
      </c>
      <c r="G1870" s="3" t="str">
        <f t="array" ref="G1870">_xlfn.XLOOKUP(I1870,Base_Datos!D:D,Base_Datos!B:B,"")</f>
        <v>DFSK</v>
      </c>
      <c r="H1870" s="3" t="str">
        <f t="array" ref="H1870">IF(I1870="","",IFERROR(_xlfn.XLOOKUP(I1870,Base_Datos!$D$2:$D3876,Base_Datos!$C$2:$C3876),""))</f>
        <v>Serie D</v>
      </c>
      <c r="I1870" s="3" t="s">
        <v>973</v>
      </c>
      <c r="J1870" s="3" t="str">
        <f>IF(I1870="","",IFERROR(VLOOKUP(I1870,Base_Datos!$D$2:$E$72,2,0),""))</f>
        <v>(1.5L)</v>
      </c>
      <c r="K1870" s="3" t="s">
        <v>1782</v>
      </c>
      <c r="L1870" s="3"/>
      <c r="M1870" s="7">
        <v>6</v>
      </c>
      <c r="N1870" s="7">
        <v>0</v>
      </c>
    </row>
    <row r="1871" spans="1:14" ht="14.25" x14ac:dyDescent="0.2">
      <c r="A1871" s="3">
        <v>89509</v>
      </c>
      <c r="B1871" s="3" t="s">
        <v>3896</v>
      </c>
      <c r="C1871" s="3" t="s">
        <v>22</v>
      </c>
      <c r="D1871" s="6" t="s">
        <v>534</v>
      </c>
      <c r="E1871" s="6" t="s">
        <v>534</v>
      </c>
      <c r="F1871" s="3" t="str">
        <f>IFERROR( VLOOKUP(A1871,#REF!,2,0),"")</f>
        <v/>
      </c>
      <c r="G1871" s="3" t="str">
        <f t="array" ref="G1871">_xlfn.XLOOKUP(I1871,Base_Datos!D:D,Base_Datos!B:B,"")</f>
        <v>DFSK</v>
      </c>
      <c r="H1871" s="3" t="str">
        <f t="array" ref="H1871">IF(I1871="","",IFERROR(_xlfn.XLOOKUP(I1871,Base_Datos!$D$2:$D3876,Base_Datos!$C$2:$C3876),""))</f>
        <v>Serie D</v>
      </c>
      <c r="I1871" s="3" t="s">
        <v>973</v>
      </c>
      <c r="J1871" s="3" t="str">
        <f>IF(I1871="","",IFERROR(VLOOKUP(I1871,Base_Datos!$D$2:$E$72,2,0),""))</f>
        <v>(1.5L)</v>
      </c>
      <c r="K1871" s="3" t="s">
        <v>1782</v>
      </c>
      <c r="L1871" s="3"/>
      <c r="M1871" s="7">
        <v>6</v>
      </c>
      <c r="N1871" s="7">
        <v>0</v>
      </c>
    </row>
    <row r="1872" spans="1:14" ht="14.25" x14ac:dyDescent="0.2">
      <c r="A1872" s="3">
        <v>89510</v>
      </c>
      <c r="B1872" s="3" t="s">
        <v>3897</v>
      </c>
      <c r="C1872" s="3" t="s">
        <v>22</v>
      </c>
      <c r="D1872" s="6" t="s">
        <v>535</v>
      </c>
      <c r="E1872" s="6" t="s">
        <v>535</v>
      </c>
      <c r="F1872" s="3" t="str">
        <f>IFERROR( VLOOKUP(A1872,#REF!,2,0),"")</f>
        <v/>
      </c>
      <c r="G1872" s="3" t="str">
        <f t="array" ref="G1872">_xlfn.XLOOKUP(I1872,Base_Datos!D:D,Base_Datos!B:B,"")</f>
        <v>DFSK</v>
      </c>
      <c r="H1872" s="3" t="str">
        <f t="array" ref="H1872">IF(I1872="","",IFERROR(_xlfn.XLOOKUP(I1872,Base_Datos!$D$2:$D3876,Base_Datos!$C$2:$C3876),""))</f>
        <v>Serie D</v>
      </c>
      <c r="I1872" s="3" t="s">
        <v>973</v>
      </c>
      <c r="J1872" s="3" t="str">
        <f>IF(I1872="","",IFERROR(VLOOKUP(I1872,Base_Datos!$D$2:$E$72,2,0),""))</f>
        <v>(1.5L)</v>
      </c>
      <c r="K1872" s="3" t="s">
        <v>1782</v>
      </c>
      <c r="L1872" s="3"/>
      <c r="M1872" s="7">
        <v>6</v>
      </c>
      <c r="N1872" s="7">
        <v>0</v>
      </c>
    </row>
    <row r="1873" spans="1:14" ht="14.25" x14ac:dyDescent="0.2">
      <c r="A1873" s="3">
        <v>89511</v>
      </c>
      <c r="B1873" s="3" t="s">
        <v>3898</v>
      </c>
      <c r="C1873" s="3" t="s">
        <v>22</v>
      </c>
      <c r="D1873" s="6" t="s">
        <v>536</v>
      </c>
      <c r="E1873" s="6" t="s">
        <v>536</v>
      </c>
      <c r="F1873" s="3" t="str">
        <f>IFERROR( VLOOKUP(A1873,#REF!,2,0),"")</f>
        <v/>
      </c>
      <c r="G1873" s="3" t="str">
        <f t="array" ref="G1873">_xlfn.XLOOKUP(I1873,Base_Datos!D:D,Base_Datos!B:B,"")</f>
        <v>DFSK</v>
      </c>
      <c r="H1873" s="3" t="str">
        <f t="array" ref="H1873">IF(I1873="","",IFERROR(_xlfn.XLOOKUP(I1873,Base_Datos!$D$2:$D3876,Base_Datos!$C$2:$C3876),""))</f>
        <v>Serie D</v>
      </c>
      <c r="I1873" s="3" t="s">
        <v>973</v>
      </c>
      <c r="J1873" s="3" t="str">
        <f>IF(I1873="","",IFERROR(VLOOKUP(I1873,Base_Datos!$D$2:$E$72,2,0),""))</f>
        <v>(1.5L)</v>
      </c>
      <c r="K1873" s="3" t="s">
        <v>1782</v>
      </c>
      <c r="L1873" s="3"/>
      <c r="M1873" s="7">
        <v>6</v>
      </c>
      <c r="N1873" s="7">
        <v>0</v>
      </c>
    </row>
    <row r="1874" spans="1:14" ht="14.25" x14ac:dyDescent="0.2">
      <c r="A1874" s="3">
        <v>89512</v>
      </c>
      <c r="B1874" s="3" t="s">
        <v>3272</v>
      </c>
      <c r="C1874" s="3" t="s">
        <v>18</v>
      </c>
      <c r="D1874" s="6" t="s">
        <v>537</v>
      </c>
      <c r="E1874" s="6" t="s">
        <v>3899</v>
      </c>
      <c r="F1874" s="3" t="str">
        <f>IFERROR( VLOOKUP(A1874,#REF!,2,0),"")</f>
        <v/>
      </c>
      <c r="G1874" s="3" t="str">
        <f t="array" ref="G1874">_xlfn.XLOOKUP(I1874,Base_Datos!D:D,Base_Datos!B:B,"")</f>
        <v>DFSK</v>
      </c>
      <c r="H1874" s="3" t="str">
        <f t="array" ref="H1874">IF(I1874="","",IFERROR(_xlfn.XLOOKUP(I1874,Base_Datos!$D$2:$D3876,Base_Datos!$C$2:$C3876),""))</f>
        <v>Serie Glory</v>
      </c>
      <c r="I1874" s="3" t="s">
        <v>1765</v>
      </c>
      <c r="J1874" s="3" t="str">
        <f>IF(I1874="","",IFERROR(VLOOKUP(I1874,Base_Datos!$D$2:$E$72,2,0),""))</f>
        <v>(1.5L)</v>
      </c>
      <c r="K1874" s="3" t="s">
        <v>1782</v>
      </c>
      <c r="L1874" s="3"/>
      <c r="M1874" s="7">
        <v>10</v>
      </c>
      <c r="N1874" s="7">
        <v>0</v>
      </c>
    </row>
    <row r="1875" spans="1:14" ht="14.25" x14ac:dyDescent="0.2">
      <c r="A1875" s="3">
        <v>89513</v>
      </c>
      <c r="B1875" s="3" t="s">
        <v>2622</v>
      </c>
      <c r="C1875" s="3" t="s">
        <v>18</v>
      </c>
      <c r="D1875" s="6" t="s">
        <v>538</v>
      </c>
      <c r="E1875" s="6" t="s">
        <v>538</v>
      </c>
      <c r="F1875" s="3" t="str">
        <f>IFERROR( VLOOKUP(A1875,#REF!,2,0),"")</f>
        <v/>
      </c>
      <c r="G1875" s="3" t="str">
        <f t="array" ref="G1875">_xlfn.XLOOKUP(I1875,Base_Datos!D:D,Base_Datos!B:B,"")</f>
        <v>DFSK</v>
      </c>
      <c r="H1875" s="3" t="str">
        <f t="array" ref="H1875">IF(I1875="","",IFERROR(_xlfn.XLOOKUP(I1875,Base_Datos!$D$2:$D3876,Base_Datos!$C$2:$C3876),""))</f>
        <v>Serie C</v>
      </c>
      <c r="I1875" s="3" t="s">
        <v>343</v>
      </c>
      <c r="J1875" s="3" t="str">
        <f>IF(I1875="","",IFERROR(VLOOKUP(I1875,Base_Datos!$D$2:$E$72,2,0),""))</f>
        <v>(1.5L)</v>
      </c>
      <c r="K1875" s="3" t="s">
        <v>2395</v>
      </c>
      <c r="L1875" s="3"/>
      <c r="M1875" s="7">
        <v>14</v>
      </c>
      <c r="N1875" s="7">
        <v>0</v>
      </c>
    </row>
    <row r="1876" spans="1:14" ht="14.25" x14ac:dyDescent="0.2">
      <c r="A1876" s="3">
        <v>89514</v>
      </c>
      <c r="B1876" s="3" t="s">
        <v>2614</v>
      </c>
      <c r="C1876" s="3" t="s">
        <v>22</v>
      </c>
      <c r="D1876" s="6" t="s">
        <v>501</v>
      </c>
      <c r="E1876" s="6" t="s">
        <v>501</v>
      </c>
      <c r="F1876" s="3" t="str">
        <f>IFERROR( VLOOKUP(A1876,#REF!,2,0),"")</f>
        <v/>
      </c>
      <c r="G1876" s="3" t="str">
        <f t="array" ref="G1876">_xlfn.XLOOKUP(I1876,Base_Datos!D:D,Base_Datos!B:B,"")</f>
        <v>DFSK</v>
      </c>
      <c r="H1876" s="3" t="str">
        <f t="array" ref="H1876">IF(I1876="","",IFERROR(_xlfn.XLOOKUP(I1876,Base_Datos!$D$2:$D3876,Base_Datos!$C$2:$C3876),""))</f>
        <v>Serie D</v>
      </c>
      <c r="I1876" s="3" t="s">
        <v>973</v>
      </c>
      <c r="J1876" s="3" t="str">
        <f>IF(I1876="","",IFERROR(VLOOKUP(I1876,Base_Datos!$D$2:$E$72,2,0),""))</f>
        <v>(1.5L)</v>
      </c>
      <c r="K1876" s="3" t="s">
        <v>1782</v>
      </c>
      <c r="L1876" s="3"/>
      <c r="M1876" s="7">
        <v>0</v>
      </c>
      <c r="N1876" s="7">
        <v>0</v>
      </c>
    </row>
    <row r="1877" spans="1:14" ht="14.25" x14ac:dyDescent="0.2">
      <c r="A1877" s="3">
        <v>89515</v>
      </c>
      <c r="B1877" s="3" t="s">
        <v>3900</v>
      </c>
      <c r="C1877" s="3" t="s">
        <v>18</v>
      </c>
      <c r="D1877" s="6" t="s">
        <v>539</v>
      </c>
      <c r="E1877" s="6" t="s">
        <v>539</v>
      </c>
      <c r="F1877" s="3" t="str">
        <f>IFERROR( VLOOKUP(A1877,#REF!,2,0),"")</f>
        <v/>
      </c>
      <c r="G1877" s="3" t="str">
        <f t="array" ref="G1877">_xlfn.XLOOKUP(I1877,Base_Datos!D:D,Base_Datos!B:B,"")</f>
        <v>DFSK</v>
      </c>
      <c r="H1877" s="3" t="str">
        <f t="array" ref="H1877">IF(I1877="","",IFERROR(_xlfn.XLOOKUP(I1877,Base_Datos!$D$2:$D3876,Base_Datos!$C$2:$C3876),""))</f>
        <v>Serie Glory</v>
      </c>
      <c r="I1877" s="3" t="s">
        <v>1765</v>
      </c>
      <c r="J1877" s="3" t="str">
        <f>IF(I1877="","",IFERROR(VLOOKUP(I1877,Base_Datos!$D$2:$E$72,2,0),""))</f>
        <v>(1.5L)</v>
      </c>
      <c r="K1877" s="3" t="s">
        <v>2881</v>
      </c>
      <c r="L1877" s="3"/>
      <c r="M1877" s="7">
        <v>21</v>
      </c>
      <c r="N1877" s="7">
        <v>0</v>
      </c>
    </row>
    <row r="1878" spans="1:14" ht="14.25" x14ac:dyDescent="0.2">
      <c r="A1878" s="3">
        <v>89516</v>
      </c>
      <c r="B1878" s="3" t="s">
        <v>3773</v>
      </c>
      <c r="C1878" s="3" t="s">
        <v>18</v>
      </c>
      <c r="D1878" s="6" t="s">
        <v>540</v>
      </c>
      <c r="E1878" s="6" t="s">
        <v>540</v>
      </c>
      <c r="F1878" s="3" t="str">
        <f>IFERROR( VLOOKUP(A1878,#REF!,2,0),"")</f>
        <v/>
      </c>
      <c r="G1878" s="3" t="str">
        <f t="array" ref="G1878">_xlfn.XLOOKUP(I1878,Base_Datos!D:D,Base_Datos!B:B,"")</f>
        <v>DFSK</v>
      </c>
      <c r="H1878" s="3" t="str">
        <f t="array" ref="H1878">IF(I1878="","",IFERROR(_xlfn.XLOOKUP(I1878,Base_Datos!$D$2:$D3876,Base_Datos!$C$2:$C3876),""))</f>
        <v>Serie Glory</v>
      </c>
      <c r="I1878" s="3" t="s">
        <v>1765</v>
      </c>
      <c r="J1878" s="3" t="str">
        <f>IF(I1878="","",IFERROR(VLOOKUP(I1878,Base_Datos!$D$2:$E$72,2,0),""))</f>
        <v>(1.5L)</v>
      </c>
      <c r="K1878" s="3" t="s">
        <v>2881</v>
      </c>
      <c r="L1878" s="3"/>
      <c r="M1878" s="7">
        <v>9</v>
      </c>
      <c r="N1878" s="7">
        <v>0</v>
      </c>
    </row>
    <row r="1879" spans="1:14" ht="14.25" x14ac:dyDescent="0.2">
      <c r="A1879" s="3">
        <v>89517</v>
      </c>
      <c r="B1879" s="3" t="s">
        <v>3774</v>
      </c>
      <c r="C1879" s="3" t="s">
        <v>18</v>
      </c>
      <c r="D1879" s="6" t="s">
        <v>541</v>
      </c>
      <c r="E1879" s="6" t="s">
        <v>541</v>
      </c>
      <c r="F1879" s="3" t="str">
        <f>IFERROR( VLOOKUP(A1879,#REF!,2,0),"")</f>
        <v/>
      </c>
      <c r="G1879" s="3" t="str">
        <f t="array" ref="G1879">_xlfn.XLOOKUP(I1879,Base_Datos!D:D,Base_Datos!B:B,"")</f>
        <v>DFSK</v>
      </c>
      <c r="H1879" s="3" t="str">
        <f t="array" ref="H1879">IF(I1879="","",IFERROR(_xlfn.XLOOKUP(I1879,Base_Datos!$D$2:$D3876,Base_Datos!$C$2:$C3876),""))</f>
        <v>Serie Glory</v>
      </c>
      <c r="I1879" s="3" t="s">
        <v>1765</v>
      </c>
      <c r="J1879" s="3" t="str">
        <f>IF(I1879="","",IFERROR(VLOOKUP(I1879,Base_Datos!$D$2:$E$72,2,0),""))</f>
        <v>(1.5L)</v>
      </c>
      <c r="K1879" s="3" t="s">
        <v>2881</v>
      </c>
      <c r="L1879" s="3"/>
      <c r="M1879" s="7">
        <v>9</v>
      </c>
      <c r="N1879" s="7">
        <v>0</v>
      </c>
    </row>
    <row r="1880" spans="1:14" ht="14.25" x14ac:dyDescent="0.2">
      <c r="A1880" s="3">
        <v>89518</v>
      </c>
      <c r="B1880" s="3" t="s">
        <v>3901</v>
      </c>
      <c r="C1880" s="3" t="s">
        <v>22</v>
      </c>
      <c r="D1880" s="6" t="s">
        <v>542</v>
      </c>
      <c r="E1880" s="6" t="s">
        <v>542</v>
      </c>
      <c r="F1880" s="3" t="str">
        <f>IFERROR( VLOOKUP(A1880,#REF!,2,0),"")</f>
        <v/>
      </c>
      <c r="G1880" s="3" t="str">
        <f t="array" ref="G1880">_xlfn.XLOOKUP(I1880,Base_Datos!D:D,Base_Datos!B:B,"")</f>
        <v>DFSK</v>
      </c>
      <c r="H1880" s="3" t="str">
        <f t="array" ref="H1880">IF(I1880="","",IFERROR(_xlfn.XLOOKUP(I1880,Base_Datos!$D$2:$D3876,Base_Datos!$C$2:$C3876),""))</f>
        <v>Serie D</v>
      </c>
      <c r="I1880" s="3" t="s">
        <v>973</v>
      </c>
      <c r="J1880" s="3" t="str">
        <f>IF(I1880="","",IFERROR(VLOOKUP(I1880,Base_Datos!$D$2:$E$72,2,0),""))</f>
        <v>(1.5L)</v>
      </c>
      <c r="K1880" s="3" t="s">
        <v>1782</v>
      </c>
      <c r="L1880" s="3"/>
      <c r="M1880" s="7">
        <v>6</v>
      </c>
      <c r="N1880" s="7">
        <v>0</v>
      </c>
    </row>
    <row r="1881" spans="1:14" ht="14.25" x14ac:dyDescent="0.2">
      <c r="A1881" s="3">
        <v>89519</v>
      </c>
      <c r="B1881" s="3" t="s">
        <v>3902</v>
      </c>
      <c r="C1881" s="3" t="s">
        <v>22</v>
      </c>
      <c r="D1881" s="6" t="s">
        <v>543</v>
      </c>
      <c r="E1881" s="6" t="s">
        <v>3903</v>
      </c>
      <c r="F1881" s="3" t="str">
        <f>IFERROR( VLOOKUP(A1881,#REF!,2,0),"")</f>
        <v/>
      </c>
      <c r="G1881" s="3" t="str">
        <f t="array" ref="G1881">_xlfn.XLOOKUP(I1881,Base_Datos!D:D,Base_Datos!B:B,"")</f>
        <v>DFSK</v>
      </c>
      <c r="H1881" s="3" t="str">
        <f t="array" ref="H1881">IF(I1881="","",IFERROR(_xlfn.XLOOKUP(I1881,Base_Datos!$D$2:$D3876,Base_Datos!$C$2:$C3876),""))</f>
        <v>Serie D</v>
      </c>
      <c r="I1881" s="3" t="s">
        <v>973</v>
      </c>
      <c r="J1881" s="3" t="str">
        <f>IF(I1881="","",IFERROR(VLOOKUP(I1881,Base_Datos!$D$2:$E$72,2,0),""))</f>
        <v>(1.5L)</v>
      </c>
      <c r="K1881" s="3" t="s">
        <v>1782</v>
      </c>
      <c r="L1881" s="3"/>
      <c r="M1881" s="7">
        <v>5</v>
      </c>
      <c r="N1881" s="7">
        <v>0</v>
      </c>
    </row>
    <row r="1882" spans="1:14" ht="14.25" x14ac:dyDescent="0.2">
      <c r="A1882" s="3">
        <v>89520</v>
      </c>
      <c r="B1882" s="3" t="s">
        <v>3904</v>
      </c>
      <c r="C1882" s="3" t="s">
        <v>18</v>
      </c>
      <c r="D1882" s="6" t="s">
        <v>544</v>
      </c>
      <c r="E1882" s="6" t="s">
        <v>3905</v>
      </c>
      <c r="F1882" s="3" t="str">
        <f>IFERROR( VLOOKUP(A1882,#REF!,2,0),"")</f>
        <v/>
      </c>
      <c r="G1882" s="3" t="str">
        <f t="array" ref="G1882">_xlfn.XLOOKUP(I1882,Base_Datos!D:D,Base_Datos!B:B,"")</f>
        <v>DFSK</v>
      </c>
      <c r="H1882" s="3" t="str">
        <f t="array" ref="H1882">IF(I1882="","",IFERROR(_xlfn.XLOOKUP(I1882,Base_Datos!$D$2:$D3876,Base_Datos!$C$2:$C3876),""))</f>
        <v>Serie Glory</v>
      </c>
      <c r="I1882" s="3" t="s">
        <v>1765</v>
      </c>
      <c r="J1882" s="3" t="str">
        <f>IF(I1882="","",IFERROR(VLOOKUP(I1882,Base_Datos!$D$2:$E$72,2,0),""))</f>
        <v>(1.5L)</v>
      </c>
      <c r="K1882" s="3" t="s">
        <v>1782</v>
      </c>
      <c r="L1882" s="3"/>
      <c r="M1882" s="7">
        <v>9</v>
      </c>
      <c r="N1882" s="7">
        <v>0</v>
      </c>
    </row>
    <row r="1883" spans="1:14" ht="14.25" x14ac:dyDescent="0.2">
      <c r="A1883" s="3">
        <v>89521</v>
      </c>
      <c r="B1883" s="3" t="s">
        <v>3906</v>
      </c>
      <c r="C1883" s="3" t="s">
        <v>22</v>
      </c>
      <c r="D1883" s="6" t="s">
        <v>502</v>
      </c>
      <c r="E1883" s="6" t="s">
        <v>502</v>
      </c>
      <c r="F1883" s="3" t="str">
        <f>IFERROR( VLOOKUP(A1883,#REF!,2,0),"")</f>
        <v/>
      </c>
      <c r="G1883" s="3" t="str">
        <f t="array" ref="G1883">_xlfn.XLOOKUP(I1883,Base_Datos!D:D,Base_Datos!B:B,"")</f>
        <v>DFSK</v>
      </c>
      <c r="H1883" s="3" t="str">
        <f t="array" ref="H1883">IF(I1883="","",IFERROR(_xlfn.XLOOKUP(I1883,Base_Datos!$D$2:$D3876,Base_Datos!$C$2:$C3876),""))</f>
        <v>Serie D</v>
      </c>
      <c r="I1883" s="3" t="s">
        <v>973</v>
      </c>
      <c r="J1883" s="3" t="str">
        <f>IF(I1883="","",IFERROR(VLOOKUP(I1883,Base_Datos!$D$2:$E$72,2,0),""))</f>
        <v>(1.5L)</v>
      </c>
      <c r="K1883" s="3" t="s">
        <v>1782</v>
      </c>
      <c r="L1883" s="3"/>
      <c r="M1883" s="7">
        <v>1</v>
      </c>
      <c r="N1883" s="7">
        <v>0</v>
      </c>
    </row>
    <row r="1884" spans="1:14" ht="14.25" x14ac:dyDescent="0.2">
      <c r="A1884" s="3">
        <v>89522</v>
      </c>
      <c r="B1884" s="3" t="s">
        <v>3907</v>
      </c>
      <c r="C1884" s="3" t="s">
        <v>22</v>
      </c>
      <c r="D1884" s="6" t="s">
        <v>503</v>
      </c>
      <c r="E1884" s="6" t="s">
        <v>503</v>
      </c>
      <c r="F1884" s="3" t="str">
        <f>IFERROR( VLOOKUP(A1884,#REF!,2,0),"")</f>
        <v/>
      </c>
      <c r="G1884" s="3" t="str">
        <f t="array" ref="G1884">_xlfn.XLOOKUP(I1884,Base_Datos!D:D,Base_Datos!B:B,"")</f>
        <v>DFSK</v>
      </c>
      <c r="H1884" s="3" t="str">
        <f t="array" ref="H1884">IF(I1884="","",IFERROR(_xlfn.XLOOKUP(I1884,Base_Datos!$D$2:$D3876,Base_Datos!$C$2:$C3876),""))</f>
        <v>Serie D</v>
      </c>
      <c r="I1884" s="3" t="s">
        <v>973</v>
      </c>
      <c r="J1884" s="3" t="str">
        <f>IF(I1884="","",IFERROR(VLOOKUP(I1884,Base_Datos!$D$2:$E$72,2,0),""))</f>
        <v>(1.5L)</v>
      </c>
      <c r="K1884" s="3" t="s">
        <v>1782</v>
      </c>
      <c r="L1884" s="3"/>
      <c r="M1884" s="7">
        <v>1</v>
      </c>
      <c r="N1884" s="7">
        <v>0</v>
      </c>
    </row>
    <row r="1885" spans="1:14" ht="14.25" x14ac:dyDescent="0.2">
      <c r="A1885" s="3">
        <v>89523</v>
      </c>
      <c r="B1885" s="3" t="s">
        <v>3908</v>
      </c>
      <c r="C1885" s="3" t="s">
        <v>22</v>
      </c>
      <c r="D1885" s="6" t="s">
        <v>545</v>
      </c>
      <c r="E1885" s="6" t="s">
        <v>504</v>
      </c>
      <c r="F1885" s="3" t="str">
        <f>IFERROR( VLOOKUP(A1885,#REF!,2,0),"")</f>
        <v/>
      </c>
      <c r="G1885" s="3" t="str">
        <f t="array" ref="G1885">_xlfn.XLOOKUP(I1885,Base_Datos!D:D,Base_Datos!B:B,"")</f>
        <v>DFSK</v>
      </c>
      <c r="H1885" s="3" t="str">
        <f t="array" ref="H1885">IF(I1885="","",IFERROR(_xlfn.XLOOKUP(I1885,Base_Datos!$D$2:$D3876,Base_Datos!$C$2:$C3876),""))</f>
        <v>Serie D</v>
      </c>
      <c r="I1885" s="3" t="s">
        <v>973</v>
      </c>
      <c r="J1885" s="3" t="str">
        <f>IF(I1885="","",IFERROR(VLOOKUP(I1885,Base_Datos!$D$2:$E$72,2,0),""))</f>
        <v>(1.5L)</v>
      </c>
      <c r="K1885" s="3" t="s">
        <v>1782</v>
      </c>
      <c r="L1885" s="3"/>
      <c r="M1885" s="7">
        <v>1</v>
      </c>
      <c r="N1885" s="7">
        <v>0</v>
      </c>
    </row>
    <row r="1886" spans="1:14" ht="14.25" x14ac:dyDescent="0.2">
      <c r="A1886" s="3">
        <v>89524</v>
      </c>
      <c r="B1886" s="3" t="s">
        <v>3909</v>
      </c>
      <c r="C1886" s="3" t="s">
        <v>18</v>
      </c>
      <c r="D1886" s="6" t="s">
        <v>504</v>
      </c>
      <c r="E1886" s="6" t="s">
        <v>545</v>
      </c>
      <c r="F1886" s="3" t="str">
        <f>IFERROR( VLOOKUP(A1886,#REF!,2,0),"")</f>
        <v/>
      </c>
      <c r="G1886" s="3" t="str">
        <f t="array" ref="G1886">_xlfn.XLOOKUP(I1886,Base_Datos!D:D,Base_Datos!B:B,"")</f>
        <v>DFSK</v>
      </c>
      <c r="H1886" s="3" t="str">
        <f t="array" ref="H1886">IF(I1886="","",IFERROR(_xlfn.XLOOKUP(I1886,Base_Datos!$D$2:$D3876,Base_Datos!$C$2:$C3876),""))</f>
        <v>Serie Glory</v>
      </c>
      <c r="I1886" s="3" t="s">
        <v>1765</v>
      </c>
      <c r="J1886" s="3" t="str">
        <f>IF(I1886="","",IFERROR(VLOOKUP(I1886,Base_Datos!$D$2:$E$72,2,0),""))</f>
        <v>(1.5L)</v>
      </c>
      <c r="K1886" s="3" t="s">
        <v>1782</v>
      </c>
      <c r="L1886" s="3"/>
      <c r="M1886" s="7">
        <v>9</v>
      </c>
      <c r="N1886" s="7">
        <v>0</v>
      </c>
    </row>
    <row r="1887" spans="1:14" ht="14.25" x14ac:dyDescent="0.2">
      <c r="A1887" s="3">
        <v>89525</v>
      </c>
      <c r="B1887" s="3" t="s">
        <v>2490</v>
      </c>
      <c r="C1887" s="3" t="s">
        <v>18</v>
      </c>
      <c r="D1887" s="6" t="s">
        <v>3910</v>
      </c>
      <c r="E1887" s="6" t="s">
        <v>3910</v>
      </c>
      <c r="F1887" s="3" t="str">
        <f>IFERROR( VLOOKUP(A1887,#REF!,2,0),"")</f>
        <v/>
      </c>
      <c r="G1887" s="3" t="str">
        <f t="array" ref="G1887">_xlfn.XLOOKUP(I1887,Base_Datos!D:D,Base_Datos!B:B,"")</f>
        <v>DFSK</v>
      </c>
      <c r="H1887" s="3" t="str">
        <f t="array" ref="H1887">IF(I1887="","",IFERROR(_xlfn.XLOOKUP(I1887,Base_Datos!$D$2:$D3876,Base_Datos!$C$2:$C3876),""))</f>
        <v>Serie Glory</v>
      </c>
      <c r="I1887" s="3" t="s">
        <v>1765</v>
      </c>
      <c r="J1887" s="3" t="str">
        <f>IF(I1887="","",IFERROR(VLOOKUP(I1887,Base_Datos!$D$2:$E$72,2,0),""))</f>
        <v>(1.5L)</v>
      </c>
      <c r="K1887" s="3" t="s">
        <v>1782</v>
      </c>
      <c r="L1887" s="3"/>
      <c r="M1887" s="7">
        <v>30</v>
      </c>
      <c r="N1887" s="7">
        <v>0</v>
      </c>
    </row>
    <row r="1888" spans="1:14" ht="14.25" x14ac:dyDescent="0.2">
      <c r="A1888" s="3">
        <v>89526</v>
      </c>
      <c r="B1888" s="3" t="s">
        <v>3911</v>
      </c>
      <c r="C1888" s="3" t="s">
        <v>18</v>
      </c>
      <c r="D1888" s="6" t="s">
        <v>3912</v>
      </c>
      <c r="E1888" s="6" t="s">
        <v>3912</v>
      </c>
      <c r="F1888" s="3" t="str">
        <f>IFERROR( VLOOKUP(A1888,#REF!,2,0),"")</f>
        <v/>
      </c>
      <c r="G1888" s="3" t="str">
        <f t="array" ref="G1888">_xlfn.XLOOKUP(I1888,Base_Datos!D:D,Base_Datos!B:B,"")</f>
        <v>DFSK</v>
      </c>
      <c r="H1888" s="3" t="str">
        <f t="array" ref="H1888">IF(I1888="","",IFERROR(_xlfn.XLOOKUP(I1888,Base_Datos!$D$2:$D3876,Base_Datos!$C$2:$C3876),""))</f>
        <v>Serie Glory</v>
      </c>
      <c r="I1888" s="3" t="s">
        <v>1765</v>
      </c>
      <c r="J1888" s="3" t="str">
        <f>IF(I1888="","",IFERROR(VLOOKUP(I1888,Base_Datos!$D$2:$E$72,2,0),""))</f>
        <v>(1.5L)</v>
      </c>
      <c r="K1888" s="3" t="s">
        <v>1782</v>
      </c>
      <c r="L1888" s="3"/>
      <c r="M1888" s="7">
        <v>9</v>
      </c>
      <c r="N1888" s="7">
        <v>0</v>
      </c>
    </row>
    <row r="1889" spans="1:14" ht="14.25" x14ac:dyDescent="0.2">
      <c r="A1889" s="3">
        <v>89527</v>
      </c>
      <c r="B1889" s="3" t="s">
        <v>3913</v>
      </c>
      <c r="C1889" s="3" t="s">
        <v>18</v>
      </c>
      <c r="D1889" s="6" t="s">
        <v>3914</v>
      </c>
      <c r="E1889" s="6" t="s">
        <v>3914</v>
      </c>
      <c r="F1889" s="3" t="str">
        <f>IFERROR( VLOOKUP(A1889,#REF!,2,0),"")</f>
        <v/>
      </c>
      <c r="G1889" s="3" t="str">
        <f t="array" ref="G1889">_xlfn.XLOOKUP(I1889,Base_Datos!D:D,Base_Datos!B:B,"")</f>
        <v>DFSK</v>
      </c>
      <c r="H1889" s="3" t="str">
        <f t="array" ref="H1889">IF(I1889="","",IFERROR(_xlfn.XLOOKUP(I1889,Base_Datos!$D$2:$D3876,Base_Datos!$C$2:$C3876),""))</f>
        <v>Serie Glory</v>
      </c>
      <c r="I1889" s="3" t="s">
        <v>1765</v>
      </c>
      <c r="J1889" s="3" t="str">
        <f>IF(I1889="","",IFERROR(VLOOKUP(I1889,Base_Datos!$D$2:$E$72,2,0),""))</f>
        <v>(1.5L)</v>
      </c>
      <c r="K1889" s="3" t="s">
        <v>1782</v>
      </c>
      <c r="L1889" s="3"/>
      <c r="M1889" s="7">
        <v>19</v>
      </c>
      <c r="N1889" s="7">
        <v>0</v>
      </c>
    </row>
    <row r="1890" spans="1:14" ht="14.25" x14ac:dyDescent="0.2">
      <c r="A1890" s="3">
        <v>89528</v>
      </c>
      <c r="B1890" s="3" t="s">
        <v>3915</v>
      </c>
      <c r="C1890" s="3" t="s">
        <v>18</v>
      </c>
      <c r="D1890" s="6" t="s">
        <v>3916</v>
      </c>
      <c r="E1890" s="6" t="s">
        <v>3916</v>
      </c>
      <c r="F1890" s="3" t="str">
        <f>IFERROR( VLOOKUP(A1890,#REF!,2,0),"")</f>
        <v/>
      </c>
      <c r="G1890" s="3" t="str">
        <f t="array" ref="G1890">_xlfn.XLOOKUP(I1890,Base_Datos!D:D,Base_Datos!B:B,"")</f>
        <v>DFSK</v>
      </c>
      <c r="H1890" s="3" t="str">
        <f t="array" ref="H1890">IF(I1890="","",IFERROR(_xlfn.XLOOKUP(I1890,Base_Datos!$D$2:$D3876,Base_Datos!$C$2:$C3876),""))</f>
        <v>Serie Glory</v>
      </c>
      <c r="I1890" s="3" t="s">
        <v>1765</v>
      </c>
      <c r="J1890" s="3" t="str">
        <f>IF(I1890="","",IFERROR(VLOOKUP(I1890,Base_Datos!$D$2:$E$72,2,0),""))</f>
        <v>(1.5L)</v>
      </c>
      <c r="K1890" s="3" t="s">
        <v>1782</v>
      </c>
      <c r="L1890" s="3"/>
      <c r="M1890" s="7">
        <v>9</v>
      </c>
      <c r="N1890" s="7">
        <v>0</v>
      </c>
    </row>
    <row r="1891" spans="1:14" ht="14.25" x14ac:dyDescent="0.2">
      <c r="A1891" s="3">
        <v>89529</v>
      </c>
      <c r="B1891" s="3" t="s">
        <v>3917</v>
      </c>
      <c r="C1891" s="3" t="s">
        <v>18</v>
      </c>
      <c r="D1891" s="6" t="s">
        <v>3918</v>
      </c>
      <c r="E1891" s="6" t="s">
        <v>3918</v>
      </c>
      <c r="F1891" s="3" t="str">
        <f>IFERROR( VLOOKUP(A1891,#REF!,2,0),"")</f>
        <v/>
      </c>
      <c r="G1891" s="3" t="str">
        <f t="array" ref="G1891">_xlfn.XLOOKUP(I1891,Base_Datos!D:D,Base_Datos!B:B,"")</f>
        <v>DFSK</v>
      </c>
      <c r="H1891" s="3" t="str">
        <f t="array" ref="H1891">IF(I1891="","",IFERROR(_xlfn.XLOOKUP(I1891,Base_Datos!$D$2:$D3876,Base_Datos!$C$2:$C3876),""))</f>
        <v>Serie Glory</v>
      </c>
      <c r="I1891" s="3" t="s">
        <v>1765</v>
      </c>
      <c r="J1891" s="3" t="str">
        <f>IF(I1891="","",IFERROR(VLOOKUP(I1891,Base_Datos!$D$2:$E$72,2,0),""))</f>
        <v>(1.5L)</v>
      </c>
      <c r="K1891" s="3" t="s">
        <v>1782</v>
      </c>
      <c r="L1891" s="3"/>
      <c r="M1891" s="7">
        <v>13</v>
      </c>
      <c r="N1891" s="7">
        <v>0</v>
      </c>
    </row>
    <row r="1892" spans="1:14" ht="14.25" x14ac:dyDescent="0.2">
      <c r="A1892" s="3">
        <v>89530</v>
      </c>
      <c r="B1892" s="3" t="s">
        <v>3919</v>
      </c>
      <c r="C1892" s="3" t="s">
        <v>18</v>
      </c>
      <c r="D1892" s="6" t="s">
        <v>3920</v>
      </c>
      <c r="E1892" s="6" t="s">
        <v>3920</v>
      </c>
      <c r="F1892" s="3" t="str">
        <f>IFERROR( VLOOKUP(A1892,#REF!,2,0),"")</f>
        <v/>
      </c>
      <c r="G1892" s="3" t="str">
        <f t="array" ref="G1892">_xlfn.XLOOKUP(I1892,Base_Datos!D:D,Base_Datos!B:B,"")</f>
        <v>DFSK</v>
      </c>
      <c r="H1892" s="3" t="str">
        <f t="array" ref="H1892">IF(I1892="","",IFERROR(_xlfn.XLOOKUP(I1892,Base_Datos!$D$2:$D3876,Base_Datos!$C$2:$C3876),""))</f>
        <v>Serie Glory</v>
      </c>
      <c r="I1892" s="3" t="s">
        <v>1765</v>
      </c>
      <c r="J1892" s="3" t="str">
        <f>IF(I1892="","",IFERROR(VLOOKUP(I1892,Base_Datos!$D$2:$E$72,2,0),""))</f>
        <v>(1.5L)</v>
      </c>
      <c r="K1892" s="3" t="s">
        <v>1782</v>
      </c>
      <c r="L1892" s="3"/>
      <c r="M1892" s="7">
        <v>9</v>
      </c>
      <c r="N1892" s="7">
        <v>0</v>
      </c>
    </row>
    <row r="1893" spans="1:14" ht="14.25" x14ac:dyDescent="0.2">
      <c r="A1893" s="3">
        <v>89531</v>
      </c>
      <c r="B1893" s="3" t="s">
        <v>3921</v>
      </c>
      <c r="C1893" s="3" t="s">
        <v>18</v>
      </c>
      <c r="D1893" s="6" t="s">
        <v>3922</v>
      </c>
      <c r="E1893" s="6" t="s">
        <v>3922</v>
      </c>
      <c r="F1893" s="3" t="str">
        <f>IFERROR( VLOOKUP(A1893,#REF!,2,0),"")</f>
        <v/>
      </c>
      <c r="G1893" s="3" t="str">
        <f t="array" ref="G1893">_xlfn.XLOOKUP(I1893,Base_Datos!D:D,Base_Datos!B:B,"")</f>
        <v>DFSK</v>
      </c>
      <c r="H1893" s="3" t="str">
        <f t="array" ref="H1893">IF(I1893="","",IFERROR(_xlfn.XLOOKUP(I1893,Base_Datos!$D$2:$D3876,Base_Datos!$C$2:$C3876),""))</f>
        <v>Serie Glory</v>
      </c>
      <c r="I1893" s="3" t="s">
        <v>1765</v>
      </c>
      <c r="J1893" s="3" t="str">
        <f>IF(I1893="","",IFERROR(VLOOKUP(I1893,Base_Datos!$D$2:$E$72,2,0),""))</f>
        <v>(1.5L)</v>
      </c>
      <c r="K1893" s="3" t="s">
        <v>1782</v>
      </c>
      <c r="L1893" s="3"/>
      <c r="M1893" s="7">
        <v>19</v>
      </c>
      <c r="N1893" s="7">
        <v>0</v>
      </c>
    </row>
    <row r="1894" spans="1:14" ht="14.25" x14ac:dyDescent="0.2">
      <c r="A1894" s="3">
        <v>89532</v>
      </c>
      <c r="B1894" s="3" t="s">
        <v>3923</v>
      </c>
      <c r="C1894" s="3" t="s">
        <v>18</v>
      </c>
      <c r="D1894" s="6" t="s">
        <v>546</v>
      </c>
      <c r="E1894" s="6" t="s">
        <v>3924</v>
      </c>
      <c r="F1894" s="3" t="str">
        <f>IFERROR( VLOOKUP(A1894,#REF!,2,0),"")</f>
        <v/>
      </c>
      <c r="G1894" s="3" t="str">
        <f t="array" ref="G1894">_xlfn.XLOOKUP(I1894,Base_Datos!D:D,Base_Datos!B:B,"")</f>
        <v>DFSK</v>
      </c>
      <c r="H1894" s="3" t="str">
        <f t="array" ref="H1894">IF(I1894="","",IFERROR(_xlfn.XLOOKUP(I1894,Base_Datos!$D$2:$D3876,Base_Datos!$C$2:$C3876),""))</f>
        <v>Serie Glory</v>
      </c>
      <c r="I1894" s="3" t="s">
        <v>1765</v>
      </c>
      <c r="J1894" s="3" t="str">
        <f>IF(I1894="","",IFERROR(VLOOKUP(I1894,Base_Datos!$D$2:$E$72,2,0),""))</f>
        <v>(1.5L)</v>
      </c>
      <c r="K1894" s="3" t="s">
        <v>1782</v>
      </c>
      <c r="L1894" s="3"/>
      <c r="M1894" s="7">
        <v>19</v>
      </c>
      <c r="N1894" s="7">
        <v>0</v>
      </c>
    </row>
    <row r="1895" spans="1:14" ht="14.25" x14ac:dyDescent="0.2">
      <c r="A1895" s="3">
        <v>89533</v>
      </c>
      <c r="B1895" s="3" t="s">
        <v>3925</v>
      </c>
      <c r="C1895" s="3" t="s">
        <v>18</v>
      </c>
      <c r="D1895" s="6" t="s">
        <v>991</v>
      </c>
      <c r="E1895" s="6" t="s">
        <v>991</v>
      </c>
      <c r="F1895" s="3" t="str">
        <f>IFERROR( VLOOKUP(A1895,#REF!,2,0),"")</f>
        <v/>
      </c>
      <c r="G1895" s="3" t="str">
        <f t="array" ref="G1895">_xlfn.XLOOKUP(I1895,Base_Datos!D:D,Base_Datos!B:B,"")</f>
        <v>DFSK</v>
      </c>
      <c r="H1895" s="3" t="str">
        <f t="array" ref="H1895">IF(I1895="","",IFERROR(_xlfn.XLOOKUP(I1895,Base_Datos!$D$2:$D3876,Base_Datos!$C$2:$C3876),""))</f>
        <v>Serie Glory</v>
      </c>
      <c r="I1895" s="3" t="s">
        <v>1765</v>
      </c>
      <c r="J1895" s="3" t="str">
        <f>IF(I1895="","",IFERROR(VLOOKUP(I1895,Base_Datos!$D$2:$E$72,2,0),""))</f>
        <v>(1.5L)</v>
      </c>
      <c r="K1895" s="3" t="s">
        <v>1782</v>
      </c>
      <c r="L1895" s="3"/>
      <c r="M1895" s="7">
        <v>18</v>
      </c>
      <c r="N1895" s="7">
        <v>0</v>
      </c>
    </row>
    <row r="1896" spans="1:14" ht="14.25" x14ac:dyDescent="0.2">
      <c r="A1896" s="3">
        <v>89534</v>
      </c>
      <c r="B1896" s="3" t="s">
        <v>3926</v>
      </c>
      <c r="C1896" s="3" t="s">
        <v>22</v>
      </c>
      <c r="D1896" s="6" t="s">
        <v>505</v>
      </c>
      <c r="E1896" s="6" t="s">
        <v>505</v>
      </c>
      <c r="F1896" s="3" t="str">
        <f>IFERROR( VLOOKUP(A1896,#REF!,2,0),"")</f>
        <v/>
      </c>
      <c r="G1896" s="3" t="str">
        <f t="array" ref="G1896">_xlfn.XLOOKUP(I1896,Base_Datos!D:D,Base_Datos!B:B,"")</f>
        <v>DFSK</v>
      </c>
      <c r="H1896" s="3" t="str">
        <f t="array" ref="H1896">IF(I1896="","",IFERROR(_xlfn.XLOOKUP(I1896,Base_Datos!$D$2:$D3876,Base_Datos!$C$2:$C3876),""))</f>
        <v>Serie D</v>
      </c>
      <c r="I1896" s="3" t="s">
        <v>973</v>
      </c>
      <c r="J1896" s="3" t="str">
        <f>IF(I1896="","",IFERROR(VLOOKUP(I1896,Base_Datos!$D$2:$E$72,2,0),""))</f>
        <v>(1.5L)</v>
      </c>
      <c r="K1896" s="3" t="s">
        <v>1782</v>
      </c>
      <c r="L1896" s="3"/>
      <c r="M1896" s="7">
        <v>5</v>
      </c>
      <c r="N1896" s="7">
        <v>0</v>
      </c>
    </row>
    <row r="1897" spans="1:14" ht="14.25" x14ac:dyDescent="0.2">
      <c r="A1897" s="3">
        <v>89535</v>
      </c>
      <c r="B1897" s="3" t="s">
        <v>3927</v>
      </c>
      <c r="C1897" s="3" t="s">
        <v>22</v>
      </c>
      <c r="D1897" s="6" t="s">
        <v>547</v>
      </c>
      <c r="E1897" s="6" t="s">
        <v>547</v>
      </c>
      <c r="F1897" s="3" t="str">
        <f>IFERROR( VLOOKUP(A1897,#REF!,2,0),"")</f>
        <v/>
      </c>
      <c r="G1897" s="3" t="str">
        <f t="array" ref="G1897">_xlfn.XLOOKUP(I1897,Base_Datos!D:D,Base_Datos!B:B,"")</f>
        <v>DFSK</v>
      </c>
      <c r="H1897" s="3" t="str">
        <f t="array" ref="H1897">IF(I1897="","",IFERROR(_xlfn.XLOOKUP(I1897,Base_Datos!$D$2:$D3876,Base_Datos!$C$2:$C3876),""))</f>
        <v>Serie D</v>
      </c>
      <c r="I1897" s="3" t="s">
        <v>973</v>
      </c>
      <c r="J1897" s="3" t="str">
        <f>IF(I1897="","",IFERROR(VLOOKUP(I1897,Base_Datos!$D$2:$E$72,2,0),""))</f>
        <v>(1.5L)</v>
      </c>
      <c r="K1897" s="3" t="s">
        <v>1782</v>
      </c>
      <c r="L1897" s="3"/>
      <c r="M1897" s="7">
        <v>5</v>
      </c>
      <c r="N1897" s="7">
        <v>0</v>
      </c>
    </row>
    <row r="1898" spans="1:14" ht="14.25" x14ac:dyDescent="0.2">
      <c r="A1898" s="3">
        <v>89536</v>
      </c>
      <c r="B1898" s="3" t="s">
        <v>3928</v>
      </c>
      <c r="C1898" s="3" t="s">
        <v>22</v>
      </c>
      <c r="D1898" s="6" t="s">
        <v>548</v>
      </c>
      <c r="E1898" s="6" t="s">
        <v>548</v>
      </c>
      <c r="F1898" s="3" t="str">
        <f>IFERROR( VLOOKUP(A1898,#REF!,2,0),"")</f>
        <v/>
      </c>
      <c r="G1898" s="3" t="str">
        <f t="array" ref="G1898">_xlfn.XLOOKUP(I1898,Base_Datos!D:D,Base_Datos!B:B,"")</f>
        <v>DFSK</v>
      </c>
      <c r="H1898" s="3" t="str">
        <f t="array" ref="H1898">IF(I1898="","",IFERROR(_xlfn.XLOOKUP(I1898,Base_Datos!$D$2:$D3876,Base_Datos!$C$2:$C3876),""))</f>
        <v>Serie D</v>
      </c>
      <c r="I1898" s="3" t="s">
        <v>973</v>
      </c>
      <c r="J1898" s="3" t="str">
        <f>IF(I1898="","",IFERROR(VLOOKUP(I1898,Base_Datos!$D$2:$E$72,2,0),""))</f>
        <v>(1.5L)</v>
      </c>
      <c r="K1898" s="3" t="s">
        <v>1782</v>
      </c>
      <c r="L1898" s="3"/>
      <c r="M1898" s="7">
        <v>5</v>
      </c>
      <c r="N1898" s="7">
        <v>0</v>
      </c>
    </row>
    <row r="1899" spans="1:14" ht="14.25" x14ac:dyDescent="0.2">
      <c r="A1899" s="3">
        <v>89537</v>
      </c>
      <c r="B1899" s="3" t="s">
        <v>3929</v>
      </c>
      <c r="C1899" s="3" t="s">
        <v>22</v>
      </c>
      <c r="D1899" s="6" t="s">
        <v>506</v>
      </c>
      <c r="E1899" s="6" t="s">
        <v>506</v>
      </c>
      <c r="F1899" s="3" t="str">
        <f>IFERROR( VLOOKUP(A1899,#REF!,2,0),"")</f>
        <v/>
      </c>
      <c r="G1899" s="3" t="str">
        <f t="array" ref="G1899">_xlfn.XLOOKUP(I1899,Base_Datos!D:D,Base_Datos!B:B,"")</f>
        <v>DFSK</v>
      </c>
      <c r="H1899" s="3" t="str">
        <f t="array" ref="H1899">IF(I1899="","",IFERROR(_xlfn.XLOOKUP(I1899,Base_Datos!$D$2:$D3876,Base_Datos!$C$2:$C3876),""))</f>
        <v>Serie D</v>
      </c>
      <c r="I1899" s="3" t="s">
        <v>973</v>
      </c>
      <c r="J1899" s="3" t="str">
        <f>IF(I1899="","",IFERROR(VLOOKUP(I1899,Base_Datos!$D$2:$E$72,2,0),""))</f>
        <v>(1.5L)</v>
      </c>
      <c r="K1899" s="3" t="s">
        <v>1782</v>
      </c>
      <c r="L1899" s="3"/>
      <c r="M1899" s="7">
        <v>5</v>
      </c>
      <c r="N1899" s="7">
        <v>0</v>
      </c>
    </row>
    <row r="1900" spans="1:14" ht="14.25" x14ac:dyDescent="0.2">
      <c r="A1900" s="3">
        <v>89538</v>
      </c>
      <c r="B1900" s="3" t="s">
        <v>2476</v>
      </c>
      <c r="C1900" s="3" t="s">
        <v>18</v>
      </c>
      <c r="D1900" s="6" t="s">
        <v>1800</v>
      </c>
      <c r="E1900" s="6" t="s">
        <v>1800</v>
      </c>
      <c r="F1900" s="3" t="str">
        <f>IFERROR( VLOOKUP(A1900,#REF!,2,0),"")</f>
        <v/>
      </c>
      <c r="G1900" s="3" t="str">
        <f t="array" ref="G1900">_xlfn.XLOOKUP(I1900,Base_Datos!D:D,Base_Datos!B:B,"")</f>
        <v>DFSK</v>
      </c>
      <c r="H1900" s="3" t="str">
        <f t="array" ref="H1900">IF(I1900="","",IFERROR(_xlfn.XLOOKUP(I1900,Base_Datos!$D$2:$D3876,Base_Datos!$C$2:$C3876),""))</f>
        <v>Serie Glory</v>
      </c>
      <c r="I1900" s="3" t="s">
        <v>1765</v>
      </c>
      <c r="J1900" s="3" t="str">
        <f>IF(I1900="","",IFERROR(VLOOKUP(I1900,Base_Datos!$D$2:$E$72,2,0),""))</f>
        <v>(1.5L)</v>
      </c>
      <c r="K1900" s="3" t="s">
        <v>2881</v>
      </c>
      <c r="L1900" s="3"/>
      <c r="M1900" s="7">
        <v>19</v>
      </c>
      <c r="N1900" s="7">
        <v>0</v>
      </c>
    </row>
    <row r="1901" spans="1:14" ht="14.25" x14ac:dyDescent="0.2">
      <c r="A1901" s="3">
        <v>89539</v>
      </c>
      <c r="B1901" s="3" t="s">
        <v>3930</v>
      </c>
      <c r="C1901" s="3" t="s">
        <v>18</v>
      </c>
      <c r="D1901" s="6" t="s">
        <v>992</v>
      </c>
      <c r="E1901" s="6" t="s">
        <v>992</v>
      </c>
      <c r="F1901" s="3" t="str">
        <f>IFERROR( VLOOKUP(A1901,#REF!,2,0),"")</f>
        <v/>
      </c>
      <c r="G1901" s="3" t="str">
        <f t="array" ref="G1901">_xlfn.XLOOKUP(I1901,Base_Datos!D:D,Base_Datos!B:B,"")</f>
        <v>DFSK</v>
      </c>
      <c r="H1901" s="3" t="str">
        <f t="array" ref="H1901">IF(I1901="","",IFERROR(_xlfn.XLOOKUP(I1901,Base_Datos!$D$2:$D3876,Base_Datos!$C$2:$C3876),""))</f>
        <v>Serie D</v>
      </c>
      <c r="I1901" s="3" t="s">
        <v>973</v>
      </c>
      <c r="J1901" s="3" t="str">
        <f>IF(I1901="","",IFERROR(VLOOKUP(I1901,Base_Datos!$D$2:$E$72,2,0),""))</f>
        <v>(1.5L)</v>
      </c>
      <c r="K1901" s="3" t="s">
        <v>1782</v>
      </c>
      <c r="L1901" s="3"/>
      <c r="M1901" s="7">
        <v>30</v>
      </c>
      <c r="N1901" s="7">
        <v>0</v>
      </c>
    </row>
    <row r="1902" spans="1:14" ht="14.25" x14ac:dyDescent="0.2">
      <c r="A1902" s="3">
        <v>89540</v>
      </c>
      <c r="B1902" s="3" t="s">
        <v>3867</v>
      </c>
      <c r="C1902" s="3" t="s">
        <v>18</v>
      </c>
      <c r="D1902" s="6" t="s">
        <v>507</v>
      </c>
      <c r="E1902" s="6" t="s">
        <v>507</v>
      </c>
      <c r="F1902" s="3" t="str">
        <f>IFERROR( VLOOKUP(A1902,#REF!,2,0),"")</f>
        <v/>
      </c>
      <c r="G1902" s="3" t="str">
        <f t="array" ref="G1902">_xlfn.XLOOKUP(I1902,Base_Datos!D:D,Base_Datos!B:B,"")</f>
        <v>DFSK</v>
      </c>
      <c r="H1902" s="3" t="str">
        <f t="array" ref="H1902">IF(I1902="","",IFERROR(_xlfn.XLOOKUP(I1902,Base_Datos!$D$2:$D3876,Base_Datos!$C$2:$C3876),""))</f>
        <v>Serie D</v>
      </c>
      <c r="I1902" s="3" t="s">
        <v>973</v>
      </c>
      <c r="J1902" s="3" t="str">
        <f>IF(I1902="","",IFERROR(VLOOKUP(I1902,Base_Datos!$D$2:$E$72,2,0),""))</f>
        <v>(1.5L)</v>
      </c>
      <c r="K1902" s="3" t="s">
        <v>1782</v>
      </c>
      <c r="L1902" s="3"/>
      <c r="M1902" s="7">
        <v>11</v>
      </c>
      <c r="N1902" s="7">
        <v>0</v>
      </c>
    </row>
    <row r="1903" spans="1:14" ht="14.25" x14ac:dyDescent="0.2">
      <c r="A1903" s="3">
        <v>89541</v>
      </c>
      <c r="B1903" s="3" t="s">
        <v>3931</v>
      </c>
      <c r="C1903" s="3" t="s">
        <v>18</v>
      </c>
      <c r="D1903" s="6" t="s">
        <v>486</v>
      </c>
      <c r="E1903" s="6" t="s">
        <v>508</v>
      </c>
      <c r="F1903" s="3" t="str">
        <f>IFERROR( VLOOKUP(A1903,#REF!,2,0),"")</f>
        <v/>
      </c>
      <c r="G1903" s="3" t="str">
        <f t="array" ref="G1903">_xlfn.XLOOKUP(I1903,Base_Datos!D:D,Base_Datos!B:B,"")</f>
        <v>DFSK</v>
      </c>
      <c r="H1903" s="3" t="str">
        <f t="array" ref="H1903">IF(I1903="","",IFERROR(_xlfn.XLOOKUP(I1903,Base_Datos!$D$2:$D3876,Base_Datos!$C$2:$C3876),""))</f>
        <v>Serie D</v>
      </c>
      <c r="I1903" s="3" t="s">
        <v>973</v>
      </c>
      <c r="J1903" s="3" t="str">
        <f>IF(I1903="","",IFERROR(VLOOKUP(I1903,Base_Datos!$D$2:$E$72,2,0),""))</f>
        <v>(1.5L)</v>
      </c>
      <c r="K1903" s="3" t="s">
        <v>1782</v>
      </c>
      <c r="L1903" s="3"/>
      <c r="M1903" s="7">
        <v>0</v>
      </c>
      <c r="N1903" s="7">
        <v>0</v>
      </c>
    </row>
    <row r="1904" spans="1:14" ht="14.25" x14ac:dyDescent="0.2">
      <c r="A1904" s="3">
        <v>89542</v>
      </c>
      <c r="B1904" s="3" t="s">
        <v>3932</v>
      </c>
      <c r="C1904" s="3" t="s">
        <v>18</v>
      </c>
      <c r="D1904" s="6" t="s">
        <v>549</v>
      </c>
      <c r="E1904" s="6" t="s">
        <v>3933</v>
      </c>
      <c r="F1904" s="3" t="str">
        <f>IFERROR( VLOOKUP(A1904,#REF!,2,0),"")</f>
        <v/>
      </c>
      <c r="G1904" s="3" t="str">
        <f t="array" ref="G1904">_xlfn.XLOOKUP(I1904,Base_Datos!D:D,Base_Datos!B:B,"")</f>
        <v>DFSK</v>
      </c>
      <c r="H1904" s="3" t="str">
        <f t="array" ref="H1904">IF(I1904="","",IFERROR(_xlfn.XLOOKUP(I1904,Base_Datos!$D$2:$D3876,Base_Datos!$C$2:$C3876),""))</f>
        <v>Serie D</v>
      </c>
      <c r="I1904" s="3" t="s">
        <v>973</v>
      </c>
      <c r="J1904" s="3" t="str">
        <f>IF(I1904="","",IFERROR(VLOOKUP(I1904,Base_Datos!$D$2:$E$72,2,0),""))</f>
        <v>(1.5L)</v>
      </c>
      <c r="K1904" s="3" t="s">
        <v>1782</v>
      </c>
      <c r="L1904" s="3"/>
      <c r="M1904" s="7">
        <v>0</v>
      </c>
      <c r="N1904" s="7">
        <v>0</v>
      </c>
    </row>
    <row r="1905" spans="1:14" ht="14.25" x14ac:dyDescent="0.2">
      <c r="A1905" s="3">
        <v>89543</v>
      </c>
      <c r="B1905" s="3" t="s">
        <v>3934</v>
      </c>
      <c r="C1905" s="3" t="s">
        <v>18</v>
      </c>
      <c r="D1905" s="6" t="s">
        <v>550</v>
      </c>
      <c r="E1905" s="6" t="s">
        <v>550</v>
      </c>
      <c r="F1905" s="3" t="str">
        <f>IFERROR( VLOOKUP(A1905,#REF!,2,0),"")</f>
        <v/>
      </c>
      <c r="G1905" s="3" t="str">
        <f t="array" ref="G1905">_xlfn.XLOOKUP(I1905,Base_Datos!D:D,Base_Datos!B:B,"")</f>
        <v>DFSK</v>
      </c>
      <c r="H1905" s="3" t="str">
        <f t="array" ref="H1905">IF(I1905="","",IFERROR(_xlfn.XLOOKUP(I1905,Base_Datos!$D$2:$D3876,Base_Datos!$C$2:$C3876),""))</f>
        <v>Serie Glory</v>
      </c>
      <c r="I1905" s="3" t="s">
        <v>1765</v>
      </c>
      <c r="J1905" s="3" t="str">
        <f>IF(I1905="","",IFERROR(VLOOKUP(I1905,Base_Datos!$D$2:$E$72,2,0),""))</f>
        <v>(1.5L)</v>
      </c>
      <c r="K1905" s="3" t="s">
        <v>1782</v>
      </c>
      <c r="L1905" s="3"/>
      <c r="M1905" s="7">
        <v>11</v>
      </c>
      <c r="N1905" s="7">
        <v>0</v>
      </c>
    </row>
    <row r="1906" spans="1:14" ht="14.25" x14ac:dyDescent="0.2">
      <c r="A1906" s="3">
        <v>89544</v>
      </c>
      <c r="B1906" s="3" t="s">
        <v>3935</v>
      </c>
      <c r="C1906" s="3" t="s">
        <v>18</v>
      </c>
      <c r="D1906" s="6" t="s">
        <v>512</v>
      </c>
      <c r="E1906" s="6" t="s">
        <v>512</v>
      </c>
      <c r="F1906" s="3" t="str">
        <f>IFERROR( VLOOKUP(A1906,#REF!,2,0),"")</f>
        <v/>
      </c>
      <c r="G1906" s="3" t="str">
        <f t="array" ref="G1906">_xlfn.XLOOKUP(I1906,Base_Datos!D:D,Base_Datos!B:B,"")</f>
        <v>DFSK</v>
      </c>
      <c r="H1906" s="3" t="str">
        <f t="array" ref="H1906">IF(I1906="","",IFERROR(_xlfn.XLOOKUP(I1906,Base_Datos!$D$2:$D3876,Base_Datos!$C$2:$C3876),""))</f>
        <v>Serie D</v>
      </c>
      <c r="I1906" s="3" t="s">
        <v>973</v>
      </c>
      <c r="J1906" s="3" t="str">
        <f>IF(I1906="","",IFERROR(VLOOKUP(I1906,Base_Datos!$D$2:$E$72,2,0),""))</f>
        <v>(1.5L)</v>
      </c>
      <c r="K1906" s="3" t="s">
        <v>1782</v>
      </c>
      <c r="L1906" s="3"/>
      <c r="M1906" s="7">
        <v>0</v>
      </c>
      <c r="N1906" s="7">
        <v>0</v>
      </c>
    </row>
    <row r="1907" spans="1:14" ht="14.25" x14ac:dyDescent="0.2">
      <c r="A1907" s="3">
        <v>89545</v>
      </c>
      <c r="B1907" s="3" t="s">
        <v>3126</v>
      </c>
      <c r="C1907" s="3" t="s">
        <v>18</v>
      </c>
      <c r="D1907" s="6" t="s">
        <v>997</v>
      </c>
      <c r="E1907" s="6" t="s">
        <v>997</v>
      </c>
      <c r="F1907" s="3" t="str">
        <f>IFERROR( VLOOKUP(A1907,#REF!,2,0),"")</f>
        <v/>
      </c>
      <c r="G1907" s="3" t="str">
        <f t="array" ref="G1907">_xlfn.XLOOKUP(I1907,Base_Datos!D:D,Base_Datos!B:B,"")</f>
        <v>DFSK</v>
      </c>
      <c r="H1907" s="3" t="str">
        <f t="array" ref="H1907">IF(I1907="","",IFERROR(_xlfn.XLOOKUP(I1907,Base_Datos!$D$2:$D3876,Base_Datos!$C$2:$C3876),""))</f>
        <v>Serie Glory</v>
      </c>
      <c r="I1907" s="3" t="s">
        <v>1765</v>
      </c>
      <c r="J1907" s="3" t="str">
        <f>IF(I1907="","",IFERROR(VLOOKUP(I1907,Base_Datos!$D$2:$E$72,2,0),""))</f>
        <v>(1.5L)</v>
      </c>
      <c r="K1907" s="3" t="s">
        <v>2881</v>
      </c>
      <c r="L1907" s="3"/>
      <c r="M1907" s="7">
        <v>13</v>
      </c>
      <c r="N1907" s="7">
        <v>0</v>
      </c>
    </row>
    <row r="1908" spans="1:14" ht="14.25" x14ac:dyDescent="0.2">
      <c r="A1908" s="3">
        <v>89546</v>
      </c>
      <c r="B1908" s="3" t="s">
        <v>2256</v>
      </c>
      <c r="C1908" s="3" t="s">
        <v>18</v>
      </c>
      <c r="D1908" s="6" t="s">
        <v>552</v>
      </c>
      <c r="E1908" s="6" t="s">
        <v>552</v>
      </c>
      <c r="F1908" s="3" t="str">
        <f>IFERROR( VLOOKUP(A1908,#REF!,2,0),"")</f>
        <v/>
      </c>
      <c r="G1908" s="3" t="str">
        <f t="array" ref="G1908">_xlfn.XLOOKUP(I1908,Base_Datos!D:D,Base_Datos!B:B,"")</f>
        <v>DFSK</v>
      </c>
      <c r="H1908" s="3" t="str">
        <f t="array" ref="H1908">IF(I1908="","",IFERROR(_xlfn.XLOOKUP(I1908,Base_Datos!$D$2:$D3876,Base_Datos!$C$2:$C3876),""))</f>
        <v>Serie Glory</v>
      </c>
      <c r="I1908" s="3" t="s">
        <v>1765</v>
      </c>
      <c r="J1908" s="3" t="str">
        <f>IF(I1908="","",IFERROR(VLOOKUP(I1908,Base_Datos!$D$2:$E$72,2,0),""))</f>
        <v>(1.5L)</v>
      </c>
      <c r="K1908" s="3" t="s">
        <v>2881</v>
      </c>
      <c r="L1908" s="3"/>
      <c r="M1908" s="7">
        <v>13</v>
      </c>
      <c r="N1908" s="7">
        <v>0</v>
      </c>
    </row>
    <row r="1909" spans="1:14" ht="14.25" x14ac:dyDescent="0.2">
      <c r="A1909" s="3">
        <v>89547</v>
      </c>
      <c r="B1909" s="3" t="s">
        <v>3775</v>
      </c>
      <c r="C1909" s="3" t="s">
        <v>18</v>
      </c>
      <c r="D1909" s="6" t="s">
        <v>553</v>
      </c>
      <c r="E1909" s="6" t="s">
        <v>553</v>
      </c>
      <c r="F1909" s="3" t="str">
        <f>IFERROR( VLOOKUP(A1909,#REF!,2,0),"")</f>
        <v/>
      </c>
      <c r="G1909" s="3" t="str">
        <f t="array" ref="G1909">_xlfn.XLOOKUP(I1909,Base_Datos!D:D,Base_Datos!B:B,"")</f>
        <v>DFSK</v>
      </c>
      <c r="H1909" s="3" t="str">
        <f t="array" ref="H1909">IF(I1909="","",IFERROR(_xlfn.XLOOKUP(I1909,Base_Datos!$D$2:$D3876,Base_Datos!$C$2:$C3876),""))</f>
        <v>Serie Glory</v>
      </c>
      <c r="I1909" s="3" t="s">
        <v>1765</v>
      </c>
      <c r="J1909" s="3" t="str">
        <f>IF(I1909="","",IFERROR(VLOOKUP(I1909,Base_Datos!$D$2:$E$72,2,0),""))</f>
        <v>(1.5L)</v>
      </c>
      <c r="K1909" s="3" t="s">
        <v>2881</v>
      </c>
      <c r="L1909" s="3"/>
      <c r="M1909" s="7">
        <v>9</v>
      </c>
      <c r="N1909" s="7">
        <v>0</v>
      </c>
    </row>
    <row r="1910" spans="1:14" ht="14.25" x14ac:dyDescent="0.2">
      <c r="A1910" s="3">
        <v>89548</v>
      </c>
      <c r="B1910" s="3" t="s">
        <v>3777</v>
      </c>
      <c r="C1910" s="3" t="s">
        <v>18</v>
      </c>
      <c r="D1910" s="6" t="s">
        <v>554</v>
      </c>
      <c r="E1910" s="6" t="s">
        <v>554</v>
      </c>
      <c r="F1910" s="3" t="str">
        <f>IFERROR( VLOOKUP(A1910,#REF!,2,0),"")</f>
        <v/>
      </c>
      <c r="G1910" s="3" t="str">
        <f t="array" ref="G1910">_xlfn.XLOOKUP(I1910,Base_Datos!D:D,Base_Datos!B:B,"")</f>
        <v>DFSK</v>
      </c>
      <c r="H1910" s="3" t="str">
        <f t="array" ref="H1910">IF(I1910="","",IFERROR(_xlfn.XLOOKUP(I1910,Base_Datos!$D$2:$D3876,Base_Datos!$C$2:$C3876),""))</f>
        <v>Serie Glory</v>
      </c>
      <c r="I1910" s="3" t="s">
        <v>1765</v>
      </c>
      <c r="J1910" s="3" t="str">
        <f>IF(I1910="","",IFERROR(VLOOKUP(I1910,Base_Datos!$D$2:$E$72,2,0),""))</f>
        <v>(1.5L)</v>
      </c>
      <c r="K1910" s="3" t="s">
        <v>2881</v>
      </c>
      <c r="L1910" s="3"/>
      <c r="M1910" s="7">
        <v>3</v>
      </c>
      <c r="N1910" s="7">
        <v>0</v>
      </c>
    </row>
    <row r="1911" spans="1:14" ht="14.25" x14ac:dyDescent="0.2">
      <c r="A1911" s="3">
        <v>89549</v>
      </c>
      <c r="B1911" s="3" t="s">
        <v>3936</v>
      </c>
      <c r="C1911" s="3" t="s">
        <v>18</v>
      </c>
      <c r="D1911" s="6" t="s">
        <v>555</v>
      </c>
      <c r="E1911" s="6" t="s">
        <v>3937</v>
      </c>
      <c r="F1911" s="3" t="str">
        <f>IFERROR( VLOOKUP(A1911,#REF!,2,0),"")</f>
        <v/>
      </c>
      <c r="G1911" s="3" t="str">
        <f t="array" ref="G1911">_xlfn.XLOOKUP(I1911,Base_Datos!D:D,Base_Datos!B:B,"")</f>
        <v>DFSK</v>
      </c>
      <c r="H1911" s="3" t="str">
        <f t="array" ref="H1911">IF(I1911="","",IFERROR(_xlfn.XLOOKUP(I1911,Base_Datos!$D$2:$D3876,Base_Datos!$C$2:$C3876),""))</f>
        <v>Serie D</v>
      </c>
      <c r="I1911" s="3" t="s">
        <v>973</v>
      </c>
      <c r="J1911" s="3" t="str">
        <f>IF(I1911="","",IFERROR(VLOOKUP(I1911,Base_Datos!$D$2:$E$72,2,0),""))</f>
        <v>(1.5L)</v>
      </c>
      <c r="K1911" s="3" t="s">
        <v>1782</v>
      </c>
      <c r="L1911" s="3"/>
      <c r="M1911" s="7">
        <v>6</v>
      </c>
      <c r="N1911" s="7">
        <v>0</v>
      </c>
    </row>
    <row r="1912" spans="1:14" ht="14.25" x14ac:dyDescent="0.2">
      <c r="A1912" s="3">
        <v>89550</v>
      </c>
      <c r="B1912" s="3" t="s">
        <v>3938</v>
      </c>
      <c r="C1912" s="3" t="s">
        <v>18</v>
      </c>
      <c r="D1912" s="6" t="s">
        <v>556</v>
      </c>
      <c r="E1912" s="6" t="s">
        <v>556</v>
      </c>
      <c r="F1912" s="3" t="str">
        <f>IFERROR( VLOOKUP(A1912,#REF!,2,0),"")</f>
        <v/>
      </c>
      <c r="G1912" s="3" t="str">
        <f t="array" ref="G1912">_xlfn.XLOOKUP(I1912,Base_Datos!D:D,Base_Datos!B:B,"")</f>
        <v>DFSK</v>
      </c>
      <c r="H1912" s="3" t="str">
        <f t="array" ref="H1912">IF(I1912="","",IFERROR(_xlfn.XLOOKUP(I1912,Base_Datos!$D$2:$D3876,Base_Datos!$C$2:$C3876),""))</f>
        <v>Serie D</v>
      </c>
      <c r="I1912" s="3" t="s">
        <v>973</v>
      </c>
      <c r="J1912" s="3" t="str">
        <f>IF(I1912="","",IFERROR(VLOOKUP(I1912,Base_Datos!$D$2:$E$72,2,0),""))</f>
        <v>(1.5L)</v>
      </c>
      <c r="K1912" s="3" t="s">
        <v>1782</v>
      </c>
      <c r="L1912" s="3"/>
      <c r="M1912" s="7">
        <v>12</v>
      </c>
      <c r="N1912" s="7">
        <v>0</v>
      </c>
    </row>
    <row r="1913" spans="1:14" ht="14.25" x14ac:dyDescent="0.2">
      <c r="A1913" s="3">
        <v>89551</v>
      </c>
      <c r="B1913" s="3" t="s">
        <v>3939</v>
      </c>
      <c r="C1913" s="3" t="s">
        <v>18</v>
      </c>
      <c r="D1913" s="6" t="s">
        <v>557</v>
      </c>
      <c r="E1913" s="6" t="s">
        <v>557</v>
      </c>
      <c r="F1913" s="3" t="str">
        <f>IFERROR( VLOOKUP(A1913,#REF!,2,0),"")</f>
        <v/>
      </c>
      <c r="G1913" s="3" t="str">
        <f t="array" ref="G1913">_xlfn.XLOOKUP(I1913,Base_Datos!D:D,Base_Datos!B:B,"")</f>
        <v>DFSK</v>
      </c>
      <c r="H1913" s="3" t="str">
        <f t="array" ref="H1913">IF(I1913="","",IFERROR(_xlfn.XLOOKUP(I1913,Base_Datos!$D$2:$D3876,Base_Datos!$C$2:$C3876),""))</f>
        <v>Serie D</v>
      </c>
      <c r="I1913" s="3" t="s">
        <v>973</v>
      </c>
      <c r="J1913" s="3" t="str">
        <f>IF(I1913="","",IFERROR(VLOOKUP(I1913,Base_Datos!$D$2:$E$72,2,0),""))</f>
        <v>(1.5L)</v>
      </c>
      <c r="K1913" s="3" t="s">
        <v>1782</v>
      </c>
      <c r="L1913" s="3"/>
      <c r="M1913" s="7">
        <v>5</v>
      </c>
      <c r="N1913" s="7">
        <v>0</v>
      </c>
    </row>
    <row r="1914" spans="1:14" ht="14.25" x14ac:dyDescent="0.2">
      <c r="A1914" s="3">
        <v>89552</v>
      </c>
      <c r="B1914" s="3" t="s">
        <v>3940</v>
      </c>
      <c r="C1914" s="3" t="s">
        <v>18</v>
      </c>
      <c r="D1914" s="6" t="s">
        <v>558</v>
      </c>
      <c r="E1914" s="6" t="s">
        <v>558</v>
      </c>
      <c r="F1914" s="3" t="str">
        <f>IFERROR( VLOOKUP(A1914,#REF!,2,0),"")</f>
        <v/>
      </c>
      <c r="G1914" s="3" t="str">
        <f t="array" ref="G1914">_xlfn.XLOOKUP(I1914,Base_Datos!D:D,Base_Datos!B:B,"")</f>
        <v>DFSK</v>
      </c>
      <c r="H1914" s="3" t="str">
        <f t="array" ref="H1914">IF(I1914="","",IFERROR(_xlfn.XLOOKUP(I1914,Base_Datos!$D$2:$D3876,Base_Datos!$C$2:$C3876),""))</f>
        <v>Serie D</v>
      </c>
      <c r="I1914" s="3" t="s">
        <v>973</v>
      </c>
      <c r="J1914" s="3" t="str">
        <f>IF(I1914="","",IFERROR(VLOOKUP(I1914,Base_Datos!$D$2:$E$72,2,0),""))</f>
        <v>(1.5L)</v>
      </c>
      <c r="K1914" s="3" t="s">
        <v>1782</v>
      </c>
      <c r="L1914" s="3"/>
      <c r="M1914" s="7">
        <v>5</v>
      </c>
      <c r="N1914" s="7">
        <v>0</v>
      </c>
    </row>
    <row r="1915" spans="1:14" ht="14.25" x14ac:dyDescent="0.2">
      <c r="A1915" s="3">
        <v>89553</v>
      </c>
      <c r="B1915" s="3" t="s">
        <v>3941</v>
      </c>
      <c r="C1915" s="3" t="s">
        <v>18</v>
      </c>
      <c r="D1915" s="6" t="s">
        <v>559</v>
      </c>
      <c r="E1915" s="6" t="s">
        <v>559</v>
      </c>
      <c r="F1915" s="3" t="str">
        <f>IFERROR( VLOOKUP(A1915,#REF!,2,0),"")</f>
        <v/>
      </c>
      <c r="G1915" s="3" t="str">
        <f t="array" ref="G1915">_xlfn.XLOOKUP(I1915,Base_Datos!D:D,Base_Datos!B:B,"")</f>
        <v>DFSK</v>
      </c>
      <c r="H1915" s="3" t="str">
        <f t="array" ref="H1915">IF(I1915="","",IFERROR(_xlfn.XLOOKUP(I1915,Base_Datos!$D$2:$D3876,Base_Datos!$C$2:$C3876),""))</f>
        <v>Serie D</v>
      </c>
      <c r="I1915" s="3" t="s">
        <v>973</v>
      </c>
      <c r="J1915" s="3" t="str">
        <f>IF(I1915="","",IFERROR(VLOOKUP(I1915,Base_Datos!$D$2:$E$72,2,0),""))</f>
        <v>(1.5L)</v>
      </c>
      <c r="K1915" s="3" t="s">
        <v>1782</v>
      </c>
      <c r="L1915" s="3"/>
      <c r="M1915" s="7">
        <v>12</v>
      </c>
      <c r="N1915" s="7">
        <v>0</v>
      </c>
    </row>
    <row r="1916" spans="1:14" ht="14.25" x14ac:dyDescent="0.2">
      <c r="A1916" s="3">
        <v>89554</v>
      </c>
      <c r="B1916" s="3" t="s">
        <v>3942</v>
      </c>
      <c r="C1916" s="3" t="s">
        <v>18</v>
      </c>
      <c r="D1916" s="6" t="s">
        <v>560</v>
      </c>
      <c r="E1916" s="6" t="s">
        <v>3943</v>
      </c>
      <c r="F1916" s="3" t="str">
        <f>IFERROR( VLOOKUP(A1916,#REF!,2,0),"")</f>
        <v/>
      </c>
      <c r="G1916" s="3" t="str">
        <f t="array" ref="G1916">_xlfn.XLOOKUP(I1916,Base_Datos!D:D,Base_Datos!B:B,"")</f>
        <v>DFSK</v>
      </c>
      <c r="H1916" s="3" t="str">
        <f t="array" ref="H1916">IF(I1916="","",IFERROR(_xlfn.XLOOKUP(I1916,Base_Datos!$D$2:$D3876,Base_Datos!$C$2:$C3876),""))</f>
        <v>Serie D</v>
      </c>
      <c r="I1916" s="3" t="s">
        <v>973</v>
      </c>
      <c r="J1916" s="3" t="str">
        <f>IF(I1916="","",IFERROR(VLOOKUP(I1916,Base_Datos!$D$2:$E$72,2,0),""))</f>
        <v>(1.5L)</v>
      </c>
      <c r="K1916" s="3" t="s">
        <v>1782</v>
      </c>
      <c r="L1916" s="3"/>
      <c r="M1916" s="7">
        <v>12</v>
      </c>
      <c r="N1916" s="7">
        <v>0</v>
      </c>
    </row>
    <row r="1917" spans="1:14" ht="14.25" x14ac:dyDescent="0.2">
      <c r="A1917" s="3">
        <v>89555</v>
      </c>
      <c r="B1917" s="3" t="s">
        <v>3944</v>
      </c>
      <c r="C1917" s="3" t="s">
        <v>18</v>
      </c>
      <c r="D1917" s="6" t="s">
        <v>561</v>
      </c>
      <c r="E1917" s="6" t="s">
        <v>3945</v>
      </c>
      <c r="F1917" s="3" t="str">
        <f>IFERROR( VLOOKUP(A1917,#REF!,2,0),"")</f>
        <v/>
      </c>
      <c r="G1917" s="3" t="str">
        <f t="array" ref="G1917">_xlfn.XLOOKUP(I1917,Base_Datos!D:D,Base_Datos!B:B,"")</f>
        <v>DFSK</v>
      </c>
      <c r="H1917" s="3" t="str">
        <f t="array" ref="H1917">IF(I1917="","",IFERROR(_xlfn.XLOOKUP(I1917,Base_Datos!$D$2:$D3876,Base_Datos!$C$2:$C3876),""))</f>
        <v>Serie D</v>
      </c>
      <c r="I1917" s="3" t="s">
        <v>973</v>
      </c>
      <c r="J1917" s="3" t="str">
        <f>IF(I1917="","",IFERROR(VLOOKUP(I1917,Base_Datos!$D$2:$E$72,2,0),""))</f>
        <v>(1.5L)</v>
      </c>
      <c r="K1917" s="3" t="s">
        <v>1782</v>
      </c>
      <c r="L1917" s="3"/>
      <c r="M1917" s="7">
        <v>5</v>
      </c>
      <c r="N1917" s="7">
        <v>0</v>
      </c>
    </row>
    <row r="1918" spans="1:14" ht="14.25" x14ac:dyDescent="0.2">
      <c r="A1918" s="3">
        <v>89556</v>
      </c>
      <c r="B1918" s="3" t="s">
        <v>3946</v>
      </c>
      <c r="C1918" s="3" t="s">
        <v>18</v>
      </c>
      <c r="D1918" s="6" t="s">
        <v>562</v>
      </c>
      <c r="E1918" s="6" t="s">
        <v>562</v>
      </c>
      <c r="F1918" s="3" t="str">
        <f>IFERROR( VLOOKUP(A1918,#REF!,2,0),"")</f>
        <v/>
      </c>
      <c r="G1918" s="3" t="str">
        <f t="array" ref="G1918">_xlfn.XLOOKUP(I1918,Base_Datos!D:D,Base_Datos!B:B,"")</f>
        <v>DFSK</v>
      </c>
      <c r="H1918" s="3" t="str">
        <f t="array" ref="H1918">IF(I1918="","",IFERROR(_xlfn.XLOOKUP(I1918,Base_Datos!$D$2:$D3876,Base_Datos!$C$2:$C3876),""))</f>
        <v>Serie D</v>
      </c>
      <c r="I1918" s="3" t="s">
        <v>973</v>
      </c>
      <c r="J1918" s="3" t="str">
        <f>IF(I1918="","",IFERROR(VLOOKUP(I1918,Base_Datos!$D$2:$E$72,2,0),""))</f>
        <v>(1.5L)</v>
      </c>
      <c r="K1918" s="3" t="s">
        <v>1782</v>
      </c>
      <c r="L1918" s="3"/>
      <c r="M1918" s="7">
        <v>4</v>
      </c>
      <c r="N1918" s="7">
        <v>0</v>
      </c>
    </row>
    <row r="1919" spans="1:14" ht="14.25" x14ac:dyDescent="0.2">
      <c r="A1919" s="3">
        <v>89557</v>
      </c>
      <c r="B1919" s="3" t="s">
        <v>3947</v>
      </c>
      <c r="C1919" s="3" t="s">
        <v>18</v>
      </c>
      <c r="D1919" s="6" t="s">
        <v>563</v>
      </c>
      <c r="E1919" s="6" t="s">
        <v>563</v>
      </c>
      <c r="F1919" s="3" t="str">
        <f>IFERROR( VLOOKUP(A1919,#REF!,2,0),"")</f>
        <v/>
      </c>
      <c r="G1919" s="3" t="str">
        <f t="array" ref="G1919">_xlfn.XLOOKUP(I1919,Base_Datos!D:D,Base_Datos!B:B,"")</f>
        <v>DFSK</v>
      </c>
      <c r="H1919" s="3" t="str">
        <f t="array" ref="H1919">IF(I1919="","",IFERROR(_xlfn.XLOOKUP(I1919,Base_Datos!$D$2:$D3876,Base_Datos!$C$2:$C3876),""))</f>
        <v>Serie D</v>
      </c>
      <c r="I1919" s="3" t="s">
        <v>973</v>
      </c>
      <c r="J1919" s="3" t="str">
        <f>IF(I1919="","",IFERROR(VLOOKUP(I1919,Base_Datos!$D$2:$E$72,2,0),""))</f>
        <v>(1.5L)</v>
      </c>
      <c r="K1919" s="3" t="s">
        <v>1782</v>
      </c>
      <c r="L1919" s="3"/>
      <c r="M1919" s="7">
        <v>9</v>
      </c>
      <c r="N1919" s="7">
        <v>0</v>
      </c>
    </row>
    <row r="1920" spans="1:14" ht="14.25" x14ac:dyDescent="0.2">
      <c r="A1920" s="3">
        <v>89558</v>
      </c>
      <c r="B1920" s="3" t="s">
        <v>3948</v>
      </c>
      <c r="C1920" s="3" t="s">
        <v>18</v>
      </c>
      <c r="D1920" s="6" t="s">
        <v>515</v>
      </c>
      <c r="E1920" s="6" t="s">
        <v>515</v>
      </c>
      <c r="F1920" s="3" t="str">
        <f>IFERROR( VLOOKUP(A1920,#REF!,2,0),"")</f>
        <v/>
      </c>
      <c r="G1920" s="3" t="str">
        <f t="array" ref="G1920">_xlfn.XLOOKUP(I1920,Base_Datos!D:D,Base_Datos!B:B,"")</f>
        <v>DFSK</v>
      </c>
      <c r="H1920" s="3" t="str">
        <f t="array" ref="H1920">IF(I1920="","",IFERROR(_xlfn.XLOOKUP(I1920,Base_Datos!$D$2:$D3876,Base_Datos!$C$2:$C3876),""))</f>
        <v>Serie D</v>
      </c>
      <c r="I1920" s="3" t="s">
        <v>973</v>
      </c>
      <c r="J1920" s="3" t="str">
        <f>IF(I1920="","",IFERROR(VLOOKUP(I1920,Base_Datos!$D$2:$E$72,2,0),""))</f>
        <v>(1.5L)</v>
      </c>
      <c r="K1920" s="3" t="s">
        <v>1782</v>
      </c>
      <c r="L1920" s="3"/>
      <c r="M1920" s="7">
        <v>1</v>
      </c>
      <c r="N1920" s="7">
        <v>0</v>
      </c>
    </row>
    <row r="1921" spans="1:14" ht="14.25" x14ac:dyDescent="0.2">
      <c r="A1921" s="3">
        <v>89559</v>
      </c>
      <c r="B1921" s="3" t="s">
        <v>3949</v>
      </c>
      <c r="C1921" s="3" t="s">
        <v>18</v>
      </c>
      <c r="D1921" s="6" t="s">
        <v>984</v>
      </c>
      <c r="E1921" s="6" t="s">
        <v>984</v>
      </c>
      <c r="F1921" s="3" t="str">
        <f>IFERROR( VLOOKUP(A1921,#REF!,2,0),"")</f>
        <v/>
      </c>
      <c r="G1921" s="3" t="str">
        <f t="array" ref="G1921">_xlfn.XLOOKUP(I1921,Base_Datos!D:D,Base_Datos!B:B,"")</f>
        <v>DFSK</v>
      </c>
      <c r="H1921" s="3" t="str">
        <f t="array" ref="H1921">IF(I1921="","",IFERROR(_xlfn.XLOOKUP(I1921,Base_Datos!$D$2:$D3876,Base_Datos!$C$2:$C3876),""))</f>
        <v>Serie Glory</v>
      </c>
      <c r="I1921" s="3" t="s">
        <v>1765</v>
      </c>
      <c r="J1921" s="3" t="str">
        <f>IF(I1921="","",IFERROR(VLOOKUP(I1921,Base_Datos!$D$2:$E$72,2,0),""))</f>
        <v>(1.5L)</v>
      </c>
      <c r="K1921" s="3" t="s">
        <v>2881</v>
      </c>
      <c r="L1921" s="3"/>
      <c r="M1921" s="7">
        <v>6</v>
      </c>
      <c r="N1921" s="7">
        <v>0</v>
      </c>
    </row>
    <row r="1922" spans="1:14" ht="14.25" x14ac:dyDescent="0.2">
      <c r="A1922" s="3">
        <v>89560</v>
      </c>
      <c r="B1922" s="3" t="s">
        <v>3394</v>
      </c>
      <c r="C1922" s="3" t="s">
        <v>18</v>
      </c>
      <c r="D1922" s="6" t="s">
        <v>564</v>
      </c>
      <c r="E1922" s="6" t="s">
        <v>564</v>
      </c>
      <c r="F1922" s="3" t="str">
        <f>IFERROR( VLOOKUP(A1922,#REF!,2,0),"")</f>
        <v/>
      </c>
      <c r="G1922" s="3" t="str">
        <f t="array" ref="G1922">_xlfn.XLOOKUP(I1922,Base_Datos!D:D,Base_Datos!B:B,"")</f>
        <v>DFSK</v>
      </c>
      <c r="H1922" s="3" t="str">
        <f t="array" ref="H1922">IF(I1922="","",IFERROR(_xlfn.XLOOKUP(I1922,Base_Datos!$D$2:$D3876,Base_Datos!$C$2:$C3876),""))</f>
        <v>Serie Glory</v>
      </c>
      <c r="I1922" s="3" t="s">
        <v>1765</v>
      </c>
      <c r="J1922" s="3" t="str">
        <f>IF(I1922="","",IFERROR(VLOOKUP(I1922,Base_Datos!$D$2:$E$72,2,0),""))</f>
        <v>(1.5L)</v>
      </c>
      <c r="K1922" s="3" t="s">
        <v>2881</v>
      </c>
      <c r="L1922" s="3"/>
      <c r="M1922" s="7">
        <v>4</v>
      </c>
      <c r="N1922" s="7">
        <v>0</v>
      </c>
    </row>
    <row r="1923" spans="1:14" ht="14.25" x14ac:dyDescent="0.2">
      <c r="A1923" s="3">
        <v>89561</v>
      </c>
      <c r="B1923" s="3" t="s">
        <v>3393</v>
      </c>
      <c r="C1923" s="3" t="s">
        <v>18</v>
      </c>
      <c r="D1923" s="6" t="s">
        <v>565</v>
      </c>
      <c r="E1923" s="6" t="s">
        <v>565</v>
      </c>
      <c r="F1923" s="3" t="str">
        <f>IFERROR( VLOOKUP(A1923,#REF!,2,0),"")</f>
        <v/>
      </c>
      <c r="G1923" s="3" t="str">
        <f t="array" ref="G1923">_xlfn.XLOOKUP(I1923,Base_Datos!D:D,Base_Datos!B:B,"")</f>
        <v>DFSK</v>
      </c>
      <c r="H1923" s="3" t="str">
        <f t="array" ref="H1923">IF(I1923="","",IFERROR(_xlfn.XLOOKUP(I1923,Base_Datos!$D$2:$D3876,Base_Datos!$C$2:$C3876),""))</f>
        <v>Serie Glory</v>
      </c>
      <c r="I1923" s="3" t="s">
        <v>1765</v>
      </c>
      <c r="J1923" s="3" t="str">
        <f>IF(I1923="","",IFERROR(VLOOKUP(I1923,Base_Datos!$D$2:$E$72,2,0),""))</f>
        <v>(1.5L)</v>
      </c>
      <c r="K1923" s="3" t="s">
        <v>2881</v>
      </c>
      <c r="L1923" s="3"/>
      <c r="M1923" s="7">
        <v>3</v>
      </c>
      <c r="N1923" s="7">
        <v>0</v>
      </c>
    </row>
    <row r="1924" spans="1:14" ht="14.25" x14ac:dyDescent="0.2">
      <c r="A1924" s="3">
        <v>89562</v>
      </c>
      <c r="B1924" s="3" t="s">
        <v>2240</v>
      </c>
      <c r="C1924" s="3" t="s">
        <v>18</v>
      </c>
      <c r="D1924" s="6" t="s">
        <v>566</v>
      </c>
      <c r="E1924" s="6" t="s">
        <v>566</v>
      </c>
      <c r="F1924" s="3" t="str">
        <f>IFERROR( VLOOKUP(A1924,#REF!,2,0),"")</f>
        <v/>
      </c>
      <c r="G1924" s="3" t="str">
        <f t="array" ref="G1924">_xlfn.XLOOKUP(I1924,Base_Datos!D:D,Base_Datos!B:B,"")</f>
        <v>DFSK</v>
      </c>
      <c r="H1924" s="3" t="str">
        <f t="array" ref="H1924">IF(I1924="","",IFERROR(_xlfn.XLOOKUP(I1924,Base_Datos!$D$2:$D3876,Base_Datos!$C$2:$C3876),""))</f>
        <v>Serie Glory</v>
      </c>
      <c r="I1924" s="3" t="s">
        <v>1765</v>
      </c>
      <c r="J1924" s="3" t="str">
        <f>IF(I1924="","",IFERROR(VLOOKUP(I1924,Base_Datos!$D$2:$E$72,2,0),""))</f>
        <v>(1.5L)</v>
      </c>
      <c r="K1924" s="3" t="s">
        <v>2881</v>
      </c>
      <c r="L1924" s="3"/>
      <c r="M1924" s="7">
        <v>4</v>
      </c>
      <c r="N1924" s="7">
        <v>0</v>
      </c>
    </row>
    <row r="1925" spans="1:14" ht="14.25" x14ac:dyDescent="0.2">
      <c r="A1925" s="3">
        <v>89563</v>
      </c>
      <c r="B1925" s="3" t="s">
        <v>1866</v>
      </c>
      <c r="C1925" s="3" t="s">
        <v>18</v>
      </c>
      <c r="D1925" s="6" t="s">
        <v>3950</v>
      </c>
      <c r="E1925" s="6" t="s">
        <v>3950</v>
      </c>
      <c r="F1925" s="3" t="str">
        <f>IFERROR( VLOOKUP(A1925,#REF!,2,0),"")</f>
        <v/>
      </c>
      <c r="G1925" s="3" t="str">
        <f t="array" ref="G1925">_xlfn.XLOOKUP(I1925,Base_Datos!D:D,Base_Datos!B:B,"")</f>
        <v>DFSK</v>
      </c>
      <c r="H1925" s="3" t="str">
        <f t="array" ref="H1925">IF(I1925="","",IFERROR(_xlfn.XLOOKUP(I1925,Base_Datos!$D$2:$D3876,Base_Datos!$C$2:$C3876),""))</f>
        <v>Serie Glory</v>
      </c>
      <c r="I1925" s="3" t="s">
        <v>1765</v>
      </c>
      <c r="J1925" s="3" t="str">
        <f>IF(I1925="","",IFERROR(VLOOKUP(I1925,Base_Datos!$D$2:$E$72,2,0),""))</f>
        <v>(1.5L)</v>
      </c>
      <c r="K1925" s="3" t="s">
        <v>2881</v>
      </c>
      <c r="L1925" s="3"/>
      <c r="M1925" s="7">
        <v>3</v>
      </c>
      <c r="N1925" s="7">
        <v>0</v>
      </c>
    </row>
    <row r="1926" spans="1:14" ht="14.25" x14ac:dyDescent="0.2">
      <c r="A1926" s="3">
        <v>89564</v>
      </c>
      <c r="B1926" s="3" t="s">
        <v>3951</v>
      </c>
      <c r="C1926" s="3" t="s">
        <v>18</v>
      </c>
      <c r="D1926" s="6" t="s">
        <v>567</v>
      </c>
      <c r="E1926" s="6" t="s">
        <v>567</v>
      </c>
      <c r="F1926" s="3" t="str">
        <f>IFERROR( VLOOKUP(A1926,#REF!,2,0),"")</f>
        <v/>
      </c>
      <c r="G1926" s="3" t="str">
        <f t="array" ref="G1926">_xlfn.XLOOKUP(I1926,Base_Datos!D:D,Base_Datos!B:B,"")</f>
        <v>DFSK</v>
      </c>
      <c r="H1926" s="3" t="str">
        <f t="array" ref="H1926">IF(I1926="","",IFERROR(_xlfn.XLOOKUP(I1926,Base_Datos!$D$2:$D3876,Base_Datos!$C$2:$C3876),""))</f>
        <v>Serie Glory</v>
      </c>
      <c r="I1926" s="3" t="s">
        <v>1765</v>
      </c>
      <c r="J1926" s="3" t="str">
        <f>IF(I1926="","",IFERROR(VLOOKUP(I1926,Base_Datos!$D$2:$E$72,2,0),""))</f>
        <v>(1.5L)</v>
      </c>
      <c r="K1926" s="3" t="s">
        <v>2881</v>
      </c>
      <c r="L1926" s="3"/>
      <c r="M1926" s="7">
        <v>4</v>
      </c>
      <c r="N1926" s="7">
        <v>0</v>
      </c>
    </row>
    <row r="1927" spans="1:14" ht="14.25" x14ac:dyDescent="0.2">
      <c r="A1927" s="3">
        <v>89565</v>
      </c>
      <c r="B1927" s="3" t="s">
        <v>3952</v>
      </c>
      <c r="C1927" s="3" t="s">
        <v>18</v>
      </c>
      <c r="D1927" s="6" t="s">
        <v>568</v>
      </c>
      <c r="E1927" s="6" t="s">
        <v>568</v>
      </c>
      <c r="F1927" s="3" t="str">
        <f>IFERROR( VLOOKUP(A1927,#REF!,2,0),"")</f>
        <v/>
      </c>
      <c r="G1927" s="3" t="str">
        <f t="array" ref="G1927">_xlfn.XLOOKUP(I1927,Base_Datos!D:D,Base_Datos!B:B,"")</f>
        <v>DFSK</v>
      </c>
      <c r="H1927" s="3" t="str">
        <f t="array" ref="H1927">IF(I1927="","",IFERROR(_xlfn.XLOOKUP(I1927,Base_Datos!$D$2:$D3876,Base_Datos!$C$2:$C3876),""))</f>
        <v>Serie Glory</v>
      </c>
      <c r="I1927" s="3" t="s">
        <v>1765</v>
      </c>
      <c r="J1927" s="3" t="str">
        <f>IF(I1927="","",IFERROR(VLOOKUP(I1927,Base_Datos!$D$2:$E$72,2,0),""))</f>
        <v>(1.5L)</v>
      </c>
      <c r="K1927" s="3" t="s">
        <v>2881</v>
      </c>
      <c r="L1927" s="3"/>
      <c r="M1927" s="7">
        <v>4</v>
      </c>
      <c r="N1927" s="7">
        <v>0</v>
      </c>
    </row>
    <row r="1928" spans="1:14" ht="14.25" x14ac:dyDescent="0.2">
      <c r="A1928" s="3">
        <v>89566</v>
      </c>
      <c r="B1928" s="3" t="s">
        <v>3953</v>
      </c>
      <c r="C1928" s="3" t="s">
        <v>18</v>
      </c>
      <c r="D1928" s="6" t="s">
        <v>569</v>
      </c>
      <c r="E1928" s="6" t="s">
        <v>3954</v>
      </c>
      <c r="F1928" s="3" t="str">
        <f>IFERROR( VLOOKUP(A1928,#REF!,2,0),"")</f>
        <v/>
      </c>
      <c r="G1928" s="3" t="str">
        <f t="array" ref="G1928">_xlfn.XLOOKUP(I1928,Base_Datos!D:D,Base_Datos!B:B,"")</f>
        <v>DFSK</v>
      </c>
      <c r="H1928" s="3" t="str">
        <f t="array" ref="H1928">IF(I1928="","",IFERROR(_xlfn.XLOOKUP(I1928,Base_Datos!$D$2:$D3876,Base_Datos!$C$2:$C3876),""))</f>
        <v>Serie D</v>
      </c>
      <c r="I1928" s="3" t="s">
        <v>973</v>
      </c>
      <c r="J1928" s="3" t="str">
        <f>IF(I1928="","",IFERROR(VLOOKUP(I1928,Base_Datos!$D$2:$E$72,2,0),""))</f>
        <v>(1.5L)</v>
      </c>
      <c r="K1928" s="3"/>
      <c r="L1928" s="3"/>
      <c r="M1928" s="7">
        <v>1</v>
      </c>
      <c r="N1928" s="7">
        <v>0</v>
      </c>
    </row>
    <row r="1929" spans="1:14" ht="14.25" x14ac:dyDescent="0.2">
      <c r="A1929" s="3">
        <v>89567</v>
      </c>
      <c r="B1929" s="3" t="s">
        <v>3955</v>
      </c>
      <c r="C1929" s="3" t="s">
        <v>18</v>
      </c>
      <c r="D1929" s="6" t="s">
        <v>570</v>
      </c>
      <c r="E1929" s="6" t="s">
        <v>570</v>
      </c>
      <c r="F1929" s="3" t="str">
        <f>IFERROR( VLOOKUP(A1929,#REF!,2,0),"")</f>
        <v/>
      </c>
      <c r="G1929" s="3" t="str">
        <f t="array" ref="G1929">_xlfn.XLOOKUP(I1929,Base_Datos!D:D,Base_Datos!B:B,"")</f>
        <v>DFSK</v>
      </c>
      <c r="H1929" s="3" t="str">
        <f t="array" ref="H1929">IF(I1929="","",IFERROR(_xlfn.XLOOKUP(I1929,Base_Datos!$D$2:$D3876,Base_Datos!$C$2:$C3876),""))</f>
        <v>Serie D</v>
      </c>
      <c r="I1929" s="3" t="s">
        <v>973</v>
      </c>
      <c r="J1929" s="3" t="str">
        <f>IF(I1929="","",IFERROR(VLOOKUP(I1929,Base_Datos!$D$2:$E$72,2,0),""))</f>
        <v>(1.5L)</v>
      </c>
      <c r="K1929" s="3"/>
      <c r="L1929" s="3"/>
      <c r="M1929" s="7">
        <v>6</v>
      </c>
      <c r="N1929" s="7">
        <v>0</v>
      </c>
    </row>
    <row r="1930" spans="1:14" ht="14.25" x14ac:dyDescent="0.2">
      <c r="A1930" s="3">
        <v>89568</v>
      </c>
      <c r="B1930" s="3" t="s">
        <v>3956</v>
      </c>
      <c r="C1930" s="3" t="s">
        <v>18</v>
      </c>
      <c r="D1930" s="6" t="s">
        <v>571</v>
      </c>
      <c r="E1930" s="6" t="s">
        <v>571</v>
      </c>
      <c r="F1930" s="3" t="str">
        <f>IFERROR( VLOOKUP(A1930,#REF!,2,0),"")</f>
        <v/>
      </c>
      <c r="G1930" s="3" t="str">
        <f t="array" ref="G1930">_xlfn.XLOOKUP(I1930,Base_Datos!D:D,Base_Datos!B:B,"")</f>
        <v>DFSK</v>
      </c>
      <c r="H1930" s="3" t="str">
        <f t="array" ref="H1930">IF(I1930="","",IFERROR(_xlfn.XLOOKUP(I1930,Base_Datos!$D$2:$D3876,Base_Datos!$C$2:$C3876),""))</f>
        <v>Serie D</v>
      </c>
      <c r="I1930" s="3" t="s">
        <v>973</v>
      </c>
      <c r="J1930" s="3" t="str">
        <f>IF(I1930="","",IFERROR(VLOOKUP(I1930,Base_Datos!$D$2:$E$72,2,0),""))</f>
        <v>(1.5L)</v>
      </c>
      <c r="K1930" s="3"/>
      <c r="L1930" s="3"/>
      <c r="M1930" s="7">
        <v>6</v>
      </c>
      <c r="N1930" s="7">
        <v>0</v>
      </c>
    </row>
    <row r="1931" spans="1:14" ht="14.25" x14ac:dyDescent="0.2">
      <c r="A1931" s="3">
        <v>89569</v>
      </c>
      <c r="B1931" s="3" t="s">
        <v>3957</v>
      </c>
      <c r="C1931" s="3" t="s">
        <v>18</v>
      </c>
      <c r="D1931" s="6" t="s">
        <v>572</v>
      </c>
      <c r="E1931" s="6" t="s">
        <v>572</v>
      </c>
      <c r="F1931" s="3" t="str">
        <f>IFERROR( VLOOKUP(A1931,#REF!,2,0),"")</f>
        <v/>
      </c>
      <c r="G1931" s="3" t="str">
        <f t="array" ref="G1931">_xlfn.XLOOKUP(I1931,Base_Datos!D:D,Base_Datos!B:B,"")</f>
        <v>DFSK</v>
      </c>
      <c r="H1931" s="3" t="str">
        <f t="array" ref="H1931">IF(I1931="","",IFERROR(_xlfn.XLOOKUP(I1931,Base_Datos!$D$2:$D3876,Base_Datos!$C$2:$C3876),""))</f>
        <v>Serie Glory</v>
      </c>
      <c r="I1931" s="3" t="s">
        <v>1765</v>
      </c>
      <c r="J1931" s="3" t="str">
        <f>IF(I1931="","",IFERROR(VLOOKUP(I1931,Base_Datos!$D$2:$E$72,2,0),""))</f>
        <v>(1.5L)</v>
      </c>
      <c r="K1931" s="3" t="s">
        <v>2881</v>
      </c>
      <c r="L1931" s="3"/>
      <c r="M1931" s="7">
        <v>8</v>
      </c>
      <c r="N1931" s="7">
        <v>0</v>
      </c>
    </row>
    <row r="1932" spans="1:14" ht="14.25" x14ac:dyDescent="0.2">
      <c r="A1932" s="3">
        <v>89570</v>
      </c>
      <c r="B1932" s="3" t="s">
        <v>3958</v>
      </c>
      <c r="C1932" s="3" t="s">
        <v>18</v>
      </c>
      <c r="D1932" s="6" t="s">
        <v>573</v>
      </c>
      <c r="E1932" s="6" t="s">
        <v>3959</v>
      </c>
      <c r="F1932" s="3" t="str">
        <f>IFERROR( VLOOKUP(A1932,#REF!,2,0),"")</f>
        <v/>
      </c>
      <c r="G1932" s="3" t="str">
        <f t="array" ref="G1932">_xlfn.XLOOKUP(I1932,Base_Datos!D:D,Base_Datos!B:B,"")</f>
        <v>DFSK</v>
      </c>
      <c r="H1932" s="3" t="str">
        <f t="array" ref="H1932">IF(I1932="","",IFERROR(_xlfn.XLOOKUP(I1932,Base_Datos!$D$2:$D3876,Base_Datos!$C$2:$C3876),""))</f>
        <v>Serie Glory</v>
      </c>
      <c r="I1932" s="3" t="s">
        <v>1765</v>
      </c>
      <c r="J1932" s="3" t="str">
        <f>IF(I1932="","",IFERROR(VLOOKUP(I1932,Base_Datos!$D$2:$E$72,2,0),""))</f>
        <v>(1.5L)</v>
      </c>
      <c r="K1932" s="3" t="s">
        <v>2881</v>
      </c>
      <c r="L1932" s="3"/>
      <c r="M1932" s="7">
        <v>5</v>
      </c>
      <c r="N1932" s="7">
        <v>0</v>
      </c>
    </row>
    <row r="1933" spans="1:14" ht="14.25" x14ac:dyDescent="0.2">
      <c r="A1933" s="3">
        <v>89571</v>
      </c>
      <c r="B1933" s="3" t="s">
        <v>3960</v>
      </c>
      <c r="C1933" s="3" t="s">
        <v>18</v>
      </c>
      <c r="D1933" s="6" t="s">
        <v>574</v>
      </c>
      <c r="E1933" s="6" t="s">
        <v>574</v>
      </c>
      <c r="F1933" s="3" t="str">
        <f>IFERROR( VLOOKUP(A1933,#REF!,2,0),"")</f>
        <v/>
      </c>
      <c r="G1933" s="3" t="str">
        <f t="array" ref="G1933">_xlfn.XLOOKUP(I1933,Base_Datos!D:D,Base_Datos!B:B,"")</f>
        <v>DFSK</v>
      </c>
      <c r="H1933" s="3" t="str">
        <f t="array" ref="H1933">IF(I1933="","",IFERROR(_xlfn.XLOOKUP(I1933,Base_Datos!$D$2:$D3876,Base_Datos!$C$2:$C3876),""))</f>
        <v>Serie D</v>
      </c>
      <c r="I1933" s="3" t="s">
        <v>973</v>
      </c>
      <c r="J1933" s="3" t="str">
        <f>IF(I1933="","",IFERROR(VLOOKUP(I1933,Base_Datos!$D$2:$E$72,2,0),""))</f>
        <v>(1.5L)</v>
      </c>
      <c r="K1933" s="3"/>
      <c r="L1933" s="3"/>
      <c r="M1933" s="7">
        <v>6</v>
      </c>
      <c r="N1933" s="7">
        <v>0</v>
      </c>
    </row>
    <row r="1934" spans="1:14" ht="14.25" x14ac:dyDescent="0.2">
      <c r="A1934" s="3">
        <v>89572</v>
      </c>
      <c r="B1934" s="3" t="s">
        <v>3961</v>
      </c>
      <c r="C1934" s="3" t="s">
        <v>18</v>
      </c>
      <c r="D1934" s="6" t="s">
        <v>575</v>
      </c>
      <c r="E1934" s="6" t="s">
        <v>575</v>
      </c>
      <c r="F1934" s="3" t="str">
        <f>IFERROR( VLOOKUP(A1934,#REF!,2,0),"")</f>
        <v/>
      </c>
      <c r="G1934" s="3" t="str">
        <f t="array" ref="G1934">_xlfn.XLOOKUP(I1934,Base_Datos!D:D,Base_Datos!B:B,"")</f>
        <v>DFSK</v>
      </c>
      <c r="H1934" s="3" t="str">
        <f t="array" ref="H1934">IF(I1934="","",IFERROR(_xlfn.XLOOKUP(I1934,Base_Datos!$D$2:$D3876,Base_Datos!$C$2:$C3876),""))</f>
        <v>Serie D</v>
      </c>
      <c r="I1934" s="3" t="s">
        <v>973</v>
      </c>
      <c r="J1934" s="3" t="str">
        <f>IF(I1934="","",IFERROR(VLOOKUP(I1934,Base_Datos!$D$2:$E$72,2,0),""))</f>
        <v>(1.5L)</v>
      </c>
      <c r="K1934" s="3"/>
      <c r="L1934" s="3"/>
      <c r="M1934" s="7">
        <v>5</v>
      </c>
      <c r="N1934" s="7">
        <v>0</v>
      </c>
    </row>
    <row r="1935" spans="1:14" ht="14.25" x14ac:dyDescent="0.2">
      <c r="A1935" s="3">
        <v>89573</v>
      </c>
      <c r="B1935" s="3" t="s">
        <v>3962</v>
      </c>
      <c r="C1935" s="3" t="s">
        <v>18</v>
      </c>
      <c r="D1935" s="6" t="s">
        <v>576</v>
      </c>
      <c r="E1935" s="6" t="s">
        <v>576</v>
      </c>
      <c r="F1935" s="3" t="str">
        <f>IFERROR( VLOOKUP(A1935,#REF!,2,0),"")</f>
        <v/>
      </c>
      <c r="G1935" s="3" t="str">
        <f t="array" ref="G1935">_xlfn.XLOOKUP(I1935,Base_Datos!D:D,Base_Datos!B:B,"")</f>
        <v>DFSK</v>
      </c>
      <c r="H1935" s="3" t="str">
        <f t="array" ref="H1935">IF(I1935="","",IFERROR(_xlfn.XLOOKUP(I1935,Base_Datos!$D$2:$D3876,Base_Datos!$C$2:$C3876),""))</f>
        <v>Serie Glory</v>
      </c>
      <c r="I1935" s="3" t="s">
        <v>1765</v>
      </c>
      <c r="J1935" s="3" t="str">
        <f>IF(I1935="","",IFERROR(VLOOKUP(I1935,Base_Datos!$D$2:$E$72,2,0),""))</f>
        <v>(1.5L)</v>
      </c>
      <c r="K1935" s="3" t="s">
        <v>2881</v>
      </c>
      <c r="L1935" s="3"/>
      <c r="M1935" s="7">
        <v>11</v>
      </c>
      <c r="N1935" s="7">
        <v>0</v>
      </c>
    </row>
    <row r="1936" spans="1:14" ht="14.25" x14ac:dyDescent="0.2">
      <c r="A1936" s="3">
        <v>89574</v>
      </c>
      <c r="B1936" s="3" t="s">
        <v>3963</v>
      </c>
      <c r="C1936" s="3" t="s">
        <v>18</v>
      </c>
      <c r="D1936" s="6" t="s">
        <v>577</v>
      </c>
      <c r="E1936" s="6" t="s">
        <v>577</v>
      </c>
      <c r="F1936" s="3" t="str">
        <f>IFERROR( VLOOKUP(A1936,#REF!,2,0),"")</f>
        <v/>
      </c>
      <c r="G1936" s="3" t="str">
        <f t="array" ref="G1936">_xlfn.XLOOKUP(I1936,Base_Datos!D:D,Base_Datos!B:B,"")</f>
        <v>DFSK</v>
      </c>
      <c r="H1936" s="3" t="str">
        <f t="array" ref="H1936">IF(I1936="","",IFERROR(_xlfn.XLOOKUP(I1936,Base_Datos!$D$2:$D3876,Base_Datos!$C$2:$C3876),""))</f>
        <v>Serie D</v>
      </c>
      <c r="I1936" s="3" t="s">
        <v>973</v>
      </c>
      <c r="J1936" s="3" t="str">
        <f>IF(I1936="","",IFERROR(VLOOKUP(I1936,Base_Datos!$D$2:$E$72,2,0),""))</f>
        <v>(1.5L)</v>
      </c>
      <c r="K1936" s="3"/>
      <c r="L1936" s="3"/>
      <c r="M1936" s="7">
        <v>5</v>
      </c>
      <c r="N1936" s="7">
        <v>0</v>
      </c>
    </row>
    <row r="1937" spans="1:14" ht="14.25" x14ac:dyDescent="0.2">
      <c r="A1937" s="3">
        <v>89575</v>
      </c>
      <c r="B1937" s="3" t="s">
        <v>3964</v>
      </c>
      <c r="C1937" s="3" t="s">
        <v>18</v>
      </c>
      <c r="D1937" s="6" t="s">
        <v>578</v>
      </c>
      <c r="E1937" s="6" t="s">
        <v>578</v>
      </c>
      <c r="F1937" s="3" t="str">
        <f>IFERROR( VLOOKUP(A1937,#REF!,2,0),"")</f>
        <v/>
      </c>
      <c r="G1937" s="3" t="str">
        <f t="array" ref="G1937">_xlfn.XLOOKUP(I1937,Base_Datos!D:D,Base_Datos!B:B,"")</f>
        <v>DFSK</v>
      </c>
      <c r="H1937" s="3" t="str">
        <f t="array" ref="H1937">IF(I1937="","",IFERROR(_xlfn.XLOOKUP(I1937,Base_Datos!$D$2:$D3876,Base_Datos!$C$2:$C3876),""))</f>
        <v>Serie D</v>
      </c>
      <c r="I1937" s="3" t="s">
        <v>973</v>
      </c>
      <c r="J1937" s="3" t="str">
        <f>IF(I1937="","",IFERROR(VLOOKUP(I1937,Base_Datos!$D$2:$E$72,2,0),""))</f>
        <v>(1.5L)</v>
      </c>
      <c r="K1937" s="3"/>
      <c r="L1937" s="3"/>
      <c r="M1937" s="7">
        <v>5</v>
      </c>
      <c r="N1937" s="7">
        <v>0</v>
      </c>
    </row>
    <row r="1938" spans="1:14" ht="14.25" x14ac:dyDescent="0.2">
      <c r="A1938" s="3">
        <v>89576</v>
      </c>
      <c r="B1938" s="3" t="s">
        <v>3965</v>
      </c>
      <c r="C1938" s="3" t="s">
        <v>18</v>
      </c>
      <c r="D1938" s="6" t="s">
        <v>579</v>
      </c>
      <c r="E1938" s="6" t="s">
        <v>579</v>
      </c>
      <c r="F1938" s="3" t="str">
        <f>IFERROR( VLOOKUP(A1938,#REF!,2,0),"")</f>
        <v/>
      </c>
      <c r="G1938" s="3" t="str">
        <f t="array" ref="G1938">_xlfn.XLOOKUP(I1938,Base_Datos!D:D,Base_Datos!B:B,"")</f>
        <v>DFSK</v>
      </c>
      <c r="H1938" s="3" t="str">
        <f t="array" ref="H1938">IF(I1938="","",IFERROR(_xlfn.XLOOKUP(I1938,Base_Datos!$D$2:$D3876,Base_Datos!$C$2:$C3876),""))</f>
        <v>Serie Glory</v>
      </c>
      <c r="I1938" s="3" t="s">
        <v>1765</v>
      </c>
      <c r="J1938" s="3" t="str">
        <f>IF(I1938="","",IFERROR(VLOOKUP(I1938,Base_Datos!$D$2:$E$72,2,0),""))</f>
        <v>(1.5L)</v>
      </c>
      <c r="K1938" s="3" t="s">
        <v>2881</v>
      </c>
      <c r="L1938" s="3"/>
      <c r="M1938" s="7">
        <v>12</v>
      </c>
      <c r="N1938" s="7">
        <v>0</v>
      </c>
    </row>
    <row r="1939" spans="1:14" ht="14.25" x14ac:dyDescent="0.2">
      <c r="A1939" s="3">
        <v>89577</v>
      </c>
      <c r="B1939" s="3" t="s">
        <v>3966</v>
      </c>
      <c r="C1939" s="3" t="s">
        <v>18</v>
      </c>
      <c r="D1939" s="6" t="s">
        <v>519</v>
      </c>
      <c r="E1939" s="6" t="s">
        <v>519</v>
      </c>
      <c r="F1939" s="3" t="str">
        <f>IFERROR( VLOOKUP(A1939,#REF!,2,0),"")</f>
        <v/>
      </c>
      <c r="G1939" s="3" t="str">
        <f t="array" ref="G1939">_xlfn.XLOOKUP(I1939,Base_Datos!D:D,Base_Datos!B:B,"")</f>
        <v>DFSK</v>
      </c>
      <c r="H1939" s="3" t="str">
        <f t="array" ref="H1939">IF(I1939="","",IFERROR(_xlfn.XLOOKUP(I1939,Base_Datos!$D$2:$D3876,Base_Datos!$C$2:$C3876),""))</f>
        <v>Serie D</v>
      </c>
      <c r="I1939" s="3" t="s">
        <v>973</v>
      </c>
      <c r="J1939" s="3" t="str">
        <f>IF(I1939="","",IFERROR(VLOOKUP(I1939,Base_Datos!$D$2:$E$72,2,0),""))</f>
        <v>(1.5L)</v>
      </c>
      <c r="K1939" s="3"/>
      <c r="L1939" s="3"/>
      <c r="M1939" s="7">
        <v>0</v>
      </c>
      <c r="N1939" s="7">
        <v>0</v>
      </c>
    </row>
    <row r="1940" spans="1:14" ht="14.25" x14ac:dyDescent="0.2">
      <c r="A1940" s="3">
        <v>89578</v>
      </c>
      <c r="B1940" s="3" t="s">
        <v>3967</v>
      </c>
      <c r="C1940" s="3" t="s">
        <v>18</v>
      </c>
      <c r="D1940" s="6" t="s">
        <v>580</v>
      </c>
      <c r="E1940" s="6" t="s">
        <v>580</v>
      </c>
      <c r="F1940" s="3" t="str">
        <f>IFERROR( VLOOKUP(A1940,#REF!,2,0),"")</f>
        <v/>
      </c>
      <c r="G1940" s="3" t="str">
        <f t="array" ref="G1940">_xlfn.XLOOKUP(I1940,Base_Datos!D:D,Base_Datos!B:B,"")</f>
        <v>DFSK</v>
      </c>
      <c r="H1940" s="3" t="str">
        <f t="array" ref="H1940">IF(I1940="","",IFERROR(_xlfn.XLOOKUP(I1940,Base_Datos!$D$2:$D3876,Base_Datos!$C$2:$C3876),""))</f>
        <v>Serie Glory</v>
      </c>
      <c r="I1940" s="3" t="s">
        <v>1765</v>
      </c>
      <c r="J1940" s="3" t="str">
        <f>IF(I1940="","",IFERROR(VLOOKUP(I1940,Base_Datos!$D$2:$E$72,2,0),""))</f>
        <v>(1.5L)</v>
      </c>
      <c r="K1940" s="3" t="s">
        <v>2881</v>
      </c>
      <c r="L1940" s="3"/>
      <c r="M1940" s="7">
        <v>10</v>
      </c>
      <c r="N1940" s="7">
        <v>0</v>
      </c>
    </row>
    <row r="1941" spans="1:14" ht="14.25" x14ac:dyDescent="0.2">
      <c r="A1941" s="3">
        <v>89579</v>
      </c>
      <c r="B1941" s="3" t="s">
        <v>3968</v>
      </c>
      <c r="C1941" s="3" t="s">
        <v>18</v>
      </c>
      <c r="D1941" s="6" t="s">
        <v>581</v>
      </c>
      <c r="E1941" s="6" t="s">
        <v>581</v>
      </c>
      <c r="F1941" s="3" t="str">
        <f>IFERROR( VLOOKUP(A1941,#REF!,2,0),"")</f>
        <v/>
      </c>
      <c r="G1941" s="3" t="str">
        <f t="array" ref="G1941">_xlfn.XLOOKUP(I1941,Base_Datos!D:D,Base_Datos!B:B,"")</f>
        <v>DFSK</v>
      </c>
      <c r="H1941" s="3" t="str">
        <f t="array" ref="H1941">IF(I1941="","",IFERROR(_xlfn.XLOOKUP(I1941,Base_Datos!$D$2:$D3876,Base_Datos!$C$2:$C3876),""))</f>
        <v>Serie D</v>
      </c>
      <c r="I1941" s="3" t="s">
        <v>973</v>
      </c>
      <c r="J1941" s="3" t="str">
        <f>IF(I1941="","",IFERROR(VLOOKUP(I1941,Base_Datos!$D$2:$E$72,2,0),""))</f>
        <v>(1.5L)</v>
      </c>
      <c r="K1941" s="3"/>
      <c r="L1941" s="3"/>
      <c r="M1941" s="7">
        <v>11</v>
      </c>
      <c r="N1941" s="7">
        <v>0</v>
      </c>
    </row>
    <row r="1942" spans="1:14" ht="14.25" x14ac:dyDescent="0.2">
      <c r="A1942" s="3">
        <v>89580</v>
      </c>
      <c r="B1942" s="3" t="s">
        <v>3969</v>
      </c>
      <c r="C1942" s="3" t="s">
        <v>18</v>
      </c>
      <c r="D1942" s="6" t="s">
        <v>582</v>
      </c>
      <c r="E1942" s="6" t="s">
        <v>582</v>
      </c>
      <c r="F1942" s="3" t="str">
        <f>IFERROR( VLOOKUP(A1942,#REF!,2,0),"")</f>
        <v/>
      </c>
      <c r="G1942" s="3" t="str">
        <f t="array" ref="G1942">_xlfn.XLOOKUP(I1942,Base_Datos!D:D,Base_Datos!B:B,"")</f>
        <v>DFSK</v>
      </c>
      <c r="H1942" s="3" t="str">
        <f t="array" ref="H1942">IF(I1942="","",IFERROR(_xlfn.XLOOKUP(I1942,Base_Datos!$D$2:$D3876,Base_Datos!$C$2:$C3876),""))</f>
        <v>Serie D</v>
      </c>
      <c r="I1942" s="3" t="s">
        <v>973</v>
      </c>
      <c r="J1942" s="3" t="str">
        <f>IF(I1942="","",IFERROR(VLOOKUP(I1942,Base_Datos!$D$2:$E$72,2,0),""))</f>
        <v>(1.5L)</v>
      </c>
      <c r="K1942" s="3"/>
      <c r="L1942" s="3"/>
      <c r="M1942" s="7">
        <v>5</v>
      </c>
      <c r="N1942" s="7">
        <v>0</v>
      </c>
    </row>
    <row r="1943" spans="1:14" ht="14.25" x14ac:dyDescent="0.2">
      <c r="A1943" s="3">
        <v>89581</v>
      </c>
      <c r="B1943" s="3" t="s">
        <v>3970</v>
      </c>
      <c r="C1943" s="3" t="s">
        <v>18</v>
      </c>
      <c r="D1943" s="6" t="s">
        <v>583</v>
      </c>
      <c r="E1943" s="6" t="s">
        <v>583</v>
      </c>
      <c r="F1943" s="3" t="str">
        <f>IFERROR( VLOOKUP(A1943,#REF!,2,0),"")</f>
        <v/>
      </c>
      <c r="G1943" s="3" t="str">
        <f t="array" ref="G1943">_xlfn.XLOOKUP(I1943,Base_Datos!D:D,Base_Datos!B:B,"")</f>
        <v>DFSK</v>
      </c>
      <c r="H1943" s="3" t="str">
        <f t="array" ref="H1943">IF(I1943="","",IFERROR(_xlfn.XLOOKUP(I1943,Base_Datos!$D$2:$D3876,Base_Datos!$C$2:$C3876),""))</f>
        <v>Serie D</v>
      </c>
      <c r="I1943" s="3" t="s">
        <v>973</v>
      </c>
      <c r="J1943" s="3" t="str">
        <f>IF(I1943="","",IFERROR(VLOOKUP(I1943,Base_Datos!$D$2:$E$72,2,0),""))</f>
        <v>(1.5L)</v>
      </c>
      <c r="K1943" s="3"/>
      <c r="L1943" s="3"/>
      <c r="M1943" s="7">
        <v>5</v>
      </c>
      <c r="N1943" s="7">
        <v>0</v>
      </c>
    </row>
    <row r="1944" spans="1:14" ht="14.25" x14ac:dyDescent="0.2">
      <c r="A1944" s="3">
        <v>89582</v>
      </c>
      <c r="B1944" s="3" t="s">
        <v>3971</v>
      </c>
      <c r="C1944" s="3" t="s">
        <v>18</v>
      </c>
      <c r="D1944" s="6" t="s">
        <v>584</v>
      </c>
      <c r="E1944" s="6" t="s">
        <v>584</v>
      </c>
      <c r="F1944" s="3" t="str">
        <f>IFERROR( VLOOKUP(A1944,#REF!,2,0),"")</f>
        <v/>
      </c>
      <c r="G1944" s="3" t="str">
        <f t="array" ref="G1944">_xlfn.XLOOKUP(I1944,Base_Datos!D:D,Base_Datos!B:B,"")</f>
        <v>DFSK</v>
      </c>
      <c r="H1944" s="3" t="str">
        <f t="array" ref="H1944">IF(I1944="","",IFERROR(_xlfn.XLOOKUP(I1944,Base_Datos!$D$2:$D3876,Base_Datos!$C$2:$C3876),""))</f>
        <v>Serie Glory</v>
      </c>
      <c r="I1944" s="3" t="s">
        <v>1765</v>
      </c>
      <c r="J1944" s="3" t="str">
        <f>IF(I1944="","",IFERROR(VLOOKUP(I1944,Base_Datos!$D$2:$E$72,2,0),""))</f>
        <v>(1.5L)</v>
      </c>
      <c r="K1944" s="3"/>
      <c r="L1944" s="3"/>
      <c r="M1944" s="7">
        <v>16</v>
      </c>
      <c r="N1944" s="7">
        <v>0</v>
      </c>
    </row>
    <row r="1945" spans="1:14" ht="14.25" x14ac:dyDescent="0.2">
      <c r="A1945" s="3">
        <v>89583</v>
      </c>
      <c r="B1945" s="3" t="s">
        <v>3972</v>
      </c>
      <c r="C1945" s="3" t="s">
        <v>18</v>
      </c>
      <c r="D1945" s="6" t="s">
        <v>585</v>
      </c>
      <c r="E1945" s="6" t="s">
        <v>585</v>
      </c>
      <c r="F1945" s="3" t="str">
        <f>IFERROR( VLOOKUP(A1945,#REF!,2,0),"")</f>
        <v/>
      </c>
      <c r="G1945" s="3" t="str">
        <f t="array" ref="G1945">_xlfn.XLOOKUP(I1945,Base_Datos!D:D,Base_Datos!B:B,"")</f>
        <v>DFSK</v>
      </c>
      <c r="H1945" s="3" t="str">
        <f t="array" ref="H1945">IF(I1945="","",IFERROR(_xlfn.XLOOKUP(I1945,Base_Datos!$D$2:$D3876,Base_Datos!$C$2:$C3876),""))</f>
        <v>Serie Glory</v>
      </c>
      <c r="I1945" s="3" t="s">
        <v>1765</v>
      </c>
      <c r="J1945" s="3" t="str">
        <f>IF(I1945="","",IFERROR(VLOOKUP(I1945,Base_Datos!$D$2:$E$72,2,0),""))</f>
        <v>(1.5L)</v>
      </c>
      <c r="K1945" s="3"/>
      <c r="L1945" s="3"/>
      <c r="M1945" s="7">
        <v>18</v>
      </c>
      <c r="N1945" s="7">
        <v>0</v>
      </c>
    </row>
    <row r="1946" spans="1:14" ht="14.25" x14ac:dyDescent="0.2">
      <c r="A1946" s="3">
        <v>89584</v>
      </c>
      <c r="B1946" s="3" t="s">
        <v>3973</v>
      </c>
      <c r="C1946" s="3" t="s">
        <v>18</v>
      </c>
      <c r="D1946" s="6" t="s">
        <v>586</v>
      </c>
      <c r="E1946" s="6" t="s">
        <v>586</v>
      </c>
      <c r="F1946" s="3" t="str">
        <f>IFERROR( VLOOKUP(A1946,#REF!,2,0),"")</f>
        <v/>
      </c>
      <c r="G1946" s="3" t="str">
        <f t="array" ref="G1946">_xlfn.XLOOKUP(I1946,Base_Datos!D:D,Base_Datos!B:B,"")</f>
        <v>DFSK</v>
      </c>
      <c r="H1946" s="3" t="str">
        <f t="array" ref="H1946">IF(I1946="","",IFERROR(_xlfn.XLOOKUP(I1946,Base_Datos!$D$2:$D3876,Base_Datos!$C$2:$C3876),""))</f>
        <v>Serie D</v>
      </c>
      <c r="I1946" s="3" t="s">
        <v>973</v>
      </c>
      <c r="J1946" s="3" t="str">
        <f>IF(I1946="","",IFERROR(VLOOKUP(I1946,Base_Datos!$D$2:$E$72,2,0),""))</f>
        <v>(1.5L)</v>
      </c>
      <c r="K1946" s="3"/>
      <c r="L1946" s="3"/>
      <c r="M1946" s="7">
        <v>100</v>
      </c>
      <c r="N1946" s="7">
        <v>0</v>
      </c>
    </row>
    <row r="1947" spans="1:14" ht="14.25" x14ac:dyDescent="0.2">
      <c r="A1947" s="3">
        <v>89585</v>
      </c>
      <c r="B1947" s="3" t="s">
        <v>3974</v>
      </c>
      <c r="C1947" s="3" t="s">
        <v>18</v>
      </c>
      <c r="D1947" s="6" t="s">
        <v>587</v>
      </c>
      <c r="E1947" s="6" t="s">
        <v>3975</v>
      </c>
      <c r="F1947" s="3" t="str">
        <f>IFERROR( VLOOKUP(A1947,#REF!,2,0),"")</f>
        <v/>
      </c>
      <c r="G1947" s="3" t="str">
        <f t="array" ref="G1947">_xlfn.XLOOKUP(I1947,Base_Datos!D:D,Base_Datos!B:B,"")</f>
        <v>DFSK</v>
      </c>
      <c r="H1947" s="3" t="str">
        <f t="array" ref="H1947">IF(I1947="","",IFERROR(_xlfn.XLOOKUP(I1947,Base_Datos!$D$2:$D3876,Base_Datos!$C$2:$C3876),""))</f>
        <v>Serie D</v>
      </c>
      <c r="I1947" s="3" t="s">
        <v>973</v>
      </c>
      <c r="J1947" s="3" t="str">
        <f>IF(I1947="","",IFERROR(VLOOKUP(I1947,Base_Datos!$D$2:$E$72,2,0),""))</f>
        <v>(1.5L)</v>
      </c>
      <c r="K1947" s="3"/>
      <c r="L1947" s="3"/>
      <c r="M1947" s="7">
        <v>100</v>
      </c>
      <c r="N1947" s="7">
        <v>0</v>
      </c>
    </row>
    <row r="1948" spans="1:14" ht="14.25" x14ac:dyDescent="0.2">
      <c r="A1948" s="3">
        <v>89586</v>
      </c>
      <c r="B1948" s="3" t="s">
        <v>3976</v>
      </c>
      <c r="C1948" s="3" t="s">
        <v>18</v>
      </c>
      <c r="D1948" s="6" t="s">
        <v>588</v>
      </c>
      <c r="E1948" s="6" t="s">
        <v>588</v>
      </c>
      <c r="F1948" s="3" t="str">
        <f>IFERROR( VLOOKUP(A1948,#REF!,2,0),"")</f>
        <v/>
      </c>
      <c r="G1948" s="3" t="str">
        <f t="array" ref="G1948">_xlfn.XLOOKUP(I1948,Base_Datos!D:D,Base_Datos!B:B,"")</f>
        <v>DFSK</v>
      </c>
      <c r="H1948" s="3" t="str">
        <f t="array" ref="H1948">IF(I1948="","",IFERROR(_xlfn.XLOOKUP(I1948,Base_Datos!$D$2:$D3876,Base_Datos!$C$2:$C3876),""))</f>
        <v>Serie D</v>
      </c>
      <c r="I1948" s="3" t="s">
        <v>973</v>
      </c>
      <c r="J1948" s="3" t="str">
        <f>IF(I1948="","",IFERROR(VLOOKUP(I1948,Base_Datos!$D$2:$E$72,2,0),""))</f>
        <v>(1.5L)</v>
      </c>
      <c r="K1948" s="3"/>
      <c r="L1948" s="3"/>
      <c r="M1948" s="7">
        <v>100</v>
      </c>
      <c r="N1948" s="7">
        <v>0</v>
      </c>
    </row>
    <row r="1949" spans="1:14" ht="14.25" x14ac:dyDescent="0.2">
      <c r="A1949" s="3">
        <v>89587</v>
      </c>
      <c r="B1949" s="3" t="s">
        <v>3977</v>
      </c>
      <c r="C1949" s="3" t="s">
        <v>18</v>
      </c>
      <c r="D1949" s="6" t="s">
        <v>589</v>
      </c>
      <c r="E1949" s="6" t="s">
        <v>3978</v>
      </c>
      <c r="F1949" s="3" t="str">
        <f>IFERROR( VLOOKUP(A1949,#REF!,2,0),"")</f>
        <v/>
      </c>
      <c r="G1949" s="3" t="str">
        <f t="array" ref="G1949">_xlfn.XLOOKUP(I1949,Base_Datos!D:D,Base_Datos!B:B,"")</f>
        <v>DFSK</v>
      </c>
      <c r="H1949" s="3" t="str">
        <f t="array" ref="H1949">IF(I1949="","",IFERROR(_xlfn.XLOOKUP(I1949,Base_Datos!$D$2:$D3876,Base_Datos!$C$2:$C3876),""))</f>
        <v>Serie D</v>
      </c>
      <c r="I1949" s="3" t="s">
        <v>973</v>
      </c>
      <c r="J1949" s="3" t="str">
        <f>IF(I1949="","",IFERROR(VLOOKUP(I1949,Base_Datos!$D$2:$E$72,2,0),""))</f>
        <v>(1.5L)</v>
      </c>
      <c r="K1949" s="3"/>
      <c r="L1949" s="3"/>
      <c r="M1949" s="7">
        <v>10</v>
      </c>
      <c r="N1949" s="7">
        <v>0</v>
      </c>
    </row>
    <row r="1950" spans="1:14" ht="14.25" x14ac:dyDescent="0.2">
      <c r="A1950" s="3">
        <v>89588</v>
      </c>
      <c r="B1950" s="3" t="s">
        <v>3979</v>
      </c>
      <c r="C1950" s="3" t="s">
        <v>18</v>
      </c>
      <c r="D1950" s="6" t="s">
        <v>590</v>
      </c>
      <c r="E1950" s="6" t="s">
        <v>590</v>
      </c>
      <c r="F1950" s="3" t="str">
        <f>IFERROR( VLOOKUP(A1950,#REF!,2,0),"")</f>
        <v/>
      </c>
      <c r="G1950" s="3" t="str">
        <f t="array" ref="G1950">_xlfn.XLOOKUP(I1950,Base_Datos!D:D,Base_Datos!B:B,"")</f>
        <v>DFSK</v>
      </c>
      <c r="H1950" s="3" t="str">
        <f t="array" ref="H1950">IF(I1950="","",IFERROR(_xlfn.XLOOKUP(I1950,Base_Datos!$D$2:$D3876,Base_Datos!$C$2:$C3876),""))</f>
        <v>Serie D</v>
      </c>
      <c r="I1950" s="3" t="s">
        <v>973</v>
      </c>
      <c r="J1950" s="3" t="str">
        <f>IF(I1950="","",IFERROR(VLOOKUP(I1950,Base_Datos!$D$2:$E$72,2,0),""))</f>
        <v>(1.5L)</v>
      </c>
      <c r="K1950" s="3"/>
      <c r="L1950" s="3"/>
      <c r="M1950" s="7">
        <v>8</v>
      </c>
      <c r="N1950" s="7">
        <v>0</v>
      </c>
    </row>
    <row r="1951" spans="1:14" ht="14.25" x14ac:dyDescent="0.2">
      <c r="A1951" s="3">
        <v>89589</v>
      </c>
      <c r="B1951" s="3" t="s">
        <v>3980</v>
      </c>
      <c r="C1951" s="3" t="s">
        <v>18</v>
      </c>
      <c r="D1951" s="6" t="s">
        <v>591</v>
      </c>
      <c r="E1951" s="6" t="s">
        <v>591</v>
      </c>
      <c r="F1951" s="3" t="str">
        <f>IFERROR( VLOOKUP(A1951,#REF!,2,0),"")</f>
        <v/>
      </c>
      <c r="G1951" s="3" t="str">
        <f t="array" ref="G1951">_xlfn.XLOOKUP(I1951,Base_Datos!D:D,Base_Datos!B:B,"")</f>
        <v>DFSK</v>
      </c>
      <c r="H1951" s="3" t="str">
        <f t="array" ref="H1951">IF(I1951="","",IFERROR(_xlfn.XLOOKUP(I1951,Base_Datos!$D$2:$D3876,Base_Datos!$C$2:$C3876),""))</f>
        <v>Serie D</v>
      </c>
      <c r="I1951" s="3" t="s">
        <v>973</v>
      </c>
      <c r="J1951" s="3" t="str">
        <f>IF(I1951="","",IFERROR(VLOOKUP(I1951,Base_Datos!$D$2:$E$72,2,0),""))</f>
        <v>(1.5L)</v>
      </c>
      <c r="K1951" s="3"/>
      <c r="L1951" s="3"/>
      <c r="M1951" s="7">
        <v>8</v>
      </c>
      <c r="N1951" s="7">
        <v>0</v>
      </c>
    </row>
    <row r="1952" spans="1:14" ht="14.25" x14ac:dyDescent="0.2">
      <c r="A1952" s="3">
        <v>89590</v>
      </c>
      <c r="B1952" s="3" t="s">
        <v>3981</v>
      </c>
      <c r="C1952" s="3" t="s">
        <v>18</v>
      </c>
      <c r="D1952" s="6" t="s">
        <v>592</v>
      </c>
      <c r="E1952" s="6" t="s">
        <v>592</v>
      </c>
      <c r="F1952" s="3" t="str">
        <f>IFERROR( VLOOKUP(A1952,#REF!,2,0),"")</f>
        <v/>
      </c>
      <c r="G1952" s="3" t="str">
        <f t="array" ref="G1952">_xlfn.XLOOKUP(I1952,Base_Datos!D:D,Base_Datos!B:B,"")</f>
        <v>DFSK</v>
      </c>
      <c r="H1952" s="3" t="str">
        <f t="array" ref="H1952">IF(I1952="","",IFERROR(_xlfn.XLOOKUP(I1952,Base_Datos!$D$2:$D3876,Base_Datos!$C$2:$C3876),""))</f>
        <v>Serie D</v>
      </c>
      <c r="I1952" s="3" t="s">
        <v>973</v>
      </c>
      <c r="J1952" s="3" t="str">
        <f>IF(I1952="","",IFERROR(VLOOKUP(I1952,Base_Datos!$D$2:$E$72,2,0),""))</f>
        <v>(1.5L)</v>
      </c>
      <c r="K1952" s="3"/>
      <c r="L1952" s="3"/>
      <c r="M1952" s="7">
        <v>8</v>
      </c>
      <c r="N1952" s="7">
        <v>0</v>
      </c>
    </row>
    <row r="1953" spans="1:14" ht="14.25" x14ac:dyDescent="0.2">
      <c r="A1953" s="3">
        <v>89591</v>
      </c>
      <c r="B1953" s="3" t="s">
        <v>3982</v>
      </c>
      <c r="C1953" s="3" t="s">
        <v>18</v>
      </c>
      <c r="D1953" s="6" t="s">
        <v>593</v>
      </c>
      <c r="E1953" s="6" t="s">
        <v>593</v>
      </c>
      <c r="F1953" s="3" t="str">
        <f>IFERROR( VLOOKUP(A1953,#REF!,2,0),"")</f>
        <v/>
      </c>
      <c r="G1953" s="3" t="str">
        <f t="array" ref="G1953">_xlfn.XLOOKUP(I1953,Base_Datos!D:D,Base_Datos!B:B,"")</f>
        <v>DFSK</v>
      </c>
      <c r="H1953" s="3" t="str">
        <f t="array" ref="H1953">IF(I1953="","",IFERROR(_xlfn.XLOOKUP(I1953,Base_Datos!$D$2:$D3876,Base_Datos!$C$2:$C3876),""))</f>
        <v>Serie D</v>
      </c>
      <c r="I1953" s="3" t="s">
        <v>973</v>
      </c>
      <c r="J1953" s="3" t="str">
        <f>IF(I1953="","",IFERROR(VLOOKUP(I1953,Base_Datos!$D$2:$E$72,2,0),""))</f>
        <v>(1.5L)</v>
      </c>
      <c r="K1953" s="3"/>
      <c r="L1953" s="3"/>
      <c r="M1953" s="7">
        <v>8</v>
      </c>
      <c r="N1953" s="7">
        <v>0</v>
      </c>
    </row>
    <row r="1954" spans="1:14" ht="14.25" x14ac:dyDescent="0.2">
      <c r="A1954" s="3">
        <v>89592</v>
      </c>
      <c r="B1954" s="3" t="s">
        <v>3315</v>
      </c>
      <c r="C1954" s="3" t="s">
        <v>18</v>
      </c>
      <c r="D1954" s="6" t="s">
        <v>594</v>
      </c>
      <c r="E1954" s="6" t="s">
        <v>3983</v>
      </c>
      <c r="F1954" s="3" t="str">
        <f>IFERROR( VLOOKUP(A1954,#REF!,2,0),"")</f>
        <v/>
      </c>
      <c r="G1954" s="3" t="str">
        <f t="array" ref="G1954">_xlfn.XLOOKUP(I1954,Base_Datos!D:D,Base_Datos!B:B,"")</f>
        <v>DFSK</v>
      </c>
      <c r="H1954" s="3" t="str">
        <f t="array" ref="H1954">IF(I1954="","",IFERROR(_xlfn.XLOOKUP(I1954,Base_Datos!$D$2:$D3876,Base_Datos!$C$2:$C3876),""))</f>
        <v>Serie Glory</v>
      </c>
      <c r="I1954" s="3" t="s">
        <v>1765</v>
      </c>
      <c r="J1954" s="3" t="str">
        <f>IF(I1954="","",IFERROR(VLOOKUP(I1954,Base_Datos!$D$2:$E$72,2,0),""))</f>
        <v>(1.5L)</v>
      </c>
      <c r="K1954" s="3"/>
      <c r="L1954" s="3"/>
      <c r="M1954" s="7">
        <v>16</v>
      </c>
      <c r="N1954" s="7">
        <v>0</v>
      </c>
    </row>
    <row r="1955" spans="1:14" ht="14.25" x14ac:dyDescent="0.2">
      <c r="A1955" s="3">
        <v>89593</v>
      </c>
      <c r="B1955" s="3" t="s">
        <v>3313</v>
      </c>
      <c r="C1955" s="3" t="s">
        <v>18</v>
      </c>
      <c r="D1955" s="6" t="s">
        <v>595</v>
      </c>
      <c r="E1955" s="6" t="s">
        <v>595</v>
      </c>
      <c r="F1955" s="3" t="str">
        <f>IFERROR( VLOOKUP(A1955,#REF!,2,0),"")</f>
        <v/>
      </c>
      <c r="G1955" s="3" t="str">
        <f t="array" ref="G1955">_xlfn.XLOOKUP(I1955,Base_Datos!D:D,Base_Datos!B:B,"")</f>
        <v>DFSK</v>
      </c>
      <c r="H1955" s="3" t="str">
        <f t="array" ref="H1955">IF(I1955="","",IFERROR(_xlfn.XLOOKUP(I1955,Base_Datos!$D$2:$D3876,Base_Datos!$C$2:$C3876),""))</f>
        <v>Serie Glory</v>
      </c>
      <c r="I1955" s="3" t="s">
        <v>1765</v>
      </c>
      <c r="J1955" s="3" t="str">
        <f>IF(I1955="","",IFERROR(VLOOKUP(I1955,Base_Datos!$D$2:$E$72,2,0),""))</f>
        <v>(1.5L)</v>
      </c>
      <c r="K1955" s="3"/>
      <c r="L1955" s="3"/>
      <c r="M1955" s="7">
        <v>16</v>
      </c>
      <c r="N1955" s="7">
        <v>0</v>
      </c>
    </row>
    <row r="1956" spans="1:14" ht="14.25" x14ac:dyDescent="0.2">
      <c r="A1956" s="3">
        <v>89594</v>
      </c>
      <c r="B1956" s="3" t="s">
        <v>3984</v>
      </c>
      <c r="C1956" s="3" t="s">
        <v>15</v>
      </c>
      <c r="D1956" s="6" t="s">
        <v>596</v>
      </c>
      <c r="E1956" s="6" t="s">
        <v>596</v>
      </c>
      <c r="F1956" s="3" t="str">
        <f>IFERROR( VLOOKUP(A1956,#REF!,2,0),"")</f>
        <v/>
      </c>
      <c r="G1956" s="3">
        <f t="array" ref="G1956">_xlfn.XLOOKUP(I1956,Base_Datos!D:D,Base_Datos!B:B,"")</f>
        <v>0</v>
      </c>
      <c r="H1956" s="3" t="str">
        <f t="array" ref="H1956">IF(I1956="","",IFERROR(_xlfn.XLOOKUP(I1956,Base_Datos!$D$2:$D3876,Base_Datos!$C$2:$C3876),""))</f>
        <v/>
      </c>
      <c r="I1956" s="3"/>
      <c r="J1956" s="3" t="str">
        <f>IF(I1956="","",IFERROR(VLOOKUP(I1956,Base_Datos!$D$2:$E$72,2,0),""))</f>
        <v/>
      </c>
      <c r="K1956" s="3"/>
      <c r="L1956" s="3"/>
      <c r="M1956" s="7">
        <v>14</v>
      </c>
      <c r="N1956" s="7">
        <v>0</v>
      </c>
    </row>
    <row r="1957" spans="1:14" ht="14.25" x14ac:dyDescent="0.2">
      <c r="A1957" s="3">
        <v>89595</v>
      </c>
      <c r="B1957" s="3" t="s">
        <v>3985</v>
      </c>
      <c r="C1957" s="3" t="s">
        <v>18</v>
      </c>
      <c r="D1957" s="6" t="s">
        <v>597</v>
      </c>
      <c r="E1957" s="6" t="s">
        <v>597</v>
      </c>
      <c r="F1957" s="3" t="str">
        <f>IFERROR( VLOOKUP(A1957,#REF!,2,0),"")</f>
        <v/>
      </c>
      <c r="G1957" s="3" t="str">
        <f t="array" ref="G1957">_xlfn.XLOOKUP(I1957,Base_Datos!D:D,Base_Datos!B:B,"")</f>
        <v>DFSK</v>
      </c>
      <c r="H1957" s="3" t="str">
        <f t="array" ref="H1957">IF(I1957="","",IFERROR(_xlfn.XLOOKUP(I1957,Base_Datos!$D$2:$D3876,Base_Datos!$C$2:$C3876),""))</f>
        <v>Serie D</v>
      </c>
      <c r="I1957" s="3" t="s">
        <v>973</v>
      </c>
      <c r="J1957" s="3" t="str">
        <f>IF(I1957="","",IFERROR(VLOOKUP(I1957,Base_Datos!$D$2:$E$72,2,0),""))</f>
        <v>(1.5L)</v>
      </c>
      <c r="K1957" s="3"/>
      <c r="L1957" s="3"/>
      <c r="M1957" s="7">
        <v>30</v>
      </c>
      <c r="N1957" s="7">
        <v>0</v>
      </c>
    </row>
    <row r="1958" spans="1:14" ht="14.25" x14ac:dyDescent="0.2">
      <c r="A1958" s="3">
        <v>89596</v>
      </c>
      <c r="B1958" s="3" t="s">
        <v>3986</v>
      </c>
      <c r="C1958" s="3" t="s">
        <v>18</v>
      </c>
      <c r="D1958" s="6" t="s">
        <v>598</v>
      </c>
      <c r="E1958" s="6" t="s">
        <v>598</v>
      </c>
      <c r="F1958" s="3" t="str">
        <f>IFERROR( VLOOKUP(A1958,#REF!,2,0),"")</f>
        <v/>
      </c>
      <c r="G1958" s="3" t="str">
        <f t="array" ref="G1958">_xlfn.XLOOKUP(I1958,Base_Datos!D:D,Base_Datos!B:B,"")</f>
        <v>DFSK</v>
      </c>
      <c r="H1958" s="3" t="str">
        <f t="array" ref="H1958">IF(I1958="","",IFERROR(_xlfn.XLOOKUP(I1958,Base_Datos!$D$2:$D3876,Base_Datos!$C$2:$C3876),""))</f>
        <v>Serie D</v>
      </c>
      <c r="I1958" s="3" t="s">
        <v>973</v>
      </c>
      <c r="J1958" s="3" t="str">
        <f>IF(I1958="","",IFERROR(VLOOKUP(I1958,Base_Datos!$D$2:$E$72,2,0),""))</f>
        <v>(1.5L)</v>
      </c>
      <c r="K1958" s="3"/>
      <c r="L1958" s="3"/>
      <c r="M1958" s="7">
        <v>20</v>
      </c>
      <c r="N1958" s="7">
        <v>0</v>
      </c>
    </row>
    <row r="1959" spans="1:14" ht="14.25" x14ac:dyDescent="0.2">
      <c r="A1959" s="3">
        <v>89597</v>
      </c>
      <c r="B1959" s="3" t="s">
        <v>3987</v>
      </c>
      <c r="C1959" s="3" t="s">
        <v>18</v>
      </c>
      <c r="D1959" s="6" t="s">
        <v>599</v>
      </c>
      <c r="E1959" s="6" t="s">
        <v>599</v>
      </c>
      <c r="F1959" s="3" t="str">
        <f>IFERROR( VLOOKUP(A1959,#REF!,2,0),"")</f>
        <v/>
      </c>
      <c r="G1959" s="3" t="str">
        <f t="array" ref="G1959">_xlfn.XLOOKUP(I1959,Base_Datos!D:D,Base_Datos!B:B,"")</f>
        <v>DFSK</v>
      </c>
      <c r="H1959" s="3" t="str">
        <f t="array" ref="H1959">IF(I1959="","",IFERROR(_xlfn.XLOOKUP(I1959,Base_Datos!$D$2:$D3876,Base_Datos!$C$2:$C3876),""))</f>
        <v>Serie D</v>
      </c>
      <c r="I1959" s="3" t="s">
        <v>973</v>
      </c>
      <c r="J1959" s="3" t="str">
        <f>IF(I1959="","",IFERROR(VLOOKUP(I1959,Base_Datos!$D$2:$E$72,2,0),""))</f>
        <v>(1.5L)</v>
      </c>
      <c r="K1959" s="3"/>
      <c r="L1959" s="3"/>
      <c r="M1959" s="7">
        <v>20</v>
      </c>
      <c r="N1959" s="7">
        <v>0</v>
      </c>
    </row>
    <row r="1960" spans="1:14" ht="14.25" x14ac:dyDescent="0.2">
      <c r="A1960" s="3">
        <v>89598</v>
      </c>
      <c r="B1960" s="3" t="s">
        <v>3988</v>
      </c>
      <c r="C1960" s="3" t="s">
        <v>18</v>
      </c>
      <c r="D1960" s="6" t="s">
        <v>600</v>
      </c>
      <c r="E1960" s="6" t="s">
        <v>3989</v>
      </c>
      <c r="F1960" s="3" t="str">
        <f>IFERROR( VLOOKUP(A1960,#REF!,2,0),"")</f>
        <v/>
      </c>
      <c r="G1960" s="3" t="str">
        <f t="array" ref="G1960">_xlfn.XLOOKUP(I1960,Base_Datos!D:D,Base_Datos!B:B,"")</f>
        <v>DFSK</v>
      </c>
      <c r="H1960" s="3" t="str">
        <f t="array" ref="H1960">IF(I1960="","",IFERROR(_xlfn.XLOOKUP(I1960,Base_Datos!$D$2:$D3876,Base_Datos!$C$2:$C3876),""))</f>
        <v>Serie D</v>
      </c>
      <c r="I1960" s="3" t="s">
        <v>973</v>
      </c>
      <c r="J1960" s="3" t="str">
        <f>IF(I1960="","",IFERROR(VLOOKUP(I1960,Base_Datos!$D$2:$E$72,2,0),""))</f>
        <v>(1.5L)</v>
      </c>
      <c r="K1960" s="3"/>
      <c r="L1960" s="3"/>
      <c r="M1960" s="7">
        <v>10</v>
      </c>
      <c r="N1960" s="7">
        <v>0</v>
      </c>
    </row>
    <row r="1961" spans="1:14" ht="14.25" x14ac:dyDescent="0.2">
      <c r="A1961" s="3">
        <v>89599</v>
      </c>
      <c r="B1961" s="3" t="s">
        <v>3990</v>
      </c>
      <c r="C1961" s="3" t="s">
        <v>18</v>
      </c>
      <c r="D1961" s="6" t="s">
        <v>601</v>
      </c>
      <c r="E1961" s="6" t="s">
        <v>601</v>
      </c>
      <c r="F1961" s="3" t="str">
        <f>IFERROR( VLOOKUP(A1961,#REF!,2,0),"")</f>
        <v/>
      </c>
      <c r="G1961" s="3" t="str">
        <f t="array" ref="G1961">_xlfn.XLOOKUP(I1961,Base_Datos!D:D,Base_Datos!B:B,"")</f>
        <v>DFSK</v>
      </c>
      <c r="H1961" s="3" t="str">
        <f t="array" ref="H1961">IF(I1961="","",IFERROR(_xlfn.XLOOKUP(I1961,Base_Datos!$D$2:$D3876,Base_Datos!$C$2:$C3876),""))</f>
        <v>Serie D</v>
      </c>
      <c r="I1961" s="3" t="s">
        <v>973</v>
      </c>
      <c r="J1961" s="3" t="str">
        <f>IF(I1961="","",IFERROR(VLOOKUP(I1961,Base_Datos!$D$2:$E$72,2,0),""))</f>
        <v>(1.5L)</v>
      </c>
      <c r="K1961" s="3"/>
      <c r="L1961" s="3"/>
      <c r="M1961" s="7">
        <v>9</v>
      </c>
      <c r="N1961" s="7">
        <v>0</v>
      </c>
    </row>
    <row r="1962" spans="1:14" ht="14.25" x14ac:dyDescent="0.2">
      <c r="A1962" s="3">
        <v>89600</v>
      </c>
      <c r="B1962" s="3" t="s">
        <v>3991</v>
      </c>
      <c r="C1962" s="3" t="s">
        <v>18</v>
      </c>
      <c r="D1962" s="6" t="s">
        <v>602</v>
      </c>
      <c r="E1962" s="6" t="s">
        <v>602</v>
      </c>
      <c r="F1962" s="3" t="str">
        <f>IFERROR( VLOOKUP(A1962,#REF!,2,0),"")</f>
        <v/>
      </c>
      <c r="G1962" s="3" t="str">
        <f t="array" ref="G1962">_xlfn.XLOOKUP(I1962,Base_Datos!D:D,Base_Datos!B:B,"")</f>
        <v>DFSK</v>
      </c>
      <c r="H1962" s="3" t="str">
        <f t="array" ref="H1962">IF(I1962="","",IFERROR(_xlfn.XLOOKUP(I1962,Base_Datos!$D$2:$D3876,Base_Datos!$C$2:$C3876),""))</f>
        <v>Serie D</v>
      </c>
      <c r="I1962" s="3" t="s">
        <v>973</v>
      </c>
      <c r="J1962" s="3" t="str">
        <f>IF(I1962="","",IFERROR(VLOOKUP(I1962,Base_Datos!$D$2:$E$72,2,0),""))</f>
        <v>(1.5L)</v>
      </c>
      <c r="K1962" s="3"/>
      <c r="L1962" s="3"/>
      <c r="M1962" s="7">
        <v>9</v>
      </c>
      <c r="N1962" s="7">
        <v>0</v>
      </c>
    </row>
    <row r="1963" spans="1:14" ht="14.25" x14ac:dyDescent="0.2">
      <c r="A1963" s="3">
        <v>89601</v>
      </c>
      <c r="B1963" s="3" t="s">
        <v>2503</v>
      </c>
      <c r="C1963" s="3" t="s">
        <v>18</v>
      </c>
      <c r="D1963" s="6" t="s">
        <v>603</v>
      </c>
      <c r="E1963" s="6" t="s">
        <v>3992</v>
      </c>
      <c r="F1963" s="3" t="str">
        <f>IFERROR( VLOOKUP(A1963,#REF!,2,0),"")</f>
        <v/>
      </c>
      <c r="G1963" s="3" t="str">
        <f t="array" ref="G1963">_xlfn.XLOOKUP(I1963,Base_Datos!D:D,Base_Datos!B:B,"")</f>
        <v>DFSK</v>
      </c>
      <c r="H1963" s="3" t="str">
        <f t="array" ref="H1963">IF(I1963="","",IFERROR(_xlfn.XLOOKUP(I1963,Base_Datos!$D$2:$D3876,Base_Datos!$C$2:$C3876),""))</f>
        <v>Serie C</v>
      </c>
      <c r="I1963" s="3" t="s">
        <v>343</v>
      </c>
      <c r="J1963" s="3" t="str">
        <f>IF(I1963="","",IFERROR(VLOOKUP(I1963,Base_Datos!$D$2:$E$72,2,0),""))</f>
        <v>(1.5L)</v>
      </c>
      <c r="K1963" s="3" t="s">
        <v>2395</v>
      </c>
      <c r="L1963" s="3"/>
      <c r="M1963" s="7">
        <v>2</v>
      </c>
      <c r="N1963" s="7">
        <v>0</v>
      </c>
    </row>
    <row r="1964" spans="1:14" ht="14.25" x14ac:dyDescent="0.2">
      <c r="A1964" s="3">
        <v>89602</v>
      </c>
      <c r="B1964" s="3" t="s">
        <v>3993</v>
      </c>
      <c r="C1964" s="3" t="s">
        <v>18</v>
      </c>
      <c r="D1964" s="6" t="s">
        <v>604</v>
      </c>
      <c r="E1964" s="6" t="s">
        <v>604</v>
      </c>
      <c r="F1964" s="3" t="str">
        <f>IFERROR( VLOOKUP(A1964,#REF!,2,0),"")</f>
        <v/>
      </c>
      <c r="G1964" s="3" t="str">
        <f t="array" ref="G1964">_xlfn.XLOOKUP(I1964,Base_Datos!D:D,Base_Datos!B:B,"")</f>
        <v>DFSK</v>
      </c>
      <c r="H1964" s="3" t="str">
        <f t="array" ref="H1964">IF(I1964="","",IFERROR(_xlfn.XLOOKUP(I1964,Base_Datos!$D$2:$D3876,Base_Datos!$C$2:$C3876),""))</f>
        <v>Serie D</v>
      </c>
      <c r="I1964" s="3" t="s">
        <v>973</v>
      </c>
      <c r="J1964" s="3" t="str">
        <f>IF(I1964="","",IFERROR(VLOOKUP(I1964,Base_Datos!$D$2:$E$72,2,0),""))</f>
        <v>(1.5L)</v>
      </c>
      <c r="K1964" s="3"/>
      <c r="L1964" s="3"/>
      <c r="M1964" s="7">
        <v>13</v>
      </c>
      <c r="N1964" s="7">
        <v>0</v>
      </c>
    </row>
    <row r="1965" spans="1:14" ht="14.25" x14ac:dyDescent="0.2">
      <c r="A1965" s="3">
        <v>89603</v>
      </c>
      <c r="B1965" s="3" t="s">
        <v>3994</v>
      </c>
      <c r="C1965" s="3" t="s">
        <v>18</v>
      </c>
      <c r="D1965" s="6" t="s">
        <v>605</v>
      </c>
      <c r="E1965" s="6" t="s">
        <v>605</v>
      </c>
      <c r="F1965" s="3" t="str">
        <f>IFERROR( VLOOKUP(A1965,#REF!,2,0),"")</f>
        <v/>
      </c>
      <c r="G1965" s="3" t="str">
        <f t="array" ref="G1965">_xlfn.XLOOKUP(I1965,Base_Datos!D:D,Base_Datos!B:B,"")</f>
        <v>DFSK</v>
      </c>
      <c r="H1965" s="3" t="str">
        <f t="array" ref="H1965">IF(I1965="","",IFERROR(_xlfn.XLOOKUP(I1965,Base_Datos!$D$2:$D3876,Base_Datos!$C$2:$C3876),""))</f>
        <v>Serie D</v>
      </c>
      <c r="I1965" s="3" t="s">
        <v>973</v>
      </c>
      <c r="J1965" s="3" t="str">
        <f>IF(I1965="","",IFERROR(VLOOKUP(I1965,Base_Datos!$D$2:$E$72,2,0),""))</f>
        <v>(1.5L)</v>
      </c>
      <c r="K1965" s="3"/>
      <c r="L1965" s="3"/>
      <c r="M1965" s="7">
        <v>12</v>
      </c>
      <c r="N1965" s="7">
        <v>0</v>
      </c>
    </row>
    <row r="1966" spans="1:14" ht="14.25" x14ac:dyDescent="0.2">
      <c r="A1966" s="3">
        <v>89604</v>
      </c>
      <c r="B1966" s="3" t="s">
        <v>3995</v>
      </c>
      <c r="C1966" s="3" t="s">
        <v>15</v>
      </c>
      <c r="D1966" s="6" t="s">
        <v>606</v>
      </c>
      <c r="E1966" s="6" t="s">
        <v>606</v>
      </c>
      <c r="F1966" s="3" t="str">
        <f>IFERROR( VLOOKUP(A1966,#REF!,2,0),"")</f>
        <v/>
      </c>
      <c r="G1966" s="3">
        <f t="array" ref="G1966">_xlfn.XLOOKUP(I1966,Base_Datos!D:D,Base_Datos!B:B,"")</f>
        <v>0</v>
      </c>
      <c r="H1966" s="3" t="str">
        <f t="array" ref="H1966">IF(I1966="","",IFERROR(_xlfn.XLOOKUP(I1966,Base_Datos!$D$2:$D3876,Base_Datos!$C$2:$C3876),""))</f>
        <v/>
      </c>
      <c r="I1966" s="3"/>
      <c r="J1966" s="3" t="str">
        <f>IF(I1966="","",IFERROR(VLOOKUP(I1966,Base_Datos!$D$2:$E$72,2,0),""))</f>
        <v/>
      </c>
      <c r="K1966" s="3"/>
      <c r="L1966" s="3"/>
      <c r="M1966" s="7">
        <v>4</v>
      </c>
      <c r="N1966" s="7">
        <v>0</v>
      </c>
    </row>
    <row r="1967" spans="1:14" ht="14.25" x14ac:dyDescent="0.2">
      <c r="A1967" s="3">
        <v>89605</v>
      </c>
      <c r="B1967" s="3" t="s">
        <v>3701</v>
      </c>
      <c r="C1967" s="3" t="s">
        <v>18</v>
      </c>
      <c r="D1967" s="6" t="s">
        <v>607</v>
      </c>
      <c r="E1967" s="6" t="s">
        <v>980</v>
      </c>
      <c r="F1967" s="3" t="str">
        <f>IFERROR( VLOOKUP(A1967,#REF!,2,0),"")</f>
        <v/>
      </c>
      <c r="G1967" s="3" t="str">
        <f t="array" ref="G1967">_xlfn.XLOOKUP(I1967,Base_Datos!D:D,Base_Datos!B:B,"")</f>
        <v>DFSK</v>
      </c>
      <c r="H1967" s="3" t="str">
        <f t="array" ref="H1967">IF(I1967="","",IFERROR(_xlfn.XLOOKUP(I1967,Base_Datos!$D$2:$D3876,Base_Datos!$C$2:$C3876),""))</f>
        <v>Serie D</v>
      </c>
      <c r="I1967" s="3" t="s">
        <v>2785</v>
      </c>
      <c r="J1967" s="3" t="str">
        <f>IF(I1967="","",IFERROR(VLOOKUP(I1967,Base_Datos!$D$2:$E$72,2,0),""))</f>
        <v>(1.5L)</v>
      </c>
      <c r="K1967" s="3"/>
      <c r="L1967" s="3"/>
      <c r="M1967" s="7">
        <v>59</v>
      </c>
      <c r="N1967" s="7">
        <v>0</v>
      </c>
    </row>
    <row r="1968" spans="1:14" ht="14.25" x14ac:dyDescent="0.2">
      <c r="A1968" s="3">
        <v>89606</v>
      </c>
      <c r="B1968" s="3" t="s">
        <v>3996</v>
      </c>
      <c r="C1968" s="3" t="s">
        <v>18</v>
      </c>
      <c r="D1968" s="6" t="s">
        <v>608</v>
      </c>
      <c r="E1968" s="6" t="s">
        <v>608</v>
      </c>
      <c r="F1968" s="3" t="str">
        <f>IFERROR( VLOOKUP(A1968,#REF!,2,0),"")</f>
        <v/>
      </c>
      <c r="G1968" s="3" t="str">
        <f t="array" ref="G1968">_xlfn.XLOOKUP(I1968,Base_Datos!D:D,Base_Datos!B:B,"")</f>
        <v>DFSK</v>
      </c>
      <c r="H1968" s="3" t="str">
        <f t="array" ref="H1968">IF(I1968="","",IFERROR(_xlfn.XLOOKUP(I1968,Base_Datos!$D$2:$D3876,Base_Datos!$C$2:$C3876),""))</f>
        <v>Serie D</v>
      </c>
      <c r="I1968" s="3" t="s">
        <v>973</v>
      </c>
      <c r="J1968" s="3" t="str">
        <f>IF(I1968="","",IFERROR(VLOOKUP(I1968,Base_Datos!$D$2:$E$72,2,0),""))</f>
        <v>(1.5L)</v>
      </c>
      <c r="K1968" s="3"/>
      <c r="L1968" s="3"/>
      <c r="M1968" s="7">
        <v>21</v>
      </c>
      <c r="N1968" s="7">
        <v>0</v>
      </c>
    </row>
    <row r="1969" spans="1:14" ht="14.25" x14ac:dyDescent="0.2">
      <c r="A1969" s="3">
        <v>89607</v>
      </c>
      <c r="B1969" s="3" t="s">
        <v>3997</v>
      </c>
      <c r="C1969" s="3" t="s">
        <v>18</v>
      </c>
      <c r="D1969" s="6" t="s">
        <v>609</v>
      </c>
      <c r="E1969" s="6" t="s">
        <v>609</v>
      </c>
      <c r="F1969" s="3" t="str">
        <f>IFERROR( VLOOKUP(A1969,#REF!,2,0),"")</f>
        <v/>
      </c>
      <c r="G1969" s="3" t="str">
        <f t="array" ref="G1969">_xlfn.XLOOKUP(I1969,Base_Datos!D:D,Base_Datos!B:B,"")</f>
        <v>DFSK</v>
      </c>
      <c r="H1969" s="3" t="str">
        <f t="array" ref="H1969">IF(I1969="","",IFERROR(_xlfn.XLOOKUP(I1969,Base_Datos!$D$2:$D3876,Base_Datos!$C$2:$C3876),""))</f>
        <v>Serie D</v>
      </c>
      <c r="I1969" s="3" t="s">
        <v>973</v>
      </c>
      <c r="J1969" s="3" t="str">
        <f>IF(I1969="","",IFERROR(VLOOKUP(I1969,Base_Datos!$D$2:$E$72,2,0),""))</f>
        <v>(1.5L)</v>
      </c>
      <c r="K1969" s="3"/>
      <c r="L1969" s="3"/>
      <c r="M1969" s="7">
        <v>20</v>
      </c>
      <c r="N1969" s="7">
        <v>0</v>
      </c>
    </row>
    <row r="1970" spans="1:14" ht="14.25" x14ac:dyDescent="0.2">
      <c r="A1970" s="3">
        <v>89608</v>
      </c>
      <c r="B1970" s="3" t="s">
        <v>3998</v>
      </c>
      <c r="C1970" s="3" t="s">
        <v>15</v>
      </c>
      <c r="D1970" s="6" t="s">
        <v>610</v>
      </c>
      <c r="E1970" s="6" t="s">
        <v>418</v>
      </c>
      <c r="F1970" s="3" t="str">
        <f>IFERROR( VLOOKUP(A1970,#REF!,2,0),"")</f>
        <v/>
      </c>
      <c r="G1970" s="3">
        <f t="array" ref="G1970">_xlfn.XLOOKUP(I1970,Base_Datos!D:D,Base_Datos!B:B,"")</f>
        <v>0</v>
      </c>
      <c r="H1970" s="3" t="str">
        <f t="array" ref="H1970">IF(I1970="","",IFERROR(_xlfn.XLOOKUP(I1970,Base_Datos!$D$2:$D3876,Base_Datos!$C$2:$C3876),""))</f>
        <v/>
      </c>
      <c r="I1970" s="3"/>
      <c r="J1970" s="3" t="str">
        <f>IF(I1970="","",IFERROR(VLOOKUP(I1970,Base_Datos!$D$2:$E$72,2,0),""))</f>
        <v/>
      </c>
      <c r="K1970" s="3"/>
      <c r="L1970" s="3"/>
      <c r="M1970" s="7">
        <v>14</v>
      </c>
      <c r="N1970" s="7">
        <v>0</v>
      </c>
    </row>
    <row r="1971" spans="1:14" ht="14.25" x14ac:dyDescent="0.2">
      <c r="A1971" s="3">
        <v>89609</v>
      </c>
      <c r="B1971" s="3" t="s">
        <v>3999</v>
      </c>
      <c r="C1971" s="3" t="s">
        <v>18</v>
      </c>
      <c r="D1971" s="6" t="s">
        <v>611</v>
      </c>
      <c r="E1971" s="6" t="s">
        <v>611</v>
      </c>
      <c r="F1971" s="3" t="str">
        <f>IFERROR( VLOOKUP(A1971,#REF!,2,0),"")</f>
        <v/>
      </c>
      <c r="G1971" s="3" t="str">
        <f t="array" ref="G1971">_xlfn.XLOOKUP(I1971,Base_Datos!D:D,Base_Datos!B:B,"")</f>
        <v>DFSK</v>
      </c>
      <c r="H1971" s="3" t="str">
        <f t="array" ref="H1971">IF(I1971="","",IFERROR(_xlfn.XLOOKUP(I1971,Base_Datos!$D$2:$D3876,Base_Datos!$C$2:$C3876),""))</f>
        <v>Serie D</v>
      </c>
      <c r="I1971" s="3" t="s">
        <v>973</v>
      </c>
      <c r="J1971" s="3" t="str">
        <f>IF(I1971="","",IFERROR(VLOOKUP(I1971,Base_Datos!$D$2:$E$72,2,0),""))</f>
        <v>(1.5L)</v>
      </c>
      <c r="K1971" s="3"/>
      <c r="L1971" s="3"/>
      <c r="M1971" s="7">
        <v>15</v>
      </c>
      <c r="N1971" s="7">
        <v>0</v>
      </c>
    </row>
    <row r="1972" spans="1:14" ht="14.25" x14ac:dyDescent="0.2">
      <c r="A1972" s="3">
        <v>89610</v>
      </c>
      <c r="B1972" s="3" t="s">
        <v>4000</v>
      </c>
      <c r="C1972" s="3" t="s">
        <v>18</v>
      </c>
      <c r="D1972" s="6" t="s">
        <v>612</v>
      </c>
      <c r="E1972" s="6" t="s">
        <v>612</v>
      </c>
      <c r="F1972" s="3" t="str">
        <f>IFERROR( VLOOKUP(A1972,#REF!,2,0),"")</f>
        <v/>
      </c>
      <c r="G1972" s="3" t="str">
        <f t="array" ref="G1972">_xlfn.XLOOKUP(I1972,Base_Datos!D:D,Base_Datos!B:B,"")</f>
        <v>DFSK</v>
      </c>
      <c r="H1972" s="3" t="str">
        <f t="array" ref="H1972">IF(I1972="","",IFERROR(_xlfn.XLOOKUP(I1972,Base_Datos!$D$2:$D3876,Base_Datos!$C$2:$C3876),""))</f>
        <v>Serie D</v>
      </c>
      <c r="I1972" s="3" t="s">
        <v>973</v>
      </c>
      <c r="J1972" s="3" t="str">
        <f>IF(I1972="","",IFERROR(VLOOKUP(I1972,Base_Datos!$D$2:$E$72,2,0),""))</f>
        <v>(1.5L)</v>
      </c>
      <c r="K1972" s="3"/>
      <c r="L1972" s="3"/>
      <c r="M1972" s="7">
        <v>12</v>
      </c>
      <c r="N1972" s="7">
        <v>0</v>
      </c>
    </row>
    <row r="1973" spans="1:14" ht="14.25" x14ac:dyDescent="0.2">
      <c r="A1973" s="3">
        <v>89611</v>
      </c>
      <c r="B1973" s="3" t="s">
        <v>4001</v>
      </c>
      <c r="C1973" s="3" t="s">
        <v>18</v>
      </c>
      <c r="D1973" s="6" t="s">
        <v>613</v>
      </c>
      <c r="E1973" s="6" t="s">
        <v>613</v>
      </c>
      <c r="F1973" s="3" t="str">
        <f>IFERROR( VLOOKUP(A1973,#REF!,2,0),"")</f>
        <v/>
      </c>
      <c r="G1973" s="3" t="str">
        <f t="array" ref="G1973">_xlfn.XLOOKUP(I1973,Base_Datos!D:D,Base_Datos!B:B,"")</f>
        <v>DFSK</v>
      </c>
      <c r="H1973" s="3" t="str">
        <f t="array" ref="H1973">IF(I1973="","",IFERROR(_xlfn.XLOOKUP(I1973,Base_Datos!$D$2:$D3876,Base_Datos!$C$2:$C3876),""))</f>
        <v>Serie D</v>
      </c>
      <c r="I1973" s="3" t="s">
        <v>973</v>
      </c>
      <c r="J1973" s="3" t="str">
        <f>IF(I1973="","",IFERROR(VLOOKUP(I1973,Base_Datos!$D$2:$E$72,2,0),""))</f>
        <v>(1.5L)</v>
      </c>
      <c r="K1973" s="3"/>
      <c r="L1973" s="3"/>
      <c r="M1973" s="7">
        <v>12</v>
      </c>
      <c r="N1973" s="7">
        <v>0</v>
      </c>
    </row>
    <row r="1974" spans="1:14" ht="14.25" x14ac:dyDescent="0.2">
      <c r="A1974" s="3">
        <v>89612</v>
      </c>
      <c r="B1974" s="3" t="s">
        <v>4000</v>
      </c>
      <c r="C1974" s="3" t="s">
        <v>18</v>
      </c>
      <c r="D1974" s="6" t="s">
        <v>614</v>
      </c>
      <c r="E1974" s="6" t="s">
        <v>614</v>
      </c>
      <c r="F1974" s="3" t="str">
        <f>IFERROR( VLOOKUP(A1974,#REF!,2,0),"")</f>
        <v/>
      </c>
      <c r="G1974" s="3" t="str">
        <f t="array" ref="G1974">_xlfn.XLOOKUP(I1974,Base_Datos!D:D,Base_Datos!B:B,"")</f>
        <v>DFSK</v>
      </c>
      <c r="H1974" s="3" t="str">
        <f t="array" ref="H1974">IF(I1974="","",IFERROR(_xlfn.XLOOKUP(I1974,Base_Datos!$D$2:$D3876,Base_Datos!$C$2:$C3876),""))</f>
        <v>Serie D</v>
      </c>
      <c r="I1974" s="3" t="s">
        <v>973</v>
      </c>
      <c r="J1974" s="3" t="str">
        <f>IF(I1974="","",IFERROR(VLOOKUP(I1974,Base_Datos!$D$2:$E$72,2,0),""))</f>
        <v>(1.5L)</v>
      </c>
      <c r="K1974" s="3"/>
      <c r="L1974" s="3"/>
      <c r="M1974" s="7">
        <v>12</v>
      </c>
      <c r="N1974" s="7">
        <v>0</v>
      </c>
    </row>
    <row r="1975" spans="1:14" ht="14.25" x14ac:dyDescent="0.2">
      <c r="A1975" s="3">
        <v>89613</v>
      </c>
      <c r="B1975" s="3" t="s">
        <v>4002</v>
      </c>
      <c r="C1975" s="3" t="s">
        <v>18</v>
      </c>
      <c r="D1975" s="6" t="s">
        <v>615</v>
      </c>
      <c r="E1975" s="6" t="s">
        <v>615</v>
      </c>
      <c r="F1975" s="3" t="str">
        <f>IFERROR( VLOOKUP(A1975,#REF!,2,0),"")</f>
        <v/>
      </c>
      <c r="G1975" s="3" t="str">
        <f t="array" ref="G1975">_xlfn.XLOOKUP(I1975,Base_Datos!D:D,Base_Datos!B:B,"")</f>
        <v>DFSK</v>
      </c>
      <c r="H1975" s="3" t="str">
        <f t="array" ref="H1975">IF(I1975="","",IFERROR(_xlfn.XLOOKUP(I1975,Base_Datos!$D$2:$D3876,Base_Datos!$C$2:$C3876),""))</f>
        <v>Serie D</v>
      </c>
      <c r="I1975" s="3" t="s">
        <v>973</v>
      </c>
      <c r="J1975" s="3" t="str">
        <f>IF(I1975="","",IFERROR(VLOOKUP(I1975,Base_Datos!$D$2:$E$72,2,0),""))</f>
        <v>(1.5L)</v>
      </c>
      <c r="K1975" s="3"/>
      <c r="L1975" s="3"/>
      <c r="M1975" s="7">
        <v>10</v>
      </c>
      <c r="N1975" s="7">
        <v>0</v>
      </c>
    </row>
    <row r="1976" spans="1:14" ht="14.25" x14ac:dyDescent="0.2">
      <c r="A1976" s="3">
        <v>89614</v>
      </c>
      <c r="B1976" s="3" t="s">
        <v>2426</v>
      </c>
      <c r="C1976" s="3" t="s">
        <v>18</v>
      </c>
      <c r="D1976" s="6" t="s">
        <v>616</v>
      </c>
      <c r="E1976" s="6" t="s">
        <v>2427</v>
      </c>
      <c r="F1976" s="3" t="str">
        <f>IFERROR( VLOOKUP(A1976,#REF!,2,0),"")</f>
        <v/>
      </c>
      <c r="G1976" s="3">
        <f t="array" ref="G1976">_xlfn.XLOOKUP(I1976,Base_Datos!D:D,Base_Datos!B:B,"")</f>
        <v>0</v>
      </c>
      <c r="H1976" s="3" t="str">
        <f t="array" ref="H1976">IF(I1976="","",IFERROR(_xlfn.XLOOKUP(I1976,Base_Datos!$D$2:$D3876,Base_Datos!$C$2:$C3876),""))</f>
        <v/>
      </c>
      <c r="I1976" s="3"/>
      <c r="J1976" s="3" t="str">
        <f>IF(I1976="","",IFERROR(VLOOKUP(I1976,Base_Datos!$D$2:$E$72,2,0),""))</f>
        <v/>
      </c>
      <c r="K1976" s="3"/>
      <c r="L1976" s="3"/>
      <c r="M1976" s="7">
        <v>6</v>
      </c>
      <c r="N1976" s="7">
        <v>0</v>
      </c>
    </row>
    <row r="1977" spans="1:14" ht="14.25" x14ac:dyDescent="0.2">
      <c r="A1977" s="3">
        <v>89615</v>
      </c>
      <c r="B1977" s="3" t="s">
        <v>4003</v>
      </c>
      <c r="C1977" s="3" t="s">
        <v>18</v>
      </c>
      <c r="D1977" s="6" t="s">
        <v>617</v>
      </c>
      <c r="E1977" s="6" t="s">
        <v>617</v>
      </c>
      <c r="F1977" s="3" t="str">
        <f>IFERROR( VLOOKUP(A1977,#REF!,2,0),"")</f>
        <v/>
      </c>
      <c r="G1977" s="3" t="str">
        <f t="array" ref="G1977">_xlfn.XLOOKUP(I1977,Base_Datos!D:D,Base_Datos!B:B,"")</f>
        <v>DFSK</v>
      </c>
      <c r="H1977" s="3" t="str">
        <f t="array" ref="H1977">IF(I1977="","",IFERROR(_xlfn.XLOOKUP(I1977,Base_Datos!$D$2:$D3876,Base_Datos!$C$2:$C3876),""))</f>
        <v>Serie D</v>
      </c>
      <c r="I1977" s="3" t="s">
        <v>973</v>
      </c>
      <c r="J1977" s="3" t="str">
        <f>IF(I1977="","",IFERROR(VLOOKUP(I1977,Base_Datos!$D$2:$E$72,2,0),""))</f>
        <v>(1.5L)</v>
      </c>
      <c r="K1977" s="3"/>
      <c r="L1977" s="3"/>
      <c r="M1977" s="7">
        <v>5</v>
      </c>
      <c r="N1977" s="7">
        <v>0</v>
      </c>
    </row>
    <row r="1978" spans="1:14" ht="14.25" x14ac:dyDescent="0.2">
      <c r="A1978" s="3">
        <v>89616</v>
      </c>
      <c r="B1978" s="3" t="s">
        <v>4004</v>
      </c>
      <c r="C1978" s="3" t="s">
        <v>18</v>
      </c>
      <c r="D1978" s="6" t="s">
        <v>618</v>
      </c>
      <c r="E1978" s="6" t="s">
        <v>3651</v>
      </c>
      <c r="F1978" s="3" t="str">
        <f>IFERROR( VLOOKUP(A1978,#REF!,2,0),"")</f>
        <v/>
      </c>
      <c r="G1978" s="3" t="str">
        <f t="array" ref="G1978">_xlfn.XLOOKUP(I1978,Base_Datos!D:D,Base_Datos!B:B,"")</f>
        <v>DFSK</v>
      </c>
      <c r="H1978" s="3" t="str">
        <f t="array" ref="H1978">IF(I1978="","",IFERROR(_xlfn.XLOOKUP(I1978,Base_Datos!$D$2:$D3876,Base_Datos!$C$2:$C3876),""))</f>
        <v>Serie Glory</v>
      </c>
      <c r="I1978" s="3" t="s">
        <v>1765</v>
      </c>
      <c r="J1978" s="3" t="str">
        <f>IF(I1978="","",IFERROR(VLOOKUP(I1978,Base_Datos!$D$2:$E$72,2,0),""))</f>
        <v>(1.5L)</v>
      </c>
      <c r="K1978" s="3" t="s">
        <v>3738</v>
      </c>
      <c r="L1978" s="3"/>
      <c r="M1978" s="7">
        <v>7</v>
      </c>
      <c r="N1978" s="7">
        <v>0</v>
      </c>
    </row>
    <row r="1979" spans="1:14" ht="14.25" x14ac:dyDescent="0.2">
      <c r="A1979" s="3">
        <v>89617</v>
      </c>
      <c r="B1979" s="3" t="s">
        <v>4005</v>
      </c>
      <c r="C1979" s="3" t="s">
        <v>18</v>
      </c>
      <c r="D1979" s="6" t="s">
        <v>249</v>
      </c>
      <c r="E1979" s="6" t="s">
        <v>249</v>
      </c>
      <c r="F1979" s="3" t="str">
        <f>IFERROR( VLOOKUP(A1979,#REF!,2,0),"")</f>
        <v/>
      </c>
      <c r="G1979" s="3" t="str">
        <f t="array" ref="G1979">_xlfn.XLOOKUP(I1979,Base_Datos!D:D,Base_Datos!B:B,"")</f>
        <v>DFSK</v>
      </c>
      <c r="H1979" s="3" t="str">
        <f t="array" ref="H1979">IF(I1979="","",IFERROR(_xlfn.XLOOKUP(I1979,Base_Datos!$D$2:$D3876,Base_Datos!$C$2:$C3876),""))</f>
        <v>Serie D</v>
      </c>
      <c r="I1979" s="3" t="s">
        <v>973</v>
      </c>
      <c r="J1979" s="3" t="str">
        <f>IF(I1979="","",IFERROR(VLOOKUP(I1979,Base_Datos!$D$2:$E$72,2,0),""))</f>
        <v>(1.5L)</v>
      </c>
      <c r="K1979" s="3" t="s">
        <v>4006</v>
      </c>
      <c r="L1979" s="3"/>
      <c r="M1979" s="7">
        <v>16</v>
      </c>
      <c r="N1979" s="7">
        <v>0</v>
      </c>
    </row>
    <row r="1980" spans="1:14" ht="14.25" x14ac:dyDescent="0.2">
      <c r="A1980" s="3">
        <v>89618</v>
      </c>
      <c r="B1980" s="3" t="s">
        <v>4007</v>
      </c>
      <c r="C1980" s="3" t="s">
        <v>18</v>
      </c>
      <c r="D1980" s="6" t="s">
        <v>619</v>
      </c>
      <c r="E1980" s="6" t="s">
        <v>4008</v>
      </c>
      <c r="F1980" s="3" t="str">
        <f>IFERROR( VLOOKUP(A1980,#REF!,2,0),"")</f>
        <v/>
      </c>
      <c r="G1980" s="3" t="str">
        <f t="array" ref="G1980">_xlfn.XLOOKUP(I1980,Base_Datos!D:D,Base_Datos!B:B,"")</f>
        <v>DFSK</v>
      </c>
      <c r="H1980" s="3" t="str">
        <f t="array" ref="H1980">IF(I1980="","",IFERROR(_xlfn.XLOOKUP(I1980,Base_Datos!$D$2:$D3876,Base_Datos!$C$2:$C3876),""))</f>
        <v>Serie D</v>
      </c>
      <c r="I1980" s="3" t="s">
        <v>973</v>
      </c>
      <c r="J1980" s="3" t="str">
        <f>IF(I1980="","",IFERROR(VLOOKUP(I1980,Base_Datos!$D$2:$E$72,2,0),""))</f>
        <v>(1.5L)</v>
      </c>
      <c r="K1980" s="3"/>
      <c r="L1980" s="3"/>
      <c r="M1980" s="7">
        <v>68</v>
      </c>
      <c r="N1980" s="7">
        <v>0</v>
      </c>
    </row>
    <row r="1981" spans="1:14" ht="14.25" x14ac:dyDescent="0.2">
      <c r="A1981" s="3">
        <v>89619</v>
      </c>
      <c r="B1981" s="3" t="s">
        <v>3502</v>
      </c>
      <c r="C1981" s="3" t="s">
        <v>15</v>
      </c>
      <c r="D1981" s="6" t="s">
        <v>620</v>
      </c>
      <c r="E1981" s="6" t="s">
        <v>620</v>
      </c>
      <c r="F1981" s="3" t="str">
        <f>IFERROR( VLOOKUP(A1981,#REF!,2,0),"")</f>
        <v/>
      </c>
      <c r="G1981" s="3">
        <f t="array" ref="G1981">_xlfn.XLOOKUP(I1981,Base_Datos!D:D,Base_Datos!B:B,"")</f>
        <v>0</v>
      </c>
      <c r="H1981" s="3" t="str">
        <f t="array" ref="H1981">IF(I1981="","",IFERROR(_xlfn.XLOOKUP(I1981,Base_Datos!$D$2:$D3876,Base_Datos!$C$2:$C3876),""))</f>
        <v/>
      </c>
      <c r="I1981" s="3"/>
      <c r="J1981" s="3" t="str">
        <f>IF(I1981="","",IFERROR(VLOOKUP(I1981,Base_Datos!$D$2:$E$72,2,0),""))</f>
        <v/>
      </c>
      <c r="K1981" s="3"/>
      <c r="L1981" s="3"/>
      <c r="M1981" s="7">
        <v>12</v>
      </c>
      <c r="N1981" s="7">
        <v>0</v>
      </c>
    </row>
    <row r="1982" spans="1:14" ht="14.25" x14ac:dyDescent="0.2">
      <c r="A1982" s="3">
        <v>89620</v>
      </c>
      <c r="B1982" s="3" t="s">
        <v>4009</v>
      </c>
      <c r="C1982" s="3" t="s">
        <v>18</v>
      </c>
      <c r="D1982" s="6" t="s">
        <v>4010</v>
      </c>
      <c r="E1982" s="6" t="s">
        <v>4010</v>
      </c>
      <c r="F1982" s="3" t="str">
        <f>IFERROR( VLOOKUP(A1982,#REF!,2,0),"")</f>
        <v/>
      </c>
      <c r="G1982" s="3" t="str">
        <f t="array" ref="G1982">_xlfn.XLOOKUP(I1982,Base_Datos!D:D,Base_Datos!B:B,"")</f>
        <v>DFSK</v>
      </c>
      <c r="H1982" s="3" t="str">
        <f t="array" ref="H1982">IF(I1982="","",IFERROR(_xlfn.XLOOKUP(I1982,Base_Datos!$D$2:$D3876,Base_Datos!$C$2:$C3876),""))</f>
        <v>Serie D</v>
      </c>
      <c r="I1982" s="3" t="s">
        <v>973</v>
      </c>
      <c r="J1982" s="3" t="str">
        <f>IF(I1982="","",IFERROR(VLOOKUP(I1982,Base_Datos!$D$2:$E$72,2,0),""))</f>
        <v>(1.5L)</v>
      </c>
      <c r="K1982" s="3"/>
      <c r="L1982" s="3"/>
      <c r="M1982" s="7">
        <v>0</v>
      </c>
      <c r="N1982" s="7">
        <v>0</v>
      </c>
    </row>
    <row r="1983" spans="1:14" ht="14.25" x14ac:dyDescent="0.2">
      <c r="A1983" s="3" t="s">
        <v>26</v>
      </c>
      <c r="B1983" s="3" t="s">
        <v>4011</v>
      </c>
      <c r="C1983" s="3" t="s">
        <v>15</v>
      </c>
      <c r="D1983" s="6" t="s">
        <v>3793</v>
      </c>
      <c r="E1983" s="6" t="s">
        <v>3793</v>
      </c>
      <c r="F1983" s="3" t="str">
        <f>IFERROR( VLOOKUP(A1983,#REF!,2,0),"")</f>
        <v/>
      </c>
      <c r="G1983" s="3">
        <f t="array" ref="G1983">_xlfn.XLOOKUP(I1983,Base_Datos!D:D,Base_Datos!B:B,"")</f>
        <v>0</v>
      </c>
      <c r="H1983" s="3" t="str">
        <f t="array" ref="H1983">IF(I1983="","",IFERROR(_xlfn.XLOOKUP(I1983,Base_Datos!$D$2:$D3876,Base_Datos!$C$2:$C3876),""))</f>
        <v/>
      </c>
      <c r="I1983" s="3"/>
      <c r="J1983" s="3" t="str">
        <f>IF(I1983="","",IFERROR(VLOOKUP(I1983,Base_Datos!$D$2:$E$72,2,0),""))</f>
        <v/>
      </c>
      <c r="K1983" s="3"/>
      <c r="L1983" s="3"/>
      <c r="M1983" s="7">
        <v>0</v>
      </c>
      <c r="N1983" s="7">
        <v>0</v>
      </c>
    </row>
    <row r="1984" spans="1:14" ht="14.25" x14ac:dyDescent="0.2">
      <c r="A1984" s="3">
        <v>89621</v>
      </c>
      <c r="B1984" s="3" t="s">
        <v>4012</v>
      </c>
      <c r="C1984" s="3" t="s">
        <v>18</v>
      </c>
      <c r="D1984" s="6" t="s">
        <v>621</v>
      </c>
      <c r="E1984" s="6" t="s">
        <v>621</v>
      </c>
      <c r="F1984" s="3" t="str">
        <f>IFERROR( VLOOKUP(A1984,#REF!,2,0),"")</f>
        <v/>
      </c>
      <c r="G1984" s="3" t="str">
        <f t="array" ref="G1984">_xlfn.XLOOKUP(I1984,Base_Datos!D:D,Base_Datos!B:B,"")</f>
        <v>DFSK</v>
      </c>
      <c r="H1984" s="3" t="str">
        <f t="array" ref="H1984">IF(I1984="","",IFERROR(_xlfn.XLOOKUP(I1984,Base_Datos!$D$2:$D3876,Base_Datos!$C$2:$C3876),""))</f>
        <v>Serie D</v>
      </c>
      <c r="I1984" s="3" t="s">
        <v>973</v>
      </c>
      <c r="J1984" s="3" t="str">
        <f>IF(I1984="","",IFERROR(VLOOKUP(I1984,Base_Datos!$D$2:$E$72,2,0),""))</f>
        <v>(1.5L)</v>
      </c>
      <c r="K1984" s="3"/>
      <c r="L1984" s="3"/>
      <c r="M1984" s="7">
        <v>15</v>
      </c>
      <c r="N1984" s="7">
        <v>0</v>
      </c>
    </row>
    <row r="1985" spans="1:14" ht="14.25" x14ac:dyDescent="0.2">
      <c r="A1985" s="3">
        <v>89622</v>
      </c>
      <c r="B1985" s="3" t="s">
        <v>4013</v>
      </c>
      <c r="C1985" s="3" t="s">
        <v>15</v>
      </c>
      <c r="D1985" s="6" t="s">
        <v>622</v>
      </c>
      <c r="E1985" s="6" t="s">
        <v>622</v>
      </c>
      <c r="F1985" s="3" t="str">
        <f>IFERROR( VLOOKUP(A1985,#REF!,2,0),"")</f>
        <v/>
      </c>
      <c r="G1985" s="3">
        <f t="array" ref="G1985">_xlfn.XLOOKUP(I1985,Base_Datos!D:D,Base_Datos!B:B,"")</f>
        <v>0</v>
      </c>
      <c r="H1985" s="3" t="str">
        <f t="array" ref="H1985">IF(I1985="","",IFERROR(_xlfn.XLOOKUP(I1985,Base_Datos!$D$2:$D3876,Base_Datos!$C$2:$C3876),""))</f>
        <v/>
      </c>
      <c r="I1985" s="3"/>
      <c r="J1985" s="3" t="str">
        <f>IF(I1985="","",IFERROR(VLOOKUP(I1985,Base_Datos!$D$2:$E$72,2,0),""))</f>
        <v/>
      </c>
      <c r="K1985" s="3"/>
      <c r="L1985" s="3"/>
      <c r="M1985" s="7">
        <v>0</v>
      </c>
      <c r="N1985" s="7">
        <v>0</v>
      </c>
    </row>
    <row r="1986" spans="1:14" ht="14.25" x14ac:dyDescent="0.2">
      <c r="A1986" s="3">
        <v>89623</v>
      </c>
      <c r="B1986" s="3" t="s">
        <v>4014</v>
      </c>
      <c r="C1986" s="3" t="s">
        <v>15</v>
      </c>
      <c r="D1986" s="6" t="s">
        <v>623</v>
      </c>
      <c r="E1986" s="6" t="s">
        <v>623</v>
      </c>
      <c r="F1986" s="3" t="str">
        <f>IFERROR( VLOOKUP(A1986,#REF!,2,0),"")</f>
        <v/>
      </c>
      <c r="G1986" s="3">
        <f t="array" ref="G1986">_xlfn.XLOOKUP(I1986,Base_Datos!D:D,Base_Datos!B:B,"")</f>
        <v>0</v>
      </c>
      <c r="H1986" s="3" t="str">
        <f t="array" ref="H1986">IF(I1986="","",IFERROR(_xlfn.XLOOKUP(I1986,Base_Datos!$D$2:$D3876,Base_Datos!$C$2:$C3876),""))</f>
        <v/>
      </c>
      <c r="I1986" s="3"/>
      <c r="J1986" s="3" t="str">
        <f>IF(I1986="","",IFERROR(VLOOKUP(I1986,Base_Datos!$D$2:$E$72,2,0),""))</f>
        <v/>
      </c>
      <c r="K1986" s="3"/>
      <c r="L1986" s="3"/>
      <c r="M1986" s="7">
        <v>0</v>
      </c>
      <c r="N1986" s="7">
        <v>0</v>
      </c>
    </row>
    <row r="1987" spans="1:14" ht="14.25" x14ac:dyDescent="0.2">
      <c r="A1987" s="3">
        <v>89624</v>
      </c>
      <c r="B1987" s="3" t="s">
        <v>4015</v>
      </c>
      <c r="C1987" s="3" t="s">
        <v>15</v>
      </c>
      <c r="D1987" s="6" t="s">
        <v>4016</v>
      </c>
      <c r="E1987" s="6" t="s">
        <v>4016</v>
      </c>
      <c r="F1987" s="3" t="str">
        <f>IFERROR( VLOOKUP(A1987,#REF!,2,0),"")</f>
        <v/>
      </c>
      <c r="G1987" s="3">
        <f t="array" ref="G1987">_xlfn.XLOOKUP(I1987,Base_Datos!D:D,Base_Datos!B:B,"")</f>
        <v>0</v>
      </c>
      <c r="H1987" s="3" t="str">
        <f t="array" ref="H1987">IF(I1987="","",IFERROR(_xlfn.XLOOKUP(I1987,Base_Datos!$D$2:$D3876,Base_Datos!$C$2:$C3876),""))</f>
        <v/>
      </c>
      <c r="I1987" s="3"/>
      <c r="J1987" s="3" t="str">
        <f>IF(I1987="","",IFERROR(VLOOKUP(I1987,Base_Datos!$D$2:$E$72,2,0),""))</f>
        <v/>
      </c>
      <c r="K1987" s="3"/>
      <c r="L1987" s="3"/>
      <c r="M1987" s="7">
        <v>0</v>
      </c>
      <c r="N1987" s="7">
        <v>0</v>
      </c>
    </row>
    <row r="1988" spans="1:14" ht="14.25" x14ac:dyDescent="0.2">
      <c r="A1988" s="3">
        <v>89625</v>
      </c>
      <c r="B1988" s="3" t="s">
        <v>4017</v>
      </c>
      <c r="C1988" s="3" t="s">
        <v>15</v>
      </c>
      <c r="D1988" s="6" t="s">
        <v>624</v>
      </c>
      <c r="E1988" s="6" t="s">
        <v>4018</v>
      </c>
      <c r="F1988" s="3" t="str">
        <f>IFERROR( VLOOKUP(A1988,#REF!,2,0),"")</f>
        <v/>
      </c>
      <c r="G1988" s="3">
        <f t="array" ref="G1988">_xlfn.XLOOKUP(I1988,Base_Datos!D:D,Base_Datos!B:B,"")</f>
        <v>0</v>
      </c>
      <c r="H1988" s="3" t="str">
        <f t="array" ref="H1988">IF(I1988="","",IFERROR(_xlfn.XLOOKUP(I1988,Base_Datos!$D$2:$D3876,Base_Datos!$C$2:$C3876),""))</f>
        <v/>
      </c>
      <c r="I1988" s="3"/>
      <c r="J1988" s="3" t="str">
        <f>IF(I1988="","",IFERROR(VLOOKUP(I1988,Base_Datos!$D$2:$E$72,2,0),""))</f>
        <v/>
      </c>
      <c r="K1988" s="3"/>
      <c r="L1988" s="3"/>
      <c r="M1988" s="7">
        <v>0</v>
      </c>
      <c r="N1988" s="7">
        <v>0</v>
      </c>
    </row>
    <row r="1989" spans="1:14" ht="14.25" x14ac:dyDescent="0.2">
      <c r="A1989" s="3">
        <v>89626</v>
      </c>
      <c r="B1989" s="3" t="s">
        <v>2687</v>
      </c>
      <c r="C1989" s="3" t="s">
        <v>18</v>
      </c>
      <c r="D1989" s="6" t="s">
        <v>625</v>
      </c>
      <c r="E1989" s="6" t="s">
        <v>625</v>
      </c>
      <c r="F1989" s="3" t="str">
        <f>IFERROR( VLOOKUP(A1989,#REF!,2,0),"")</f>
        <v/>
      </c>
      <c r="G1989" s="3" t="str">
        <f t="array" ref="G1989">_xlfn.XLOOKUP(I1989,Base_Datos!D:D,Base_Datos!B:B,"")</f>
        <v>DFSK</v>
      </c>
      <c r="H1989" s="3" t="str">
        <f t="array" ref="H1989">IF(I1989="","",IFERROR(_xlfn.XLOOKUP(I1989,Base_Datos!$D$2:$D3876,Base_Datos!$C$2:$C3876),""))</f>
        <v>Serie Glory</v>
      </c>
      <c r="I1989" s="3" t="s">
        <v>1765</v>
      </c>
      <c r="J1989" s="3" t="str">
        <f>IF(I1989="","",IFERROR(VLOOKUP(I1989,Base_Datos!$D$2:$E$72,2,0),""))</f>
        <v>(1.5L)</v>
      </c>
      <c r="K1989" s="3"/>
      <c r="L1989" s="3"/>
      <c r="M1989" s="7">
        <v>7</v>
      </c>
      <c r="N1989" s="7">
        <v>0</v>
      </c>
    </row>
    <row r="1990" spans="1:14" ht="14.25" x14ac:dyDescent="0.2">
      <c r="A1990" s="3">
        <v>89627</v>
      </c>
      <c r="B1990" s="3" t="s">
        <v>4019</v>
      </c>
      <c r="C1990" s="3" t="s">
        <v>18</v>
      </c>
      <c r="D1990" s="6" t="s">
        <v>626</v>
      </c>
      <c r="E1990" s="6" t="s">
        <v>626</v>
      </c>
      <c r="F1990" s="3" t="str">
        <f>IFERROR( VLOOKUP(A1990,#REF!,2,0),"")</f>
        <v/>
      </c>
      <c r="G1990" s="3" t="str">
        <f t="array" ref="G1990">_xlfn.XLOOKUP(I1990,Base_Datos!D:D,Base_Datos!B:B,"")</f>
        <v>DFSK</v>
      </c>
      <c r="H1990" s="3" t="str">
        <f t="array" ref="H1990">IF(I1990="","",IFERROR(_xlfn.XLOOKUP(I1990,Base_Datos!$D$2:$D3876,Base_Datos!$C$2:$C3876),""))</f>
        <v>Serie D</v>
      </c>
      <c r="I1990" s="3" t="s">
        <v>973</v>
      </c>
      <c r="J1990" s="3" t="str">
        <f>IF(I1990="","",IFERROR(VLOOKUP(I1990,Base_Datos!$D$2:$E$72,2,0),""))</f>
        <v>(1.5L)</v>
      </c>
      <c r="K1990" s="3"/>
      <c r="L1990" s="3"/>
      <c r="M1990" s="7">
        <v>5</v>
      </c>
      <c r="N1990" s="7">
        <v>0</v>
      </c>
    </row>
    <row r="1991" spans="1:14" ht="14.25" x14ac:dyDescent="0.2">
      <c r="A1991" s="3">
        <v>89628</v>
      </c>
      <c r="B1991" s="3" t="s">
        <v>4020</v>
      </c>
      <c r="C1991" s="3" t="s">
        <v>18</v>
      </c>
      <c r="D1991" s="6" t="s">
        <v>627</v>
      </c>
      <c r="E1991" s="6" t="s">
        <v>627</v>
      </c>
      <c r="F1991" s="3" t="str">
        <f>IFERROR( VLOOKUP(A1991,#REF!,2,0),"")</f>
        <v/>
      </c>
      <c r="G1991" s="3" t="str">
        <f t="array" ref="G1991">_xlfn.XLOOKUP(I1991,Base_Datos!D:D,Base_Datos!B:B,"")</f>
        <v>DFSK</v>
      </c>
      <c r="H1991" s="3" t="str">
        <f t="array" ref="H1991">IF(I1991="","",IFERROR(_xlfn.XLOOKUP(I1991,Base_Datos!$D$2:$D3876,Base_Datos!$C$2:$C3876),""))</f>
        <v>Serie D</v>
      </c>
      <c r="I1991" s="3" t="s">
        <v>973</v>
      </c>
      <c r="J1991" s="3" t="str">
        <f>IF(I1991="","",IFERROR(VLOOKUP(I1991,Base_Datos!$D$2:$E$72,2,0),""))</f>
        <v>(1.5L)</v>
      </c>
      <c r="K1991" s="3"/>
      <c r="L1991" s="3"/>
      <c r="M1991" s="7">
        <v>5</v>
      </c>
      <c r="N1991" s="7">
        <v>0</v>
      </c>
    </row>
    <row r="1992" spans="1:14" ht="14.25" x14ac:dyDescent="0.2">
      <c r="A1992" s="3">
        <v>89629</v>
      </c>
      <c r="B1992" s="3" t="s">
        <v>4021</v>
      </c>
      <c r="C1992" s="3" t="s">
        <v>18</v>
      </c>
      <c r="D1992" s="6" t="s">
        <v>628</v>
      </c>
      <c r="E1992" s="6" t="s">
        <v>628</v>
      </c>
      <c r="F1992" s="3" t="str">
        <f>IFERROR( VLOOKUP(A1992,#REF!,2,0),"")</f>
        <v/>
      </c>
      <c r="G1992" s="3" t="str">
        <f t="array" ref="G1992">_xlfn.XLOOKUP(I1992,Base_Datos!D:D,Base_Datos!B:B,"")</f>
        <v>DFSK</v>
      </c>
      <c r="H1992" s="3" t="str">
        <f t="array" ref="H1992">IF(I1992="","",IFERROR(_xlfn.XLOOKUP(I1992,Base_Datos!$D$2:$D3876,Base_Datos!$C$2:$C3876),""))</f>
        <v>Serie Glory</v>
      </c>
      <c r="I1992" s="3" t="s">
        <v>1765</v>
      </c>
      <c r="J1992" s="3" t="str">
        <f>IF(I1992="","",IFERROR(VLOOKUP(I1992,Base_Datos!$D$2:$E$72,2,0),""))</f>
        <v>(1.5L)</v>
      </c>
      <c r="K1992" s="3" t="s">
        <v>4022</v>
      </c>
      <c r="L1992" s="3"/>
      <c r="M1992" s="7">
        <v>8</v>
      </c>
      <c r="N1992" s="7">
        <v>0</v>
      </c>
    </row>
    <row r="1993" spans="1:14" ht="14.25" x14ac:dyDescent="0.2">
      <c r="A1993" s="3">
        <v>89630</v>
      </c>
      <c r="B1993" s="3" t="s">
        <v>4023</v>
      </c>
      <c r="C1993" s="3" t="s">
        <v>18</v>
      </c>
      <c r="D1993" s="6" t="s">
        <v>629</v>
      </c>
      <c r="E1993" s="6" t="s">
        <v>629</v>
      </c>
      <c r="F1993" s="3" t="str">
        <f>IFERROR( VLOOKUP(A1993,#REF!,2,0),"")</f>
        <v/>
      </c>
      <c r="G1993" s="3" t="str">
        <f t="array" ref="G1993">_xlfn.XLOOKUP(I1993,Base_Datos!D:D,Base_Datos!B:B,"")</f>
        <v>DFSK</v>
      </c>
      <c r="H1993" s="3" t="str">
        <f t="array" ref="H1993">IF(I1993="","",IFERROR(_xlfn.XLOOKUP(I1993,Base_Datos!$D$2:$D3876,Base_Datos!$C$2:$C3876),""))</f>
        <v>Serie Glory</v>
      </c>
      <c r="I1993" s="3" t="s">
        <v>1765</v>
      </c>
      <c r="J1993" s="3" t="str">
        <f>IF(I1993="","",IFERROR(VLOOKUP(I1993,Base_Datos!$D$2:$E$72,2,0),""))</f>
        <v>(1.5L)</v>
      </c>
      <c r="K1993" s="3" t="s">
        <v>4024</v>
      </c>
      <c r="L1993" s="3"/>
      <c r="M1993" s="7">
        <v>8</v>
      </c>
      <c r="N1993" s="7">
        <v>0</v>
      </c>
    </row>
    <row r="1994" spans="1:14" ht="14.25" x14ac:dyDescent="0.2">
      <c r="A1994" s="3">
        <v>89631</v>
      </c>
      <c r="B1994" s="3" t="s">
        <v>4025</v>
      </c>
      <c r="C1994" s="3" t="s">
        <v>18</v>
      </c>
      <c r="D1994" s="6" t="s">
        <v>630</v>
      </c>
      <c r="E1994" s="6" t="s">
        <v>4026</v>
      </c>
      <c r="F1994" s="3" t="str">
        <f>IFERROR( VLOOKUP(A1994,#REF!,2,0),"")</f>
        <v/>
      </c>
      <c r="G1994" s="3" t="str">
        <f t="array" ref="G1994">_xlfn.XLOOKUP(I1994,Base_Datos!D:D,Base_Datos!B:B,"")</f>
        <v>DFSK</v>
      </c>
      <c r="H1994" s="3" t="str">
        <f t="array" ref="H1994">IF(I1994="","",IFERROR(_xlfn.XLOOKUP(I1994,Base_Datos!$D$2:$D3876,Base_Datos!$C$2:$C3876),""))</f>
        <v>Serie D</v>
      </c>
      <c r="I1994" s="3" t="s">
        <v>973</v>
      </c>
      <c r="J1994" s="3" t="str">
        <f>IF(I1994="","",IFERROR(VLOOKUP(I1994,Base_Datos!$D$2:$E$72,2,0),""))</f>
        <v>(1.5L)</v>
      </c>
      <c r="K1994" s="3" t="s">
        <v>2881</v>
      </c>
      <c r="L1994" s="3"/>
      <c r="M1994" s="7">
        <v>96</v>
      </c>
      <c r="N1994" s="7">
        <v>0</v>
      </c>
    </row>
    <row r="1995" spans="1:14" ht="14.25" x14ac:dyDescent="0.2">
      <c r="A1995" s="3">
        <v>89632</v>
      </c>
      <c r="B1995" s="3" t="s">
        <v>4027</v>
      </c>
      <c r="C1995" s="3" t="s">
        <v>18</v>
      </c>
      <c r="D1995" s="6" t="s">
        <v>631</v>
      </c>
      <c r="E1995" s="6" t="s">
        <v>631</v>
      </c>
      <c r="F1995" s="3" t="str">
        <f>IFERROR( VLOOKUP(A1995,#REF!,2,0),"")</f>
        <v/>
      </c>
      <c r="G1995" s="3" t="str">
        <f t="array" ref="G1995">_xlfn.XLOOKUP(I1995,Base_Datos!D:D,Base_Datos!B:B,"")</f>
        <v>DFSK</v>
      </c>
      <c r="H1995" s="3" t="str">
        <f t="array" ref="H1995">IF(I1995="","",IFERROR(_xlfn.XLOOKUP(I1995,Base_Datos!$D$2:$D3876,Base_Datos!$C$2:$C3876),""))</f>
        <v>Serie D</v>
      </c>
      <c r="I1995" s="3" t="s">
        <v>973</v>
      </c>
      <c r="J1995" s="3" t="str">
        <f>IF(I1995="","",IFERROR(VLOOKUP(I1995,Base_Datos!$D$2:$E$72,2,0),""))</f>
        <v>(1.5L)</v>
      </c>
      <c r="K1995" s="3"/>
      <c r="L1995" s="3"/>
      <c r="M1995" s="7">
        <v>104</v>
      </c>
      <c r="N1995" s="7">
        <v>0</v>
      </c>
    </row>
    <row r="1996" spans="1:14" ht="14.25" x14ac:dyDescent="0.2">
      <c r="A1996" s="3">
        <v>89633</v>
      </c>
      <c r="B1996" s="3" t="s">
        <v>4028</v>
      </c>
      <c r="C1996" s="3" t="s">
        <v>18</v>
      </c>
      <c r="D1996" s="6" t="s">
        <v>632</v>
      </c>
      <c r="E1996" s="6" t="s">
        <v>632</v>
      </c>
      <c r="F1996" s="3" t="str">
        <f>IFERROR( VLOOKUP(A1996,#REF!,2,0),"")</f>
        <v/>
      </c>
      <c r="G1996" s="3" t="str">
        <f t="array" ref="G1996">_xlfn.XLOOKUP(I1996,Base_Datos!D:D,Base_Datos!B:B,"")</f>
        <v>DFSK</v>
      </c>
      <c r="H1996" s="3" t="str">
        <f t="array" ref="H1996">IF(I1996="","",IFERROR(_xlfn.XLOOKUP(I1996,Base_Datos!$D$2:$D3876,Base_Datos!$C$2:$C3876),""))</f>
        <v>Serie D</v>
      </c>
      <c r="I1996" s="3" t="s">
        <v>973</v>
      </c>
      <c r="J1996" s="3" t="str">
        <f>IF(I1996="","",IFERROR(VLOOKUP(I1996,Base_Datos!$D$2:$E$72,2,0),""))</f>
        <v>(1.5L)</v>
      </c>
      <c r="K1996" s="3"/>
      <c r="L1996" s="3"/>
      <c r="M1996" s="7">
        <v>104</v>
      </c>
      <c r="N1996" s="7">
        <v>0</v>
      </c>
    </row>
    <row r="1997" spans="1:14" ht="14.25" x14ac:dyDescent="0.2">
      <c r="A1997" s="3">
        <v>89634</v>
      </c>
      <c r="B1997" s="3" t="s">
        <v>2402</v>
      </c>
      <c r="C1997" s="3" t="s">
        <v>18</v>
      </c>
      <c r="D1997" s="6" t="s">
        <v>633</v>
      </c>
      <c r="E1997" s="6" t="s">
        <v>633</v>
      </c>
      <c r="F1997" s="3" t="str">
        <f>IFERROR( VLOOKUP(A1997,#REF!,2,0),"")</f>
        <v/>
      </c>
      <c r="G1997" s="3" t="str">
        <f t="array" ref="G1997">_xlfn.XLOOKUP(I1997,Base_Datos!D:D,Base_Datos!B:B,"")</f>
        <v>DFSK</v>
      </c>
      <c r="H1997" s="3" t="str">
        <f t="array" ref="H1997">IF(I1997="","",IFERROR(_xlfn.XLOOKUP(I1997,Base_Datos!$D$2:$D3876,Base_Datos!$C$2:$C3876),""))</f>
        <v>Serie Glory</v>
      </c>
      <c r="I1997" s="3" t="s">
        <v>1765</v>
      </c>
      <c r="J1997" s="3" t="str">
        <f>IF(I1997="","",IFERROR(VLOOKUP(I1997,Base_Datos!$D$2:$E$72,2,0),""))</f>
        <v>(1.5L)</v>
      </c>
      <c r="K1997" s="3"/>
      <c r="L1997" s="3"/>
      <c r="M1997" s="7">
        <v>16</v>
      </c>
      <c r="N1997" s="7">
        <v>0</v>
      </c>
    </row>
    <row r="1998" spans="1:14" ht="14.25" x14ac:dyDescent="0.2">
      <c r="A1998" s="3">
        <v>89635</v>
      </c>
      <c r="B1998" s="3" t="s">
        <v>4029</v>
      </c>
      <c r="C1998" s="3" t="s">
        <v>18</v>
      </c>
      <c r="D1998" s="6" t="s">
        <v>634</v>
      </c>
      <c r="E1998" s="6" t="s">
        <v>634</v>
      </c>
      <c r="F1998" s="3" t="str">
        <f>IFERROR( VLOOKUP(A1998,#REF!,2,0),"")</f>
        <v/>
      </c>
      <c r="G1998" s="3" t="str">
        <f t="array" ref="G1998">_xlfn.XLOOKUP(I1998,Base_Datos!D:D,Base_Datos!B:B,"")</f>
        <v>DFSK</v>
      </c>
      <c r="H1998" s="3" t="str">
        <f t="array" ref="H1998">IF(I1998="","",IFERROR(_xlfn.XLOOKUP(I1998,Base_Datos!$D$2:$D3876,Base_Datos!$C$2:$C3876),""))</f>
        <v>Serie D</v>
      </c>
      <c r="I1998" s="3" t="s">
        <v>973</v>
      </c>
      <c r="J1998" s="3" t="str">
        <f>IF(I1998="","",IFERROR(VLOOKUP(I1998,Base_Datos!$D$2:$E$72,2,0),""))</f>
        <v>(1.5L)</v>
      </c>
      <c r="K1998" s="3"/>
      <c r="L1998" s="3"/>
      <c r="M1998" s="7">
        <v>6</v>
      </c>
      <c r="N1998" s="7">
        <v>0</v>
      </c>
    </row>
    <row r="1999" spans="1:14" ht="14.25" x14ac:dyDescent="0.2">
      <c r="A1999" s="3">
        <v>89636</v>
      </c>
      <c r="B1999" s="3" t="s">
        <v>4030</v>
      </c>
      <c r="C1999" s="3" t="s">
        <v>18</v>
      </c>
      <c r="D1999" s="6" t="s">
        <v>635</v>
      </c>
      <c r="E1999" s="6" t="s">
        <v>635</v>
      </c>
      <c r="F1999" s="3" t="str">
        <f>IFERROR( VLOOKUP(A1999,#REF!,2,0),"")</f>
        <v/>
      </c>
      <c r="G1999" s="3" t="str">
        <f t="array" ref="G1999">_xlfn.XLOOKUP(I1999,Base_Datos!D:D,Base_Datos!B:B,"")</f>
        <v>DFSK</v>
      </c>
      <c r="H1999" s="3" t="str">
        <f t="array" ref="H1999">IF(I1999="","",IFERROR(_xlfn.XLOOKUP(I1999,Base_Datos!$D$2:$D3876,Base_Datos!$C$2:$C3876),""))</f>
        <v>Serie D</v>
      </c>
      <c r="I1999" s="3" t="s">
        <v>973</v>
      </c>
      <c r="J1999" s="3" t="str">
        <f>IF(I1999="","",IFERROR(VLOOKUP(I1999,Base_Datos!$D$2:$E$72,2,0),""))</f>
        <v>(1.5L)</v>
      </c>
      <c r="K1999" s="3"/>
      <c r="L1999" s="3"/>
      <c r="M1999" s="7">
        <v>10</v>
      </c>
      <c r="N1999" s="7">
        <v>0</v>
      </c>
    </row>
    <row r="2000" spans="1:14" ht="14.25" x14ac:dyDescent="0.2">
      <c r="A2000" s="3">
        <v>89637</v>
      </c>
      <c r="B2000" s="3" t="s">
        <v>2564</v>
      </c>
      <c r="C2000" s="3" t="s">
        <v>18</v>
      </c>
      <c r="D2000" s="6" t="s">
        <v>636</v>
      </c>
      <c r="E2000" s="6" t="s">
        <v>636</v>
      </c>
      <c r="F2000" s="3" t="str">
        <f>IFERROR( VLOOKUP(A2000,#REF!,2,0),"")</f>
        <v/>
      </c>
      <c r="G2000" s="3" t="str">
        <f t="array" ref="G2000">_xlfn.XLOOKUP(I2000,Base_Datos!D:D,Base_Datos!B:B,"")</f>
        <v>DFSK</v>
      </c>
      <c r="H2000" s="3" t="str">
        <f t="array" ref="H2000">IF(I2000="","",IFERROR(_xlfn.XLOOKUP(I2000,Base_Datos!$D$2:$D3876,Base_Datos!$C$2:$C3876),""))</f>
        <v>Serie D</v>
      </c>
      <c r="I2000" s="3" t="s">
        <v>973</v>
      </c>
      <c r="J2000" s="3" t="str">
        <f>IF(I2000="","",IFERROR(VLOOKUP(I2000,Base_Datos!$D$2:$E$72,2,0),""))</f>
        <v>(1.5L)</v>
      </c>
      <c r="K2000" s="3"/>
      <c r="L2000" s="3"/>
      <c r="M2000" s="7">
        <v>9</v>
      </c>
      <c r="N2000" s="7">
        <v>0</v>
      </c>
    </row>
    <row r="2001" spans="1:14" ht="14.25" x14ac:dyDescent="0.2">
      <c r="A2001" s="3">
        <v>89638</v>
      </c>
      <c r="B2001" s="3" t="s">
        <v>4031</v>
      </c>
      <c r="C2001" s="3" t="s">
        <v>18</v>
      </c>
      <c r="D2001" s="6" t="s">
        <v>637</v>
      </c>
      <c r="E2001" s="6" t="s">
        <v>637</v>
      </c>
      <c r="F2001" s="3" t="str">
        <f>IFERROR( VLOOKUP(A2001,#REF!,2,0),"")</f>
        <v/>
      </c>
      <c r="G2001" s="3" t="str">
        <f t="array" ref="G2001">_xlfn.XLOOKUP(I2001,Base_Datos!D:D,Base_Datos!B:B,"")</f>
        <v>DFSK</v>
      </c>
      <c r="H2001" s="3" t="str">
        <f t="array" ref="H2001">IF(I2001="","",IFERROR(_xlfn.XLOOKUP(I2001,Base_Datos!$D$2:$D3876,Base_Datos!$C$2:$C3876),""))</f>
        <v>Serie D</v>
      </c>
      <c r="I2001" s="3" t="s">
        <v>973</v>
      </c>
      <c r="J2001" s="3" t="str">
        <f>IF(I2001="","",IFERROR(VLOOKUP(I2001,Base_Datos!$D$2:$E$72,2,0),""))</f>
        <v>(1.5L)</v>
      </c>
      <c r="K2001" s="3"/>
      <c r="L2001" s="3"/>
      <c r="M2001" s="7">
        <v>6</v>
      </c>
      <c r="N2001" s="7">
        <v>0</v>
      </c>
    </row>
    <row r="2002" spans="1:14" ht="14.25" x14ac:dyDescent="0.2">
      <c r="A2002" s="3">
        <v>89639</v>
      </c>
      <c r="B2002" s="3" t="s">
        <v>4032</v>
      </c>
      <c r="C2002" s="3" t="s">
        <v>15</v>
      </c>
      <c r="D2002" s="6" t="s">
        <v>638</v>
      </c>
      <c r="E2002" s="6" t="s">
        <v>1782</v>
      </c>
      <c r="F2002" s="3" t="str">
        <f>IFERROR( VLOOKUP(A2002,#REF!,2,0),"")</f>
        <v/>
      </c>
      <c r="G2002" s="3">
        <f t="array" ref="G2002">_xlfn.XLOOKUP(I2002,Base_Datos!D:D,Base_Datos!B:B,"")</f>
        <v>0</v>
      </c>
      <c r="H2002" s="3" t="str">
        <f t="array" ref="H2002">IF(I2002="","",IFERROR(_xlfn.XLOOKUP(I2002,Base_Datos!$D$2:$D3876,Base_Datos!$C$2:$C3876),""))</f>
        <v/>
      </c>
      <c r="I2002" s="3"/>
      <c r="J2002" s="3" t="str">
        <f>IF(I2002="","",IFERROR(VLOOKUP(I2002,Base_Datos!$D$2:$E$72,2,0),""))</f>
        <v/>
      </c>
      <c r="K2002" s="3"/>
      <c r="L2002" s="3"/>
      <c r="M2002" s="7">
        <v>12</v>
      </c>
      <c r="N2002" s="7">
        <v>0</v>
      </c>
    </row>
    <row r="2003" spans="1:14" ht="14.25" x14ac:dyDescent="0.2">
      <c r="A2003" s="3">
        <v>89640</v>
      </c>
      <c r="B2003" s="3" t="s">
        <v>3518</v>
      </c>
      <c r="C2003" s="3" t="s">
        <v>18</v>
      </c>
      <c r="D2003" s="6" t="s">
        <v>639</v>
      </c>
      <c r="E2003" s="6" t="s">
        <v>4033</v>
      </c>
      <c r="F2003" s="3" t="str">
        <f>IFERROR( VLOOKUP(A2003,#REF!,2,0),"")</f>
        <v/>
      </c>
      <c r="G2003" s="3" t="str">
        <f t="array" ref="G2003">_xlfn.XLOOKUP(I2003,Base_Datos!D:D,Base_Datos!B:B,"")</f>
        <v>DFSK</v>
      </c>
      <c r="H2003" s="3" t="str">
        <f t="array" ref="H2003">IF(I2003="","",IFERROR(_xlfn.XLOOKUP(I2003,Base_Datos!$D$2:$D3876,Base_Datos!$C$2:$C3876),""))</f>
        <v>Serie D</v>
      </c>
      <c r="I2003" s="3" t="s">
        <v>973</v>
      </c>
      <c r="J2003" s="3" t="str">
        <f>IF(I2003="","",IFERROR(VLOOKUP(I2003,Base_Datos!$D$2:$E$72,2,0),""))</f>
        <v>(1.5L)</v>
      </c>
      <c r="K2003" s="3"/>
      <c r="L2003" s="3"/>
      <c r="M2003" s="7">
        <v>23</v>
      </c>
      <c r="N2003" s="7">
        <v>0</v>
      </c>
    </row>
    <row r="2004" spans="1:14" ht="14.25" x14ac:dyDescent="0.2">
      <c r="A2004" s="3">
        <v>89641</v>
      </c>
      <c r="B2004" s="3" t="s">
        <v>4034</v>
      </c>
      <c r="C2004" s="3" t="s">
        <v>18</v>
      </c>
      <c r="D2004" s="6" t="s">
        <v>640</v>
      </c>
      <c r="E2004" s="6" t="s">
        <v>1782</v>
      </c>
      <c r="F2004" s="3" t="str">
        <f>IFERROR( VLOOKUP(A2004,#REF!,2,0),"")</f>
        <v/>
      </c>
      <c r="G2004" s="3">
        <f t="array" ref="G2004">_xlfn.XLOOKUP(I2004,Base_Datos!D:D,Base_Datos!B:B,"")</f>
        <v>0</v>
      </c>
      <c r="H2004" s="3" t="str">
        <f t="array" ref="H2004">IF(I2004="","",IFERROR(_xlfn.XLOOKUP(I2004,Base_Datos!$D$2:$D3876,Base_Datos!$C$2:$C3876),""))</f>
        <v/>
      </c>
      <c r="I2004" s="3"/>
      <c r="J2004" s="3" t="str">
        <f>IF(I2004="","",IFERROR(VLOOKUP(I2004,Base_Datos!$D$2:$E$72,2,0),""))</f>
        <v/>
      </c>
      <c r="K2004" s="3"/>
      <c r="L2004" s="3"/>
      <c r="M2004" s="7">
        <v>10</v>
      </c>
      <c r="N2004" s="7">
        <v>0</v>
      </c>
    </row>
    <row r="2005" spans="1:14" ht="14.25" x14ac:dyDescent="0.2">
      <c r="A2005" s="3">
        <v>89642</v>
      </c>
      <c r="B2005" s="3" t="s">
        <v>4035</v>
      </c>
      <c r="C2005" s="3" t="s">
        <v>18</v>
      </c>
      <c r="D2005" s="6" t="s">
        <v>641</v>
      </c>
      <c r="E2005" s="6" t="s">
        <v>3840</v>
      </c>
      <c r="F2005" s="3" t="str">
        <f>IFERROR( VLOOKUP(A2005,#REF!,2,0),"")</f>
        <v/>
      </c>
      <c r="G2005" s="3">
        <f t="array" ref="G2005">_xlfn.XLOOKUP(I2005,Base_Datos!D:D,Base_Datos!B:B,"")</f>
        <v>0</v>
      </c>
      <c r="H2005" s="3" t="str">
        <f t="array" ref="H2005">IF(I2005="","",IFERROR(_xlfn.XLOOKUP(I2005,Base_Datos!$D$2:$D3876,Base_Datos!$C$2:$C3876),""))</f>
        <v/>
      </c>
      <c r="I2005" s="3"/>
      <c r="J2005" s="3" t="str">
        <f>IF(I2005="","",IFERROR(VLOOKUP(I2005,Base_Datos!$D$2:$E$72,2,0),""))</f>
        <v/>
      </c>
      <c r="K2005" s="3"/>
      <c r="L2005" s="3"/>
      <c r="M2005" s="7">
        <v>14</v>
      </c>
      <c r="N2005" s="7">
        <v>0</v>
      </c>
    </row>
    <row r="2006" spans="1:14" ht="14.25" x14ac:dyDescent="0.2">
      <c r="A2006" s="3">
        <v>89643</v>
      </c>
      <c r="B2006" s="3" t="s">
        <v>3801</v>
      </c>
      <c r="C2006" s="3" t="s">
        <v>18</v>
      </c>
      <c r="D2006" s="6" t="s">
        <v>642</v>
      </c>
      <c r="E2006" s="6" t="s">
        <v>642</v>
      </c>
      <c r="F2006" s="3" t="str">
        <f>IFERROR( VLOOKUP(A2006,#REF!,2,0),"")</f>
        <v/>
      </c>
      <c r="G2006" s="3" t="str">
        <f t="array" ref="G2006">_xlfn.XLOOKUP(I2006,Base_Datos!D:D,Base_Datos!B:B,"")</f>
        <v>DFSK</v>
      </c>
      <c r="H2006" s="3" t="str">
        <f t="array" ref="H2006">IF(I2006="","",IFERROR(_xlfn.XLOOKUP(I2006,Base_Datos!$D$2:$D3876,Base_Datos!$C$2:$C3876),""))</f>
        <v>Serie D</v>
      </c>
      <c r="I2006" s="3" t="s">
        <v>973</v>
      </c>
      <c r="J2006" s="3" t="str">
        <f>IF(I2006="","",IFERROR(VLOOKUP(I2006,Base_Datos!$D$2:$E$72,2,0),""))</f>
        <v>(1.5L)</v>
      </c>
      <c r="K2006" s="3"/>
      <c r="L2006" s="3"/>
      <c r="M2006" s="7">
        <v>5</v>
      </c>
      <c r="N2006" s="7">
        <v>0</v>
      </c>
    </row>
    <row r="2007" spans="1:14" ht="14.25" x14ac:dyDescent="0.2">
      <c r="A2007" s="3">
        <v>89644</v>
      </c>
      <c r="B2007" s="3" t="s">
        <v>3800</v>
      </c>
      <c r="C2007" s="3" t="s">
        <v>18</v>
      </c>
      <c r="D2007" s="6" t="s">
        <v>643</v>
      </c>
      <c r="E2007" s="6" t="s">
        <v>643</v>
      </c>
      <c r="F2007" s="3" t="str">
        <f>IFERROR( VLOOKUP(A2007,#REF!,2,0),"")</f>
        <v/>
      </c>
      <c r="G2007" s="3" t="str">
        <f t="array" ref="G2007">_xlfn.XLOOKUP(I2007,Base_Datos!D:D,Base_Datos!B:B,"")</f>
        <v>DFSK</v>
      </c>
      <c r="H2007" s="3" t="str">
        <f t="array" ref="H2007">IF(I2007="","",IFERROR(_xlfn.XLOOKUP(I2007,Base_Datos!$D$2:$D3876,Base_Datos!$C$2:$C3876),""))</f>
        <v>Serie D</v>
      </c>
      <c r="I2007" s="3" t="s">
        <v>973</v>
      </c>
      <c r="J2007" s="3" t="str">
        <f>IF(I2007="","",IFERROR(VLOOKUP(I2007,Base_Datos!$D$2:$E$72,2,0),""))</f>
        <v>(1.5L)</v>
      </c>
      <c r="K2007" s="3"/>
      <c r="L2007" s="3"/>
      <c r="M2007" s="7">
        <v>6</v>
      </c>
      <c r="N2007" s="7">
        <v>0</v>
      </c>
    </row>
    <row r="2008" spans="1:14" ht="14.25" x14ac:dyDescent="0.2">
      <c r="A2008" s="3">
        <v>89645</v>
      </c>
      <c r="B2008" s="3" t="s">
        <v>4036</v>
      </c>
      <c r="C2008" s="3" t="s">
        <v>15</v>
      </c>
      <c r="D2008" s="6" t="s">
        <v>341</v>
      </c>
      <c r="E2008" s="6" t="s">
        <v>744</v>
      </c>
      <c r="F2008" s="3" t="str">
        <f>IFERROR( VLOOKUP(A2008,#REF!,2,0),"")</f>
        <v/>
      </c>
      <c r="G2008" s="3">
        <f t="array" ref="G2008">_xlfn.XLOOKUP(I2008,Base_Datos!D:D,Base_Datos!B:B,"")</f>
        <v>0</v>
      </c>
      <c r="H2008" s="3" t="str">
        <f t="array" ref="H2008">IF(I2008="","",IFERROR(_xlfn.XLOOKUP(I2008,Base_Datos!$D$2:$D3876,Base_Datos!$C$2:$C3876),""))</f>
        <v/>
      </c>
      <c r="I2008" s="3"/>
      <c r="J2008" s="3" t="str">
        <f>IF(I2008="","",IFERROR(VLOOKUP(I2008,Base_Datos!$D$2:$E$72,2,0),""))</f>
        <v/>
      </c>
      <c r="K2008" s="3"/>
      <c r="L2008" s="3"/>
      <c r="M2008" s="7">
        <v>3</v>
      </c>
      <c r="N2008" s="7">
        <v>0</v>
      </c>
    </row>
    <row r="2009" spans="1:14" ht="14.25" x14ac:dyDescent="0.2">
      <c r="A2009" s="3">
        <v>89646</v>
      </c>
      <c r="B2009" s="3" t="s">
        <v>1938</v>
      </c>
      <c r="C2009" s="3" t="s">
        <v>18</v>
      </c>
      <c r="D2009" s="6" t="s">
        <v>644</v>
      </c>
      <c r="E2009" s="6" t="s">
        <v>644</v>
      </c>
      <c r="F2009" s="3" t="str">
        <f>IFERROR( VLOOKUP(A2009,#REF!,2,0),"")</f>
        <v/>
      </c>
      <c r="G2009" s="3" t="str">
        <f t="array" ref="G2009">_xlfn.XLOOKUP(I2009,Base_Datos!D:D,Base_Datos!B:B,"")</f>
        <v>DFSK</v>
      </c>
      <c r="H2009" s="3" t="str">
        <f t="array" ref="H2009">IF(I2009="","",IFERROR(_xlfn.XLOOKUP(I2009,Base_Datos!$D$2:$D3876,Base_Datos!$C$2:$C3876),""))</f>
        <v>Serie C</v>
      </c>
      <c r="I2009" s="3" t="s">
        <v>343</v>
      </c>
      <c r="J2009" s="3" t="str">
        <f>IF(I2009="","",IFERROR(VLOOKUP(I2009,Base_Datos!$D$2:$E$72,2,0),""))</f>
        <v>(1.5L)</v>
      </c>
      <c r="K2009" s="3"/>
      <c r="L2009" s="3"/>
      <c r="M2009" s="7">
        <v>100</v>
      </c>
      <c r="N2009" s="7">
        <v>0</v>
      </c>
    </row>
    <row r="2010" spans="1:14" ht="14.25" x14ac:dyDescent="0.2">
      <c r="A2010" s="3">
        <v>89647</v>
      </c>
      <c r="B2010" s="3" t="s">
        <v>4037</v>
      </c>
      <c r="C2010" s="3" t="s">
        <v>18</v>
      </c>
      <c r="D2010" s="6" t="s">
        <v>645</v>
      </c>
      <c r="E2010" s="6" t="s">
        <v>645</v>
      </c>
      <c r="F2010" s="3" t="str">
        <f>IFERROR( VLOOKUP(A2010,#REF!,2,0),"")</f>
        <v/>
      </c>
      <c r="G2010" s="3" t="str">
        <f t="array" ref="G2010">_xlfn.XLOOKUP(I2010,Base_Datos!D:D,Base_Datos!B:B,"")</f>
        <v>DFSK</v>
      </c>
      <c r="H2010" s="3" t="str">
        <f t="array" ref="H2010">IF(I2010="","",IFERROR(_xlfn.XLOOKUP(I2010,Base_Datos!$D$2:$D3876,Base_Datos!$C$2:$C3876),""))</f>
        <v>Serie D</v>
      </c>
      <c r="I2010" s="3" t="s">
        <v>973</v>
      </c>
      <c r="J2010" s="3" t="str">
        <f>IF(I2010="","",IFERROR(VLOOKUP(I2010,Base_Datos!$D$2:$E$72,2,0),""))</f>
        <v>(1.5L)</v>
      </c>
      <c r="K2010" s="3"/>
      <c r="L2010" s="3"/>
      <c r="M2010" s="7">
        <v>8</v>
      </c>
      <c r="N2010" s="7">
        <v>0</v>
      </c>
    </row>
    <row r="2011" spans="1:14" ht="14.25" x14ac:dyDescent="0.2">
      <c r="A2011" s="3">
        <v>89648</v>
      </c>
      <c r="B2011" s="3" t="s">
        <v>3809</v>
      </c>
      <c r="C2011" s="3" t="s">
        <v>18</v>
      </c>
      <c r="D2011" s="6" t="s">
        <v>646</v>
      </c>
      <c r="E2011" s="6" t="s">
        <v>646</v>
      </c>
      <c r="F2011" s="3" t="str">
        <f>IFERROR( VLOOKUP(A2011,#REF!,2,0),"")</f>
        <v/>
      </c>
      <c r="G2011" s="3" t="str">
        <f t="array" ref="G2011">_xlfn.XLOOKUP(I2011,Base_Datos!D:D,Base_Datos!B:B,"")</f>
        <v>DFSK</v>
      </c>
      <c r="H2011" s="3" t="str">
        <f t="array" ref="H2011">IF(I2011="","",IFERROR(_xlfn.XLOOKUP(I2011,Base_Datos!$D$2:$D3876,Base_Datos!$C$2:$C3876),""))</f>
        <v>Serie D</v>
      </c>
      <c r="I2011" s="3" t="s">
        <v>973</v>
      </c>
      <c r="J2011" s="3" t="str">
        <f>IF(I2011="","",IFERROR(VLOOKUP(I2011,Base_Datos!$D$2:$E$72,2,0),""))</f>
        <v>(1.5L)</v>
      </c>
      <c r="K2011" s="3"/>
      <c r="L2011" s="3"/>
      <c r="M2011" s="7">
        <v>9</v>
      </c>
      <c r="N2011" s="7">
        <v>0</v>
      </c>
    </row>
    <row r="2012" spans="1:14" ht="14.25" x14ac:dyDescent="0.2">
      <c r="A2012" s="3">
        <v>89649</v>
      </c>
      <c r="B2012" s="3" t="s">
        <v>4038</v>
      </c>
      <c r="C2012" s="3" t="s">
        <v>18</v>
      </c>
      <c r="D2012" s="6" t="s">
        <v>695</v>
      </c>
      <c r="E2012" s="6" t="s">
        <v>695</v>
      </c>
      <c r="F2012" s="3" t="str">
        <f>IFERROR( VLOOKUP(A2012,#REF!,2,0),"")</f>
        <v/>
      </c>
      <c r="G2012" s="3" t="str">
        <f t="array" ref="G2012">_xlfn.XLOOKUP(I2012,Base_Datos!D:D,Base_Datos!B:B,"")</f>
        <v>DFSK</v>
      </c>
      <c r="H2012" s="3" t="str">
        <f t="array" ref="H2012">IF(I2012="","",IFERROR(_xlfn.XLOOKUP(I2012,Base_Datos!$D$2:$D3876,Base_Datos!$C$2:$C3876),""))</f>
        <v>Serie Glory</v>
      </c>
      <c r="I2012" s="3" t="s">
        <v>1765</v>
      </c>
      <c r="J2012" s="3" t="str">
        <f>IF(I2012="","",IFERROR(VLOOKUP(I2012,Base_Datos!$D$2:$E$72,2,0),""))</f>
        <v>(1.5L)</v>
      </c>
      <c r="K2012" s="3" t="s">
        <v>2881</v>
      </c>
      <c r="L2012" s="3"/>
      <c r="M2012" s="7">
        <v>99</v>
      </c>
      <c r="N2012" s="7">
        <v>0</v>
      </c>
    </row>
    <row r="2013" spans="1:14" ht="14.25" x14ac:dyDescent="0.2">
      <c r="A2013" s="3">
        <v>89650</v>
      </c>
      <c r="B2013" s="3" t="s">
        <v>4039</v>
      </c>
      <c r="C2013" s="3" t="s">
        <v>18</v>
      </c>
      <c r="D2013" s="6" t="s">
        <v>647</v>
      </c>
      <c r="E2013" s="6" t="s">
        <v>647</v>
      </c>
      <c r="F2013" s="3" t="str">
        <f>IFERROR( VLOOKUP(A2013,#REF!,2,0),"")</f>
        <v/>
      </c>
      <c r="G2013" s="3" t="str">
        <f t="array" ref="G2013">_xlfn.XLOOKUP(I2013,Base_Datos!D:D,Base_Datos!B:B,"")</f>
        <v>DFSK</v>
      </c>
      <c r="H2013" s="3" t="str">
        <f t="array" ref="H2013">IF(I2013="","",IFERROR(_xlfn.XLOOKUP(I2013,Base_Datos!$D$2:$D3876,Base_Datos!$C$2:$C3876),""))</f>
        <v>Serie D</v>
      </c>
      <c r="I2013" s="3" t="s">
        <v>973</v>
      </c>
      <c r="J2013" s="3" t="str">
        <f>IF(I2013="","",IFERROR(VLOOKUP(I2013,Base_Datos!$D$2:$E$72,2,0),""))</f>
        <v>(1.5L)</v>
      </c>
      <c r="K2013" s="3"/>
      <c r="L2013" s="3"/>
      <c r="M2013" s="7">
        <v>10</v>
      </c>
      <c r="N2013" s="7">
        <v>0</v>
      </c>
    </row>
    <row r="2014" spans="1:14" ht="14.25" x14ac:dyDescent="0.2">
      <c r="A2014" s="3">
        <v>89651</v>
      </c>
      <c r="B2014" s="3" t="s">
        <v>4040</v>
      </c>
      <c r="C2014" s="3" t="s">
        <v>18</v>
      </c>
      <c r="D2014" s="6" t="s">
        <v>2950</v>
      </c>
      <c r="E2014" s="6" t="s">
        <v>2950</v>
      </c>
      <c r="F2014" s="3" t="str">
        <f>IFERROR( VLOOKUP(A2014,#REF!,2,0),"")</f>
        <v/>
      </c>
      <c r="G2014" s="3" t="str">
        <f t="array" ref="G2014">_xlfn.XLOOKUP(I2014,Base_Datos!D:D,Base_Datos!B:B,"")</f>
        <v>DFSK</v>
      </c>
      <c r="H2014" s="3" t="str">
        <f t="array" ref="H2014">IF(I2014="","",IFERROR(_xlfn.XLOOKUP(I2014,Base_Datos!$D$2:$D3876,Base_Datos!$C$2:$C3876),""))</f>
        <v>Serie Glory</v>
      </c>
      <c r="I2014" s="3" t="s">
        <v>1765</v>
      </c>
      <c r="J2014" s="3" t="str">
        <f>IF(I2014="","",IFERROR(VLOOKUP(I2014,Base_Datos!$D$2:$E$72,2,0),""))</f>
        <v>(1.5L)</v>
      </c>
      <c r="K2014" s="3"/>
      <c r="L2014" s="3"/>
      <c r="M2014" s="7">
        <v>16</v>
      </c>
      <c r="N2014" s="7">
        <v>0</v>
      </c>
    </row>
    <row r="2015" spans="1:14" ht="14.25" x14ac:dyDescent="0.2">
      <c r="A2015" s="3">
        <v>89652</v>
      </c>
      <c r="B2015" s="3" t="s">
        <v>1928</v>
      </c>
      <c r="C2015" s="3" t="s">
        <v>18</v>
      </c>
      <c r="D2015" s="6" t="s">
        <v>978</v>
      </c>
      <c r="E2015" s="6" t="s">
        <v>978</v>
      </c>
      <c r="F2015" s="3" t="str">
        <f>IFERROR( VLOOKUP(A2015,#REF!,2,0),"")</f>
        <v/>
      </c>
      <c r="G2015" s="3" t="str">
        <f t="array" ref="G2015">_xlfn.XLOOKUP(I2015,Base_Datos!D:D,Base_Datos!B:B,"")</f>
        <v>DFSK</v>
      </c>
      <c r="H2015" s="3" t="str">
        <f t="array" ref="H2015">IF(I2015="","",IFERROR(_xlfn.XLOOKUP(I2015,Base_Datos!$D$2:$D3876,Base_Datos!$C$2:$C3876),""))</f>
        <v>Serie Glory</v>
      </c>
      <c r="I2015" s="3" t="s">
        <v>1765</v>
      </c>
      <c r="J2015" s="3" t="str">
        <f>IF(I2015="","",IFERROR(VLOOKUP(I2015,Base_Datos!$D$2:$E$72,2,0),""))</f>
        <v>(1.5L)</v>
      </c>
      <c r="K2015" s="3"/>
      <c r="L2015" s="3"/>
      <c r="M2015" s="7">
        <v>329</v>
      </c>
      <c r="N2015" s="7">
        <v>0</v>
      </c>
    </row>
    <row r="2016" spans="1:14" ht="14.25" x14ac:dyDescent="0.2">
      <c r="A2016" s="3">
        <v>89653</v>
      </c>
      <c r="B2016" s="3" t="s">
        <v>2404</v>
      </c>
      <c r="C2016" s="3" t="s">
        <v>18</v>
      </c>
      <c r="D2016" s="6" t="s">
        <v>648</v>
      </c>
      <c r="E2016" s="6" t="s">
        <v>648</v>
      </c>
      <c r="F2016" s="3" t="str">
        <f>IFERROR( VLOOKUP(A2016,#REF!,2,0),"")</f>
        <v/>
      </c>
      <c r="G2016" s="3" t="str">
        <f t="array" ref="G2016">_xlfn.XLOOKUP(I2016,Base_Datos!D:D,Base_Datos!B:B,"")</f>
        <v>DFSK</v>
      </c>
      <c r="H2016" s="3" t="str">
        <f t="array" ref="H2016">IF(I2016="","",IFERROR(_xlfn.XLOOKUP(I2016,Base_Datos!$D$2:$D3876,Base_Datos!$C$2:$C3876),""))</f>
        <v>Serie Glory</v>
      </c>
      <c r="I2016" s="3" t="s">
        <v>1765</v>
      </c>
      <c r="J2016" s="3" t="str">
        <f>IF(I2016="","",IFERROR(VLOOKUP(I2016,Base_Datos!$D$2:$E$72,2,0),""))</f>
        <v>(1.5L)</v>
      </c>
      <c r="K2016" s="3"/>
      <c r="L2016" s="3"/>
      <c r="M2016" s="7">
        <v>26</v>
      </c>
      <c r="N2016" s="7">
        <v>0</v>
      </c>
    </row>
    <row r="2017" spans="1:14" ht="14.25" x14ac:dyDescent="0.2">
      <c r="A2017" s="3">
        <v>89654</v>
      </c>
      <c r="B2017" s="3" t="s">
        <v>3815</v>
      </c>
      <c r="C2017" s="3" t="s">
        <v>18</v>
      </c>
      <c r="D2017" s="6" t="s">
        <v>649</v>
      </c>
      <c r="E2017" s="6" t="s">
        <v>649</v>
      </c>
      <c r="F2017" s="3" t="str">
        <f>IFERROR( VLOOKUP(A2017,#REF!,2,0),"")</f>
        <v/>
      </c>
      <c r="G2017" s="3" t="str">
        <f t="array" ref="G2017">_xlfn.XLOOKUP(I2017,Base_Datos!D:D,Base_Datos!B:B,"")</f>
        <v>DFSK</v>
      </c>
      <c r="H2017" s="3" t="str">
        <f t="array" ref="H2017">IF(I2017="","",IFERROR(_xlfn.XLOOKUP(I2017,Base_Datos!$D$2:$D3876,Base_Datos!$C$2:$C3876),""))</f>
        <v>Serie D</v>
      </c>
      <c r="I2017" s="3" t="s">
        <v>973</v>
      </c>
      <c r="J2017" s="3" t="str">
        <f>IF(I2017="","",IFERROR(VLOOKUP(I2017,Base_Datos!$D$2:$E$72,2,0),""))</f>
        <v>(1.5L)</v>
      </c>
      <c r="K2017" s="3"/>
      <c r="L2017" s="3"/>
      <c r="M2017" s="7">
        <v>10</v>
      </c>
      <c r="N2017" s="7">
        <v>0</v>
      </c>
    </row>
    <row r="2018" spans="1:14" ht="14.25" x14ac:dyDescent="0.2">
      <c r="A2018" s="3">
        <v>89655</v>
      </c>
      <c r="B2018" s="3" t="s">
        <v>4041</v>
      </c>
      <c r="C2018" s="3" t="s">
        <v>18</v>
      </c>
      <c r="D2018" s="6" t="s">
        <v>650</v>
      </c>
      <c r="E2018" s="6" t="s">
        <v>650</v>
      </c>
      <c r="F2018" s="3" t="str">
        <f>IFERROR( VLOOKUP(A2018,#REF!,2,0),"")</f>
        <v/>
      </c>
      <c r="G2018" s="3" t="str">
        <f t="array" ref="G2018">_xlfn.XLOOKUP(I2018,Base_Datos!D:D,Base_Datos!B:B,"")</f>
        <v>DFSK</v>
      </c>
      <c r="H2018" s="3" t="str">
        <f t="array" ref="H2018">IF(I2018="","",IFERROR(_xlfn.XLOOKUP(I2018,Base_Datos!$D$2:$D3876,Base_Datos!$C$2:$C3876),""))</f>
        <v>Serie D</v>
      </c>
      <c r="I2018" s="3" t="s">
        <v>973</v>
      </c>
      <c r="J2018" s="3" t="str">
        <f>IF(I2018="","",IFERROR(VLOOKUP(I2018,Base_Datos!$D$2:$E$72,2,0),""))</f>
        <v>(1.5L)</v>
      </c>
      <c r="K2018" s="3"/>
      <c r="L2018" s="3"/>
      <c r="M2018" s="7">
        <v>28</v>
      </c>
      <c r="N2018" s="7">
        <v>0</v>
      </c>
    </row>
    <row r="2019" spans="1:14" ht="14.25" x14ac:dyDescent="0.2">
      <c r="A2019" s="3">
        <v>89656</v>
      </c>
      <c r="B2019" s="3" t="s">
        <v>1820</v>
      </c>
      <c r="C2019" s="3" t="s">
        <v>18</v>
      </c>
      <c r="D2019" s="6" t="s">
        <v>651</v>
      </c>
      <c r="E2019" s="6" t="s">
        <v>651</v>
      </c>
      <c r="F2019" s="3" t="str">
        <f>IFERROR( VLOOKUP(A2019,#REF!,2,0),"")</f>
        <v/>
      </c>
      <c r="G2019" s="3" t="str">
        <f t="array" ref="G2019">_xlfn.XLOOKUP(I2019,Base_Datos!D:D,Base_Datos!B:B,"")</f>
        <v>DFSK</v>
      </c>
      <c r="H2019" s="3" t="str">
        <f t="array" ref="H2019">IF(I2019="","",IFERROR(_xlfn.XLOOKUP(I2019,Base_Datos!$D$2:$D3876,Base_Datos!$C$2:$C3876),""))</f>
        <v>Serie D</v>
      </c>
      <c r="I2019" s="3" t="s">
        <v>973</v>
      </c>
      <c r="J2019" s="3" t="str">
        <f>IF(I2019="","",IFERROR(VLOOKUP(I2019,Base_Datos!$D$2:$E$72,2,0),""))</f>
        <v>(1.5L)</v>
      </c>
      <c r="K2019" s="3"/>
      <c r="L2019" s="3"/>
      <c r="M2019" s="7">
        <v>9</v>
      </c>
      <c r="N2019" s="7">
        <v>0</v>
      </c>
    </row>
    <row r="2020" spans="1:14" ht="14.25" x14ac:dyDescent="0.2">
      <c r="A2020" s="3">
        <v>89657</v>
      </c>
      <c r="B2020" s="3" t="s">
        <v>4042</v>
      </c>
      <c r="C2020" s="3" t="s">
        <v>18</v>
      </c>
      <c r="D2020" s="6" t="s">
        <v>652</v>
      </c>
      <c r="E2020" s="6" t="s">
        <v>652</v>
      </c>
      <c r="F2020" s="3" t="str">
        <f>IFERROR( VLOOKUP(A2020,#REF!,2,0),"")</f>
        <v/>
      </c>
      <c r="G2020" s="3" t="str">
        <f t="array" ref="G2020">_xlfn.XLOOKUP(I2020,Base_Datos!D:D,Base_Datos!B:B,"")</f>
        <v>DFSK</v>
      </c>
      <c r="H2020" s="3" t="str">
        <f t="array" ref="H2020">IF(I2020="","",IFERROR(_xlfn.XLOOKUP(I2020,Base_Datos!$D$2:$D3876,Base_Datos!$C$2:$C3876),""))</f>
        <v>Serie D</v>
      </c>
      <c r="I2020" s="3" t="s">
        <v>973</v>
      </c>
      <c r="J2020" s="3" t="str">
        <f>IF(I2020="","",IFERROR(VLOOKUP(I2020,Base_Datos!$D$2:$E$72,2,0),""))</f>
        <v>(1.5L)</v>
      </c>
      <c r="K2020" s="3"/>
      <c r="L2020" s="3"/>
      <c r="M2020" s="7">
        <v>14</v>
      </c>
      <c r="N2020" s="7">
        <v>0</v>
      </c>
    </row>
    <row r="2021" spans="1:14" ht="14.25" x14ac:dyDescent="0.2">
      <c r="A2021" s="3">
        <v>89658</v>
      </c>
      <c r="B2021" s="3" t="s">
        <v>4043</v>
      </c>
      <c r="C2021" s="3" t="s">
        <v>18</v>
      </c>
      <c r="D2021" s="6" t="s">
        <v>653</v>
      </c>
      <c r="E2021" s="6" t="s">
        <v>653</v>
      </c>
      <c r="F2021" s="3" t="str">
        <f>IFERROR( VLOOKUP(A2021,#REF!,2,0),"")</f>
        <v/>
      </c>
      <c r="G2021" s="3" t="str">
        <f t="array" ref="G2021">_xlfn.XLOOKUP(I2021,Base_Datos!D:D,Base_Datos!B:B,"")</f>
        <v>DFSK</v>
      </c>
      <c r="H2021" s="3" t="str">
        <f t="array" ref="H2021">IF(I2021="","",IFERROR(_xlfn.XLOOKUP(I2021,Base_Datos!$D$2:$D3876,Base_Datos!$C$2:$C3876),""))</f>
        <v>Serie D</v>
      </c>
      <c r="I2021" s="3" t="s">
        <v>973</v>
      </c>
      <c r="J2021" s="3" t="str">
        <f>IF(I2021="","",IFERROR(VLOOKUP(I2021,Base_Datos!$D$2:$E$72,2,0),""))</f>
        <v>(1.5L)</v>
      </c>
      <c r="K2021" s="3"/>
      <c r="L2021" s="3"/>
      <c r="M2021" s="7">
        <v>8</v>
      </c>
      <c r="N2021" s="7">
        <v>0</v>
      </c>
    </row>
    <row r="2022" spans="1:14" ht="14.25" x14ac:dyDescent="0.2">
      <c r="A2022" s="3">
        <v>89659</v>
      </c>
      <c r="B2022" s="3" t="s">
        <v>4044</v>
      </c>
      <c r="C2022" s="3" t="s">
        <v>18</v>
      </c>
      <c r="D2022" s="6" t="s">
        <v>654</v>
      </c>
      <c r="E2022" s="6" t="s">
        <v>654</v>
      </c>
      <c r="F2022" s="3" t="str">
        <f>IFERROR( VLOOKUP(A2022,#REF!,2,0),"")</f>
        <v/>
      </c>
      <c r="G2022" s="3" t="str">
        <f t="array" ref="G2022">_xlfn.XLOOKUP(I2022,Base_Datos!D:D,Base_Datos!B:B,"")</f>
        <v>DFSK</v>
      </c>
      <c r="H2022" s="3" t="str">
        <f t="array" ref="H2022">IF(I2022="","",IFERROR(_xlfn.XLOOKUP(I2022,Base_Datos!$D$2:$D3876,Base_Datos!$C$2:$C3876),""))</f>
        <v>Serie D</v>
      </c>
      <c r="I2022" s="3" t="s">
        <v>973</v>
      </c>
      <c r="J2022" s="3" t="str">
        <f>IF(I2022="","",IFERROR(VLOOKUP(I2022,Base_Datos!$D$2:$E$72,2,0),""))</f>
        <v>(1.5L)</v>
      </c>
      <c r="K2022" s="3"/>
      <c r="L2022" s="3"/>
      <c r="M2022" s="7">
        <v>10</v>
      </c>
      <c r="N2022" s="7">
        <v>0</v>
      </c>
    </row>
    <row r="2023" spans="1:14" ht="14.25" x14ac:dyDescent="0.2">
      <c r="A2023" s="3">
        <v>89660</v>
      </c>
      <c r="B2023" s="3" t="s">
        <v>3519</v>
      </c>
      <c r="C2023" s="3" t="s">
        <v>18</v>
      </c>
      <c r="D2023" s="6" t="s">
        <v>655</v>
      </c>
      <c r="E2023" s="6" t="s">
        <v>655</v>
      </c>
      <c r="F2023" s="3" t="str">
        <f>IFERROR( VLOOKUP(A2023,#REF!,2,0),"")</f>
        <v/>
      </c>
      <c r="G2023" s="3" t="str">
        <f t="array" ref="G2023">_xlfn.XLOOKUP(I2023,Base_Datos!D:D,Base_Datos!B:B,"")</f>
        <v>DFSK</v>
      </c>
      <c r="H2023" s="3" t="str">
        <f t="array" ref="H2023">IF(I2023="","",IFERROR(_xlfn.XLOOKUP(I2023,Base_Datos!$D$2:$D3876,Base_Datos!$C$2:$C3876),""))</f>
        <v>Serie Glory</v>
      </c>
      <c r="I2023" s="3" t="s">
        <v>1765</v>
      </c>
      <c r="J2023" s="3" t="str">
        <f>IF(I2023="","",IFERROR(VLOOKUP(I2023,Base_Datos!$D$2:$E$72,2,0),""))</f>
        <v>(1.5L)</v>
      </c>
      <c r="K2023" s="3"/>
      <c r="L2023" s="3"/>
      <c r="M2023" s="7">
        <v>22</v>
      </c>
      <c r="N2023" s="7">
        <v>0</v>
      </c>
    </row>
    <row r="2024" spans="1:14" ht="14.25" x14ac:dyDescent="0.2">
      <c r="A2024" s="3">
        <v>89661</v>
      </c>
      <c r="B2024" s="3" t="s">
        <v>2775</v>
      </c>
      <c r="C2024" s="3" t="s">
        <v>18</v>
      </c>
      <c r="D2024" s="6" t="s">
        <v>656</v>
      </c>
      <c r="E2024" s="6" t="s">
        <v>656</v>
      </c>
      <c r="F2024" s="3" t="str">
        <f>IFERROR( VLOOKUP(A2024,#REF!,2,0),"")</f>
        <v/>
      </c>
      <c r="G2024" s="3" t="str">
        <f t="array" ref="G2024">_xlfn.XLOOKUP(I2024,Base_Datos!D:D,Base_Datos!B:B,"")</f>
        <v>DFSK</v>
      </c>
      <c r="H2024" s="3" t="str">
        <f t="array" ref="H2024">IF(I2024="","",IFERROR(_xlfn.XLOOKUP(I2024,Base_Datos!$D$2:$D3876,Base_Datos!$C$2:$C3876),""))</f>
        <v>Serie D</v>
      </c>
      <c r="I2024" s="3" t="s">
        <v>973</v>
      </c>
      <c r="J2024" s="3" t="str">
        <f>IF(I2024="","",IFERROR(VLOOKUP(I2024,Base_Datos!$D$2:$E$72,2,0),""))</f>
        <v>(1.5L)</v>
      </c>
      <c r="K2024" s="3"/>
      <c r="L2024" s="3"/>
      <c r="M2024" s="7">
        <v>0</v>
      </c>
      <c r="N2024" s="7">
        <v>0</v>
      </c>
    </row>
    <row r="2025" spans="1:14" ht="14.25" x14ac:dyDescent="0.2">
      <c r="A2025" s="3">
        <v>89662</v>
      </c>
      <c r="B2025" s="3" t="s">
        <v>2713</v>
      </c>
      <c r="C2025" s="3" t="s">
        <v>18</v>
      </c>
      <c r="D2025" s="6" t="s">
        <v>657</v>
      </c>
      <c r="E2025" s="6" t="s">
        <v>4045</v>
      </c>
      <c r="F2025" s="3" t="str">
        <f>IFERROR( VLOOKUP(A2025,#REF!,2,0),"")</f>
        <v/>
      </c>
      <c r="G2025" s="3" t="str">
        <f t="array" ref="G2025">_xlfn.XLOOKUP(I2025,Base_Datos!D:D,Base_Datos!B:B,"")</f>
        <v>DFSK</v>
      </c>
      <c r="H2025" s="3" t="str">
        <f t="array" ref="H2025">IF(I2025="","",IFERROR(_xlfn.XLOOKUP(I2025,Base_Datos!$D$2:$D3876,Base_Datos!$C$2:$C3876),""))</f>
        <v>Serie Glory</v>
      </c>
      <c r="I2025" s="3" t="s">
        <v>1765</v>
      </c>
      <c r="J2025" s="3" t="str">
        <f>IF(I2025="","",IFERROR(VLOOKUP(I2025,Base_Datos!$D$2:$E$72,2,0),""))</f>
        <v>(1.5L)</v>
      </c>
      <c r="K2025" s="3" t="s">
        <v>4046</v>
      </c>
      <c r="L2025" s="3"/>
      <c r="M2025" s="7">
        <v>8</v>
      </c>
      <c r="N2025" s="7">
        <v>0</v>
      </c>
    </row>
    <row r="2026" spans="1:14" ht="14.25" x14ac:dyDescent="0.2">
      <c r="A2026" s="3">
        <v>89663</v>
      </c>
      <c r="B2026" s="3" t="s">
        <v>4047</v>
      </c>
      <c r="C2026" s="3" t="s">
        <v>18</v>
      </c>
      <c r="D2026" s="6" t="s">
        <v>658</v>
      </c>
      <c r="E2026" s="6" t="s">
        <v>658</v>
      </c>
      <c r="F2026" s="3" t="str">
        <f>IFERROR( VLOOKUP(A2026,#REF!,2,0),"")</f>
        <v/>
      </c>
      <c r="G2026" s="3" t="str">
        <f t="array" ref="G2026">_xlfn.XLOOKUP(I2026,Base_Datos!D:D,Base_Datos!B:B,"")</f>
        <v>DFSK</v>
      </c>
      <c r="H2026" s="3" t="str">
        <f t="array" ref="H2026">IF(I2026="","",IFERROR(_xlfn.XLOOKUP(I2026,Base_Datos!$D$2:$D3876,Base_Datos!$C$2:$C3876),""))</f>
        <v>Serie D</v>
      </c>
      <c r="I2026" s="3" t="s">
        <v>973</v>
      </c>
      <c r="J2026" s="3" t="str">
        <f>IF(I2026="","",IFERROR(VLOOKUP(I2026,Base_Datos!$D$2:$E$72,2,0),""))</f>
        <v>(1.5L)</v>
      </c>
      <c r="K2026" s="3"/>
      <c r="L2026" s="3"/>
      <c r="M2026" s="7">
        <v>16</v>
      </c>
      <c r="N2026" s="7">
        <v>0</v>
      </c>
    </row>
    <row r="2027" spans="1:14" ht="14.25" x14ac:dyDescent="0.2">
      <c r="A2027" s="3">
        <v>89664</v>
      </c>
      <c r="B2027" s="3" t="s">
        <v>3824</v>
      </c>
      <c r="C2027" s="3" t="s">
        <v>18</v>
      </c>
      <c r="D2027" s="6" t="s">
        <v>659</v>
      </c>
      <c r="E2027" s="6" t="s">
        <v>659</v>
      </c>
      <c r="F2027" s="3" t="str">
        <f>IFERROR( VLOOKUP(A2027,#REF!,2,0),"")</f>
        <v/>
      </c>
      <c r="G2027" s="3" t="str">
        <f t="array" ref="G2027">_xlfn.XLOOKUP(I2027,Base_Datos!D:D,Base_Datos!B:B,"")</f>
        <v>DFSK</v>
      </c>
      <c r="H2027" s="3" t="str">
        <f t="array" ref="H2027">IF(I2027="","",IFERROR(_xlfn.XLOOKUP(I2027,Base_Datos!$D$2:$D3876,Base_Datos!$C$2:$C3876),""))</f>
        <v>Serie D</v>
      </c>
      <c r="I2027" s="3" t="s">
        <v>973</v>
      </c>
      <c r="J2027" s="3" t="str">
        <f>IF(I2027="","",IFERROR(VLOOKUP(I2027,Base_Datos!$D$2:$E$72,2,0),""))</f>
        <v>(1.5L)</v>
      </c>
      <c r="K2027" s="3"/>
      <c r="L2027" s="3"/>
      <c r="M2027" s="7">
        <v>30</v>
      </c>
      <c r="N2027" s="7">
        <v>0</v>
      </c>
    </row>
    <row r="2028" spans="1:14" ht="14.25" x14ac:dyDescent="0.2">
      <c r="A2028" s="3">
        <v>89665</v>
      </c>
      <c r="B2028" s="3" t="s">
        <v>4048</v>
      </c>
      <c r="C2028" s="3" t="s">
        <v>18</v>
      </c>
      <c r="D2028" s="6" t="s">
        <v>660</v>
      </c>
      <c r="E2028" s="6" t="s">
        <v>4049</v>
      </c>
      <c r="F2028" s="3" t="str">
        <f>IFERROR( VLOOKUP(A2028,#REF!,2,0),"")</f>
        <v/>
      </c>
      <c r="G2028" s="3" t="str">
        <f t="array" ref="G2028">_xlfn.XLOOKUP(I2028,Base_Datos!D:D,Base_Datos!B:B,"")</f>
        <v>DFSK</v>
      </c>
      <c r="H2028" s="3" t="str">
        <f t="array" ref="H2028">IF(I2028="","",IFERROR(_xlfn.XLOOKUP(I2028,Base_Datos!$D$2:$D3876,Base_Datos!$C$2:$C3876),""))</f>
        <v>Serie Glory</v>
      </c>
      <c r="I2028" s="3" t="s">
        <v>1754</v>
      </c>
      <c r="J2028" s="3" t="str">
        <f>IF(I2028="","",IFERROR(VLOOKUP(I2028,Base_Datos!$D$2:$E$72,2,0),""))</f>
        <v>(1.5L)</v>
      </c>
      <c r="K2028" s="3" t="s">
        <v>1842</v>
      </c>
      <c r="L2028" s="3"/>
      <c r="M2028" s="7">
        <v>41</v>
      </c>
      <c r="N2028" s="7">
        <v>0</v>
      </c>
    </row>
    <row r="2029" spans="1:14" ht="14.25" x14ac:dyDescent="0.2">
      <c r="A2029" s="3">
        <v>89666</v>
      </c>
      <c r="B2029" s="3" t="s">
        <v>2554</v>
      </c>
      <c r="C2029" s="3" t="s">
        <v>18</v>
      </c>
      <c r="D2029" s="6" t="s">
        <v>661</v>
      </c>
      <c r="E2029" s="6" t="s">
        <v>661</v>
      </c>
      <c r="F2029" s="3" t="str">
        <f>IFERROR( VLOOKUP(A2029,#REF!,2,0),"")</f>
        <v/>
      </c>
      <c r="G2029" s="3" t="str">
        <f t="array" ref="G2029">_xlfn.XLOOKUP(I2029,Base_Datos!D:D,Base_Datos!B:B,"")</f>
        <v>DFSK</v>
      </c>
      <c r="H2029" s="3" t="str">
        <f t="array" ref="H2029">IF(I2029="","",IFERROR(_xlfn.XLOOKUP(I2029,Base_Datos!$D$2:$D3876,Base_Datos!$C$2:$C3876),""))</f>
        <v>Serie Glory</v>
      </c>
      <c r="I2029" s="3" t="s">
        <v>1765</v>
      </c>
      <c r="J2029" s="3" t="str">
        <f>IF(I2029="","",IFERROR(VLOOKUP(I2029,Base_Datos!$D$2:$E$72,2,0),""))</f>
        <v>(1.5L)</v>
      </c>
      <c r="K2029" s="3" t="s">
        <v>3562</v>
      </c>
      <c r="L2029" s="3"/>
      <c r="M2029" s="7">
        <v>25</v>
      </c>
      <c r="N2029" s="7">
        <v>0</v>
      </c>
    </row>
    <row r="2030" spans="1:14" ht="14.25" x14ac:dyDescent="0.2">
      <c r="A2030" s="3">
        <v>89667</v>
      </c>
      <c r="B2030" s="3" t="s">
        <v>3682</v>
      </c>
      <c r="C2030" s="3" t="s">
        <v>18</v>
      </c>
      <c r="D2030" s="6" t="s">
        <v>662</v>
      </c>
      <c r="E2030" s="6" t="s">
        <v>662</v>
      </c>
      <c r="F2030" s="3" t="str">
        <f>IFERROR( VLOOKUP(A2030,#REF!,2,0),"")</f>
        <v/>
      </c>
      <c r="G2030" s="3" t="str">
        <f t="array" ref="G2030">_xlfn.XLOOKUP(I2030,Base_Datos!D:D,Base_Datos!B:B,"")</f>
        <v>DFSK</v>
      </c>
      <c r="H2030" s="3" t="str">
        <f t="array" ref="H2030">IF(I2030="","",IFERROR(_xlfn.XLOOKUP(I2030,Base_Datos!$D$2:$D3876,Base_Datos!$C$2:$C3876),""))</f>
        <v>Serie Glory</v>
      </c>
      <c r="I2030" s="3" t="s">
        <v>1765</v>
      </c>
      <c r="J2030" s="3" t="str">
        <f>IF(I2030="","",IFERROR(VLOOKUP(I2030,Base_Datos!$D$2:$E$72,2,0),""))</f>
        <v>(1.5L)</v>
      </c>
      <c r="K2030" s="3" t="s">
        <v>3884</v>
      </c>
      <c r="L2030" s="3"/>
      <c r="M2030" s="7">
        <v>10</v>
      </c>
      <c r="N2030" s="7">
        <v>0</v>
      </c>
    </row>
    <row r="2031" spans="1:14" ht="14.25" x14ac:dyDescent="0.2">
      <c r="A2031" s="3">
        <v>89668</v>
      </c>
      <c r="B2031" s="3" t="s">
        <v>1787</v>
      </c>
      <c r="C2031" s="3" t="s">
        <v>18</v>
      </c>
      <c r="D2031" s="6" t="s">
        <v>491</v>
      </c>
      <c r="E2031" s="6" t="s">
        <v>491</v>
      </c>
      <c r="F2031" s="3" t="str">
        <f>IFERROR( VLOOKUP(A2031,#REF!,2,0),"")</f>
        <v/>
      </c>
      <c r="G2031" s="3" t="str">
        <f t="array" ref="G2031">_xlfn.XLOOKUP(I2031,Base_Datos!D:D,Base_Datos!B:B,"")</f>
        <v>DFSK</v>
      </c>
      <c r="H2031" s="3" t="str">
        <f t="array" ref="H2031">IF(I2031="","",IFERROR(_xlfn.XLOOKUP(I2031,Base_Datos!$D$2:$D3876,Base_Datos!$C$2:$C3876),""))</f>
        <v>Serie D</v>
      </c>
      <c r="I2031" s="3" t="s">
        <v>973</v>
      </c>
      <c r="J2031" s="3" t="str">
        <f>IF(I2031="","",IFERROR(VLOOKUP(I2031,Base_Datos!$D$2:$E$72,2,0),""))</f>
        <v>(1.5L)</v>
      </c>
      <c r="K2031" s="3"/>
      <c r="L2031" s="3"/>
      <c r="M2031" s="7">
        <v>0</v>
      </c>
      <c r="N2031" s="7">
        <v>0</v>
      </c>
    </row>
    <row r="2032" spans="1:14" ht="14.25" x14ac:dyDescent="0.2">
      <c r="A2032" s="3">
        <v>89669</v>
      </c>
      <c r="B2032" s="3" t="s">
        <v>4050</v>
      </c>
      <c r="C2032" s="3" t="s">
        <v>18</v>
      </c>
      <c r="D2032" s="6" t="s">
        <v>4051</v>
      </c>
      <c r="E2032" s="6" t="s">
        <v>4051</v>
      </c>
      <c r="F2032" s="3" t="str">
        <f>IFERROR( VLOOKUP(A2032,#REF!,2,0),"")</f>
        <v/>
      </c>
      <c r="G2032" s="3" t="str">
        <f t="array" ref="G2032">_xlfn.XLOOKUP(I2032,Base_Datos!D:D,Base_Datos!B:B,"")</f>
        <v>DFSK</v>
      </c>
      <c r="H2032" s="3" t="str">
        <f t="array" ref="H2032">IF(I2032="","",IFERROR(_xlfn.XLOOKUP(I2032,Base_Datos!$D$2:$D3876,Base_Datos!$C$2:$C3876),""))</f>
        <v>Serie Glory</v>
      </c>
      <c r="I2032" s="3" t="s">
        <v>1765</v>
      </c>
      <c r="J2032" s="3" t="str">
        <f>IF(I2032="","",IFERROR(VLOOKUP(I2032,Base_Datos!$D$2:$E$72,2,0),""))</f>
        <v>(1.5L)</v>
      </c>
      <c r="K2032" s="3" t="s">
        <v>4052</v>
      </c>
      <c r="L2032" s="3"/>
      <c r="M2032" s="7">
        <v>17</v>
      </c>
      <c r="N2032" s="7">
        <v>0</v>
      </c>
    </row>
    <row r="2033" spans="1:14" ht="14.25" x14ac:dyDescent="0.2">
      <c r="A2033" s="3">
        <v>89670</v>
      </c>
      <c r="B2033" s="3" t="s">
        <v>4053</v>
      </c>
      <c r="C2033" s="3" t="s">
        <v>18</v>
      </c>
      <c r="D2033" s="6" t="s">
        <v>663</v>
      </c>
      <c r="E2033" s="6" t="s">
        <v>663</v>
      </c>
      <c r="F2033" s="3" t="str">
        <f>IFERROR( VLOOKUP(A2033,#REF!,2,0),"")</f>
        <v/>
      </c>
      <c r="G2033" s="3" t="str">
        <f t="array" ref="G2033">_xlfn.XLOOKUP(I2033,Base_Datos!D:D,Base_Datos!B:B,"")</f>
        <v>DFSK</v>
      </c>
      <c r="H2033" s="3" t="str">
        <f t="array" ref="H2033">IF(I2033="","",IFERROR(_xlfn.XLOOKUP(I2033,Base_Datos!$D$2:$D3876,Base_Datos!$C$2:$C3876),""))</f>
        <v>Serie D</v>
      </c>
      <c r="I2033" s="3" t="s">
        <v>973</v>
      </c>
      <c r="J2033" s="3" t="str">
        <f>IF(I2033="","",IFERROR(VLOOKUP(I2033,Base_Datos!$D$2:$E$72,2,0),""))</f>
        <v>(1.5L)</v>
      </c>
      <c r="K2033" s="3"/>
      <c r="L2033" s="3"/>
      <c r="M2033" s="7">
        <v>2</v>
      </c>
      <c r="N2033" s="7">
        <v>0</v>
      </c>
    </row>
    <row r="2034" spans="1:14" ht="14.25" x14ac:dyDescent="0.2">
      <c r="A2034" s="3">
        <v>89671</v>
      </c>
      <c r="B2034" s="3" t="s">
        <v>1829</v>
      </c>
      <c r="C2034" s="3" t="s">
        <v>18</v>
      </c>
      <c r="D2034" s="6" t="s">
        <v>664</v>
      </c>
      <c r="E2034" s="6" t="s">
        <v>664</v>
      </c>
      <c r="F2034" s="3" t="str">
        <f>IFERROR( VLOOKUP(A2034,#REF!,2,0),"")</f>
        <v/>
      </c>
      <c r="G2034" s="3" t="str">
        <f t="array" ref="G2034">_xlfn.XLOOKUP(I2034,Base_Datos!D:D,Base_Datos!B:B,"")</f>
        <v>DFSK</v>
      </c>
      <c r="H2034" s="3" t="str">
        <f t="array" ref="H2034">IF(I2034="","",IFERROR(_xlfn.XLOOKUP(I2034,Base_Datos!$D$2:$D3876,Base_Datos!$C$2:$C3876),""))</f>
        <v>Serie D</v>
      </c>
      <c r="I2034" s="3" t="s">
        <v>2785</v>
      </c>
      <c r="J2034" s="3" t="str">
        <f>IF(I2034="","",IFERROR(VLOOKUP(I2034,Base_Datos!$D$2:$E$72,2,0),""))</f>
        <v>(1.5L)</v>
      </c>
      <c r="K2034" s="3"/>
      <c r="L2034" s="3"/>
      <c r="M2034" s="7">
        <v>43</v>
      </c>
      <c r="N2034" s="7">
        <v>0</v>
      </c>
    </row>
    <row r="2035" spans="1:14" ht="14.25" x14ac:dyDescent="0.2">
      <c r="A2035" s="3">
        <v>89672</v>
      </c>
      <c r="B2035" s="3" t="s">
        <v>4054</v>
      </c>
      <c r="C2035" s="3" t="s">
        <v>18</v>
      </c>
      <c r="D2035" s="6" t="s">
        <v>665</v>
      </c>
      <c r="E2035" s="6" t="s">
        <v>665</v>
      </c>
      <c r="F2035" s="3" t="str">
        <f>IFERROR( VLOOKUP(A2035,#REF!,2,0),"")</f>
        <v/>
      </c>
      <c r="G2035" s="3" t="str">
        <f t="array" ref="G2035">_xlfn.XLOOKUP(I2035,Base_Datos!D:D,Base_Datos!B:B,"")</f>
        <v>DFSK</v>
      </c>
      <c r="H2035" s="3" t="str">
        <f t="array" ref="H2035">IF(I2035="","",IFERROR(_xlfn.XLOOKUP(I2035,Base_Datos!$D$2:$D3876,Base_Datos!$C$2:$C3876),""))</f>
        <v>Serie D</v>
      </c>
      <c r="I2035" s="3" t="s">
        <v>973</v>
      </c>
      <c r="J2035" s="3" t="str">
        <f>IF(I2035="","",IFERROR(VLOOKUP(I2035,Base_Datos!$D$2:$E$72,2,0),""))</f>
        <v>(1.5L)</v>
      </c>
      <c r="K2035" s="3"/>
      <c r="L2035" s="3"/>
      <c r="M2035" s="7">
        <v>15</v>
      </c>
      <c r="N2035" s="7">
        <v>0</v>
      </c>
    </row>
    <row r="2036" spans="1:14" ht="14.25" x14ac:dyDescent="0.2">
      <c r="A2036" s="3">
        <v>89673</v>
      </c>
      <c r="B2036" s="3" t="s">
        <v>4055</v>
      </c>
      <c r="C2036" s="3" t="s">
        <v>18</v>
      </c>
      <c r="D2036" s="6" t="s">
        <v>666</v>
      </c>
      <c r="E2036" s="6" t="s">
        <v>666</v>
      </c>
      <c r="F2036" s="3" t="str">
        <f>IFERROR( VLOOKUP(A2036,#REF!,2,0),"")</f>
        <v/>
      </c>
      <c r="G2036" s="3" t="str">
        <f t="array" ref="G2036">_xlfn.XLOOKUP(I2036,Base_Datos!D:D,Base_Datos!B:B,"")</f>
        <v>DFSK</v>
      </c>
      <c r="H2036" s="3" t="str">
        <f t="array" ref="H2036">IF(I2036="","",IFERROR(_xlfn.XLOOKUP(I2036,Base_Datos!$D$2:$D3876,Base_Datos!$C$2:$C3876),""))</f>
        <v>Serie D</v>
      </c>
      <c r="I2036" s="3" t="s">
        <v>973</v>
      </c>
      <c r="J2036" s="3" t="str">
        <f>IF(I2036="","",IFERROR(VLOOKUP(I2036,Base_Datos!$D$2:$E$72,2,0),""))</f>
        <v>(1.5L)</v>
      </c>
      <c r="K2036" s="3"/>
      <c r="L2036" s="3"/>
      <c r="M2036" s="7">
        <v>10</v>
      </c>
      <c r="N2036" s="7">
        <v>0</v>
      </c>
    </row>
    <row r="2037" spans="1:14" ht="14.25" x14ac:dyDescent="0.2">
      <c r="A2037" s="3">
        <v>89674</v>
      </c>
      <c r="B2037" s="3" t="s">
        <v>4056</v>
      </c>
      <c r="C2037" s="3" t="s">
        <v>18</v>
      </c>
      <c r="D2037" s="6" t="s">
        <v>667</v>
      </c>
      <c r="E2037" s="6" t="s">
        <v>667</v>
      </c>
      <c r="F2037" s="3" t="str">
        <f>IFERROR( VLOOKUP(A2037,#REF!,2,0),"")</f>
        <v/>
      </c>
      <c r="G2037" s="3" t="str">
        <f t="array" ref="G2037">_xlfn.XLOOKUP(I2037,Base_Datos!D:D,Base_Datos!B:B,"")</f>
        <v>DFSK</v>
      </c>
      <c r="H2037" s="3" t="str">
        <f t="array" ref="H2037">IF(I2037="","",IFERROR(_xlfn.XLOOKUP(I2037,Base_Datos!$D$2:$D3876,Base_Datos!$C$2:$C3876),""))</f>
        <v>Serie D</v>
      </c>
      <c r="I2037" s="3" t="s">
        <v>973</v>
      </c>
      <c r="J2037" s="3" t="str">
        <f>IF(I2037="","",IFERROR(VLOOKUP(I2037,Base_Datos!$D$2:$E$72,2,0),""))</f>
        <v>(1.5L)</v>
      </c>
      <c r="K2037" s="3"/>
      <c r="L2037" s="3"/>
      <c r="M2037" s="7">
        <v>14</v>
      </c>
      <c r="N2037" s="7">
        <v>0</v>
      </c>
    </row>
    <row r="2038" spans="1:14" ht="14.25" x14ac:dyDescent="0.2">
      <c r="A2038" s="3">
        <v>89675</v>
      </c>
      <c r="B2038" s="3" t="s">
        <v>4057</v>
      </c>
      <c r="C2038" s="3" t="s">
        <v>18</v>
      </c>
      <c r="D2038" s="6" t="s">
        <v>668</v>
      </c>
      <c r="E2038" s="6" t="s">
        <v>668</v>
      </c>
      <c r="F2038" s="3" t="str">
        <f>IFERROR( VLOOKUP(A2038,#REF!,2,0),"")</f>
        <v/>
      </c>
      <c r="G2038" s="3" t="str">
        <f t="array" ref="G2038">_xlfn.XLOOKUP(I2038,Base_Datos!D:D,Base_Datos!B:B,"")</f>
        <v>DFSK</v>
      </c>
      <c r="H2038" s="3" t="str">
        <f t="array" ref="H2038">IF(I2038="","",IFERROR(_xlfn.XLOOKUP(I2038,Base_Datos!$D$2:$D3876,Base_Datos!$C$2:$C3876),""))</f>
        <v>Serie Glory</v>
      </c>
      <c r="I2038" s="3" t="s">
        <v>1765</v>
      </c>
      <c r="J2038" s="3" t="str">
        <f>IF(I2038="","",IFERROR(VLOOKUP(I2038,Base_Datos!$D$2:$E$72,2,0),""))</f>
        <v>(1.5L)</v>
      </c>
      <c r="K2038" s="3"/>
      <c r="L2038" s="3"/>
      <c r="M2038" s="7">
        <v>5</v>
      </c>
      <c r="N2038" s="7">
        <v>0</v>
      </c>
    </row>
    <row r="2039" spans="1:14" ht="14.25" x14ac:dyDescent="0.2">
      <c r="A2039" s="3">
        <v>89676</v>
      </c>
      <c r="B2039" s="3" t="s">
        <v>4058</v>
      </c>
      <c r="C2039" s="3" t="s">
        <v>18</v>
      </c>
      <c r="D2039" s="6" t="s">
        <v>669</v>
      </c>
      <c r="E2039" s="6" t="s">
        <v>669</v>
      </c>
      <c r="F2039" s="3" t="str">
        <f>IFERROR( VLOOKUP(A2039,#REF!,2,0),"")</f>
        <v/>
      </c>
      <c r="G2039" s="3" t="str">
        <f t="array" ref="G2039">_xlfn.XLOOKUP(I2039,Base_Datos!D:D,Base_Datos!B:B,"")</f>
        <v>DFSK</v>
      </c>
      <c r="H2039" s="3" t="str">
        <f t="array" ref="H2039">IF(I2039="","",IFERROR(_xlfn.XLOOKUP(I2039,Base_Datos!$D$2:$D3876,Base_Datos!$C$2:$C3876),""))</f>
        <v>Serie Glory</v>
      </c>
      <c r="I2039" s="3" t="s">
        <v>1765</v>
      </c>
      <c r="J2039" s="3" t="str">
        <f>IF(I2039="","",IFERROR(VLOOKUP(I2039,Base_Datos!$D$2:$E$72,2,0),""))</f>
        <v>(1.5L)</v>
      </c>
      <c r="K2039" s="3" t="s">
        <v>2881</v>
      </c>
      <c r="L2039" s="3"/>
      <c r="M2039" s="7">
        <v>5</v>
      </c>
      <c r="N2039" s="7">
        <v>0</v>
      </c>
    </row>
    <row r="2040" spans="1:14" ht="14.25" x14ac:dyDescent="0.2">
      <c r="A2040" s="3">
        <v>89677</v>
      </c>
      <c r="B2040" s="3" t="s">
        <v>4059</v>
      </c>
      <c r="C2040" s="3" t="s">
        <v>18</v>
      </c>
      <c r="D2040" s="6" t="s">
        <v>670</v>
      </c>
      <c r="E2040" s="6" t="s">
        <v>4060</v>
      </c>
      <c r="F2040" s="3" t="str">
        <f>IFERROR( VLOOKUP(A2040,#REF!,2,0),"")</f>
        <v/>
      </c>
      <c r="G2040" s="3" t="str">
        <f t="array" ref="G2040">_xlfn.XLOOKUP(I2040,Base_Datos!D:D,Base_Datos!B:B,"")</f>
        <v>DFSK</v>
      </c>
      <c r="H2040" s="3" t="str">
        <f t="array" ref="H2040">IF(I2040="","",IFERROR(_xlfn.XLOOKUP(I2040,Base_Datos!$D$2:$D3876,Base_Datos!$C$2:$C3876),""))</f>
        <v>Serie Glory</v>
      </c>
      <c r="I2040" s="3" t="s">
        <v>1765</v>
      </c>
      <c r="J2040" s="3" t="str">
        <f>IF(I2040="","",IFERROR(VLOOKUP(I2040,Base_Datos!$D$2:$E$72,2,0),""))</f>
        <v>(1.5L)</v>
      </c>
      <c r="K2040" s="3" t="s">
        <v>2881</v>
      </c>
      <c r="L2040" s="3"/>
      <c r="M2040" s="7">
        <v>14</v>
      </c>
      <c r="N2040" s="7">
        <v>0</v>
      </c>
    </row>
    <row r="2041" spans="1:14" ht="14.25" x14ac:dyDescent="0.2">
      <c r="A2041" s="3">
        <v>89678</v>
      </c>
      <c r="B2041" s="3" t="s">
        <v>4061</v>
      </c>
      <c r="C2041" s="3" t="s">
        <v>18</v>
      </c>
      <c r="D2041" s="6" t="s">
        <v>671</v>
      </c>
      <c r="E2041" s="6" t="s">
        <v>671</v>
      </c>
      <c r="F2041" s="3" t="str">
        <f>IFERROR( VLOOKUP(A2041,#REF!,2,0),"")</f>
        <v/>
      </c>
      <c r="G2041" s="3" t="str">
        <f t="array" ref="G2041">_xlfn.XLOOKUP(I2041,Base_Datos!D:D,Base_Datos!B:B,"")</f>
        <v>DFSK</v>
      </c>
      <c r="H2041" s="3" t="str">
        <f t="array" ref="H2041">IF(I2041="","",IFERROR(_xlfn.XLOOKUP(I2041,Base_Datos!$D$2:$D3876,Base_Datos!$C$2:$C3876),""))</f>
        <v>Serie Glory</v>
      </c>
      <c r="I2041" s="3" t="s">
        <v>1765</v>
      </c>
      <c r="J2041" s="3" t="str">
        <f>IF(I2041="","",IFERROR(VLOOKUP(I2041,Base_Datos!$D$2:$E$72,2,0),""))</f>
        <v>(1.5L)</v>
      </c>
      <c r="K2041" s="3" t="s">
        <v>2881</v>
      </c>
      <c r="L2041" s="3"/>
      <c r="M2041" s="7">
        <v>13</v>
      </c>
      <c r="N2041" s="7">
        <v>0</v>
      </c>
    </row>
    <row r="2042" spans="1:14" ht="14.25" x14ac:dyDescent="0.2">
      <c r="A2042" s="3">
        <v>89679</v>
      </c>
      <c r="B2042" s="3" t="s">
        <v>3389</v>
      </c>
      <c r="C2042" s="3" t="s">
        <v>18</v>
      </c>
      <c r="D2042" s="6" t="s">
        <v>672</v>
      </c>
      <c r="E2042" s="6" t="s">
        <v>4062</v>
      </c>
      <c r="F2042" s="3" t="str">
        <f>IFERROR( VLOOKUP(A2042,#REF!,2,0),"")</f>
        <v/>
      </c>
      <c r="G2042" s="3" t="str">
        <f t="array" ref="G2042">_xlfn.XLOOKUP(I2042,Base_Datos!D:D,Base_Datos!B:B,"")</f>
        <v>DFSK</v>
      </c>
      <c r="H2042" s="3" t="str">
        <f t="array" ref="H2042">IF(I2042="","",IFERROR(_xlfn.XLOOKUP(I2042,Base_Datos!$D$2:$D3876,Base_Datos!$C$2:$C3876),""))</f>
        <v>Serie D</v>
      </c>
      <c r="I2042" s="3" t="s">
        <v>973</v>
      </c>
      <c r="J2042" s="3" t="str">
        <f>IF(I2042="","",IFERROR(VLOOKUP(I2042,Base_Datos!$D$2:$E$72,2,0),""))</f>
        <v>(1.5L)</v>
      </c>
      <c r="K2042" s="3"/>
      <c r="L2042" s="3"/>
      <c r="M2042" s="7">
        <v>18</v>
      </c>
      <c r="N2042" s="7">
        <v>0</v>
      </c>
    </row>
    <row r="2043" spans="1:14" ht="14.25" x14ac:dyDescent="0.2">
      <c r="A2043" s="3">
        <v>89680</v>
      </c>
      <c r="B2043" s="3" t="s">
        <v>3387</v>
      </c>
      <c r="C2043" s="3" t="s">
        <v>18</v>
      </c>
      <c r="D2043" s="6" t="s">
        <v>673</v>
      </c>
      <c r="E2043" s="6" t="s">
        <v>673</v>
      </c>
      <c r="F2043" s="3" t="str">
        <f>IFERROR( VLOOKUP(A2043,#REF!,2,0),"")</f>
        <v/>
      </c>
      <c r="G2043" s="3" t="str">
        <f t="array" ref="G2043">_xlfn.XLOOKUP(I2043,Base_Datos!D:D,Base_Datos!B:B,"")</f>
        <v>DFSK</v>
      </c>
      <c r="H2043" s="3" t="str">
        <f t="array" ref="H2043">IF(I2043="","",IFERROR(_xlfn.XLOOKUP(I2043,Base_Datos!$D$2:$D3876,Base_Datos!$C$2:$C3876),""))</f>
        <v>Serie D</v>
      </c>
      <c r="I2043" s="3" t="s">
        <v>973</v>
      </c>
      <c r="J2043" s="3" t="str">
        <f>IF(I2043="","",IFERROR(VLOOKUP(I2043,Base_Datos!$D$2:$E$72,2,0),""))</f>
        <v>(1.5L)</v>
      </c>
      <c r="K2043" s="3"/>
      <c r="L2043" s="3"/>
      <c r="M2043" s="7">
        <v>19</v>
      </c>
      <c r="N2043" s="7">
        <v>0</v>
      </c>
    </row>
    <row r="2044" spans="1:14" ht="14.25" x14ac:dyDescent="0.2">
      <c r="A2044" s="3">
        <v>89681</v>
      </c>
      <c r="B2044" s="3" t="s">
        <v>3594</v>
      </c>
      <c r="C2044" s="3" t="s">
        <v>18</v>
      </c>
      <c r="D2044" s="6" t="s">
        <v>674</v>
      </c>
      <c r="E2044" s="6" t="s">
        <v>674</v>
      </c>
      <c r="F2044" s="3" t="str">
        <f>IFERROR( VLOOKUP(A2044,#REF!,2,0),"")</f>
        <v/>
      </c>
      <c r="G2044" s="3" t="str">
        <f t="array" ref="G2044">_xlfn.XLOOKUP(I2044,Base_Datos!D:D,Base_Datos!B:B,"")</f>
        <v>DFSK</v>
      </c>
      <c r="H2044" s="3" t="str">
        <f t="array" ref="H2044">IF(I2044="","",IFERROR(_xlfn.XLOOKUP(I2044,Base_Datos!$D$2:$D3876,Base_Datos!$C$2:$C3876),""))</f>
        <v>Serie Glory</v>
      </c>
      <c r="I2044" s="3" t="s">
        <v>1765</v>
      </c>
      <c r="J2044" s="3" t="str">
        <f>IF(I2044="","",IFERROR(VLOOKUP(I2044,Base_Datos!$D$2:$E$72,2,0),""))</f>
        <v>(1.5L)</v>
      </c>
      <c r="K2044" s="3" t="s">
        <v>2881</v>
      </c>
      <c r="L2044" s="3"/>
      <c r="M2044" s="7">
        <v>4</v>
      </c>
      <c r="N2044" s="7">
        <v>0</v>
      </c>
    </row>
    <row r="2045" spans="1:14" ht="14.25" x14ac:dyDescent="0.2">
      <c r="A2045" s="3">
        <v>89682</v>
      </c>
      <c r="B2045" s="3" t="s">
        <v>3239</v>
      </c>
      <c r="C2045" s="3" t="s">
        <v>18</v>
      </c>
      <c r="D2045" s="6" t="s">
        <v>675</v>
      </c>
      <c r="E2045" s="6" t="s">
        <v>675</v>
      </c>
      <c r="F2045" s="3" t="str">
        <f>IFERROR( VLOOKUP(A2045,#REF!,2,0),"")</f>
        <v/>
      </c>
      <c r="G2045" s="3" t="str">
        <f t="array" ref="G2045">_xlfn.XLOOKUP(I2045,Base_Datos!D:D,Base_Datos!B:B,"")</f>
        <v>DFSK</v>
      </c>
      <c r="H2045" s="3" t="str">
        <f t="array" ref="H2045">IF(I2045="","",IFERROR(_xlfn.XLOOKUP(I2045,Base_Datos!$D$2:$D3876,Base_Datos!$C$2:$C3876),""))</f>
        <v>Serie D</v>
      </c>
      <c r="I2045" s="3" t="s">
        <v>973</v>
      </c>
      <c r="J2045" s="3" t="str">
        <f>IF(I2045="","",IFERROR(VLOOKUP(I2045,Base_Datos!$D$2:$E$72,2,0),""))</f>
        <v>(1.5L)</v>
      </c>
      <c r="K2045" s="3"/>
      <c r="L2045" s="3"/>
      <c r="M2045" s="7">
        <v>36</v>
      </c>
      <c r="N2045" s="7">
        <v>0</v>
      </c>
    </row>
    <row r="2046" spans="1:14" ht="14.25" x14ac:dyDescent="0.2">
      <c r="A2046" s="3">
        <v>89683</v>
      </c>
      <c r="B2046" s="3" t="s">
        <v>3836</v>
      </c>
      <c r="C2046" s="3" t="s">
        <v>18</v>
      </c>
      <c r="D2046" s="6" t="s">
        <v>676</v>
      </c>
      <c r="E2046" s="6" t="s">
        <v>676</v>
      </c>
      <c r="F2046" s="3" t="str">
        <f>IFERROR( VLOOKUP(A2046,#REF!,2,0),"")</f>
        <v/>
      </c>
      <c r="G2046" s="3" t="str">
        <f t="array" ref="G2046">_xlfn.XLOOKUP(I2046,Base_Datos!D:D,Base_Datos!B:B,"")</f>
        <v>DFSK</v>
      </c>
      <c r="H2046" s="3" t="str">
        <f t="array" ref="H2046">IF(I2046="","",IFERROR(_xlfn.XLOOKUP(I2046,Base_Datos!$D$2:$D3876,Base_Datos!$C$2:$C3876),""))</f>
        <v>Serie D</v>
      </c>
      <c r="I2046" s="3" t="s">
        <v>973</v>
      </c>
      <c r="J2046" s="3" t="str">
        <f>IF(I2046="","",IFERROR(VLOOKUP(I2046,Base_Datos!$D$2:$E$72,2,0),""))</f>
        <v>(1.5L)</v>
      </c>
      <c r="K2046" s="3"/>
      <c r="L2046" s="3"/>
      <c r="M2046" s="7">
        <v>35</v>
      </c>
      <c r="N2046" s="7">
        <v>0</v>
      </c>
    </row>
    <row r="2047" spans="1:14" ht="14.25" x14ac:dyDescent="0.2">
      <c r="A2047" s="3">
        <v>89684</v>
      </c>
      <c r="B2047" s="3" t="s">
        <v>3837</v>
      </c>
      <c r="C2047" s="3" t="s">
        <v>18</v>
      </c>
      <c r="D2047" s="6" t="s">
        <v>677</v>
      </c>
      <c r="E2047" s="6" t="s">
        <v>4063</v>
      </c>
      <c r="F2047" s="3" t="str">
        <f>IFERROR( VLOOKUP(A2047,#REF!,2,0),"")</f>
        <v/>
      </c>
      <c r="G2047" s="3" t="str">
        <f t="array" ref="G2047">_xlfn.XLOOKUP(I2047,Base_Datos!D:D,Base_Datos!B:B,"")</f>
        <v>DFSK</v>
      </c>
      <c r="H2047" s="3" t="str">
        <f t="array" ref="H2047">IF(I2047="","",IFERROR(_xlfn.XLOOKUP(I2047,Base_Datos!$D$2:$D3876,Base_Datos!$C$2:$C3876),""))</f>
        <v>Serie D</v>
      </c>
      <c r="I2047" s="3" t="s">
        <v>973</v>
      </c>
      <c r="J2047" s="3" t="str">
        <f>IF(I2047="","",IFERROR(VLOOKUP(I2047,Base_Datos!$D$2:$E$72,2,0),""))</f>
        <v>(1.5L)</v>
      </c>
      <c r="K2047" s="3"/>
      <c r="L2047" s="3"/>
      <c r="M2047" s="7">
        <v>34</v>
      </c>
      <c r="N2047" s="7">
        <v>0</v>
      </c>
    </row>
    <row r="2048" spans="1:14" ht="14.25" x14ac:dyDescent="0.2">
      <c r="A2048" s="3">
        <v>89685</v>
      </c>
      <c r="B2048" s="3" t="s">
        <v>4064</v>
      </c>
      <c r="C2048" s="3" t="s">
        <v>18</v>
      </c>
      <c r="D2048" s="6" t="s">
        <v>678</v>
      </c>
      <c r="E2048" s="6" t="s">
        <v>4065</v>
      </c>
      <c r="F2048" s="3" t="str">
        <f>IFERROR( VLOOKUP(A2048,#REF!,2,0),"")</f>
        <v/>
      </c>
      <c r="G2048" s="3" t="str">
        <f t="array" ref="G2048">_xlfn.XLOOKUP(I2048,Base_Datos!D:D,Base_Datos!B:B,"")</f>
        <v>DFSK</v>
      </c>
      <c r="H2048" s="3" t="str">
        <f t="array" ref="H2048">IF(I2048="","",IFERROR(_xlfn.XLOOKUP(I2048,Base_Datos!$D$2:$D3876,Base_Datos!$C$2:$C3876),""))</f>
        <v>Serie D</v>
      </c>
      <c r="I2048" s="3" t="s">
        <v>973</v>
      </c>
      <c r="J2048" s="3" t="str">
        <f>IF(I2048="","",IFERROR(VLOOKUP(I2048,Base_Datos!$D$2:$E$72,2,0),""))</f>
        <v>(1.5L)</v>
      </c>
      <c r="K2048" s="3"/>
      <c r="L2048" s="3"/>
      <c r="M2048" s="7">
        <v>20</v>
      </c>
      <c r="N2048" s="7">
        <v>0</v>
      </c>
    </row>
    <row r="2049" spans="1:14" ht="14.25" x14ac:dyDescent="0.2">
      <c r="A2049" s="3">
        <v>89686</v>
      </c>
      <c r="B2049" s="3" t="s">
        <v>4066</v>
      </c>
      <c r="C2049" s="3" t="s">
        <v>18</v>
      </c>
      <c r="D2049" s="6" t="s">
        <v>679</v>
      </c>
      <c r="E2049" s="6" t="s">
        <v>4067</v>
      </c>
      <c r="F2049" s="3" t="str">
        <f>IFERROR( VLOOKUP(A2049,#REF!,2,0),"")</f>
        <v/>
      </c>
      <c r="G2049" s="3" t="str">
        <f t="array" ref="G2049">_xlfn.XLOOKUP(I2049,Base_Datos!D:D,Base_Datos!B:B,"")</f>
        <v>DFSK</v>
      </c>
      <c r="H2049" s="3" t="str">
        <f t="array" ref="H2049">IF(I2049="","",IFERROR(_xlfn.XLOOKUP(I2049,Base_Datos!$D$2:$D3876,Base_Datos!$C$2:$C3876),""))</f>
        <v>Serie D</v>
      </c>
      <c r="I2049" s="3" t="s">
        <v>973</v>
      </c>
      <c r="J2049" s="3" t="str">
        <f>IF(I2049="","",IFERROR(VLOOKUP(I2049,Base_Datos!$D$2:$E$72,2,0),""))</f>
        <v>(1.5L)</v>
      </c>
      <c r="K2049" s="3"/>
      <c r="L2049" s="3"/>
      <c r="M2049" s="7">
        <v>20</v>
      </c>
      <c r="N2049" s="7">
        <v>0</v>
      </c>
    </row>
    <row r="2050" spans="1:14" ht="14.25" x14ac:dyDescent="0.2">
      <c r="A2050" s="3">
        <v>89687</v>
      </c>
      <c r="B2050" s="3" t="s">
        <v>4068</v>
      </c>
      <c r="C2050" s="3" t="s">
        <v>18</v>
      </c>
      <c r="D2050" s="6" t="s">
        <v>4069</v>
      </c>
      <c r="E2050" s="6" t="s">
        <v>4069</v>
      </c>
      <c r="F2050" s="3" t="str">
        <f>IFERROR( VLOOKUP(A2050,#REF!,2,0),"")</f>
        <v/>
      </c>
      <c r="G2050" s="3" t="str">
        <f t="array" ref="G2050">_xlfn.XLOOKUP(I2050,Base_Datos!D:D,Base_Datos!B:B,"")</f>
        <v>DFSK</v>
      </c>
      <c r="H2050" s="3" t="str">
        <f t="array" ref="H2050">IF(I2050="","",IFERROR(_xlfn.XLOOKUP(I2050,Base_Datos!$D$2:$D3876,Base_Datos!$C$2:$C3876),""))</f>
        <v>Serie Glory</v>
      </c>
      <c r="I2050" s="3" t="s">
        <v>1765</v>
      </c>
      <c r="J2050" s="3" t="str">
        <f>IF(I2050="","",IFERROR(VLOOKUP(I2050,Base_Datos!$D$2:$E$72,2,0),""))</f>
        <v>(1.5L)</v>
      </c>
      <c r="K2050" s="3"/>
      <c r="L2050" s="3"/>
      <c r="M2050" s="7">
        <v>22</v>
      </c>
      <c r="N2050" s="7">
        <v>0</v>
      </c>
    </row>
    <row r="2051" spans="1:14" ht="14.25" x14ac:dyDescent="0.2">
      <c r="A2051" s="3">
        <v>89688</v>
      </c>
      <c r="B2051" s="3" t="s">
        <v>4070</v>
      </c>
      <c r="C2051" s="3" t="s">
        <v>18</v>
      </c>
      <c r="D2051" s="6" t="s">
        <v>680</v>
      </c>
      <c r="E2051" s="6" t="s">
        <v>680</v>
      </c>
      <c r="F2051" s="3" t="str">
        <f>IFERROR( VLOOKUP(A2051,#REF!,2,0),"")</f>
        <v/>
      </c>
      <c r="G2051" s="3" t="str">
        <f t="array" ref="G2051">_xlfn.XLOOKUP(I2051,Base_Datos!D:D,Base_Datos!B:B,"")</f>
        <v>DFSK</v>
      </c>
      <c r="H2051" s="3" t="str">
        <f t="array" ref="H2051">IF(I2051="","",IFERROR(_xlfn.XLOOKUP(I2051,Base_Datos!$D$2:$D3876,Base_Datos!$C$2:$C3876),""))</f>
        <v>Serie D</v>
      </c>
      <c r="I2051" s="3" t="s">
        <v>973</v>
      </c>
      <c r="J2051" s="3" t="str">
        <f>IF(I2051="","",IFERROR(VLOOKUP(I2051,Base_Datos!$D$2:$E$72,2,0),""))</f>
        <v>(1.5L)</v>
      </c>
      <c r="K2051" s="3"/>
      <c r="L2051" s="3"/>
      <c r="M2051" s="7">
        <v>4</v>
      </c>
      <c r="N2051" s="7">
        <v>0</v>
      </c>
    </row>
    <row r="2052" spans="1:14" ht="14.25" x14ac:dyDescent="0.2">
      <c r="A2052" s="3">
        <v>89689</v>
      </c>
      <c r="B2052" s="3" t="s">
        <v>4071</v>
      </c>
      <c r="C2052" s="3" t="s">
        <v>18</v>
      </c>
      <c r="D2052" s="6" t="s">
        <v>681</v>
      </c>
      <c r="E2052" s="6" t="s">
        <v>681</v>
      </c>
      <c r="F2052" s="3" t="str">
        <f>IFERROR( VLOOKUP(A2052,#REF!,2,0),"")</f>
        <v/>
      </c>
      <c r="G2052" s="3" t="str">
        <f t="array" ref="G2052">_xlfn.XLOOKUP(I2052,Base_Datos!D:D,Base_Datos!B:B,"")</f>
        <v>DFSK</v>
      </c>
      <c r="H2052" s="3" t="str">
        <f t="array" ref="H2052">IF(I2052="","",IFERROR(_xlfn.XLOOKUP(I2052,Base_Datos!$D$2:$D3876,Base_Datos!$C$2:$C3876),""))</f>
        <v>Serie D</v>
      </c>
      <c r="I2052" s="3" t="s">
        <v>973</v>
      </c>
      <c r="J2052" s="3" t="str">
        <f>IF(I2052="","",IFERROR(VLOOKUP(I2052,Base_Datos!$D$2:$E$72,2,0),""))</f>
        <v>(1.5L)</v>
      </c>
      <c r="K2052" s="3"/>
      <c r="L2052" s="3"/>
      <c r="M2052" s="7">
        <v>2</v>
      </c>
      <c r="N2052" s="7">
        <v>0</v>
      </c>
    </row>
    <row r="2053" spans="1:14" ht="14.25" x14ac:dyDescent="0.2">
      <c r="A2053" s="3">
        <v>89690</v>
      </c>
      <c r="B2053" s="3" t="s">
        <v>4072</v>
      </c>
      <c r="C2053" s="3" t="s">
        <v>18</v>
      </c>
      <c r="D2053" s="6" t="s">
        <v>682</v>
      </c>
      <c r="E2053" s="6" t="s">
        <v>682</v>
      </c>
      <c r="F2053" s="3" t="str">
        <f>IFERROR( VLOOKUP(A2053,#REF!,2,0),"")</f>
        <v/>
      </c>
      <c r="G2053" s="3" t="str">
        <f t="array" ref="G2053">_xlfn.XLOOKUP(I2053,Base_Datos!D:D,Base_Datos!B:B,"")</f>
        <v>DFSK</v>
      </c>
      <c r="H2053" s="3" t="str">
        <f t="array" ref="H2053">IF(I2053="","",IFERROR(_xlfn.XLOOKUP(I2053,Base_Datos!$D$2:$D3876,Base_Datos!$C$2:$C3876),""))</f>
        <v>Serie D</v>
      </c>
      <c r="I2053" s="3" t="s">
        <v>973</v>
      </c>
      <c r="J2053" s="3" t="str">
        <f>IF(I2053="","",IFERROR(VLOOKUP(I2053,Base_Datos!$D$2:$E$72,2,0),""))</f>
        <v>(1.5L)</v>
      </c>
      <c r="K2053" s="3"/>
      <c r="L2053" s="3"/>
      <c r="M2053" s="7">
        <v>10</v>
      </c>
      <c r="N2053" s="7">
        <v>0</v>
      </c>
    </row>
    <row r="2054" spans="1:14" ht="14.25" x14ac:dyDescent="0.2">
      <c r="A2054" s="3">
        <v>89691</v>
      </c>
      <c r="B2054" s="3" t="s">
        <v>4073</v>
      </c>
      <c r="C2054" s="3" t="s">
        <v>18</v>
      </c>
      <c r="D2054" s="6" t="s">
        <v>683</v>
      </c>
      <c r="E2054" s="6" t="s">
        <v>4074</v>
      </c>
      <c r="F2054" s="3" t="str">
        <f>IFERROR( VLOOKUP(A2054,#REF!,2,0),"")</f>
        <v/>
      </c>
      <c r="G2054" s="3" t="str">
        <f t="array" ref="G2054">_xlfn.XLOOKUP(I2054,Base_Datos!D:D,Base_Datos!B:B,"")</f>
        <v>DFSK</v>
      </c>
      <c r="H2054" s="3" t="str">
        <f t="array" ref="H2054">IF(I2054="","",IFERROR(_xlfn.XLOOKUP(I2054,Base_Datos!$D$2:$D3876,Base_Datos!$C$2:$C3876),""))</f>
        <v>Serie D</v>
      </c>
      <c r="I2054" s="3" t="s">
        <v>973</v>
      </c>
      <c r="J2054" s="3" t="str">
        <f>IF(I2054="","",IFERROR(VLOOKUP(I2054,Base_Datos!$D$2:$E$72,2,0),""))</f>
        <v>(1.5L)</v>
      </c>
      <c r="K2054" s="3"/>
      <c r="L2054" s="3"/>
      <c r="M2054" s="7">
        <v>6</v>
      </c>
      <c r="N2054" s="7">
        <v>0</v>
      </c>
    </row>
    <row r="2055" spans="1:14" ht="14.25" x14ac:dyDescent="0.2">
      <c r="A2055" s="3">
        <v>89692</v>
      </c>
      <c r="B2055" s="3" t="s">
        <v>4075</v>
      </c>
      <c r="C2055" s="3" t="s">
        <v>18</v>
      </c>
      <c r="D2055" s="6" t="s">
        <v>684</v>
      </c>
      <c r="E2055" s="6" t="s">
        <v>684</v>
      </c>
      <c r="F2055" s="3" t="str">
        <f>IFERROR( VLOOKUP(A2055,#REF!,2,0),"")</f>
        <v/>
      </c>
      <c r="G2055" s="3" t="str">
        <f t="array" ref="G2055">_xlfn.XLOOKUP(I2055,Base_Datos!D:D,Base_Datos!B:B,"")</f>
        <v>DFSK</v>
      </c>
      <c r="H2055" s="3" t="str">
        <f t="array" ref="H2055">IF(I2055="","",IFERROR(_xlfn.XLOOKUP(I2055,Base_Datos!$D$2:$D3876,Base_Datos!$C$2:$C3876),""))</f>
        <v>Serie D</v>
      </c>
      <c r="I2055" s="3" t="s">
        <v>973</v>
      </c>
      <c r="J2055" s="3" t="str">
        <f>IF(I2055="","",IFERROR(VLOOKUP(I2055,Base_Datos!$D$2:$E$72,2,0),""))</f>
        <v>(1.5L)</v>
      </c>
      <c r="K2055" s="3"/>
      <c r="L2055" s="3"/>
      <c r="M2055" s="7">
        <v>9</v>
      </c>
      <c r="N2055" s="7">
        <v>0</v>
      </c>
    </row>
    <row r="2056" spans="1:14" ht="14.25" x14ac:dyDescent="0.2">
      <c r="A2056" s="3">
        <v>89693</v>
      </c>
      <c r="B2056" s="3" t="s">
        <v>4076</v>
      </c>
      <c r="C2056" s="3" t="s">
        <v>18</v>
      </c>
      <c r="D2056" s="6" t="s">
        <v>685</v>
      </c>
      <c r="E2056" s="6" t="s">
        <v>685</v>
      </c>
      <c r="F2056" s="3" t="str">
        <f>IFERROR( VLOOKUP(A2056,#REF!,2,0),"")</f>
        <v/>
      </c>
      <c r="G2056" s="3" t="str">
        <f t="array" ref="G2056">_xlfn.XLOOKUP(I2056,Base_Datos!D:D,Base_Datos!B:B,"")</f>
        <v>DFSK</v>
      </c>
      <c r="H2056" s="3" t="str">
        <f t="array" ref="H2056">IF(I2056="","",IFERROR(_xlfn.XLOOKUP(I2056,Base_Datos!$D$2:$D3876,Base_Datos!$C$2:$C3876),""))</f>
        <v>Serie Glory</v>
      </c>
      <c r="I2056" s="3" t="s">
        <v>1765</v>
      </c>
      <c r="J2056" s="3" t="str">
        <f>IF(I2056="","",IFERROR(VLOOKUP(I2056,Base_Datos!$D$2:$E$72,2,0),""))</f>
        <v>(1.5L)</v>
      </c>
      <c r="K2056" s="3" t="s">
        <v>2881</v>
      </c>
      <c r="L2056" s="3"/>
      <c r="M2056" s="7">
        <v>5</v>
      </c>
      <c r="N2056" s="7">
        <v>0</v>
      </c>
    </row>
    <row r="2057" spans="1:14" ht="14.25" x14ac:dyDescent="0.2">
      <c r="A2057" s="3">
        <v>89694</v>
      </c>
      <c r="B2057" s="3" t="s">
        <v>4077</v>
      </c>
      <c r="C2057" s="3" t="s">
        <v>18</v>
      </c>
      <c r="D2057" s="6" t="s">
        <v>686</v>
      </c>
      <c r="E2057" s="6" t="s">
        <v>686</v>
      </c>
      <c r="F2057" s="3" t="str">
        <f>IFERROR( VLOOKUP(A2057,#REF!,2,0),"")</f>
        <v/>
      </c>
      <c r="G2057" s="3" t="str">
        <f t="array" ref="G2057">_xlfn.XLOOKUP(I2057,Base_Datos!D:D,Base_Datos!B:B,"")</f>
        <v>DFSK</v>
      </c>
      <c r="H2057" s="3" t="str">
        <f t="array" ref="H2057">IF(I2057="","",IFERROR(_xlfn.XLOOKUP(I2057,Base_Datos!$D$2:$D3876,Base_Datos!$C$2:$C3876),""))</f>
        <v>Serie D</v>
      </c>
      <c r="I2057" s="3" t="s">
        <v>973</v>
      </c>
      <c r="J2057" s="3" t="str">
        <f>IF(I2057="","",IFERROR(VLOOKUP(I2057,Base_Datos!$D$2:$E$72,2,0),""))</f>
        <v>(1.5L)</v>
      </c>
      <c r="K2057" s="3"/>
      <c r="L2057" s="3"/>
      <c r="M2057" s="7">
        <v>11</v>
      </c>
      <c r="N2057" s="7">
        <v>0</v>
      </c>
    </row>
    <row r="2058" spans="1:14" ht="14.25" x14ac:dyDescent="0.2">
      <c r="A2058" s="3">
        <v>89695</v>
      </c>
      <c r="B2058" s="3" t="s">
        <v>4078</v>
      </c>
      <c r="C2058" s="3" t="s">
        <v>18</v>
      </c>
      <c r="D2058" s="6" t="s">
        <v>687</v>
      </c>
      <c r="E2058" s="6" t="s">
        <v>687</v>
      </c>
      <c r="F2058" s="3" t="str">
        <f>IFERROR( VLOOKUP(A2058,#REF!,2,0),"")</f>
        <v/>
      </c>
      <c r="G2058" s="3" t="str">
        <f t="array" ref="G2058">_xlfn.XLOOKUP(I2058,Base_Datos!D:D,Base_Datos!B:B,"")</f>
        <v>DFSK</v>
      </c>
      <c r="H2058" s="3" t="str">
        <f t="array" ref="H2058">IF(I2058="","",IFERROR(_xlfn.XLOOKUP(I2058,Base_Datos!$D$2:$D3876,Base_Datos!$C$2:$C3876),""))</f>
        <v>Serie Glory</v>
      </c>
      <c r="I2058" s="3" t="s">
        <v>1765</v>
      </c>
      <c r="J2058" s="3" t="str">
        <f>IF(I2058="","",IFERROR(VLOOKUP(I2058,Base_Datos!$D$2:$E$72,2,0),""))</f>
        <v>(1.5L)</v>
      </c>
      <c r="K2058" s="3"/>
      <c r="L2058" s="3"/>
      <c r="M2058" s="7">
        <v>6</v>
      </c>
      <c r="N2058" s="7">
        <v>0</v>
      </c>
    </row>
    <row r="2059" spans="1:14" ht="14.25" x14ac:dyDescent="0.2">
      <c r="A2059" s="3">
        <v>89696</v>
      </c>
      <c r="B2059" s="3" t="s">
        <v>4079</v>
      </c>
      <c r="C2059" s="3" t="s">
        <v>18</v>
      </c>
      <c r="D2059" s="6" t="s">
        <v>688</v>
      </c>
      <c r="E2059" s="6" t="s">
        <v>1782</v>
      </c>
      <c r="F2059" s="3" t="str">
        <f>IFERROR( VLOOKUP(A2059,#REF!,2,0),"")</f>
        <v/>
      </c>
      <c r="G2059" s="3" t="str">
        <f t="array" ref="G2059">_xlfn.XLOOKUP(I2059,Base_Datos!D:D,Base_Datos!B:B,"")</f>
        <v>DFSK</v>
      </c>
      <c r="H2059" s="3" t="str">
        <f t="array" ref="H2059">IF(I2059="","",IFERROR(_xlfn.XLOOKUP(I2059,Base_Datos!$D$2:$D3876,Base_Datos!$C$2:$C3876),""))</f>
        <v>Serie D</v>
      </c>
      <c r="I2059" s="3" t="s">
        <v>973</v>
      </c>
      <c r="J2059" s="3" t="str">
        <f>IF(I2059="","",IFERROR(VLOOKUP(I2059,Base_Datos!$D$2:$E$72,2,0),""))</f>
        <v>(1.5L)</v>
      </c>
      <c r="K2059" s="3"/>
      <c r="L2059" s="3"/>
      <c r="M2059" s="7">
        <v>10</v>
      </c>
      <c r="N2059" s="7">
        <v>0</v>
      </c>
    </row>
    <row r="2060" spans="1:14" ht="14.25" x14ac:dyDescent="0.2">
      <c r="A2060" s="3">
        <v>89697</v>
      </c>
      <c r="B2060" s="3" t="s">
        <v>4080</v>
      </c>
      <c r="C2060" s="3" t="s">
        <v>18</v>
      </c>
      <c r="D2060" s="6" t="s">
        <v>689</v>
      </c>
      <c r="E2060" s="6" t="s">
        <v>689</v>
      </c>
      <c r="F2060" s="3" t="str">
        <f>IFERROR( VLOOKUP(A2060,#REF!,2,0),"")</f>
        <v/>
      </c>
      <c r="G2060" s="3" t="str">
        <f t="array" ref="G2060">_xlfn.XLOOKUP(I2060,Base_Datos!D:D,Base_Datos!B:B,"")</f>
        <v>DFSK</v>
      </c>
      <c r="H2060" s="3" t="str">
        <f t="array" ref="H2060">IF(I2060="","",IFERROR(_xlfn.XLOOKUP(I2060,Base_Datos!$D$2:$D3876,Base_Datos!$C$2:$C3876),""))</f>
        <v>Serie Glory</v>
      </c>
      <c r="I2060" s="3" t="s">
        <v>1765</v>
      </c>
      <c r="J2060" s="3" t="str">
        <f>IF(I2060="","",IFERROR(VLOOKUP(I2060,Base_Datos!$D$2:$E$72,2,0),""))</f>
        <v>(1.5L)</v>
      </c>
      <c r="K2060" s="3" t="s">
        <v>2881</v>
      </c>
      <c r="L2060" s="3"/>
      <c r="M2060" s="7">
        <v>9</v>
      </c>
      <c r="N2060" s="7">
        <v>0</v>
      </c>
    </row>
    <row r="2061" spans="1:14" ht="14.25" x14ac:dyDescent="0.2">
      <c r="A2061" s="3">
        <v>89698</v>
      </c>
      <c r="B2061" s="3" t="s">
        <v>4081</v>
      </c>
      <c r="C2061" s="3" t="s">
        <v>22</v>
      </c>
      <c r="D2061" s="6" t="s">
        <v>1782</v>
      </c>
      <c r="E2061" s="6" t="s">
        <v>1782</v>
      </c>
      <c r="F2061" s="3" t="str">
        <f>IFERROR( VLOOKUP(A2061,#REF!,2,0),"")</f>
        <v/>
      </c>
      <c r="G2061" s="3" t="str">
        <f t="array" ref="G2061">_xlfn.XLOOKUP(I2061,Base_Datos!D:D,Base_Datos!B:B,"")</f>
        <v>DFSK</v>
      </c>
      <c r="H2061" s="3" t="str">
        <f t="array" ref="H2061">IF(I2061="","",IFERROR(_xlfn.XLOOKUP(I2061,Base_Datos!$D$2:$D3876,Base_Datos!$C$2:$C3876),""))</f>
        <v>Serie D</v>
      </c>
      <c r="I2061" s="3" t="s">
        <v>973</v>
      </c>
      <c r="J2061" s="3" t="str">
        <f>IF(I2061="","",IFERROR(VLOOKUP(I2061,Base_Datos!$D$2:$E$72,2,0),""))</f>
        <v>(1.5L)</v>
      </c>
      <c r="K2061" s="3"/>
      <c r="L2061" s="3"/>
      <c r="M2061" s="7">
        <v>0</v>
      </c>
      <c r="N2061" s="7">
        <v>0</v>
      </c>
    </row>
    <row r="2062" spans="1:14" ht="14.25" x14ac:dyDescent="0.2">
      <c r="A2062" s="3">
        <v>89699</v>
      </c>
      <c r="B2062" s="3" t="s">
        <v>4082</v>
      </c>
      <c r="C2062" s="3" t="s">
        <v>22</v>
      </c>
      <c r="D2062" s="6" t="s">
        <v>1782</v>
      </c>
      <c r="E2062" s="6" t="s">
        <v>1782</v>
      </c>
      <c r="F2062" s="3" t="str">
        <f>IFERROR( VLOOKUP(A2062,#REF!,2,0),"")</f>
        <v/>
      </c>
      <c r="G2062" s="3" t="str">
        <f t="array" ref="G2062">_xlfn.XLOOKUP(I2062,Base_Datos!D:D,Base_Datos!B:B,"")</f>
        <v>DFSK</v>
      </c>
      <c r="H2062" s="3" t="str">
        <f t="array" ref="H2062">IF(I2062="","",IFERROR(_xlfn.XLOOKUP(I2062,Base_Datos!$D$2:$D3876,Base_Datos!$C$2:$C3876),""))</f>
        <v>Serie D</v>
      </c>
      <c r="I2062" s="3" t="s">
        <v>973</v>
      </c>
      <c r="J2062" s="3" t="str">
        <f>IF(I2062="","",IFERROR(VLOOKUP(I2062,Base_Datos!$D$2:$E$72,2,0),""))</f>
        <v>(1.5L)</v>
      </c>
      <c r="K2062" s="3"/>
      <c r="L2062" s="3"/>
      <c r="M2062" s="7">
        <v>0</v>
      </c>
      <c r="N2062" s="7">
        <v>0</v>
      </c>
    </row>
    <row r="2063" spans="1:14" ht="14.25" x14ac:dyDescent="0.2">
      <c r="A2063" s="3">
        <v>89700</v>
      </c>
      <c r="B2063" s="3" t="s">
        <v>4083</v>
      </c>
      <c r="C2063" s="3" t="s">
        <v>22</v>
      </c>
      <c r="D2063" s="6" t="s">
        <v>487</v>
      </c>
      <c r="E2063" s="6" t="s">
        <v>487</v>
      </c>
      <c r="F2063" s="3" t="str">
        <f>IFERROR( VLOOKUP(A2063,#REF!,2,0),"")</f>
        <v/>
      </c>
      <c r="G2063" s="3" t="str">
        <f t="array" ref="G2063">_xlfn.XLOOKUP(I2063,Base_Datos!D:D,Base_Datos!B:B,"")</f>
        <v>DFSK</v>
      </c>
      <c r="H2063" s="3" t="str">
        <f t="array" ref="H2063">IF(I2063="","",IFERROR(_xlfn.XLOOKUP(I2063,Base_Datos!$D$2:$D3876,Base_Datos!$C$2:$C3876),""))</f>
        <v>Serie D</v>
      </c>
      <c r="I2063" s="3" t="s">
        <v>973</v>
      </c>
      <c r="J2063" s="3" t="str">
        <f>IF(I2063="","",IFERROR(VLOOKUP(I2063,Base_Datos!$D$2:$E$72,2,0),""))</f>
        <v>(1.5L)</v>
      </c>
      <c r="K2063" s="3"/>
      <c r="L2063" s="3"/>
      <c r="M2063" s="7">
        <v>20</v>
      </c>
      <c r="N2063" s="7">
        <v>0</v>
      </c>
    </row>
    <row r="2064" spans="1:14" ht="14.25" x14ac:dyDescent="0.2">
      <c r="A2064" s="3">
        <v>89701</v>
      </c>
      <c r="B2064" s="3" t="s">
        <v>3071</v>
      </c>
      <c r="C2064" s="3" t="s">
        <v>18</v>
      </c>
      <c r="D2064" s="6" t="s">
        <v>4084</v>
      </c>
      <c r="E2064" s="6" t="s">
        <v>4084</v>
      </c>
      <c r="F2064" s="3" t="str">
        <f>IFERROR( VLOOKUP(A2064,#REF!,2,0),"")</f>
        <v/>
      </c>
      <c r="G2064" s="3" t="str">
        <f t="array" ref="G2064">_xlfn.XLOOKUP(I2064,Base_Datos!D:D,Base_Datos!B:B,"")</f>
        <v>DFSK</v>
      </c>
      <c r="H2064" s="3" t="str">
        <f t="array" ref="H2064">IF(I2064="","",IFERROR(_xlfn.XLOOKUP(I2064,Base_Datos!$D$2:$D3876,Base_Datos!$C$2:$C3876),""))</f>
        <v>Serie Glory</v>
      </c>
      <c r="I2064" s="3" t="s">
        <v>1765</v>
      </c>
      <c r="J2064" s="3" t="str">
        <f>IF(I2064="","",IFERROR(VLOOKUP(I2064,Base_Datos!$D$2:$E$72,2,0),""))</f>
        <v>(1.5L)</v>
      </c>
      <c r="K2064" s="3" t="s">
        <v>4085</v>
      </c>
      <c r="L2064" s="3"/>
      <c r="M2064" s="7">
        <v>260</v>
      </c>
      <c r="N2064" s="7">
        <v>0</v>
      </c>
    </row>
    <row r="2065" spans="1:14" ht="14.25" x14ac:dyDescent="0.2">
      <c r="A2065" s="3">
        <v>89702</v>
      </c>
      <c r="B2065" s="3" t="s">
        <v>4086</v>
      </c>
      <c r="C2065" s="3" t="s">
        <v>22</v>
      </c>
      <c r="D2065" s="6" t="s">
        <v>4087</v>
      </c>
      <c r="E2065" s="6" t="s">
        <v>4087</v>
      </c>
      <c r="F2065" s="3" t="str">
        <f>IFERROR( VLOOKUP(A2065,#REF!,2,0),"")</f>
        <v/>
      </c>
      <c r="G2065" s="3" t="str">
        <f t="array" ref="G2065">_xlfn.XLOOKUP(I2065,Base_Datos!D:D,Base_Datos!B:B,"")</f>
        <v>DFSK</v>
      </c>
      <c r="H2065" s="3" t="str">
        <f t="array" ref="H2065">IF(I2065="","",IFERROR(_xlfn.XLOOKUP(I2065,Base_Datos!$D$2:$D3876,Base_Datos!$C$2:$C3876),""))</f>
        <v>Serie D</v>
      </c>
      <c r="I2065" s="3" t="s">
        <v>973</v>
      </c>
      <c r="J2065" s="3" t="str">
        <f>IF(I2065="","",IFERROR(VLOOKUP(I2065,Base_Datos!$D$2:$E$72,2,0),""))</f>
        <v>(1.5L)</v>
      </c>
      <c r="K2065" s="3"/>
      <c r="L2065" s="3"/>
      <c r="M2065" s="7">
        <v>0</v>
      </c>
      <c r="N2065" s="7">
        <v>0</v>
      </c>
    </row>
    <row r="2066" spans="1:14" ht="14.25" x14ac:dyDescent="0.2">
      <c r="A2066" s="3">
        <v>89703</v>
      </c>
      <c r="B2066" s="3" t="s">
        <v>4088</v>
      </c>
      <c r="C2066" s="3" t="s">
        <v>22</v>
      </c>
      <c r="D2066" s="6" t="s">
        <v>486</v>
      </c>
      <c r="E2066" s="6" t="s">
        <v>486</v>
      </c>
      <c r="F2066" s="3" t="str">
        <f>IFERROR( VLOOKUP(A2066,#REF!,2,0),"")</f>
        <v/>
      </c>
      <c r="G2066" s="3" t="str">
        <f t="array" ref="G2066">_xlfn.XLOOKUP(I2066,Base_Datos!D:D,Base_Datos!B:B,"")</f>
        <v>DFSK</v>
      </c>
      <c r="H2066" s="3" t="str">
        <f t="array" ref="H2066">IF(I2066="","",IFERROR(_xlfn.XLOOKUP(I2066,Base_Datos!$D$2:$D3876,Base_Datos!$C$2:$C3876),""))</f>
        <v>Serie D</v>
      </c>
      <c r="I2066" s="3" t="s">
        <v>973</v>
      </c>
      <c r="J2066" s="3" t="str">
        <f>IF(I2066="","",IFERROR(VLOOKUP(I2066,Base_Datos!$D$2:$E$72,2,0),""))</f>
        <v>(1.5L)</v>
      </c>
      <c r="K2066" s="3"/>
      <c r="L2066" s="3"/>
      <c r="M2066" s="7">
        <v>1</v>
      </c>
      <c r="N2066" s="7">
        <v>0</v>
      </c>
    </row>
    <row r="2067" spans="1:14" ht="14.25" x14ac:dyDescent="0.2">
      <c r="A2067" s="3">
        <v>89704</v>
      </c>
      <c r="B2067" s="3" t="s">
        <v>4089</v>
      </c>
      <c r="C2067" s="3" t="s">
        <v>22</v>
      </c>
      <c r="D2067" s="6" t="s">
        <v>690</v>
      </c>
      <c r="E2067" s="6" t="s">
        <v>690</v>
      </c>
      <c r="F2067" s="3" t="str">
        <f>IFERROR( VLOOKUP(A2067,#REF!,2,0),"")</f>
        <v/>
      </c>
      <c r="G2067" s="3" t="str">
        <f t="array" ref="G2067">_xlfn.XLOOKUP(I2067,Base_Datos!D:D,Base_Datos!B:B,"")</f>
        <v>DFSK</v>
      </c>
      <c r="H2067" s="3" t="str">
        <f t="array" ref="H2067">IF(I2067="","",IFERROR(_xlfn.XLOOKUP(I2067,Base_Datos!$D$2:$D3876,Base_Datos!$C$2:$C3876),""))</f>
        <v>Serie D</v>
      </c>
      <c r="I2067" s="3" t="s">
        <v>973</v>
      </c>
      <c r="J2067" s="3" t="str">
        <f>IF(I2067="","",IFERROR(VLOOKUP(I2067,Base_Datos!$D$2:$E$72,2,0),""))</f>
        <v>(1.5L)</v>
      </c>
      <c r="K2067" s="3"/>
      <c r="L2067" s="3"/>
      <c r="M2067" s="7">
        <v>1</v>
      </c>
      <c r="N2067" s="7">
        <v>0</v>
      </c>
    </row>
    <row r="2068" spans="1:14" ht="14.25" x14ac:dyDescent="0.2">
      <c r="A2068" s="3">
        <v>89705</v>
      </c>
      <c r="B2068" s="3" t="s">
        <v>4090</v>
      </c>
      <c r="C2068" s="3" t="s">
        <v>18</v>
      </c>
      <c r="D2068" s="6" t="s">
        <v>691</v>
      </c>
      <c r="E2068" s="6" t="s">
        <v>691</v>
      </c>
      <c r="F2068" s="3" t="str">
        <f>IFERROR( VLOOKUP(A2068,#REF!,2,0),"")</f>
        <v/>
      </c>
      <c r="G2068" s="3" t="str">
        <f t="array" ref="G2068">_xlfn.XLOOKUP(I2068,Base_Datos!D:D,Base_Datos!B:B,"")</f>
        <v>DFSK</v>
      </c>
      <c r="H2068" s="3" t="str">
        <f t="array" ref="H2068">IF(I2068="","",IFERROR(_xlfn.XLOOKUP(I2068,Base_Datos!$D$2:$D3876,Base_Datos!$C$2:$C3876),""))</f>
        <v>Serie D</v>
      </c>
      <c r="I2068" s="3" t="s">
        <v>973</v>
      </c>
      <c r="J2068" s="3" t="str">
        <f>IF(I2068="","",IFERROR(VLOOKUP(I2068,Base_Datos!$D$2:$E$72,2,0),""))</f>
        <v>(1.5L)</v>
      </c>
      <c r="K2068" s="3"/>
      <c r="L2068" s="3"/>
      <c r="M2068" s="7">
        <v>1</v>
      </c>
      <c r="N2068" s="7">
        <v>0</v>
      </c>
    </row>
    <row r="2069" spans="1:14" ht="14.25" x14ac:dyDescent="0.2">
      <c r="A2069" s="3">
        <v>89706</v>
      </c>
      <c r="B2069" s="3" t="s">
        <v>4091</v>
      </c>
      <c r="C2069" s="3" t="s">
        <v>22</v>
      </c>
      <c r="D2069" s="6" t="s">
        <v>510</v>
      </c>
      <c r="E2069" s="6" t="s">
        <v>510</v>
      </c>
      <c r="F2069" s="3" t="str">
        <f>IFERROR( VLOOKUP(A2069,#REF!,2,0),"")</f>
        <v/>
      </c>
      <c r="G2069" s="3" t="str">
        <f t="array" ref="G2069">_xlfn.XLOOKUP(I2069,Base_Datos!D:D,Base_Datos!B:B,"")</f>
        <v>DFSK</v>
      </c>
      <c r="H2069" s="3" t="str">
        <f t="array" ref="H2069">IF(I2069="","",IFERROR(_xlfn.XLOOKUP(I2069,Base_Datos!$D$2:$D3876,Base_Datos!$C$2:$C3876),""))</f>
        <v>Serie D</v>
      </c>
      <c r="I2069" s="3" t="s">
        <v>973</v>
      </c>
      <c r="J2069" s="3" t="str">
        <f>IF(I2069="","",IFERROR(VLOOKUP(I2069,Base_Datos!$D$2:$E$72,2,0),""))</f>
        <v>(1.5L)</v>
      </c>
      <c r="K2069" s="3"/>
      <c r="L2069" s="3"/>
      <c r="M2069" s="7">
        <v>0</v>
      </c>
      <c r="N2069" s="7">
        <v>0</v>
      </c>
    </row>
    <row r="2070" spans="1:14" ht="14.25" x14ac:dyDescent="0.2">
      <c r="A2070" s="3">
        <v>89707</v>
      </c>
      <c r="B2070" s="3" t="s">
        <v>4092</v>
      </c>
      <c r="C2070" s="3" t="s">
        <v>22</v>
      </c>
      <c r="D2070" s="6" t="s">
        <v>511</v>
      </c>
      <c r="E2070" s="6" t="s">
        <v>511</v>
      </c>
      <c r="F2070" s="3" t="str">
        <f>IFERROR( VLOOKUP(A2070,#REF!,2,0),"")</f>
        <v/>
      </c>
      <c r="G2070" s="3" t="str">
        <f t="array" ref="G2070">_xlfn.XLOOKUP(I2070,Base_Datos!D:D,Base_Datos!B:B,"")</f>
        <v>DFSK</v>
      </c>
      <c r="H2070" s="3" t="str">
        <f t="array" ref="H2070">IF(I2070="","",IFERROR(_xlfn.XLOOKUP(I2070,Base_Datos!$D$2:$D3876,Base_Datos!$C$2:$C3876),""))</f>
        <v>Serie D</v>
      </c>
      <c r="I2070" s="3" t="s">
        <v>973</v>
      </c>
      <c r="J2070" s="3" t="str">
        <f>IF(I2070="","",IFERROR(VLOOKUP(I2070,Base_Datos!$D$2:$E$72,2,0),""))</f>
        <v>(1.5L)</v>
      </c>
      <c r="K2070" s="3"/>
      <c r="L2070" s="3"/>
      <c r="M2070" s="7">
        <v>1</v>
      </c>
      <c r="N2070" s="7">
        <v>0</v>
      </c>
    </row>
    <row r="2071" spans="1:14" ht="14.25" x14ac:dyDescent="0.2">
      <c r="A2071" s="3">
        <v>89708</v>
      </c>
      <c r="B2071" s="3" t="s">
        <v>4093</v>
      </c>
      <c r="C2071" s="3" t="s">
        <v>22</v>
      </c>
      <c r="D2071" s="6" t="s">
        <v>518</v>
      </c>
      <c r="E2071" s="6" t="s">
        <v>518</v>
      </c>
      <c r="F2071" s="3" t="str">
        <f>IFERROR( VLOOKUP(A2071,#REF!,2,0),"")</f>
        <v/>
      </c>
      <c r="G2071" s="3" t="str">
        <f t="array" ref="G2071">_xlfn.XLOOKUP(I2071,Base_Datos!D:D,Base_Datos!B:B,"")</f>
        <v>DFSK</v>
      </c>
      <c r="H2071" s="3" t="str">
        <f t="array" ref="H2071">IF(I2071="","",IFERROR(_xlfn.XLOOKUP(I2071,Base_Datos!$D$2:$D3876,Base_Datos!$C$2:$C3876),""))</f>
        <v>Serie D</v>
      </c>
      <c r="I2071" s="3" t="s">
        <v>973</v>
      </c>
      <c r="J2071" s="3" t="str">
        <f>IF(I2071="","",IFERROR(VLOOKUP(I2071,Base_Datos!$D$2:$E$72,2,0),""))</f>
        <v>(1.5L)</v>
      </c>
      <c r="K2071" s="3"/>
      <c r="L2071" s="3"/>
      <c r="M2071" s="7">
        <v>0</v>
      </c>
      <c r="N2071" s="7">
        <v>0</v>
      </c>
    </row>
    <row r="2072" spans="1:14" ht="14.25" x14ac:dyDescent="0.2">
      <c r="A2072" s="3">
        <v>89709</v>
      </c>
      <c r="B2072" s="3" t="s">
        <v>4094</v>
      </c>
      <c r="C2072" s="3" t="s">
        <v>22</v>
      </c>
      <c r="D2072" s="6" t="s">
        <v>193</v>
      </c>
      <c r="E2072" s="6" t="s">
        <v>193</v>
      </c>
      <c r="F2072" s="3" t="str">
        <f>IFERROR( VLOOKUP(A2072,#REF!,2,0),"")</f>
        <v/>
      </c>
      <c r="G2072" s="3" t="str">
        <f t="array" ref="G2072">_xlfn.XLOOKUP(I2072,Base_Datos!D:D,Base_Datos!B:B,"")</f>
        <v>DFSK</v>
      </c>
      <c r="H2072" s="3" t="str">
        <f t="array" ref="H2072">IF(I2072="","",IFERROR(_xlfn.XLOOKUP(I2072,Base_Datos!$D$2:$D3876,Base_Datos!$C$2:$C3876),""))</f>
        <v>Serie D</v>
      </c>
      <c r="I2072" s="3" t="s">
        <v>973</v>
      </c>
      <c r="J2072" s="3" t="str">
        <f>IF(I2072="","",IFERROR(VLOOKUP(I2072,Base_Datos!$D$2:$E$72,2,0),""))</f>
        <v>(1.5L)</v>
      </c>
      <c r="K2072" s="3"/>
      <c r="L2072" s="3"/>
      <c r="M2072" s="7">
        <v>0</v>
      </c>
      <c r="N2072" s="7">
        <v>0</v>
      </c>
    </row>
    <row r="2073" spans="1:14" ht="14.25" x14ac:dyDescent="0.2">
      <c r="A2073" s="3">
        <v>89710</v>
      </c>
      <c r="B2073" s="3" t="s">
        <v>3613</v>
      </c>
      <c r="C2073" s="3" t="s">
        <v>22</v>
      </c>
      <c r="D2073" s="6" t="s">
        <v>497</v>
      </c>
      <c r="E2073" s="6" t="s">
        <v>497</v>
      </c>
      <c r="F2073" s="3" t="str">
        <f>IFERROR( VLOOKUP(A2073,#REF!,2,0),"")</f>
        <v/>
      </c>
      <c r="G2073" s="3" t="str">
        <f t="array" ref="G2073">_xlfn.XLOOKUP(I2073,Base_Datos!D:D,Base_Datos!B:B,"")</f>
        <v>DFSK</v>
      </c>
      <c r="H2073" s="3" t="str">
        <f t="array" ref="H2073">IF(I2073="","",IFERROR(_xlfn.XLOOKUP(I2073,Base_Datos!$D$2:$D3876,Base_Datos!$C$2:$C3876),""))</f>
        <v>Serie D</v>
      </c>
      <c r="I2073" s="3" t="s">
        <v>973</v>
      </c>
      <c r="J2073" s="3" t="str">
        <f>IF(I2073="","",IFERROR(VLOOKUP(I2073,Base_Datos!$D$2:$E$72,2,0),""))</f>
        <v>(1.5L)</v>
      </c>
      <c r="K2073" s="3"/>
      <c r="L2073" s="3"/>
      <c r="M2073" s="7">
        <v>2</v>
      </c>
      <c r="N2073" s="7">
        <v>0</v>
      </c>
    </row>
    <row r="2074" spans="1:14" ht="14.25" x14ac:dyDescent="0.2">
      <c r="A2074" s="3">
        <v>89711</v>
      </c>
      <c r="B2074" s="3" t="s">
        <v>4095</v>
      </c>
      <c r="C2074" s="3" t="s">
        <v>22</v>
      </c>
      <c r="D2074" s="6" t="s">
        <v>692</v>
      </c>
      <c r="E2074" s="6" t="s">
        <v>692</v>
      </c>
      <c r="F2074" s="3" t="str">
        <f>IFERROR( VLOOKUP(A2074,#REF!,2,0),"")</f>
        <v/>
      </c>
      <c r="G2074" s="3" t="str">
        <f t="array" ref="G2074">_xlfn.XLOOKUP(I2074,Base_Datos!D:D,Base_Datos!B:B,"")</f>
        <v>DFSK</v>
      </c>
      <c r="H2074" s="3" t="str">
        <f t="array" ref="H2074">IF(I2074="","",IFERROR(_xlfn.XLOOKUP(I2074,Base_Datos!$D$2:$D3876,Base_Datos!$C$2:$C3876),""))</f>
        <v>Serie D</v>
      </c>
      <c r="I2074" s="3" t="s">
        <v>973</v>
      </c>
      <c r="J2074" s="3" t="str">
        <f>IF(I2074="","",IFERROR(VLOOKUP(I2074,Base_Datos!$D$2:$E$72,2,0),""))</f>
        <v>(1.5L)</v>
      </c>
      <c r="K2074" s="3"/>
      <c r="L2074" s="3"/>
      <c r="M2074" s="7">
        <v>4</v>
      </c>
      <c r="N2074" s="7">
        <v>0</v>
      </c>
    </row>
    <row r="2075" spans="1:14" ht="14.25" x14ac:dyDescent="0.2">
      <c r="A2075" s="3">
        <v>89712</v>
      </c>
      <c r="B2075" s="3" t="s">
        <v>4096</v>
      </c>
      <c r="C2075" s="3" t="s">
        <v>22</v>
      </c>
      <c r="D2075" s="6" t="s">
        <v>693</v>
      </c>
      <c r="E2075" s="6" t="s">
        <v>4097</v>
      </c>
      <c r="F2075" s="3" t="str">
        <f>IFERROR( VLOOKUP(A2075,#REF!,2,0),"")</f>
        <v/>
      </c>
      <c r="G2075" s="3" t="str">
        <f t="array" ref="G2075">_xlfn.XLOOKUP(I2075,Base_Datos!D:D,Base_Datos!B:B,"")</f>
        <v>DFSK</v>
      </c>
      <c r="H2075" s="3" t="str">
        <f t="array" ref="H2075">IF(I2075="","",IFERROR(_xlfn.XLOOKUP(I2075,Base_Datos!$D$2:$D3876,Base_Datos!$C$2:$C3876),""))</f>
        <v>Serie D</v>
      </c>
      <c r="I2075" s="3" t="s">
        <v>973</v>
      </c>
      <c r="J2075" s="3" t="str">
        <f>IF(I2075="","",IFERROR(VLOOKUP(I2075,Base_Datos!$D$2:$E$72,2,0),""))</f>
        <v>(1.5L)</v>
      </c>
      <c r="K2075" s="3"/>
      <c r="L2075" s="3"/>
      <c r="M2075" s="7">
        <v>2</v>
      </c>
      <c r="N2075" s="7">
        <v>0</v>
      </c>
    </row>
    <row r="2076" spans="1:14" ht="14.25" x14ac:dyDescent="0.2">
      <c r="A2076" s="3">
        <v>89713</v>
      </c>
      <c r="B2076" s="3" t="s">
        <v>3536</v>
      </c>
      <c r="C2076" s="3" t="s">
        <v>22</v>
      </c>
      <c r="D2076" s="6" t="s">
        <v>694</v>
      </c>
      <c r="E2076" s="6" t="s">
        <v>694</v>
      </c>
      <c r="F2076" s="3" t="str">
        <f>IFERROR( VLOOKUP(A2076,#REF!,2,0),"")</f>
        <v/>
      </c>
      <c r="G2076" s="3" t="str">
        <f t="array" ref="G2076">_xlfn.XLOOKUP(I2076,Base_Datos!D:D,Base_Datos!B:B,"")</f>
        <v>DFSK</v>
      </c>
      <c r="H2076" s="3" t="str">
        <f t="array" ref="H2076">IF(I2076="","",IFERROR(_xlfn.XLOOKUP(I2076,Base_Datos!$D$2:$D3876,Base_Datos!$C$2:$C3876),""))</f>
        <v>Serie D</v>
      </c>
      <c r="I2076" s="3" t="s">
        <v>973</v>
      </c>
      <c r="J2076" s="3" t="str">
        <f>IF(I2076="","",IFERROR(VLOOKUP(I2076,Base_Datos!$D$2:$E$72,2,0),""))</f>
        <v>(1.5L)</v>
      </c>
      <c r="K2076" s="3"/>
      <c r="L2076" s="3"/>
      <c r="M2076" s="7">
        <v>7</v>
      </c>
      <c r="N2076" s="7">
        <v>0</v>
      </c>
    </row>
    <row r="2077" spans="1:14" ht="14.25" x14ac:dyDescent="0.2">
      <c r="A2077" s="3">
        <v>89714</v>
      </c>
      <c r="B2077" s="3" t="s">
        <v>3190</v>
      </c>
      <c r="C2077" s="3" t="s">
        <v>22</v>
      </c>
      <c r="D2077" s="6" t="s">
        <v>480</v>
      </c>
      <c r="E2077" s="6" t="s">
        <v>480</v>
      </c>
      <c r="F2077" s="3" t="str">
        <f>IFERROR( VLOOKUP(A2077,#REF!,2,0),"")</f>
        <v/>
      </c>
      <c r="G2077" s="3" t="str">
        <f t="array" ref="G2077">_xlfn.XLOOKUP(I2077,Base_Datos!D:D,Base_Datos!B:B,"")</f>
        <v>DFSK</v>
      </c>
      <c r="H2077" s="3" t="str">
        <f t="array" ref="H2077">IF(I2077="","",IFERROR(_xlfn.XLOOKUP(I2077,Base_Datos!$D$2:$D3876,Base_Datos!$C$2:$C3876),""))</f>
        <v>Serie D</v>
      </c>
      <c r="I2077" s="3" t="s">
        <v>973</v>
      </c>
      <c r="J2077" s="3" t="str">
        <f>IF(I2077="","",IFERROR(VLOOKUP(I2077,Base_Datos!$D$2:$E$72,2,0),""))</f>
        <v>(1.5L)</v>
      </c>
      <c r="K2077" s="3"/>
      <c r="L2077" s="3"/>
      <c r="M2077" s="7">
        <v>0</v>
      </c>
      <c r="N2077" s="7">
        <v>0</v>
      </c>
    </row>
    <row r="2078" spans="1:14" ht="14.25" x14ac:dyDescent="0.2">
      <c r="A2078" s="3">
        <v>89715</v>
      </c>
      <c r="B2078" s="3" t="s">
        <v>4098</v>
      </c>
      <c r="C2078" s="3" t="s">
        <v>22</v>
      </c>
      <c r="D2078" s="6" t="s">
        <v>695</v>
      </c>
      <c r="E2078" s="6" t="s">
        <v>480</v>
      </c>
      <c r="F2078" s="3" t="str">
        <f>IFERROR( VLOOKUP(A2078,#REF!,2,0),"")</f>
        <v/>
      </c>
      <c r="G2078" s="3" t="str">
        <f t="array" ref="G2078">_xlfn.XLOOKUP(I2078,Base_Datos!D:D,Base_Datos!B:B,"")</f>
        <v>DFSK</v>
      </c>
      <c r="H2078" s="3" t="str">
        <f t="array" ref="H2078">IF(I2078="","",IFERROR(_xlfn.XLOOKUP(I2078,Base_Datos!$D$2:$D3876,Base_Datos!$C$2:$C3876),""))</f>
        <v>Serie D</v>
      </c>
      <c r="I2078" s="3" t="s">
        <v>973</v>
      </c>
      <c r="J2078" s="3" t="str">
        <f>IF(I2078="","",IFERROR(VLOOKUP(I2078,Base_Datos!$D$2:$E$72,2,0),""))</f>
        <v>(1.5L)</v>
      </c>
      <c r="K2078" s="3"/>
      <c r="L2078" s="3"/>
      <c r="M2078" s="7">
        <v>0</v>
      </c>
      <c r="N2078" s="7">
        <v>0</v>
      </c>
    </row>
    <row r="2079" spans="1:14" ht="14.25" x14ac:dyDescent="0.2">
      <c r="A2079" s="3">
        <v>89716</v>
      </c>
      <c r="B2079" s="3" t="s">
        <v>4099</v>
      </c>
      <c r="C2079" s="3" t="s">
        <v>22</v>
      </c>
      <c r="D2079" s="6" t="s">
        <v>4100</v>
      </c>
      <c r="E2079" s="6" t="s">
        <v>4100</v>
      </c>
      <c r="F2079" s="3" t="str">
        <f>IFERROR( VLOOKUP(A2079,#REF!,2,0),"")</f>
        <v/>
      </c>
      <c r="G2079" s="3" t="str">
        <f t="array" ref="G2079">_xlfn.XLOOKUP(I2079,Base_Datos!D:D,Base_Datos!B:B,"")</f>
        <v>DFSK</v>
      </c>
      <c r="H2079" s="3" t="str">
        <f t="array" ref="H2079">IF(I2079="","",IFERROR(_xlfn.XLOOKUP(I2079,Base_Datos!$D$2:$D3876,Base_Datos!$C$2:$C3876),""))</f>
        <v>Serie Glory</v>
      </c>
      <c r="I2079" s="3" t="s">
        <v>1765</v>
      </c>
      <c r="J2079" s="3" t="str">
        <f>IF(I2079="","",IFERROR(VLOOKUP(I2079,Base_Datos!$D$2:$E$72,2,0),""))</f>
        <v>(1.5L)</v>
      </c>
      <c r="K2079" s="3"/>
      <c r="L2079" s="3"/>
      <c r="M2079" s="7">
        <v>0</v>
      </c>
      <c r="N2079" s="7">
        <v>0</v>
      </c>
    </row>
    <row r="2080" spans="1:14" ht="14.25" x14ac:dyDescent="0.2">
      <c r="A2080" s="3">
        <v>89717</v>
      </c>
      <c r="B2080" s="3" t="s">
        <v>4101</v>
      </c>
      <c r="C2080" s="3" t="s">
        <v>18</v>
      </c>
      <c r="D2080" s="6" t="s">
        <v>696</v>
      </c>
      <c r="E2080" s="6" t="s">
        <v>696</v>
      </c>
      <c r="F2080" s="3" t="str">
        <f>IFERROR( VLOOKUP(A2080,#REF!,2,0),"")</f>
        <v/>
      </c>
      <c r="G2080" s="3" t="str">
        <f t="array" ref="G2080">_xlfn.XLOOKUP(I2080,Base_Datos!D:D,Base_Datos!B:B,"")</f>
        <v>DFSK</v>
      </c>
      <c r="H2080" s="3" t="str">
        <f t="array" ref="H2080">IF(I2080="","",IFERROR(_xlfn.XLOOKUP(I2080,Base_Datos!$D$2:$D3876,Base_Datos!$C$2:$C3876),""))</f>
        <v>Serie D</v>
      </c>
      <c r="I2080" s="3" t="s">
        <v>973</v>
      </c>
      <c r="J2080" s="3" t="str">
        <f>IF(I2080="","",IFERROR(VLOOKUP(I2080,Base_Datos!$D$2:$E$72,2,0),""))</f>
        <v>(1.5L)</v>
      </c>
      <c r="K2080" s="3"/>
      <c r="L2080" s="3"/>
      <c r="M2080" s="7">
        <v>2</v>
      </c>
      <c r="N2080" s="7">
        <v>0</v>
      </c>
    </row>
    <row r="2081" spans="1:14" ht="14.25" x14ac:dyDescent="0.2">
      <c r="A2081" s="3">
        <v>89718</v>
      </c>
      <c r="B2081" s="3" t="s">
        <v>4102</v>
      </c>
      <c r="C2081" s="3" t="s">
        <v>18</v>
      </c>
      <c r="D2081" s="6" t="s">
        <v>697</v>
      </c>
      <c r="E2081" s="6" t="s">
        <v>697</v>
      </c>
      <c r="F2081" s="3" t="str">
        <f>IFERROR( VLOOKUP(A2081,#REF!,2,0),"")</f>
        <v/>
      </c>
      <c r="G2081" s="3" t="str">
        <f t="array" ref="G2081">_xlfn.XLOOKUP(I2081,Base_Datos!D:D,Base_Datos!B:B,"")</f>
        <v>DFSK</v>
      </c>
      <c r="H2081" s="3" t="str">
        <f t="array" ref="H2081">IF(I2081="","",IFERROR(_xlfn.XLOOKUP(I2081,Base_Datos!$D$2:$D3876,Base_Datos!$C$2:$C3876),""))</f>
        <v>Serie Glory</v>
      </c>
      <c r="I2081" s="3" t="s">
        <v>1765</v>
      </c>
      <c r="J2081" s="3" t="str">
        <f>IF(I2081="","",IFERROR(VLOOKUP(I2081,Base_Datos!$D$2:$E$72,2,0),""))</f>
        <v>(1.5L)</v>
      </c>
      <c r="K2081" s="3"/>
      <c r="L2081" s="3"/>
      <c r="M2081" s="7">
        <v>15</v>
      </c>
      <c r="N2081" s="7">
        <v>0</v>
      </c>
    </row>
    <row r="2082" spans="1:14" ht="14.25" x14ac:dyDescent="0.2">
      <c r="A2082" s="3">
        <v>89719</v>
      </c>
      <c r="B2082" s="3" t="s">
        <v>4103</v>
      </c>
      <c r="C2082" s="3" t="s">
        <v>18</v>
      </c>
      <c r="D2082" s="6" t="s">
        <v>698</v>
      </c>
      <c r="E2082" s="6" t="s">
        <v>698</v>
      </c>
      <c r="F2082" s="3" t="str">
        <f>IFERROR( VLOOKUP(A2082,#REF!,2,0),"")</f>
        <v/>
      </c>
      <c r="G2082" s="3" t="str">
        <f t="array" ref="G2082">_xlfn.XLOOKUP(I2082,Base_Datos!D:D,Base_Datos!B:B,"")</f>
        <v>DFSK</v>
      </c>
      <c r="H2082" s="3" t="str">
        <f t="array" ref="H2082">IF(I2082="","",IFERROR(_xlfn.XLOOKUP(I2082,Base_Datos!$D$2:$D3876,Base_Datos!$C$2:$C3876),""))</f>
        <v>Serie Glory</v>
      </c>
      <c r="I2082" s="3" t="s">
        <v>1765</v>
      </c>
      <c r="J2082" s="3" t="str">
        <f>IF(I2082="","",IFERROR(VLOOKUP(I2082,Base_Datos!$D$2:$E$72,2,0),""))</f>
        <v>(1.5L)</v>
      </c>
      <c r="K2082" s="3"/>
      <c r="L2082" s="3"/>
      <c r="M2082" s="7">
        <v>15</v>
      </c>
      <c r="N2082" s="7">
        <v>0</v>
      </c>
    </row>
    <row r="2083" spans="1:14" ht="14.25" x14ac:dyDescent="0.2">
      <c r="A2083" s="3">
        <v>89720</v>
      </c>
      <c r="B2083" s="9" t="s">
        <v>4104</v>
      </c>
      <c r="C2083" s="3" t="s">
        <v>18</v>
      </c>
      <c r="D2083" s="6" t="s">
        <v>699</v>
      </c>
      <c r="E2083" s="6" t="s">
        <v>699</v>
      </c>
      <c r="F2083" s="3" t="str">
        <f>IFERROR( VLOOKUP(A2083,#REF!,2,0),"")</f>
        <v/>
      </c>
      <c r="G2083" s="3" t="str">
        <f t="array" ref="G2083">_xlfn.XLOOKUP(I2083,Base_Datos!D:D,Base_Datos!B:B,"")</f>
        <v>DFSK</v>
      </c>
      <c r="H2083" s="3" t="str">
        <f t="array" ref="H2083">IF(I2083="","",IFERROR(_xlfn.XLOOKUP(I2083,Base_Datos!$D$2:$D3876,Base_Datos!$C$2:$C3876),""))</f>
        <v>Serie Glory</v>
      </c>
      <c r="I2083" s="3" t="s">
        <v>1765</v>
      </c>
      <c r="J2083" s="3" t="str">
        <f>IF(I2083="","",IFERROR(VLOOKUP(I2083,Base_Datos!$D$2:$E$72,2,0),""))</f>
        <v>(1.5L)</v>
      </c>
      <c r="K2083" s="3"/>
      <c r="L2083" s="3"/>
      <c r="M2083" s="7">
        <v>10</v>
      </c>
      <c r="N2083" s="7">
        <v>0</v>
      </c>
    </row>
    <row r="2084" spans="1:14" ht="14.25" x14ac:dyDescent="0.2">
      <c r="A2084" s="3">
        <v>89721</v>
      </c>
      <c r="B2084" s="3" t="s">
        <v>4105</v>
      </c>
      <c r="C2084" s="3" t="s">
        <v>22</v>
      </c>
      <c r="D2084" s="6" t="s">
        <v>700</v>
      </c>
      <c r="E2084" s="6" t="s">
        <v>700</v>
      </c>
      <c r="F2084" s="3" t="str">
        <f>IFERROR( VLOOKUP(A2084,#REF!,2,0),"")</f>
        <v/>
      </c>
      <c r="G2084" s="3" t="str">
        <f t="array" ref="G2084">_xlfn.XLOOKUP(I2084,Base_Datos!D:D,Base_Datos!B:B,"")</f>
        <v>DFSK</v>
      </c>
      <c r="H2084" s="3" t="str">
        <f t="array" ref="H2084">IF(I2084="","",IFERROR(_xlfn.XLOOKUP(I2084,Base_Datos!$D$2:$D3876,Base_Datos!$C$2:$C3876),""))</f>
        <v>Serie D</v>
      </c>
      <c r="I2084" s="3" t="s">
        <v>973</v>
      </c>
      <c r="J2084" s="3" t="str">
        <f>IF(I2084="","",IFERROR(VLOOKUP(I2084,Base_Datos!$D$2:$E$72,2,0),""))</f>
        <v>(1.5L)</v>
      </c>
      <c r="K2084" s="3"/>
      <c r="L2084" s="3"/>
      <c r="M2084" s="7">
        <v>40</v>
      </c>
      <c r="N2084" s="7">
        <v>0</v>
      </c>
    </row>
    <row r="2085" spans="1:14" ht="14.25" x14ac:dyDescent="0.2">
      <c r="A2085" s="3">
        <v>89722</v>
      </c>
      <c r="B2085" s="3" t="s">
        <v>1884</v>
      </c>
      <c r="C2085" s="3" t="s">
        <v>22</v>
      </c>
      <c r="D2085" s="6" t="s">
        <v>488</v>
      </c>
      <c r="E2085" s="6" t="s">
        <v>488</v>
      </c>
      <c r="F2085" s="3" t="str">
        <f>IFERROR( VLOOKUP(A2085,#REF!,2,0),"")</f>
        <v/>
      </c>
      <c r="G2085" s="3" t="str">
        <f t="array" ref="G2085">_xlfn.XLOOKUP(I2085,Base_Datos!D:D,Base_Datos!B:B,"")</f>
        <v>DFSK</v>
      </c>
      <c r="H2085" s="3" t="str">
        <f t="array" ref="H2085">IF(I2085="","",IFERROR(_xlfn.XLOOKUP(I2085,Base_Datos!$D$2:$D3876,Base_Datos!$C$2:$C3876),""))</f>
        <v>Serie D</v>
      </c>
      <c r="I2085" s="3" t="s">
        <v>973</v>
      </c>
      <c r="J2085" s="3" t="str">
        <f>IF(I2085="","",IFERROR(VLOOKUP(I2085,Base_Datos!$D$2:$E$72,2,0),""))</f>
        <v>(1.5L)</v>
      </c>
      <c r="K2085" s="3"/>
      <c r="L2085" s="3"/>
      <c r="M2085" s="7">
        <v>0</v>
      </c>
      <c r="N2085" s="7">
        <v>0</v>
      </c>
    </row>
    <row r="2086" spans="1:14" ht="14.25" x14ac:dyDescent="0.2">
      <c r="A2086" s="3">
        <v>89723</v>
      </c>
      <c r="B2086" s="3" t="s">
        <v>2406</v>
      </c>
      <c r="C2086" s="3" t="s">
        <v>18</v>
      </c>
      <c r="D2086" s="6" t="s">
        <v>4106</v>
      </c>
      <c r="E2086" s="6" t="s">
        <v>4106</v>
      </c>
      <c r="F2086" s="3" t="str">
        <f>IFERROR( VLOOKUP(A2086,#REF!,2,0),"")</f>
        <v/>
      </c>
      <c r="G2086" s="3" t="str">
        <f t="array" ref="G2086">_xlfn.XLOOKUP(I2086,Base_Datos!D:D,Base_Datos!B:B,"")</f>
        <v>DFSK</v>
      </c>
      <c r="H2086" s="3" t="str">
        <f t="array" ref="H2086">IF(I2086="","",IFERROR(_xlfn.XLOOKUP(I2086,Base_Datos!$D$2:$D3876,Base_Datos!$C$2:$C3876),""))</f>
        <v>Serie Glory</v>
      </c>
      <c r="I2086" s="3" t="s">
        <v>1765</v>
      </c>
      <c r="J2086" s="3" t="str">
        <f>IF(I2086="","",IFERROR(VLOOKUP(I2086,Base_Datos!$D$2:$E$72,2,0),""))</f>
        <v>(1.5L)</v>
      </c>
      <c r="K2086" s="3"/>
      <c r="L2086" s="3"/>
      <c r="M2086" s="7">
        <v>1</v>
      </c>
      <c r="N2086" s="7">
        <v>0</v>
      </c>
    </row>
    <row r="2087" spans="1:14" ht="14.25" x14ac:dyDescent="0.2">
      <c r="A2087" s="3">
        <v>89724</v>
      </c>
      <c r="B2087" s="3" t="s">
        <v>4107</v>
      </c>
      <c r="C2087" s="3" t="s">
        <v>22</v>
      </c>
      <c r="D2087" s="6" t="s">
        <v>701</v>
      </c>
      <c r="E2087" s="6" t="s">
        <v>3983</v>
      </c>
      <c r="F2087" s="3" t="str">
        <f>IFERROR( VLOOKUP(A2087,#REF!,2,0),"")</f>
        <v/>
      </c>
      <c r="G2087" s="3" t="str">
        <f t="array" ref="G2087">_xlfn.XLOOKUP(I2087,Base_Datos!D:D,Base_Datos!B:B,"")</f>
        <v>DFSK</v>
      </c>
      <c r="H2087" s="3" t="str">
        <f t="array" ref="H2087">IF(I2087="","",IFERROR(_xlfn.XLOOKUP(I2087,Base_Datos!$D$2:$D3876,Base_Datos!$C$2:$C3876),""))</f>
        <v>Serie D</v>
      </c>
      <c r="I2087" s="3" t="s">
        <v>973</v>
      </c>
      <c r="J2087" s="3" t="str">
        <f>IF(I2087="","",IFERROR(VLOOKUP(I2087,Base_Datos!$D$2:$E$72,2,0),""))</f>
        <v>(1.5L)</v>
      </c>
      <c r="K2087" s="3"/>
      <c r="L2087" s="3"/>
      <c r="M2087" s="7">
        <v>0</v>
      </c>
      <c r="N2087" s="7">
        <v>0</v>
      </c>
    </row>
    <row r="2088" spans="1:14" ht="14.25" x14ac:dyDescent="0.2">
      <c r="A2088" s="3">
        <v>89725</v>
      </c>
      <c r="B2088" s="3" t="s">
        <v>4108</v>
      </c>
      <c r="C2088" s="3" t="s">
        <v>22</v>
      </c>
      <c r="D2088" s="6" t="s">
        <v>702</v>
      </c>
      <c r="E2088" s="6" t="s">
        <v>595</v>
      </c>
      <c r="F2088" s="3" t="str">
        <f>IFERROR( VLOOKUP(A2088,#REF!,2,0),"")</f>
        <v/>
      </c>
      <c r="G2088" s="3" t="str">
        <f t="array" ref="G2088">_xlfn.XLOOKUP(I2088,Base_Datos!D:D,Base_Datos!B:B,"")</f>
        <v>DFSK</v>
      </c>
      <c r="H2088" s="3" t="str">
        <f t="array" ref="H2088">IF(I2088="","",IFERROR(_xlfn.XLOOKUP(I2088,Base_Datos!$D$2:$D3876,Base_Datos!$C$2:$C3876),""))</f>
        <v>Serie D</v>
      </c>
      <c r="I2088" s="3" t="s">
        <v>973</v>
      </c>
      <c r="J2088" s="3" t="str">
        <f>IF(I2088="","",IFERROR(VLOOKUP(I2088,Base_Datos!$D$2:$E$72,2,0),""))</f>
        <v>(1.5L)</v>
      </c>
      <c r="K2088" s="3"/>
      <c r="L2088" s="3"/>
      <c r="M2088" s="7">
        <v>0</v>
      </c>
      <c r="N2088" s="7">
        <v>0</v>
      </c>
    </row>
    <row r="2089" spans="1:14" ht="14.25" x14ac:dyDescent="0.2">
      <c r="A2089" s="3">
        <v>89726</v>
      </c>
      <c r="B2089" s="3" t="s">
        <v>4109</v>
      </c>
      <c r="C2089" s="3" t="s">
        <v>22</v>
      </c>
      <c r="D2089" s="6" t="s">
        <v>4110</v>
      </c>
      <c r="E2089" s="6" t="s">
        <v>4110</v>
      </c>
      <c r="F2089" s="3" t="str">
        <f>IFERROR( VLOOKUP(A2089,#REF!,2,0),"")</f>
        <v/>
      </c>
      <c r="G2089" s="3" t="str">
        <f t="array" ref="G2089">_xlfn.XLOOKUP(I2089,Base_Datos!D:D,Base_Datos!B:B,"")</f>
        <v>DFSK</v>
      </c>
      <c r="H2089" s="3" t="str">
        <f t="array" ref="H2089">IF(I2089="","",IFERROR(_xlfn.XLOOKUP(I2089,Base_Datos!$D$2:$D3876,Base_Datos!$C$2:$C3876),""))</f>
        <v>Serie D</v>
      </c>
      <c r="I2089" s="3" t="s">
        <v>973</v>
      </c>
      <c r="J2089" s="3" t="str">
        <f>IF(I2089="","",IFERROR(VLOOKUP(I2089,Base_Datos!$D$2:$E$72,2,0),""))</f>
        <v>(1.5L)</v>
      </c>
      <c r="K2089" s="3"/>
      <c r="L2089" s="3"/>
      <c r="M2089" s="7">
        <v>0</v>
      </c>
      <c r="N2089" s="7">
        <v>0</v>
      </c>
    </row>
    <row r="2090" spans="1:14" ht="14.25" x14ac:dyDescent="0.2">
      <c r="A2090" s="3">
        <v>89727</v>
      </c>
      <c r="B2090" s="3" t="s">
        <v>1792</v>
      </c>
      <c r="C2090" s="3" t="s">
        <v>22</v>
      </c>
      <c r="D2090" s="6" t="s">
        <v>703</v>
      </c>
      <c r="E2090" s="6" t="s">
        <v>703</v>
      </c>
      <c r="F2090" s="3" t="str">
        <f>IFERROR( VLOOKUP(A2090,#REF!,2,0),"")</f>
        <v/>
      </c>
      <c r="G2090" s="3" t="str">
        <f t="array" ref="G2090">_xlfn.XLOOKUP(I2090,Base_Datos!D:D,Base_Datos!B:B,"")</f>
        <v>DFSK</v>
      </c>
      <c r="H2090" s="3" t="str">
        <f t="array" ref="H2090">IF(I2090="","",IFERROR(_xlfn.XLOOKUP(I2090,Base_Datos!$D$2:$D3876,Base_Datos!$C$2:$C3876),""))</f>
        <v>Serie D</v>
      </c>
      <c r="I2090" s="3" t="s">
        <v>973</v>
      </c>
      <c r="J2090" s="3" t="str">
        <f>IF(I2090="","",IFERROR(VLOOKUP(I2090,Base_Datos!$D$2:$E$72,2,0),""))</f>
        <v>(1.5L)</v>
      </c>
      <c r="K2090" s="3"/>
      <c r="L2090" s="3"/>
      <c r="M2090" s="7">
        <v>0</v>
      </c>
      <c r="N2090" s="7">
        <v>0</v>
      </c>
    </row>
    <row r="2091" spans="1:14" ht="14.25" x14ac:dyDescent="0.2">
      <c r="A2091" s="3">
        <v>89728</v>
      </c>
      <c r="B2091" s="3" t="s">
        <v>3860</v>
      </c>
      <c r="C2091" s="3" t="s">
        <v>22</v>
      </c>
      <c r="D2091" s="6" t="s">
        <v>498</v>
      </c>
      <c r="E2091" s="6" t="s">
        <v>498</v>
      </c>
      <c r="F2091" s="3" t="str">
        <f>IFERROR( VLOOKUP(A2091,#REF!,2,0),"")</f>
        <v/>
      </c>
      <c r="G2091" s="3" t="str">
        <f t="array" ref="G2091">_xlfn.XLOOKUP(I2091,Base_Datos!D:D,Base_Datos!B:B,"")</f>
        <v>DFSK</v>
      </c>
      <c r="H2091" s="3" t="str">
        <f t="array" ref="H2091">IF(I2091="","",IFERROR(_xlfn.XLOOKUP(I2091,Base_Datos!$D$2:$D3876,Base_Datos!$C$2:$C3876),""))</f>
        <v>Serie D</v>
      </c>
      <c r="I2091" s="3" t="s">
        <v>973</v>
      </c>
      <c r="J2091" s="3" t="str">
        <f>IF(I2091="","",IFERROR(VLOOKUP(I2091,Base_Datos!$D$2:$E$72,2,0),""))</f>
        <v>(1.5L)</v>
      </c>
      <c r="K2091" s="3"/>
      <c r="L2091" s="3"/>
      <c r="M2091" s="7">
        <v>0</v>
      </c>
      <c r="N2091" s="7">
        <v>0</v>
      </c>
    </row>
    <row r="2092" spans="1:14" ht="14.25" x14ac:dyDescent="0.2">
      <c r="A2092" s="3">
        <v>89729</v>
      </c>
      <c r="B2092" s="3" t="s">
        <v>4111</v>
      </c>
      <c r="C2092" s="3" t="s">
        <v>2</v>
      </c>
      <c r="D2092" s="6" t="s">
        <v>4112</v>
      </c>
      <c r="E2092" s="6" t="s">
        <v>4112</v>
      </c>
      <c r="F2092" s="3" t="str">
        <f>IFERROR( VLOOKUP(A2092,#REF!,2,0),"")</f>
        <v/>
      </c>
      <c r="G2092" s="3" t="str">
        <f t="array" ref="G2092">_xlfn.XLOOKUP(I2092,Base_Datos!D:D,Base_Datos!B:B,"")</f>
        <v>DFSK</v>
      </c>
      <c r="H2092" s="3" t="str">
        <f t="array" ref="H2092">IF(I2092="","",IFERROR(_xlfn.XLOOKUP(I2092,Base_Datos!$D$2:$D3876,Base_Datos!$C$2:$C3876),""))</f>
        <v>Serie D</v>
      </c>
      <c r="I2092" s="3" t="s">
        <v>973</v>
      </c>
      <c r="J2092" s="3" t="str">
        <f>IF(I2092="","",IFERROR(VLOOKUP(I2092,Base_Datos!$D$2:$E$72,2,0),""))</f>
        <v>(1.5L)</v>
      </c>
      <c r="K2092" s="3"/>
      <c r="L2092" s="3"/>
      <c r="M2092" s="7">
        <v>0</v>
      </c>
      <c r="N2092" s="7">
        <v>0</v>
      </c>
    </row>
    <row r="2093" spans="1:14" ht="14.25" x14ac:dyDescent="0.2">
      <c r="A2093" s="3">
        <v>89730</v>
      </c>
      <c r="B2093" s="3" t="s">
        <v>4113</v>
      </c>
      <c r="C2093" s="3" t="s">
        <v>18</v>
      </c>
      <c r="D2093" s="6" t="s">
        <v>1862</v>
      </c>
      <c r="E2093" s="6" t="s">
        <v>1862</v>
      </c>
      <c r="F2093" s="3" t="str">
        <f>IFERROR( VLOOKUP(A2093,#REF!,2,0),"")</f>
        <v/>
      </c>
      <c r="G2093" s="3" t="str">
        <f t="array" ref="G2093">_xlfn.XLOOKUP(I2093,Base_Datos!D:D,Base_Datos!B:B,"")</f>
        <v>DFSK</v>
      </c>
      <c r="H2093" s="3" t="str">
        <f t="array" ref="H2093">IF(I2093="","",IFERROR(_xlfn.XLOOKUP(I2093,Base_Datos!$D$2:$D3876,Base_Datos!$C$2:$C3876),""))</f>
        <v>Serie Glory</v>
      </c>
      <c r="I2093" s="3" t="s">
        <v>1765</v>
      </c>
      <c r="J2093" s="3" t="str">
        <f>IF(I2093="","",IFERROR(VLOOKUP(I2093,Base_Datos!$D$2:$E$72,2,0),""))</f>
        <v>(1.5L)</v>
      </c>
      <c r="K2093" s="3" t="s">
        <v>2881</v>
      </c>
      <c r="L2093" s="3"/>
      <c r="M2093" s="7">
        <v>30</v>
      </c>
      <c r="N2093" s="7">
        <v>0</v>
      </c>
    </row>
    <row r="2094" spans="1:14" ht="14.25" x14ac:dyDescent="0.2">
      <c r="A2094" s="3">
        <v>89731</v>
      </c>
      <c r="B2094" s="3" t="s">
        <v>3229</v>
      </c>
      <c r="C2094" s="3" t="s">
        <v>22</v>
      </c>
      <c r="D2094" s="6" t="s">
        <v>525</v>
      </c>
      <c r="E2094" s="6" t="s">
        <v>525</v>
      </c>
      <c r="F2094" s="3" t="str">
        <f>IFERROR( VLOOKUP(A2094,#REF!,2,0),"")</f>
        <v/>
      </c>
      <c r="G2094" s="3" t="str">
        <f t="array" ref="G2094">_xlfn.XLOOKUP(I2094,Base_Datos!D:D,Base_Datos!B:B,"")</f>
        <v>DFSK</v>
      </c>
      <c r="H2094" s="3" t="str">
        <f t="array" ref="H2094">IF(I2094="","",IFERROR(_xlfn.XLOOKUP(I2094,Base_Datos!$D$2:$D3876,Base_Datos!$C$2:$C3876),""))</f>
        <v>Serie Glory</v>
      </c>
      <c r="I2094" s="3" t="s">
        <v>1765</v>
      </c>
      <c r="J2094" s="3" t="str">
        <f>IF(I2094="","",IFERROR(VLOOKUP(I2094,Base_Datos!$D$2:$E$72,2,0),""))</f>
        <v>(1.5L)</v>
      </c>
      <c r="K2094" s="3"/>
      <c r="L2094" s="3"/>
      <c r="M2094" s="7">
        <v>13</v>
      </c>
      <c r="N2094" s="7">
        <v>0</v>
      </c>
    </row>
    <row r="2095" spans="1:14" ht="14.25" x14ac:dyDescent="0.2">
      <c r="A2095" s="3">
        <v>89732</v>
      </c>
      <c r="B2095" s="3" t="s">
        <v>4114</v>
      </c>
      <c r="C2095" s="3" t="s">
        <v>22</v>
      </c>
      <c r="D2095" s="6" t="s">
        <v>4115</v>
      </c>
      <c r="E2095" s="6" t="s">
        <v>4115</v>
      </c>
      <c r="F2095" s="3" t="str">
        <f>IFERROR( VLOOKUP(A2095,#REF!,2,0),"")</f>
        <v/>
      </c>
      <c r="G2095" s="3" t="str">
        <f t="array" ref="G2095">_xlfn.XLOOKUP(I2095,Base_Datos!D:D,Base_Datos!B:B,"")</f>
        <v>DFSK</v>
      </c>
      <c r="H2095" s="3" t="str">
        <f t="array" ref="H2095">IF(I2095="","",IFERROR(_xlfn.XLOOKUP(I2095,Base_Datos!$D$2:$D3876,Base_Datos!$C$2:$C3876),""))</f>
        <v>Serie D</v>
      </c>
      <c r="I2095" s="3" t="s">
        <v>973</v>
      </c>
      <c r="J2095" s="3" t="str">
        <f>IF(I2095="","",IFERROR(VLOOKUP(I2095,Base_Datos!$D$2:$E$72,2,0),""))</f>
        <v>(1.5L)</v>
      </c>
      <c r="K2095" s="3"/>
      <c r="L2095" s="3"/>
      <c r="M2095" s="7">
        <v>0</v>
      </c>
      <c r="N2095" s="7">
        <v>0</v>
      </c>
    </row>
    <row r="2096" spans="1:14" ht="14.25" x14ac:dyDescent="0.2">
      <c r="A2096" s="3">
        <v>89733</v>
      </c>
      <c r="B2096" s="3" t="s">
        <v>4116</v>
      </c>
      <c r="C2096" s="3" t="s">
        <v>22</v>
      </c>
      <c r="D2096" s="6" t="s">
        <v>704</v>
      </c>
      <c r="E2096" s="6" t="s">
        <v>704</v>
      </c>
      <c r="F2096" s="3" t="str">
        <f>IFERROR( VLOOKUP(A2096,#REF!,2,0),"")</f>
        <v/>
      </c>
      <c r="G2096" s="3" t="str">
        <f t="array" ref="G2096">_xlfn.XLOOKUP(I2096,Base_Datos!D:D,Base_Datos!B:B,"")</f>
        <v>DFSK</v>
      </c>
      <c r="H2096" s="3" t="str">
        <f t="array" ref="H2096">IF(I2096="","",IFERROR(_xlfn.XLOOKUP(I2096,Base_Datos!$D$2:$D3876,Base_Datos!$C$2:$C3876),""))</f>
        <v>Serie Glory</v>
      </c>
      <c r="I2096" s="3" t="s">
        <v>1765</v>
      </c>
      <c r="J2096" s="3" t="str">
        <f>IF(I2096="","",IFERROR(VLOOKUP(I2096,Base_Datos!$D$2:$E$72,2,0),""))</f>
        <v>(1.5L)</v>
      </c>
      <c r="K2096" s="3"/>
      <c r="L2096" s="3"/>
      <c r="M2096" s="7">
        <v>9</v>
      </c>
      <c r="N2096" s="7">
        <v>0</v>
      </c>
    </row>
    <row r="2097" spans="1:14" ht="14.25" x14ac:dyDescent="0.2">
      <c r="A2097" s="3">
        <v>89734</v>
      </c>
      <c r="B2097" s="3" t="s">
        <v>4117</v>
      </c>
      <c r="C2097" s="3" t="s">
        <v>22</v>
      </c>
      <c r="D2097" s="6" t="s">
        <v>1782</v>
      </c>
      <c r="E2097" s="6" t="s">
        <v>1782</v>
      </c>
      <c r="F2097" s="3" t="str">
        <f>IFERROR( VLOOKUP(A2097,#REF!,2,0),"")</f>
        <v/>
      </c>
      <c r="G2097" s="3" t="str">
        <f t="array" ref="G2097">_xlfn.XLOOKUP(I2097,Base_Datos!D:D,Base_Datos!B:B,"")</f>
        <v>DFSK</v>
      </c>
      <c r="H2097" s="3" t="str">
        <f t="array" ref="H2097">IF(I2097="","",IFERROR(_xlfn.XLOOKUP(I2097,Base_Datos!$D$2:$D3876,Base_Datos!$C$2:$C3876),""))</f>
        <v>Serie Glory</v>
      </c>
      <c r="I2097" s="3" t="s">
        <v>1765</v>
      </c>
      <c r="J2097" s="3" t="str">
        <f>IF(I2097="","",IFERROR(VLOOKUP(I2097,Base_Datos!$D$2:$E$72,2,0),""))</f>
        <v>(1.5L)</v>
      </c>
      <c r="K2097" s="3"/>
      <c r="L2097" s="3"/>
      <c r="M2097" s="7">
        <v>0</v>
      </c>
      <c r="N2097" s="7">
        <v>0</v>
      </c>
    </row>
    <row r="2098" spans="1:14" ht="14.25" x14ac:dyDescent="0.2">
      <c r="A2098" s="3">
        <v>89735</v>
      </c>
      <c r="B2098" s="3" t="s">
        <v>4118</v>
      </c>
      <c r="C2098" s="3" t="s">
        <v>18</v>
      </c>
      <c r="D2098" s="6" t="s">
        <v>705</v>
      </c>
      <c r="E2098" s="6" t="s">
        <v>705</v>
      </c>
      <c r="F2098" s="3" t="str">
        <f>IFERROR( VLOOKUP(A2098,#REF!,2,0),"")</f>
        <v/>
      </c>
      <c r="G2098" s="3" t="str">
        <f t="array" ref="G2098">_xlfn.XLOOKUP(I2098,Base_Datos!D:D,Base_Datos!B:B,"")</f>
        <v>DFSK</v>
      </c>
      <c r="H2098" s="3" t="str">
        <f t="array" ref="H2098">IF(I2098="","",IFERROR(_xlfn.XLOOKUP(I2098,Base_Datos!$D$2:$D3876,Base_Datos!$C$2:$C3876),""))</f>
        <v>Serie D</v>
      </c>
      <c r="I2098" s="3" t="s">
        <v>2785</v>
      </c>
      <c r="J2098" s="3" t="str">
        <f>IF(I2098="","",IFERROR(VLOOKUP(I2098,Base_Datos!$D$2:$E$72,2,0),""))</f>
        <v>(1.5L)</v>
      </c>
      <c r="K2098" s="3"/>
      <c r="L2098" s="3"/>
      <c r="M2098" s="7">
        <v>40</v>
      </c>
      <c r="N2098" s="7">
        <v>0</v>
      </c>
    </row>
    <row r="2099" spans="1:14" ht="14.25" x14ac:dyDescent="0.2">
      <c r="A2099" s="3">
        <v>89736</v>
      </c>
      <c r="B2099" s="3" t="s">
        <v>3090</v>
      </c>
      <c r="C2099" s="3" t="s">
        <v>18</v>
      </c>
      <c r="D2099" s="6" t="s">
        <v>706</v>
      </c>
      <c r="E2099" s="6" t="s">
        <v>706</v>
      </c>
      <c r="F2099" s="3" t="str">
        <f>IFERROR( VLOOKUP(A2099,#REF!,2,0),"")</f>
        <v/>
      </c>
      <c r="G2099" s="3" t="str">
        <f t="array" ref="G2099">_xlfn.XLOOKUP(I2099,Base_Datos!D:D,Base_Datos!B:B,"")</f>
        <v>DFSK</v>
      </c>
      <c r="H2099" s="3" t="str">
        <f t="array" ref="H2099">IF(I2099="","",IFERROR(_xlfn.XLOOKUP(I2099,Base_Datos!$D$2:$D3876,Base_Datos!$C$2:$C3876),""))</f>
        <v>Serie D</v>
      </c>
      <c r="I2099" s="3" t="s">
        <v>2785</v>
      </c>
      <c r="J2099" s="3" t="str">
        <f>IF(I2099="","",IFERROR(VLOOKUP(I2099,Base_Datos!$D$2:$E$72,2,0),""))</f>
        <v>(1.5L)</v>
      </c>
      <c r="K2099" s="3"/>
      <c r="L2099" s="3"/>
      <c r="M2099" s="7">
        <v>12</v>
      </c>
      <c r="N2099" s="7">
        <v>0</v>
      </c>
    </row>
    <row r="2100" spans="1:14" ht="14.25" x14ac:dyDescent="0.2">
      <c r="A2100" s="3">
        <v>89737</v>
      </c>
      <c r="B2100" s="3" t="s">
        <v>1892</v>
      </c>
      <c r="C2100" s="3" t="s">
        <v>18</v>
      </c>
      <c r="D2100" s="6" t="s">
        <v>707</v>
      </c>
      <c r="E2100" s="6" t="s">
        <v>707</v>
      </c>
      <c r="F2100" s="3" t="str">
        <f>IFERROR( VLOOKUP(A2100,#REF!,2,0),"")</f>
        <v/>
      </c>
      <c r="G2100" s="3" t="str">
        <f t="array" ref="G2100">_xlfn.XLOOKUP(I2100,Base_Datos!D:D,Base_Datos!B:B,"")</f>
        <v>DFSK</v>
      </c>
      <c r="H2100" s="3" t="str">
        <f t="array" ref="H2100">IF(I2100="","",IFERROR(_xlfn.XLOOKUP(I2100,Base_Datos!$D$2:$D3876,Base_Datos!$C$2:$C3876),""))</f>
        <v>Serie D</v>
      </c>
      <c r="I2100" s="3" t="s">
        <v>2785</v>
      </c>
      <c r="J2100" s="3" t="str">
        <f>IF(I2100="","",IFERROR(VLOOKUP(I2100,Base_Datos!$D$2:$E$72,2,0),""))</f>
        <v>(1.5L)</v>
      </c>
      <c r="K2100" s="3"/>
      <c r="L2100" s="3"/>
      <c r="M2100" s="7">
        <v>19</v>
      </c>
      <c r="N2100" s="7">
        <v>0</v>
      </c>
    </row>
    <row r="2101" spans="1:14" ht="14.25" x14ac:dyDescent="0.2">
      <c r="A2101" s="3">
        <v>89738</v>
      </c>
      <c r="B2101" s="3" t="s">
        <v>4119</v>
      </c>
      <c r="C2101" s="3" t="s">
        <v>18</v>
      </c>
      <c r="D2101" s="6" t="s">
        <v>708</v>
      </c>
      <c r="E2101" s="6" t="s">
        <v>3569</v>
      </c>
      <c r="F2101" s="3" t="str">
        <f>IFERROR( VLOOKUP(A2101,#REF!,2,0),"")</f>
        <v/>
      </c>
      <c r="G2101" s="3" t="str">
        <f t="array" ref="G2101">_xlfn.XLOOKUP(I2101,Base_Datos!D:D,Base_Datos!B:B,"")</f>
        <v>DFSK</v>
      </c>
      <c r="H2101" s="3" t="str">
        <f t="array" ref="H2101">IF(I2101="","",IFERROR(_xlfn.XLOOKUP(I2101,Base_Datos!$D$2:$D3876,Base_Datos!$C$2:$C3876),""))</f>
        <v>Serie Glory</v>
      </c>
      <c r="I2101" s="3" t="s">
        <v>1754</v>
      </c>
      <c r="J2101" s="3" t="str">
        <f>IF(I2101="","",IFERROR(VLOOKUP(I2101,Base_Datos!$D$2:$E$72,2,0),""))</f>
        <v>(1.5L)</v>
      </c>
      <c r="K2101" s="3"/>
      <c r="L2101" s="3"/>
      <c r="M2101" s="7">
        <v>108</v>
      </c>
      <c r="N2101" s="7">
        <v>0</v>
      </c>
    </row>
    <row r="2102" spans="1:14" ht="14.25" x14ac:dyDescent="0.2">
      <c r="A2102" s="3">
        <v>89739</v>
      </c>
      <c r="B2102" s="3" t="s">
        <v>4120</v>
      </c>
      <c r="C2102" s="3" t="s">
        <v>22</v>
      </c>
      <c r="D2102" s="6" t="s">
        <v>1782</v>
      </c>
      <c r="E2102" s="6" t="s">
        <v>1782</v>
      </c>
      <c r="F2102" s="3" t="str">
        <f>IFERROR( VLOOKUP(A2102,#REF!,2,0),"")</f>
        <v/>
      </c>
      <c r="G2102" s="3" t="str">
        <f t="array" ref="G2102">_xlfn.XLOOKUP(I2102,Base_Datos!D:D,Base_Datos!B:B,"")</f>
        <v>DFSK</v>
      </c>
      <c r="H2102" s="3" t="str">
        <f t="array" ref="H2102">IF(I2102="","",IFERROR(_xlfn.XLOOKUP(I2102,Base_Datos!$D$2:$D3876,Base_Datos!$C$2:$C3876),""))</f>
        <v>Serie D</v>
      </c>
      <c r="I2102" s="3" t="s">
        <v>973</v>
      </c>
      <c r="J2102" s="3" t="str">
        <f>IF(I2102="","",IFERROR(VLOOKUP(I2102,Base_Datos!$D$2:$E$72,2,0),""))</f>
        <v>(1.5L)</v>
      </c>
      <c r="K2102" s="3"/>
      <c r="L2102" s="3"/>
      <c r="M2102" s="7">
        <v>0</v>
      </c>
      <c r="N2102" s="7">
        <v>0</v>
      </c>
    </row>
    <row r="2103" spans="1:14" ht="14.25" x14ac:dyDescent="0.2">
      <c r="A2103" s="3">
        <v>89740</v>
      </c>
      <c r="B2103" s="3" t="s">
        <v>4121</v>
      </c>
      <c r="C2103" s="3" t="s">
        <v>18</v>
      </c>
      <c r="D2103" s="6" t="s">
        <v>1782</v>
      </c>
      <c r="E2103" s="6" t="s">
        <v>1782</v>
      </c>
      <c r="F2103" s="3" t="str">
        <f>IFERROR( VLOOKUP(A2103,#REF!,2,0),"")</f>
        <v/>
      </c>
      <c r="G2103" s="3" t="str">
        <f t="array" ref="G2103">_xlfn.XLOOKUP(I2103,Base_Datos!D:D,Base_Datos!B:B,"")</f>
        <v>DFSK</v>
      </c>
      <c r="H2103" s="3" t="str">
        <f t="array" ref="H2103">IF(I2103="","",IFERROR(_xlfn.XLOOKUP(I2103,Base_Datos!$D$2:$D3876,Base_Datos!$C$2:$C3876),""))</f>
        <v>Serie D</v>
      </c>
      <c r="I2103" s="3" t="s">
        <v>973</v>
      </c>
      <c r="J2103" s="3" t="str">
        <f>IF(I2103="","",IFERROR(VLOOKUP(I2103,Base_Datos!$D$2:$E$72,2,0),""))</f>
        <v>(1.5L)</v>
      </c>
      <c r="K2103" s="3"/>
      <c r="L2103" s="3"/>
      <c r="M2103" s="7">
        <v>0</v>
      </c>
      <c r="N2103" s="7">
        <v>0</v>
      </c>
    </row>
    <row r="2104" spans="1:14" ht="14.25" x14ac:dyDescent="0.2">
      <c r="A2104" s="3">
        <v>89741</v>
      </c>
      <c r="B2104" s="3" t="s">
        <v>4122</v>
      </c>
      <c r="C2104" s="3" t="s">
        <v>18</v>
      </c>
      <c r="D2104" s="6" t="s">
        <v>975</v>
      </c>
      <c r="E2104" s="6" t="s">
        <v>975</v>
      </c>
      <c r="F2104" s="3" t="str">
        <f>IFERROR( VLOOKUP(A2104,#REF!,2,0),"")</f>
        <v/>
      </c>
      <c r="G2104" s="3" t="str">
        <f t="array" ref="G2104">_xlfn.XLOOKUP(I2104,Base_Datos!D:D,Base_Datos!B:B,"")</f>
        <v>DFSK</v>
      </c>
      <c r="H2104" s="3" t="str">
        <f t="array" ref="H2104">IF(I2104="","",IFERROR(_xlfn.XLOOKUP(I2104,Base_Datos!$D$2:$D3876,Base_Datos!$C$2:$C3876),""))</f>
        <v>Serie Glory</v>
      </c>
      <c r="I2104" s="3" t="s">
        <v>1765</v>
      </c>
      <c r="J2104" s="3" t="str">
        <f>IF(I2104="","",IFERROR(VLOOKUP(I2104,Base_Datos!$D$2:$E$72,2,0),""))</f>
        <v>(1.5L)</v>
      </c>
      <c r="K2104" s="3"/>
      <c r="L2104" s="3"/>
      <c r="M2104" s="7">
        <v>10</v>
      </c>
      <c r="N2104" s="7">
        <v>0</v>
      </c>
    </row>
    <row r="2105" spans="1:14" ht="14.25" x14ac:dyDescent="0.2">
      <c r="A2105" s="3">
        <v>89742</v>
      </c>
      <c r="B2105" s="3" t="s">
        <v>3402</v>
      </c>
      <c r="C2105" s="3" t="s">
        <v>18</v>
      </c>
      <c r="D2105" s="6" t="s">
        <v>980</v>
      </c>
      <c r="E2105" s="6" t="s">
        <v>980</v>
      </c>
      <c r="F2105" s="3" t="str">
        <f>IFERROR( VLOOKUP(A2105,#REF!,2,0),"")</f>
        <v/>
      </c>
      <c r="G2105" s="3" t="str">
        <f t="array" ref="G2105">_xlfn.XLOOKUP(I2105,Base_Datos!D:D,Base_Datos!B:B,"")</f>
        <v>DFSK</v>
      </c>
      <c r="H2105" s="3" t="str">
        <f t="array" ref="H2105">IF(I2105="","",IFERROR(_xlfn.XLOOKUP(I2105,Base_Datos!$D$2:$D3876,Base_Datos!$C$2:$C3876),""))</f>
        <v>Serie Glory</v>
      </c>
      <c r="I2105" s="3" t="s">
        <v>1765</v>
      </c>
      <c r="J2105" s="3" t="str">
        <f>IF(I2105="","",IFERROR(VLOOKUP(I2105,Base_Datos!$D$2:$E$72,2,0),""))</f>
        <v>(1.5L)</v>
      </c>
      <c r="K2105" s="3"/>
      <c r="L2105" s="3"/>
      <c r="M2105" s="7">
        <v>15</v>
      </c>
      <c r="N2105" s="7">
        <v>0</v>
      </c>
    </row>
    <row r="2106" spans="1:14" ht="14.25" x14ac:dyDescent="0.2">
      <c r="A2106" s="3">
        <v>89743</v>
      </c>
      <c r="B2106" s="3" t="s">
        <v>2661</v>
      </c>
      <c r="C2106" s="3" t="s">
        <v>18</v>
      </c>
      <c r="D2106" s="6" t="s">
        <v>993</v>
      </c>
      <c r="E2106" s="6" t="s">
        <v>993</v>
      </c>
      <c r="F2106" s="3" t="str">
        <f>IFERROR( VLOOKUP(A2106,#REF!,2,0),"")</f>
        <v/>
      </c>
      <c r="G2106" s="3" t="str">
        <f t="array" ref="G2106">_xlfn.XLOOKUP(I2106,Base_Datos!D:D,Base_Datos!B:B,"")</f>
        <v>DFSK</v>
      </c>
      <c r="H2106" s="3" t="str">
        <f t="array" ref="H2106">IF(I2106="","",IFERROR(_xlfn.XLOOKUP(I2106,Base_Datos!$D$2:$D3876,Base_Datos!$C$2:$C3876),""))</f>
        <v>Serie Glory</v>
      </c>
      <c r="I2106" s="3" t="s">
        <v>1765</v>
      </c>
      <c r="J2106" s="3" t="str">
        <f>IF(I2106="","",IFERROR(VLOOKUP(I2106,Base_Datos!$D$2:$E$72,2,0),""))</f>
        <v>(1.5L)</v>
      </c>
      <c r="K2106" s="3"/>
      <c r="L2106" s="3"/>
      <c r="M2106" s="7">
        <v>29</v>
      </c>
      <c r="N2106" s="7">
        <v>0</v>
      </c>
    </row>
    <row r="2107" spans="1:14" ht="14.25" x14ac:dyDescent="0.2">
      <c r="A2107" s="3">
        <v>89744</v>
      </c>
      <c r="B2107" s="3" t="s">
        <v>4123</v>
      </c>
      <c r="C2107" s="3" t="s">
        <v>18</v>
      </c>
      <c r="D2107" s="6" t="s">
        <v>981</v>
      </c>
      <c r="E2107" s="6" t="s">
        <v>981</v>
      </c>
      <c r="F2107" s="3" t="str">
        <f>IFERROR( VLOOKUP(A2107,#REF!,2,0),"")</f>
        <v/>
      </c>
      <c r="G2107" s="3" t="str">
        <f t="array" ref="G2107">_xlfn.XLOOKUP(I2107,Base_Datos!D:D,Base_Datos!B:B,"")</f>
        <v>DFSK</v>
      </c>
      <c r="H2107" s="3" t="str">
        <f t="array" ref="H2107">IF(I2107="","",IFERROR(_xlfn.XLOOKUP(I2107,Base_Datos!$D$2:$D3876,Base_Datos!$C$2:$C3876),""))</f>
        <v>Serie Glory</v>
      </c>
      <c r="I2107" s="3" t="s">
        <v>1765</v>
      </c>
      <c r="J2107" s="3" t="str">
        <f>IF(I2107="","",IFERROR(VLOOKUP(I2107,Base_Datos!$D$2:$E$72,2,0),""))</f>
        <v>(1.5L)</v>
      </c>
      <c r="K2107" s="3"/>
      <c r="L2107" s="3"/>
      <c r="M2107" s="7">
        <v>30</v>
      </c>
      <c r="N2107" s="7">
        <v>0</v>
      </c>
    </row>
    <row r="2108" spans="1:14" ht="14.25" x14ac:dyDescent="0.2">
      <c r="A2108" s="3">
        <v>89745</v>
      </c>
      <c r="B2108" s="3" t="s">
        <v>4124</v>
      </c>
      <c r="C2108" s="3" t="s">
        <v>18</v>
      </c>
      <c r="D2108" s="6" t="s">
        <v>985</v>
      </c>
      <c r="E2108" s="6" t="s">
        <v>985</v>
      </c>
      <c r="F2108" s="3" t="str">
        <f>IFERROR( VLOOKUP(A2108,#REF!,2,0),"")</f>
        <v/>
      </c>
      <c r="G2108" s="3" t="str">
        <f t="array" ref="G2108">_xlfn.XLOOKUP(I2108,Base_Datos!D:D,Base_Datos!B:B,"")</f>
        <v>DFSK</v>
      </c>
      <c r="H2108" s="3" t="str">
        <f t="array" ref="H2108">IF(I2108="","",IFERROR(_xlfn.XLOOKUP(I2108,Base_Datos!$D$2:$D3876,Base_Datos!$C$2:$C3876),""))</f>
        <v>Serie Glory</v>
      </c>
      <c r="I2108" s="3" t="s">
        <v>1754</v>
      </c>
      <c r="J2108" s="3" t="str">
        <f>IF(I2108="","",IFERROR(VLOOKUP(I2108,Base_Datos!$D$2:$E$72,2,0),""))</f>
        <v>(1.5L)</v>
      </c>
      <c r="K2108" s="3"/>
      <c r="L2108" s="3"/>
      <c r="M2108" s="7">
        <v>10</v>
      </c>
      <c r="N2108" s="7">
        <v>0</v>
      </c>
    </row>
    <row r="2109" spans="1:14" ht="14.25" x14ac:dyDescent="0.2">
      <c r="A2109" s="3">
        <v>89746</v>
      </c>
      <c r="B2109" s="3" t="s">
        <v>4125</v>
      </c>
      <c r="C2109" s="3" t="s">
        <v>18</v>
      </c>
      <c r="D2109" s="6" t="s">
        <v>989</v>
      </c>
      <c r="E2109" s="6" t="s">
        <v>989</v>
      </c>
      <c r="F2109" s="3" t="str">
        <f>IFERROR( VLOOKUP(A2109,#REF!,2,0),"")</f>
        <v/>
      </c>
      <c r="G2109" s="3" t="str">
        <f t="array" ref="G2109">_xlfn.XLOOKUP(I2109,Base_Datos!D:D,Base_Datos!B:B,"")</f>
        <v>DFSK</v>
      </c>
      <c r="H2109" s="3" t="str">
        <f t="array" ref="H2109">IF(I2109="","",IFERROR(_xlfn.XLOOKUP(I2109,Base_Datos!$D$2:$D3876,Base_Datos!$C$2:$C3876),""))</f>
        <v>Serie Glory</v>
      </c>
      <c r="I2109" s="3" t="s">
        <v>1765</v>
      </c>
      <c r="J2109" s="3" t="str">
        <f>IF(I2109="","",IFERROR(VLOOKUP(I2109,Base_Datos!$D$2:$E$72,2,0),""))</f>
        <v>(1.5L)</v>
      </c>
      <c r="K2109" s="3"/>
      <c r="L2109" s="3"/>
      <c r="M2109" s="7">
        <v>25</v>
      </c>
      <c r="N2109" s="7">
        <v>0</v>
      </c>
    </row>
    <row r="2110" spans="1:14" ht="14.25" x14ac:dyDescent="0.2">
      <c r="A2110" s="3">
        <v>89747</v>
      </c>
      <c r="B2110" s="3" t="s">
        <v>4126</v>
      </c>
      <c r="C2110" s="3" t="s">
        <v>18</v>
      </c>
      <c r="D2110" s="6" t="s">
        <v>1002</v>
      </c>
      <c r="E2110" s="6" t="s">
        <v>1002</v>
      </c>
      <c r="F2110" s="3" t="str">
        <f>IFERROR( VLOOKUP(A2110,#REF!,2,0),"")</f>
        <v/>
      </c>
      <c r="G2110" s="3" t="str">
        <f t="array" ref="G2110">_xlfn.XLOOKUP(I2110,Base_Datos!D:D,Base_Datos!B:B,"")</f>
        <v>DFSK</v>
      </c>
      <c r="H2110" s="3" t="str">
        <f t="array" ref="H2110">IF(I2110="","",IFERROR(_xlfn.XLOOKUP(I2110,Base_Datos!$D$2:$D3876,Base_Datos!$C$2:$C3876),""))</f>
        <v>Serie Glory</v>
      </c>
      <c r="I2110" s="3" t="s">
        <v>1765</v>
      </c>
      <c r="J2110" s="3" t="str">
        <f>IF(I2110="","",IFERROR(VLOOKUP(I2110,Base_Datos!$D$2:$E$72,2,0),""))</f>
        <v>(1.5L)</v>
      </c>
      <c r="K2110" s="3"/>
      <c r="L2110" s="3"/>
      <c r="M2110" s="7">
        <v>3</v>
      </c>
      <c r="N2110" s="7">
        <v>0</v>
      </c>
    </row>
    <row r="2111" spans="1:14" ht="14.25" x14ac:dyDescent="0.2">
      <c r="A2111" s="3">
        <v>89748</v>
      </c>
      <c r="B2111" s="3" t="s">
        <v>4127</v>
      </c>
      <c r="C2111" s="3" t="s">
        <v>18</v>
      </c>
      <c r="D2111" s="6" t="s">
        <v>977</v>
      </c>
      <c r="E2111" s="6" t="s">
        <v>977</v>
      </c>
      <c r="F2111" s="3" t="str">
        <f>IFERROR( VLOOKUP(A2111,#REF!,2,0),"")</f>
        <v/>
      </c>
      <c r="G2111" s="3" t="str">
        <f t="array" ref="G2111">_xlfn.XLOOKUP(I2111,Base_Datos!D:D,Base_Datos!B:B,"")</f>
        <v>DFSK</v>
      </c>
      <c r="H2111" s="3" t="str">
        <f t="array" ref="H2111">IF(I2111="","",IFERROR(_xlfn.XLOOKUP(I2111,Base_Datos!$D$2:$D3876,Base_Datos!$C$2:$C3876),""))</f>
        <v>Serie Glory</v>
      </c>
      <c r="I2111" s="3" t="s">
        <v>1765</v>
      </c>
      <c r="J2111" s="3" t="str">
        <f>IF(I2111="","",IFERROR(VLOOKUP(I2111,Base_Datos!$D$2:$E$72,2,0),""))</f>
        <v>(1.5L)</v>
      </c>
      <c r="K2111" s="3"/>
      <c r="L2111" s="3"/>
      <c r="M2111" s="7">
        <v>14</v>
      </c>
      <c r="N2111" s="7">
        <v>0</v>
      </c>
    </row>
    <row r="2112" spans="1:14" ht="14.25" x14ac:dyDescent="0.2">
      <c r="A2112" s="3">
        <v>89749</v>
      </c>
      <c r="B2112" s="3" t="s">
        <v>4128</v>
      </c>
      <c r="C2112" s="3" t="s">
        <v>18</v>
      </c>
      <c r="D2112" s="6" t="s">
        <v>999</v>
      </c>
      <c r="E2112" s="6" t="s">
        <v>999</v>
      </c>
      <c r="F2112" s="3" t="str">
        <f>IFERROR( VLOOKUP(A2112,#REF!,2,0),"")</f>
        <v/>
      </c>
      <c r="G2112" s="3" t="str">
        <f t="array" ref="G2112">_xlfn.XLOOKUP(I2112,Base_Datos!D:D,Base_Datos!B:B,"")</f>
        <v>DFSK</v>
      </c>
      <c r="H2112" s="3" t="str">
        <f t="array" ref="H2112">IF(I2112="","",IFERROR(_xlfn.XLOOKUP(I2112,Base_Datos!$D$2:$D3876,Base_Datos!$C$2:$C3876),""))</f>
        <v>Serie Glory</v>
      </c>
      <c r="I2112" s="3" t="s">
        <v>1765</v>
      </c>
      <c r="J2112" s="3" t="str">
        <f>IF(I2112="","",IFERROR(VLOOKUP(I2112,Base_Datos!$D$2:$E$72,2,0),""))</f>
        <v>(1.5L)</v>
      </c>
      <c r="K2112" s="3"/>
      <c r="L2112" s="3"/>
      <c r="M2112" s="7">
        <v>10</v>
      </c>
      <c r="N2112" s="7">
        <v>0</v>
      </c>
    </row>
    <row r="2113" spans="1:14" ht="14.25" x14ac:dyDescent="0.2">
      <c r="A2113" s="3">
        <v>89750</v>
      </c>
      <c r="B2113" s="3" t="s">
        <v>4129</v>
      </c>
      <c r="C2113" s="3" t="s">
        <v>18</v>
      </c>
      <c r="D2113" s="6" t="s">
        <v>709</v>
      </c>
      <c r="E2113" s="6" t="s">
        <v>709</v>
      </c>
      <c r="F2113" s="3" t="str">
        <f>IFERROR( VLOOKUP(A2113,#REF!,2,0),"")</f>
        <v/>
      </c>
      <c r="G2113" s="3" t="str">
        <f t="array" ref="G2113">_xlfn.XLOOKUP(I2113,Base_Datos!D:D,Base_Datos!B:B,"")</f>
        <v>DFSK</v>
      </c>
      <c r="H2113" s="3" t="str">
        <f t="array" ref="H2113">IF(I2113="","",IFERROR(_xlfn.XLOOKUP(I2113,Base_Datos!$D$2:$D3876,Base_Datos!$C$2:$C3876),""))</f>
        <v>Serie Glory</v>
      </c>
      <c r="I2113" s="3" t="s">
        <v>404</v>
      </c>
      <c r="J2113" s="3" t="str">
        <f>IF(I2113="","",IFERROR(VLOOKUP(I2113,Base_Datos!$D$2:$E$72,2,0),""))</f>
        <v>(1.5L)</v>
      </c>
      <c r="K2113" s="3" t="s">
        <v>2550</v>
      </c>
      <c r="L2113" s="3"/>
      <c r="M2113" s="7">
        <v>15</v>
      </c>
      <c r="N2113" s="7">
        <v>0</v>
      </c>
    </row>
    <row r="2114" spans="1:14" ht="14.25" x14ac:dyDescent="0.2">
      <c r="A2114" s="3">
        <v>89751</v>
      </c>
      <c r="B2114" s="3" t="s">
        <v>1781</v>
      </c>
      <c r="C2114" s="3" t="s">
        <v>18</v>
      </c>
      <c r="D2114" s="6" t="s">
        <v>710</v>
      </c>
      <c r="E2114" s="6" t="s">
        <v>1784</v>
      </c>
      <c r="F2114" s="3" t="str">
        <f>IFERROR( VLOOKUP(A2114,#REF!,2,0),"")</f>
        <v/>
      </c>
      <c r="G2114" s="3" t="str">
        <f t="array" ref="G2114">_xlfn.XLOOKUP(I2114,Base_Datos!D:D,Base_Datos!B:B,"")</f>
        <v>DFSK</v>
      </c>
      <c r="H2114" s="3" t="str">
        <f t="array" ref="H2114">IF(I2114="","",IFERROR(_xlfn.XLOOKUP(I2114,Base_Datos!$D$2:$D3876,Base_Datos!$C$2:$C3876),""))</f>
        <v>Serie Glory</v>
      </c>
      <c r="I2114" s="3" t="s">
        <v>404</v>
      </c>
      <c r="J2114" s="3" t="str">
        <f>IF(I2114="","",IFERROR(VLOOKUP(I2114,Base_Datos!$D$2:$E$72,2,0),""))</f>
        <v>(1.5L)</v>
      </c>
      <c r="K2114" s="3" t="s">
        <v>2550</v>
      </c>
      <c r="L2114" s="3"/>
      <c r="M2114" s="7">
        <v>0</v>
      </c>
      <c r="N2114" s="7">
        <v>0</v>
      </c>
    </row>
    <row r="2115" spans="1:14" ht="14.25" x14ac:dyDescent="0.2">
      <c r="A2115" s="3">
        <v>89752</v>
      </c>
      <c r="B2115" s="3" t="s">
        <v>4130</v>
      </c>
      <c r="C2115" s="3" t="s">
        <v>18</v>
      </c>
      <c r="D2115" s="6" t="s">
        <v>942</v>
      </c>
      <c r="E2115" s="6" t="s">
        <v>942</v>
      </c>
      <c r="F2115" s="3" t="str">
        <f>IFERROR( VLOOKUP(A2115,#REF!,2,0),"")</f>
        <v/>
      </c>
      <c r="G2115" s="3" t="str">
        <f t="array" ref="G2115">_xlfn.XLOOKUP(I2115,Base_Datos!D:D,Base_Datos!B:B,"")</f>
        <v>DFSK</v>
      </c>
      <c r="H2115" s="3" t="str">
        <f t="array" ref="H2115">IF(I2115="","",IFERROR(_xlfn.XLOOKUP(I2115,Base_Datos!$D$2:$D3876,Base_Datos!$C$2:$C3876),""))</f>
        <v>Serie K</v>
      </c>
      <c r="I2115" s="3" t="s">
        <v>475</v>
      </c>
      <c r="J2115" s="3" t="str">
        <f>IF(I2115="","",IFERROR(VLOOKUP(I2115,Base_Datos!$D$2:$E$72,2,0),""))</f>
        <v>(1.1L)</v>
      </c>
      <c r="K2115" s="3" t="s">
        <v>2624</v>
      </c>
      <c r="L2115" s="3"/>
      <c r="M2115" s="7">
        <v>77</v>
      </c>
      <c r="N2115" s="7">
        <v>0</v>
      </c>
    </row>
    <row r="2116" spans="1:14" ht="14.25" x14ac:dyDescent="0.2">
      <c r="A2116" s="3">
        <v>89753</v>
      </c>
      <c r="B2116" s="3" t="s">
        <v>4131</v>
      </c>
      <c r="C2116" s="3" t="s">
        <v>18</v>
      </c>
      <c r="D2116" s="6" t="s">
        <v>887</v>
      </c>
      <c r="E2116" s="6" t="s">
        <v>887</v>
      </c>
      <c r="F2116" s="3" t="str">
        <f>IFERROR( VLOOKUP(A2116,#REF!,2,0),"")</f>
        <v/>
      </c>
      <c r="G2116" s="3" t="str">
        <f t="array" ref="G2116">_xlfn.XLOOKUP(I2116,Base_Datos!D:D,Base_Datos!B:B,"")</f>
        <v>DFSK</v>
      </c>
      <c r="H2116" s="3" t="str">
        <f t="array" ref="H2116">IF(I2116="","",IFERROR(_xlfn.XLOOKUP(I2116,Base_Datos!$D$2:$D3876,Base_Datos!$C$2:$C3876),""))</f>
        <v>Serie K</v>
      </c>
      <c r="I2116" s="3" t="s">
        <v>475</v>
      </c>
      <c r="J2116" s="3" t="str">
        <f>IF(I2116="","",IFERROR(VLOOKUP(I2116,Base_Datos!$D$2:$E$72,2,0),""))</f>
        <v>(1.1L)</v>
      </c>
      <c r="K2116" s="3" t="s">
        <v>2624</v>
      </c>
      <c r="L2116" s="3"/>
      <c r="M2116" s="7">
        <v>259</v>
      </c>
      <c r="N2116" s="7">
        <v>0</v>
      </c>
    </row>
    <row r="2117" spans="1:14" ht="14.25" x14ac:dyDescent="0.2">
      <c r="A2117" s="3">
        <v>89754</v>
      </c>
      <c r="B2117" s="3" t="s">
        <v>2507</v>
      </c>
      <c r="C2117" s="3" t="s">
        <v>18</v>
      </c>
      <c r="D2117" s="6" t="s">
        <v>712</v>
      </c>
      <c r="E2117" s="6" t="s">
        <v>712</v>
      </c>
      <c r="F2117" s="3" t="str">
        <f>IFERROR( VLOOKUP(A2117,#REF!,2,0),"")</f>
        <v/>
      </c>
      <c r="G2117" s="3" t="str">
        <f t="array" ref="G2117">_xlfn.XLOOKUP(I2117,Base_Datos!D:D,Base_Datos!B:B,"")</f>
        <v>DFSK</v>
      </c>
      <c r="H2117" s="3" t="str">
        <f t="array" ref="H2117">IF(I2117="","",IFERROR(_xlfn.XLOOKUP(I2117,Base_Datos!$D$2:$D3876,Base_Datos!$C$2:$C3876),""))</f>
        <v>Serie K</v>
      </c>
      <c r="I2117" s="3" t="s">
        <v>475</v>
      </c>
      <c r="J2117" s="3" t="str">
        <f>IF(I2117="","",IFERROR(VLOOKUP(I2117,Base_Datos!$D$2:$E$72,2,0),""))</f>
        <v>(1.1L)</v>
      </c>
      <c r="K2117" s="3" t="s">
        <v>2624</v>
      </c>
      <c r="L2117" s="3"/>
      <c r="M2117" s="7">
        <v>52</v>
      </c>
      <c r="N2117" s="7">
        <v>0</v>
      </c>
    </row>
    <row r="2118" spans="1:14" ht="14.25" x14ac:dyDescent="0.2">
      <c r="A2118" s="3">
        <v>89756</v>
      </c>
      <c r="B2118" s="3" t="s">
        <v>4132</v>
      </c>
      <c r="C2118" s="3" t="s">
        <v>18</v>
      </c>
      <c r="D2118" s="6" t="s">
        <v>714</v>
      </c>
      <c r="E2118" s="6" t="s">
        <v>714</v>
      </c>
      <c r="F2118" s="3" t="str">
        <f>IFERROR( VLOOKUP(A2118,#REF!,2,0),"")</f>
        <v/>
      </c>
      <c r="G2118" s="3" t="str">
        <f t="array" ref="G2118">_xlfn.XLOOKUP(I2118,Base_Datos!D:D,Base_Datos!B:B,"")</f>
        <v>DFSK</v>
      </c>
      <c r="H2118" s="3" t="str">
        <f t="array" ref="H2118">IF(I2118="","",IFERROR(_xlfn.XLOOKUP(I2118,Base_Datos!$D$2:$D3876,Base_Datos!$C$2:$C3876),""))</f>
        <v>Serie K</v>
      </c>
      <c r="I2118" s="3" t="s">
        <v>475</v>
      </c>
      <c r="J2118" s="3" t="str">
        <f>IF(I2118="","",IFERROR(VLOOKUP(I2118,Base_Datos!$D$2:$E$72,2,0),""))</f>
        <v>(1.1L)</v>
      </c>
      <c r="K2118" s="3" t="s">
        <v>2624</v>
      </c>
      <c r="L2118" s="3"/>
      <c r="M2118" s="7">
        <v>30</v>
      </c>
      <c r="N2118" s="7">
        <v>0</v>
      </c>
    </row>
    <row r="2119" spans="1:14" ht="14.25" x14ac:dyDescent="0.2">
      <c r="A2119" s="3">
        <v>89757</v>
      </c>
      <c r="B2119" s="3" t="s">
        <v>4133</v>
      </c>
      <c r="C2119" s="3" t="s">
        <v>18</v>
      </c>
      <c r="D2119" s="6" t="s">
        <v>715</v>
      </c>
      <c r="E2119" s="6" t="s">
        <v>4134</v>
      </c>
      <c r="F2119" s="3" t="str">
        <f>IFERROR( VLOOKUP(A2119,#REF!,2,0),"")</f>
        <v/>
      </c>
      <c r="G2119" s="3" t="str">
        <f t="array" ref="G2119">_xlfn.XLOOKUP(I2119,Base_Datos!D:D,Base_Datos!B:B,"")</f>
        <v>DFSK</v>
      </c>
      <c r="H2119" s="3" t="str">
        <f t="array" ref="H2119">IF(I2119="","",IFERROR(_xlfn.XLOOKUP(I2119,Base_Datos!$D$2:$D3876,Base_Datos!$C$2:$C3876),""))</f>
        <v>Serie K</v>
      </c>
      <c r="I2119" s="3" t="s">
        <v>475</v>
      </c>
      <c r="J2119" s="3" t="str">
        <f>IF(I2119="","",IFERROR(VLOOKUP(I2119,Base_Datos!$D$2:$E$72,2,0),""))</f>
        <v>(1.1L)</v>
      </c>
      <c r="K2119" s="3" t="s">
        <v>2624</v>
      </c>
      <c r="L2119" s="3"/>
      <c r="M2119" s="7">
        <v>10</v>
      </c>
      <c r="N2119" s="7">
        <v>0</v>
      </c>
    </row>
    <row r="2120" spans="1:14" ht="14.25" x14ac:dyDescent="0.2">
      <c r="A2120" s="3">
        <v>89758</v>
      </c>
      <c r="B2120" s="3" t="s">
        <v>4135</v>
      </c>
      <c r="C2120" s="3" t="s">
        <v>18</v>
      </c>
      <c r="D2120" s="6" t="s">
        <v>716</v>
      </c>
      <c r="E2120" s="6" t="s">
        <v>716</v>
      </c>
      <c r="F2120" s="3" t="str">
        <f>IFERROR( VLOOKUP(A2120,#REF!,2,0),"")</f>
        <v/>
      </c>
      <c r="G2120" s="3" t="str">
        <f t="array" ref="G2120">_xlfn.XLOOKUP(I2120,Base_Datos!D:D,Base_Datos!B:B,"")</f>
        <v>DFSK</v>
      </c>
      <c r="H2120" s="3" t="str">
        <f t="array" ref="H2120">IF(I2120="","",IFERROR(_xlfn.XLOOKUP(I2120,Base_Datos!$D$2:$D3876,Base_Datos!$C$2:$C3876),""))</f>
        <v>Serie Glory</v>
      </c>
      <c r="I2120" s="3" t="s">
        <v>404</v>
      </c>
      <c r="J2120" s="3" t="str">
        <f>IF(I2120="","",IFERROR(VLOOKUP(I2120,Base_Datos!$D$2:$E$72,2,0),""))</f>
        <v>(1.5L)</v>
      </c>
      <c r="K2120" s="3" t="s">
        <v>2624</v>
      </c>
      <c r="L2120" s="3"/>
      <c r="M2120" s="7">
        <v>8</v>
      </c>
      <c r="N2120" s="7">
        <v>0</v>
      </c>
    </row>
    <row r="2121" spans="1:14" ht="14.25" x14ac:dyDescent="0.2">
      <c r="A2121" s="3">
        <v>89759</v>
      </c>
      <c r="B2121" s="3" t="s">
        <v>4136</v>
      </c>
      <c r="C2121" s="3" t="s">
        <v>18</v>
      </c>
      <c r="D2121" s="6" t="s">
        <v>717</v>
      </c>
      <c r="E2121" s="6" t="s">
        <v>717</v>
      </c>
      <c r="F2121" s="3" t="str">
        <f>IFERROR( VLOOKUP(A2121,#REF!,2,0),"")</f>
        <v/>
      </c>
      <c r="G2121" s="3" t="str">
        <f t="array" ref="G2121">_xlfn.XLOOKUP(I2121,Base_Datos!D:D,Base_Datos!B:B,"")</f>
        <v>DFSK</v>
      </c>
      <c r="H2121" s="3" t="str">
        <f t="array" ref="H2121">IF(I2121="","",IFERROR(_xlfn.XLOOKUP(I2121,Base_Datos!$D$2:$D3876,Base_Datos!$C$2:$C3876),""))</f>
        <v>Serie Glory</v>
      </c>
      <c r="I2121" s="3" t="s">
        <v>404</v>
      </c>
      <c r="J2121" s="3" t="str">
        <f>IF(I2121="","",IFERROR(VLOOKUP(I2121,Base_Datos!$D$2:$E$72,2,0),""))</f>
        <v>(1.5L)</v>
      </c>
      <c r="K2121" s="3" t="s">
        <v>2624</v>
      </c>
      <c r="L2121" s="3"/>
      <c r="M2121" s="7">
        <v>25</v>
      </c>
      <c r="N2121" s="7">
        <v>0</v>
      </c>
    </row>
    <row r="2122" spans="1:14" ht="14.25" x14ac:dyDescent="0.2">
      <c r="A2122" s="3">
        <v>89760</v>
      </c>
      <c r="B2122" s="3" t="s">
        <v>4137</v>
      </c>
      <c r="C2122" s="3" t="s">
        <v>18</v>
      </c>
      <c r="D2122" s="6" t="s">
        <v>718</v>
      </c>
      <c r="E2122" s="6" t="s">
        <v>4138</v>
      </c>
      <c r="F2122" s="3" t="str">
        <f>IFERROR( VLOOKUP(A2122,#REF!,2,0),"")</f>
        <v/>
      </c>
      <c r="G2122" s="3" t="str">
        <f t="array" ref="G2122">_xlfn.XLOOKUP(I2122,Base_Datos!D:D,Base_Datos!B:B,"")</f>
        <v>DFSK</v>
      </c>
      <c r="H2122" s="3" t="str">
        <f t="array" ref="H2122">IF(I2122="","",IFERROR(_xlfn.XLOOKUP(I2122,Base_Datos!$D$2:$D3876,Base_Datos!$C$2:$C3876),""))</f>
        <v>Serie K</v>
      </c>
      <c r="I2122" s="3" t="s">
        <v>475</v>
      </c>
      <c r="J2122" s="3" t="str">
        <f>IF(I2122="","",IFERROR(VLOOKUP(I2122,Base_Datos!$D$2:$E$72,2,0),""))</f>
        <v>(1.1L)</v>
      </c>
      <c r="K2122" s="3" t="s">
        <v>2624</v>
      </c>
      <c r="L2122" s="3"/>
      <c r="M2122" s="7">
        <v>35</v>
      </c>
      <c r="N2122" s="7">
        <v>0</v>
      </c>
    </row>
    <row r="2123" spans="1:14" ht="14.25" x14ac:dyDescent="0.2">
      <c r="A2123" s="3">
        <v>89761</v>
      </c>
      <c r="B2123" s="3" t="s">
        <v>3272</v>
      </c>
      <c r="C2123" s="3" t="s">
        <v>18</v>
      </c>
      <c r="D2123" s="6" t="s">
        <v>719</v>
      </c>
      <c r="E2123" s="6" t="s">
        <v>719</v>
      </c>
      <c r="F2123" s="3" t="str">
        <f>IFERROR( VLOOKUP(A2123,#REF!,2,0),"")</f>
        <v/>
      </c>
      <c r="G2123" s="3" t="str">
        <f t="array" ref="G2123">_xlfn.XLOOKUP(I2123,Base_Datos!D:D,Base_Datos!B:B,"")</f>
        <v>DFSK</v>
      </c>
      <c r="H2123" s="3" t="str">
        <f t="array" ref="H2123">IF(I2123="","",IFERROR(_xlfn.XLOOKUP(I2123,Base_Datos!$D$2:$D3876,Base_Datos!$C$2:$C3876),""))</f>
        <v>Serie K</v>
      </c>
      <c r="I2123" s="3" t="s">
        <v>1762</v>
      </c>
      <c r="J2123" s="3" t="str">
        <f>IF(I2123="","",IFERROR(VLOOKUP(I2123,Base_Datos!$D$2:$E$72,2,0),""))</f>
        <v>(1.1L)</v>
      </c>
      <c r="K2123" s="3" t="s">
        <v>2553</v>
      </c>
      <c r="L2123" s="3"/>
      <c r="M2123" s="7">
        <v>32</v>
      </c>
      <c r="N2123" s="7">
        <v>0</v>
      </c>
    </row>
    <row r="2124" spans="1:14" ht="14.25" x14ac:dyDescent="0.2">
      <c r="A2124" s="3">
        <v>89763</v>
      </c>
      <c r="B2124" s="3" t="s">
        <v>4139</v>
      </c>
      <c r="C2124" s="3" t="s">
        <v>18</v>
      </c>
      <c r="D2124" s="6" t="s">
        <v>720</v>
      </c>
      <c r="E2124" s="6" t="s">
        <v>720</v>
      </c>
      <c r="F2124" s="3" t="str">
        <f>IFERROR( VLOOKUP(A2124,#REF!,2,0),"")</f>
        <v/>
      </c>
      <c r="G2124" s="3" t="str">
        <f t="array" ref="G2124">_xlfn.XLOOKUP(I2124,Base_Datos!D:D,Base_Datos!B:B,"")</f>
        <v>DFSK</v>
      </c>
      <c r="H2124" s="3" t="str">
        <f t="array" ref="H2124">IF(I2124="","",IFERROR(_xlfn.XLOOKUP(I2124,Base_Datos!$D$2:$D3876,Base_Datos!$C$2:$C3876),""))</f>
        <v>Serie Glory</v>
      </c>
      <c r="I2124" s="3" t="s">
        <v>404</v>
      </c>
      <c r="J2124" s="3" t="str">
        <f>IF(I2124="","",IFERROR(VLOOKUP(I2124,Base_Datos!$D$2:$E$72,2,0),""))</f>
        <v>(1.5L)</v>
      </c>
      <c r="K2124" s="3" t="s">
        <v>2624</v>
      </c>
      <c r="L2124" s="3"/>
      <c r="M2124" s="7">
        <v>3</v>
      </c>
      <c r="N2124" s="7">
        <v>0</v>
      </c>
    </row>
    <row r="2125" spans="1:14" ht="14.25" x14ac:dyDescent="0.2">
      <c r="A2125" s="3">
        <v>89764</v>
      </c>
      <c r="B2125" s="3" t="s">
        <v>4140</v>
      </c>
      <c r="C2125" s="3" t="s">
        <v>18</v>
      </c>
      <c r="D2125" s="6" t="s">
        <v>721</v>
      </c>
      <c r="E2125" s="6" t="s">
        <v>721</v>
      </c>
      <c r="F2125" s="3" t="str">
        <f>IFERROR( VLOOKUP(A2125,#REF!,2,0),"")</f>
        <v/>
      </c>
      <c r="G2125" s="3" t="str">
        <f t="array" ref="G2125">_xlfn.XLOOKUP(I2125,Base_Datos!D:D,Base_Datos!B:B,"")</f>
        <v>DFSK</v>
      </c>
      <c r="H2125" s="3" t="str">
        <f t="array" ref="H2125">IF(I2125="","",IFERROR(_xlfn.XLOOKUP(I2125,Base_Datos!$D$2:$D3876,Base_Datos!$C$2:$C3876),""))</f>
        <v>Serie Glory</v>
      </c>
      <c r="I2125" s="3" t="s">
        <v>404</v>
      </c>
      <c r="J2125" s="3" t="str">
        <f>IF(I2125="","",IFERROR(VLOOKUP(I2125,Base_Datos!$D$2:$E$72,2,0),""))</f>
        <v>(1.5L)</v>
      </c>
      <c r="K2125" s="3" t="s">
        <v>2624</v>
      </c>
      <c r="L2125" s="3"/>
      <c r="M2125" s="7">
        <v>5</v>
      </c>
      <c r="N2125" s="7">
        <v>0</v>
      </c>
    </row>
    <row r="2126" spans="1:14" ht="14.25" x14ac:dyDescent="0.2">
      <c r="A2126" s="3">
        <v>89765</v>
      </c>
      <c r="B2126" s="3" t="s">
        <v>2903</v>
      </c>
      <c r="C2126" s="3" t="s">
        <v>18</v>
      </c>
      <c r="D2126" s="6" t="s">
        <v>722</v>
      </c>
      <c r="E2126" s="6" t="s">
        <v>722</v>
      </c>
      <c r="F2126" s="3" t="str">
        <f>IFERROR( VLOOKUP(A2126,#REF!,2,0),"")</f>
        <v/>
      </c>
      <c r="G2126" s="3" t="str">
        <f t="array" ref="G2126">_xlfn.XLOOKUP(I2126,Base_Datos!D:D,Base_Datos!B:B,"")</f>
        <v>DFSK</v>
      </c>
      <c r="H2126" s="3" t="str">
        <f t="array" ref="H2126">IF(I2126="","",IFERROR(_xlfn.XLOOKUP(I2126,Base_Datos!$D$2:$D3876,Base_Datos!$C$2:$C3876),""))</f>
        <v>Serie K</v>
      </c>
      <c r="I2126" s="3" t="s">
        <v>475</v>
      </c>
      <c r="J2126" s="3" t="str">
        <f>IF(I2126="","",IFERROR(VLOOKUP(I2126,Base_Datos!$D$2:$E$72,2,0),""))</f>
        <v>(1.1L)</v>
      </c>
      <c r="K2126" s="3" t="s">
        <v>2624</v>
      </c>
      <c r="L2126" s="3"/>
      <c r="M2126" s="7">
        <v>83</v>
      </c>
      <c r="N2126" s="7">
        <v>0</v>
      </c>
    </row>
    <row r="2127" spans="1:14" ht="14.25" x14ac:dyDescent="0.2">
      <c r="A2127" s="3">
        <v>89766</v>
      </c>
      <c r="B2127" s="3" t="s">
        <v>3673</v>
      </c>
      <c r="C2127" s="3" t="s">
        <v>18</v>
      </c>
      <c r="D2127" s="6" t="s">
        <v>894</v>
      </c>
      <c r="E2127" s="6" t="s">
        <v>894</v>
      </c>
      <c r="F2127" s="3" t="str">
        <f>IFERROR( VLOOKUP(A2127,#REF!,2,0),"")</f>
        <v/>
      </c>
      <c r="G2127" s="3" t="str">
        <f t="array" ref="G2127">_xlfn.XLOOKUP(I2127,Base_Datos!D:D,Base_Datos!B:B,"")</f>
        <v>DFSK</v>
      </c>
      <c r="H2127" s="3" t="str">
        <f t="array" ref="H2127">IF(I2127="","",IFERROR(_xlfn.XLOOKUP(I2127,Base_Datos!$D$2:$D3876,Base_Datos!$C$2:$C3876),""))</f>
        <v>Serie K</v>
      </c>
      <c r="I2127" s="3" t="s">
        <v>475</v>
      </c>
      <c r="J2127" s="3" t="str">
        <f>IF(I2127="","",IFERROR(VLOOKUP(I2127,Base_Datos!$D$2:$E$72,2,0),""))</f>
        <v>(1.1L)</v>
      </c>
      <c r="K2127" s="3" t="s">
        <v>2624</v>
      </c>
      <c r="L2127" s="3"/>
      <c r="M2127" s="7">
        <v>79</v>
      </c>
      <c r="N2127" s="7">
        <v>0</v>
      </c>
    </row>
    <row r="2128" spans="1:14" ht="14.25" x14ac:dyDescent="0.2">
      <c r="A2128" s="3">
        <v>89767</v>
      </c>
      <c r="B2128" s="3" t="s">
        <v>1857</v>
      </c>
      <c r="C2128" s="3" t="s">
        <v>18</v>
      </c>
      <c r="D2128" s="6" t="s">
        <v>723</v>
      </c>
      <c r="E2128" s="6" t="s">
        <v>723</v>
      </c>
      <c r="F2128" s="3" t="str">
        <f>IFERROR( VLOOKUP(A2128,#REF!,2,0),"")</f>
        <v/>
      </c>
      <c r="G2128" s="3" t="str">
        <f t="array" ref="G2128">_xlfn.XLOOKUP(I2128,Base_Datos!D:D,Base_Datos!B:B,"")</f>
        <v>DFSK</v>
      </c>
      <c r="H2128" s="3" t="str">
        <f t="array" ref="H2128">IF(I2128="","",IFERROR(_xlfn.XLOOKUP(I2128,Base_Datos!$D$2:$D3876,Base_Datos!$C$2:$C3876),""))</f>
        <v>Serie K</v>
      </c>
      <c r="I2128" s="3" t="s">
        <v>1762</v>
      </c>
      <c r="J2128" s="3" t="str">
        <f>IF(I2128="","",IFERROR(VLOOKUP(I2128,Base_Datos!$D$2:$E$72,2,0),""))</f>
        <v>(1.1L)</v>
      </c>
      <c r="K2128" s="3" t="s">
        <v>2553</v>
      </c>
      <c r="L2128" s="3"/>
      <c r="M2128" s="7">
        <v>61</v>
      </c>
      <c r="N2128" s="7">
        <v>0</v>
      </c>
    </row>
    <row r="2129" spans="1:14" ht="14.25" x14ac:dyDescent="0.2">
      <c r="A2129" s="3">
        <v>89768</v>
      </c>
      <c r="B2129" s="3" t="s">
        <v>1856</v>
      </c>
      <c r="C2129" s="3" t="s">
        <v>18</v>
      </c>
      <c r="D2129" s="6" t="s">
        <v>724</v>
      </c>
      <c r="E2129" s="6" t="s">
        <v>4141</v>
      </c>
      <c r="F2129" s="3" t="str">
        <f>IFERROR( VLOOKUP(A2129,#REF!,2,0),"")</f>
        <v/>
      </c>
      <c r="G2129" s="3" t="str">
        <f t="array" ref="G2129">_xlfn.XLOOKUP(I2129,Base_Datos!D:D,Base_Datos!B:B,"")</f>
        <v>DFSK</v>
      </c>
      <c r="H2129" s="3" t="str">
        <f t="array" ref="H2129">IF(I2129="","",IFERROR(_xlfn.XLOOKUP(I2129,Base_Datos!$D$2:$D3876,Base_Datos!$C$2:$C3876),""))</f>
        <v>Serie K</v>
      </c>
      <c r="I2129" s="3" t="s">
        <v>475</v>
      </c>
      <c r="J2129" s="3" t="str">
        <f>IF(I2129="","",IFERROR(VLOOKUP(I2129,Base_Datos!$D$2:$E$72,2,0),""))</f>
        <v>(1.1L)</v>
      </c>
      <c r="K2129" s="3"/>
      <c r="L2129" s="3"/>
      <c r="M2129" s="7">
        <v>60</v>
      </c>
      <c r="N2129" s="7">
        <v>0</v>
      </c>
    </row>
    <row r="2130" spans="1:14" ht="14.25" x14ac:dyDescent="0.2">
      <c r="A2130" s="3">
        <v>89769</v>
      </c>
      <c r="B2130" s="3" t="s">
        <v>1856</v>
      </c>
      <c r="C2130" s="3" t="s">
        <v>23</v>
      </c>
      <c r="D2130" s="6" t="s">
        <v>724</v>
      </c>
      <c r="E2130" s="6" t="s">
        <v>724</v>
      </c>
      <c r="F2130" s="3" t="str">
        <f>IFERROR( VLOOKUP(A2130,#REF!,2,0),"")</f>
        <v/>
      </c>
      <c r="G2130" s="3" t="str">
        <f t="array" ref="G2130">_xlfn.XLOOKUP(I2130,Base_Datos!D:D,Base_Datos!B:B,"")</f>
        <v>DFSK</v>
      </c>
      <c r="H2130" s="3" t="str">
        <f t="array" ref="H2130">IF(I2130="","",IFERROR(_xlfn.XLOOKUP(I2130,Base_Datos!$D$2:$D3876,Base_Datos!$C$2:$C3876),""))</f>
        <v>Serie K</v>
      </c>
      <c r="I2130" s="3" t="s">
        <v>1762</v>
      </c>
      <c r="J2130" s="3" t="str">
        <f>IF(I2130="","",IFERROR(VLOOKUP(I2130,Base_Datos!$D$2:$E$72,2,0),""))</f>
        <v>(1.1L)</v>
      </c>
      <c r="K2130" s="3" t="s">
        <v>2553</v>
      </c>
      <c r="L2130" s="3"/>
      <c r="M2130" s="7">
        <v>4</v>
      </c>
      <c r="N2130" s="7">
        <v>0</v>
      </c>
    </row>
    <row r="2131" spans="1:14" ht="14.25" x14ac:dyDescent="0.2">
      <c r="A2131" s="3">
        <v>89770</v>
      </c>
      <c r="B2131" s="3" t="s">
        <v>1856</v>
      </c>
      <c r="C2131" s="3" t="s">
        <v>23</v>
      </c>
      <c r="D2131" s="6" t="s">
        <v>725</v>
      </c>
      <c r="E2131" s="6" t="s">
        <v>4142</v>
      </c>
      <c r="F2131" s="3" t="str">
        <f>IFERROR( VLOOKUP(A2131,#REF!,2,0),"")</f>
        <v/>
      </c>
      <c r="G2131" s="3" t="str">
        <f t="array" ref="G2131">_xlfn.XLOOKUP(I2131,Base_Datos!D:D,Base_Datos!B:B,"")</f>
        <v>DFSK</v>
      </c>
      <c r="H2131" s="3" t="str">
        <f t="array" ref="H2131">IF(I2131="","",IFERROR(_xlfn.XLOOKUP(I2131,Base_Datos!$D$2:$D3876,Base_Datos!$C$2:$C3876),""))</f>
        <v>Serie Glory</v>
      </c>
      <c r="I2131" s="3" t="s">
        <v>404</v>
      </c>
      <c r="J2131" s="3" t="str">
        <f>IF(I2131="","",IFERROR(VLOOKUP(I2131,Base_Datos!$D$2:$E$72,2,0),""))</f>
        <v>(1.5L)</v>
      </c>
      <c r="K2131" s="3"/>
      <c r="L2131" s="3"/>
      <c r="M2131" s="7">
        <v>0</v>
      </c>
      <c r="N2131" s="7">
        <v>0</v>
      </c>
    </row>
    <row r="2132" spans="1:14" ht="14.25" x14ac:dyDescent="0.2">
      <c r="A2132" s="3">
        <v>89771</v>
      </c>
      <c r="B2132" s="3" t="s">
        <v>4143</v>
      </c>
      <c r="C2132" s="3" t="s">
        <v>15</v>
      </c>
      <c r="D2132" s="6" t="s">
        <v>896</v>
      </c>
      <c r="E2132" s="6" t="s">
        <v>896</v>
      </c>
      <c r="F2132" s="3" t="str">
        <f>IFERROR( VLOOKUP(A2132,#REF!,2,0),"")</f>
        <v/>
      </c>
      <c r="G2132" s="3">
        <f t="array" ref="G2132">_xlfn.XLOOKUP(I2132,Base_Datos!D:D,Base_Datos!B:B,"")</f>
        <v>0</v>
      </c>
      <c r="H2132" s="3" t="str">
        <f t="array" ref="H2132">IF(I2132="","",IFERROR(_xlfn.XLOOKUP(I2132,Base_Datos!$D$2:$D3876,Base_Datos!$C$2:$C3876),""))</f>
        <v/>
      </c>
      <c r="I2132" s="3"/>
      <c r="J2132" s="3" t="str">
        <f>IF(I2132="","",IFERROR(VLOOKUP(I2132,Base_Datos!$D$2:$E$72,2,0),""))</f>
        <v/>
      </c>
      <c r="K2132" s="3"/>
      <c r="L2132" s="3"/>
      <c r="M2132" s="7">
        <v>0</v>
      </c>
      <c r="N2132" s="7">
        <v>0</v>
      </c>
    </row>
    <row r="2133" spans="1:14" ht="14.25" x14ac:dyDescent="0.2">
      <c r="A2133" s="3">
        <v>89772</v>
      </c>
      <c r="B2133" s="3" t="s">
        <v>4144</v>
      </c>
      <c r="C2133" s="3" t="s">
        <v>18</v>
      </c>
      <c r="D2133" s="6" t="s">
        <v>726</v>
      </c>
      <c r="E2133" s="6" t="s">
        <v>726</v>
      </c>
      <c r="F2133" s="3" t="str">
        <f>IFERROR( VLOOKUP(A2133,#REF!,2,0),"")</f>
        <v/>
      </c>
      <c r="G2133" s="3" t="str">
        <f t="array" ref="G2133">_xlfn.XLOOKUP(I2133,Base_Datos!D:D,Base_Datos!B:B,"")</f>
        <v>DFSK</v>
      </c>
      <c r="H2133" s="3" t="str">
        <f t="array" ref="H2133">IF(I2133="","",IFERROR(_xlfn.XLOOKUP(I2133,Base_Datos!$D$2:$D3876,Base_Datos!$C$2:$C3876),""))</f>
        <v>Serie K</v>
      </c>
      <c r="I2133" s="3" t="s">
        <v>1763</v>
      </c>
      <c r="J2133" s="3" t="str">
        <f>IF(I2133="","",IFERROR(VLOOKUP(I2133,Base_Datos!$D$2:$E$72,2,0),""))</f>
        <v>(1.1L)</v>
      </c>
      <c r="K2133" s="3" t="s">
        <v>2624</v>
      </c>
      <c r="L2133" s="3"/>
      <c r="M2133" s="7">
        <v>51</v>
      </c>
      <c r="N2133" s="7">
        <v>0</v>
      </c>
    </row>
    <row r="2134" spans="1:14" ht="14.25" x14ac:dyDescent="0.2">
      <c r="A2134" s="3">
        <v>89773</v>
      </c>
      <c r="B2134" s="3" t="s">
        <v>4145</v>
      </c>
      <c r="C2134" s="3" t="s">
        <v>18</v>
      </c>
      <c r="D2134" s="6" t="s">
        <v>727</v>
      </c>
      <c r="E2134" s="6" t="s">
        <v>4146</v>
      </c>
      <c r="F2134" s="3" t="str">
        <f>IFERROR( VLOOKUP(A2134,#REF!,2,0),"")</f>
        <v/>
      </c>
      <c r="G2134" s="3" t="str">
        <f t="array" ref="G2134">_xlfn.XLOOKUP(I2134,Base_Datos!D:D,Base_Datos!B:B,"")</f>
        <v>DFSK</v>
      </c>
      <c r="H2134" s="3" t="str">
        <f t="array" ref="H2134">IF(I2134="","",IFERROR(_xlfn.XLOOKUP(I2134,Base_Datos!$D$2:$D3876,Base_Datos!$C$2:$C3876),""))</f>
        <v>Serie K</v>
      </c>
      <c r="I2134" s="3" t="s">
        <v>1763</v>
      </c>
      <c r="J2134" s="3" t="str">
        <f>IF(I2134="","",IFERROR(VLOOKUP(I2134,Base_Datos!$D$2:$E$72,2,0),""))</f>
        <v>(1.1L)</v>
      </c>
      <c r="K2134" s="3" t="s">
        <v>2624</v>
      </c>
      <c r="L2134" s="3"/>
      <c r="M2134" s="7">
        <v>51</v>
      </c>
      <c r="N2134" s="7">
        <v>0</v>
      </c>
    </row>
    <row r="2135" spans="1:14" ht="14.25" x14ac:dyDescent="0.2">
      <c r="A2135" s="3">
        <v>89774</v>
      </c>
      <c r="B2135" s="3" t="s">
        <v>4147</v>
      </c>
      <c r="C2135" s="3" t="s">
        <v>18</v>
      </c>
      <c r="D2135" s="6" t="s">
        <v>727</v>
      </c>
      <c r="E2135" s="6" t="s">
        <v>727</v>
      </c>
      <c r="F2135" s="3" t="str">
        <f>IFERROR( VLOOKUP(A2135,#REF!,2,0),"")</f>
        <v/>
      </c>
      <c r="G2135" s="3" t="str">
        <f t="array" ref="G2135">_xlfn.XLOOKUP(I2135,Base_Datos!D:D,Base_Datos!B:B,"")</f>
        <v>DFSK</v>
      </c>
      <c r="H2135" s="3" t="str">
        <f t="array" ref="H2135">IF(I2135="","",IFERROR(_xlfn.XLOOKUP(I2135,Base_Datos!$D$2:$D3876,Base_Datos!$C$2:$C3876),""))</f>
        <v>Serie K</v>
      </c>
      <c r="I2135" s="3" t="s">
        <v>1763</v>
      </c>
      <c r="J2135" s="3" t="str">
        <f>IF(I2135="","",IFERROR(VLOOKUP(I2135,Base_Datos!$D$2:$E$72,2,0),""))</f>
        <v>(1.1L)</v>
      </c>
      <c r="K2135" s="3" t="s">
        <v>2624</v>
      </c>
      <c r="L2135" s="3"/>
      <c r="M2135" s="7">
        <v>51</v>
      </c>
      <c r="N2135" s="7">
        <v>0</v>
      </c>
    </row>
    <row r="2136" spans="1:14" ht="14.25" x14ac:dyDescent="0.2">
      <c r="A2136" s="3">
        <v>89775</v>
      </c>
      <c r="B2136" s="3" t="s">
        <v>4148</v>
      </c>
      <c r="C2136" s="3" t="s">
        <v>18</v>
      </c>
      <c r="D2136" s="6" t="s">
        <v>728</v>
      </c>
      <c r="E2136" s="6" t="s">
        <v>728</v>
      </c>
      <c r="F2136" s="3" t="str">
        <f>IFERROR( VLOOKUP(A2136,#REF!,2,0),"")</f>
        <v/>
      </c>
      <c r="G2136" s="3" t="str">
        <f t="array" ref="G2136">_xlfn.XLOOKUP(I2136,Base_Datos!D:D,Base_Datos!B:B,"")</f>
        <v>DFSK</v>
      </c>
      <c r="H2136" s="3" t="str">
        <f t="array" ref="H2136">IF(I2136="","",IFERROR(_xlfn.XLOOKUP(I2136,Base_Datos!$D$2:$D3876,Base_Datos!$C$2:$C3876),""))</f>
        <v>Serie K</v>
      </c>
      <c r="I2136" s="3" t="s">
        <v>1763</v>
      </c>
      <c r="J2136" s="3" t="str">
        <f>IF(I2136="","",IFERROR(VLOOKUP(I2136,Base_Datos!$D$2:$E$72,2,0),""))</f>
        <v>(1.1L)</v>
      </c>
      <c r="K2136" s="3" t="s">
        <v>2624</v>
      </c>
      <c r="L2136" s="3"/>
      <c r="M2136" s="7">
        <v>51</v>
      </c>
      <c r="N2136" s="7">
        <v>0</v>
      </c>
    </row>
    <row r="2137" spans="1:14" ht="14.25" x14ac:dyDescent="0.2">
      <c r="A2137" s="3">
        <v>89776</v>
      </c>
      <c r="B2137" s="3" t="s">
        <v>2239</v>
      </c>
      <c r="C2137" s="3" t="s">
        <v>18</v>
      </c>
      <c r="D2137" s="6" t="s">
        <v>4149</v>
      </c>
      <c r="E2137" s="6" t="s">
        <v>4149</v>
      </c>
      <c r="F2137" s="3" t="str">
        <f>IFERROR( VLOOKUP(A2137,#REF!,2,0),"")</f>
        <v/>
      </c>
      <c r="G2137" s="3" t="str">
        <f t="array" ref="G2137">_xlfn.XLOOKUP(I2137,Base_Datos!D:D,Base_Datos!B:B,"")</f>
        <v>DFSK</v>
      </c>
      <c r="H2137" s="3" t="str">
        <f t="array" ref="H2137">IF(I2137="","",IFERROR(_xlfn.XLOOKUP(I2137,Base_Datos!$D$2:$D3876,Base_Datos!$C$2:$C3876),""))</f>
        <v>Serie K</v>
      </c>
      <c r="I2137" s="3" t="s">
        <v>475</v>
      </c>
      <c r="J2137" s="3" t="str">
        <f>IF(I2137="","",IFERROR(VLOOKUP(I2137,Base_Datos!$D$2:$E$72,2,0),""))</f>
        <v>(1.1L)</v>
      </c>
      <c r="K2137" s="3" t="s">
        <v>2624</v>
      </c>
      <c r="L2137" s="3"/>
      <c r="M2137" s="7">
        <v>40</v>
      </c>
      <c r="N2137" s="7">
        <v>0</v>
      </c>
    </row>
    <row r="2138" spans="1:14" ht="14.25" x14ac:dyDescent="0.2">
      <c r="A2138" s="3">
        <v>89777</v>
      </c>
      <c r="B2138" s="3" t="s">
        <v>2238</v>
      </c>
      <c r="C2138" s="3" t="s">
        <v>18</v>
      </c>
      <c r="D2138" s="6" t="s">
        <v>729</v>
      </c>
      <c r="E2138" s="6" t="s">
        <v>729</v>
      </c>
      <c r="F2138" s="3" t="str">
        <f>IFERROR( VLOOKUP(A2138,#REF!,2,0),"")</f>
        <v/>
      </c>
      <c r="G2138" s="3" t="str">
        <f t="array" ref="G2138">_xlfn.XLOOKUP(I2138,Base_Datos!D:D,Base_Datos!B:B,"")</f>
        <v>DFSK</v>
      </c>
      <c r="H2138" s="3" t="str">
        <f t="array" ref="H2138">IF(I2138="","",IFERROR(_xlfn.XLOOKUP(I2138,Base_Datos!$D$2:$D3876,Base_Datos!$C$2:$C3876),""))</f>
        <v>Serie K</v>
      </c>
      <c r="I2138" s="3" t="s">
        <v>475</v>
      </c>
      <c r="J2138" s="3" t="str">
        <f>IF(I2138="","",IFERROR(VLOOKUP(I2138,Base_Datos!$D$2:$E$72,2,0),""))</f>
        <v>(1.1L)</v>
      </c>
      <c r="K2138" s="3" t="s">
        <v>2624</v>
      </c>
      <c r="L2138" s="3"/>
      <c r="M2138" s="7">
        <v>40</v>
      </c>
      <c r="N2138" s="7">
        <v>0</v>
      </c>
    </row>
    <row r="2139" spans="1:14" ht="14.25" x14ac:dyDescent="0.2">
      <c r="A2139" s="3">
        <v>89778</v>
      </c>
      <c r="B2139" s="3" t="s">
        <v>3938</v>
      </c>
      <c r="C2139" s="3" t="s">
        <v>15</v>
      </c>
      <c r="D2139" s="6" t="s">
        <v>4150</v>
      </c>
      <c r="E2139" s="6" t="s">
        <v>4150</v>
      </c>
      <c r="F2139" s="3" t="str">
        <f>IFERROR( VLOOKUP(A2139,#REF!,2,0),"")</f>
        <v/>
      </c>
      <c r="G2139" s="3">
        <f t="array" ref="G2139">_xlfn.XLOOKUP(I2139,Base_Datos!D:D,Base_Datos!B:B,"")</f>
        <v>0</v>
      </c>
      <c r="H2139" s="3" t="str">
        <f t="array" ref="H2139">IF(I2139="","",IFERROR(_xlfn.XLOOKUP(I2139,Base_Datos!$D$2:$D3876,Base_Datos!$C$2:$C3876),""))</f>
        <v/>
      </c>
      <c r="I2139" s="3"/>
      <c r="J2139" s="3" t="str">
        <f>IF(I2139="","",IFERROR(VLOOKUP(I2139,Base_Datos!$D$2:$E$72,2,0),""))</f>
        <v/>
      </c>
      <c r="K2139" s="3"/>
      <c r="L2139" s="3"/>
      <c r="M2139" s="7">
        <v>19</v>
      </c>
      <c r="N2139" s="7">
        <v>0</v>
      </c>
    </row>
    <row r="2140" spans="1:14" ht="14.25" x14ac:dyDescent="0.2">
      <c r="A2140" s="3">
        <v>89779</v>
      </c>
      <c r="B2140" s="3" t="s">
        <v>3942</v>
      </c>
      <c r="C2140" s="3" t="s">
        <v>15</v>
      </c>
      <c r="D2140" s="6" t="s">
        <v>4151</v>
      </c>
      <c r="E2140" s="6" t="s">
        <v>4151</v>
      </c>
      <c r="F2140" s="3" t="str">
        <f>IFERROR( VLOOKUP(A2140,#REF!,2,0),"")</f>
        <v/>
      </c>
      <c r="G2140" s="3">
        <f t="array" ref="G2140">_xlfn.XLOOKUP(I2140,Base_Datos!D:D,Base_Datos!B:B,"")</f>
        <v>0</v>
      </c>
      <c r="H2140" s="3" t="str">
        <f t="array" ref="H2140">IF(I2140="","",IFERROR(_xlfn.XLOOKUP(I2140,Base_Datos!$D$2:$D3876,Base_Datos!$C$2:$C3876),""))</f>
        <v/>
      </c>
      <c r="I2140" s="3"/>
      <c r="J2140" s="3" t="str">
        <f>IF(I2140="","",IFERROR(VLOOKUP(I2140,Base_Datos!$D$2:$E$72,2,0),""))</f>
        <v/>
      </c>
      <c r="K2140" s="3"/>
      <c r="L2140" s="3"/>
      <c r="M2140" s="7">
        <v>19</v>
      </c>
      <c r="N2140" s="7">
        <v>0</v>
      </c>
    </row>
    <row r="2141" spans="1:14" ht="14.25" x14ac:dyDescent="0.2">
      <c r="A2141" s="3">
        <v>89780</v>
      </c>
      <c r="B2141" s="3" t="s">
        <v>3941</v>
      </c>
      <c r="C2141" s="3" t="s">
        <v>18</v>
      </c>
      <c r="D2141" s="6" t="s">
        <v>730</v>
      </c>
      <c r="E2141" s="6" t="s">
        <v>4152</v>
      </c>
      <c r="F2141" s="3" t="str">
        <f>IFERROR( VLOOKUP(A2141,#REF!,2,0),"")</f>
        <v/>
      </c>
      <c r="G2141" s="3" t="str">
        <f t="array" ref="G2141">_xlfn.XLOOKUP(I2141,Base_Datos!D:D,Base_Datos!B:B,"")</f>
        <v>DFSK</v>
      </c>
      <c r="H2141" s="3" t="str">
        <f t="array" ref="H2141">IF(I2141="","",IFERROR(_xlfn.XLOOKUP(I2141,Base_Datos!$D$2:$D3876,Base_Datos!$C$2:$C3876),""))</f>
        <v>Serie K</v>
      </c>
      <c r="I2141" s="3" t="s">
        <v>1761</v>
      </c>
      <c r="J2141" s="3" t="str">
        <f>IF(I2141="","",IFERROR(VLOOKUP(I2141,Base_Datos!$D$2:$E$72,2,0),""))</f>
        <v>(1.1L)</v>
      </c>
      <c r="K2141" s="3"/>
      <c r="L2141" s="3"/>
      <c r="M2141" s="7">
        <v>19</v>
      </c>
      <c r="N2141" s="7">
        <v>0</v>
      </c>
    </row>
    <row r="2142" spans="1:14" ht="14.25" x14ac:dyDescent="0.2">
      <c r="A2142" s="3">
        <v>89781</v>
      </c>
      <c r="B2142" s="3" t="s">
        <v>3947</v>
      </c>
      <c r="C2142" s="3" t="s">
        <v>18</v>
      </c>
      <c r="D2142" s="6" t="s">
        <v>731</v>
      </c>
      <c r="E2142" s="6" t="s">
        <v>731</v>
      </c>
      <c r="F2142" s="3" t="str">
        <f>IFERROR( VLOOKUP(A2142,#REF!,2,0),"")</f>
        <v/>
      </c>
      <c r="G2142" s="3" t="str">
        <f t="array" ref="G2142">_xlfn.XLOOKUP(I2142,Base_Datos!D:D,Base_Datos!B:B,"")</f>
        <v>DFSK</v>
      </c>
      <c r="H2142" s="3" t="str">
        <f t="array" ref="H2142">IF(I2142="","",IFERROR(_xlfn.XLOOKUP(I2142,Base_Datos!$D$2:$D3876,Base_Datos!$C$2:$C3876),""))</f>
        <v>Serie K</v>
      </c>
      <c r="I2142" s="3" t="s">
        <v>1761</v>
      </c>
      <c r="J2142" s="3" t="str">
        <f>IF(I2142="","",IFERROR(VLOOKUP(I2142,Base_Datos!$D$2:$E$72,2,0),""))</f>
        <v>(1.1L)</v>
      </c>
      <c r="K2142" s="3"/>
      <c r="L2142" s="3"/>
      <c r="M2142" s="7">
        <v>19</v>
      </c>
      <c r="N2142" s="7">
        <v>0</v>
      </c>
    </row>
    <row r="2143" spans="1:14" ht="14.25" x14ac:dyDescent="0.2">
      <c r="A2143" s="3">
        <v>89782</v>
      </c>
      <c r="B2143" s="3" t="s">
        <v>4153</v>
      </c>
      <c r="C2143" s="3" t="s">
        <v>18</v>
      </c>
      <c r="D2143" s="6" t="s">
        <v>732</v>
      </c>
      <c r="E2143" s="6" t="s">
        <v>732</v>
      </c>
      <c r="F2143" s="3" t="str">
        <f>IFERROR( VLOOKUP(A2143,#REF!,2,0),"")</f>
        <v/>
      </c>
      <c r="G2143" s="3" t="str">
        <f t="array" ref="G2143">_xlfn.XLOOKUP(I2143,Base_Datos!D:D,Base_Datos!B:B,"")</f>
        <v>DFSK</v>
      </c>
      <c r="H2143" s="3" t="str">
        <f t="array" ref="H2143">IF(I2143="","",IFERROR(_xlfn.XLOOKUP(I2143,Base_Datos!$D$2:$D3876,Base_Datos!$C$2:$C3876),""))</f>
        <v>Serie Glory</v>
      </c>
      <c r="I2143" s="3" t="s">
        <v>404</v>
      </c>
      <c r="J2143" s="3" t="str">
        <f>IF(I2143="","",IFERROR(VLOOKUP(I2143,Base_Datos!$D$2:$E$72,2,0),""))</f>
        <v>(1.5L)</v>
      </c>
      <c r="K2143" s="3" t="s">
        <v>2624</v>
      </c>
      <c r="L2143" s="3"/>
      <c r="M2143" s="7">
        <v>9</v>
      </c>
      <c r="N2143" s="7">
        <v>0</v>
      </c>
    </row>
    <row r="2144" spans="1:14" ht="14.25" x14ac:dyDescent="0.2">
      <c r="A2144" s="3">
        <v>89783</v>
      </c>
      <c r="B2144" s="3" t="s">
        <v>4154</v>
      </c>
      <c r="C2144" s="3" t="s">
        <v>18</v>
      </c>
      <c r="D2144" s="6" t="s">
        <v>733</v>
      </c>
      <c r="E2144" s="6" t="s">
        <v>733</v>
      </c>
      <c r="F2144" s="3" t="str">
        <f>IFERROR( VLOOKUP(A2144,#REF!,2,0),"")</f>
        <v/>
      </c>
      <c r="G2144" s="3" t="str">
        <f t="array" ref="G2144">_xlfn.XLOOKUP(I2144,Base_Datos!D:D,Base_Datos!B:B,"")</f>
        <v>DFSK</v>
      </c>
      <c r="H2144" s="3" t="str">
        <f t="array" ref="H2144">IF(I2144="","",IFERROR(_xlfn.XLOOKUP(I2144,Base_Datos!$D$2:$D3876,Base_Datos!$C$2:$C3876),""))</f>
        <v>Serie Glory</v>
      </c>
      <c r="I2144" s="3" t="s">
        <v>404</v>
      </c>
      <c r="J2144" s="3" t="str">
        <f>IF(I2144="","",IFERROR(VLOOKUP(I2144,Base_Datos!$D$2:$E$72,2,0),""))</f>
        <v>(1.5L)</v>
      </c>
      <c r="K2144" s="3" t="s">
        <v>2624</v>
      </c>
      <c r="L2144" s="3"/>
      <c r="M2144" s="7">
        <v>9</v>
      </c>
      <c r="N2144" s="7">
        <v>0</v>
      </c>
    </row>
    <row r="2145" spans="1:14" ht="14.25" x14ac:dyDescent="0.2">
      <c r="A2145" s="3">
        <v>89784</v>
      </c>
      <c r="B2145" s="3" t="s">
        <v>4155</v>
      </c>
      <c r="C2145" s="3" t="s">
        <v>18</v>
      </c>
      <c r="D2145" s="6" t="s">
        <v>734</v>
      </c>
      <c r="E2145" s="6" t="s">
        <v>734</v>
      </c>
      <c r="F2145" s="3" t="str">
        <f>IFERROR( VLOOKUP(A2145,#REF!,2,0),"")</f>
        <v/>
      </c>
      <c r="G2145" s="3" t="str">
        <f t="array" ref="G2145">_xlfn.XLOOKUP(I2145,Base_Datos!D:D,Base_Datos!B:B,"")</f>
        <v>DFSK</v>
      </c>
      <c r="H2145" s="3" t="str">
        <f t="array" ref="H2145">IF(I2145="","",IFERROR(_xlfn.XLOOKUP(I2145,Base_Datos!$D$2:$D3876,Base_Datos!$C$2:$C3876),""))</f>
        <v>Serie K</v>
      </c>
      <c r="I2145" s="3" t="s">
        <v>1763</v>
      </c>
      <c r="J2145" s="3" t="str">
        <f>IF(I2145="","",IFERROR(VLOOKUP(I2145,Base_Datos!$D$2:$E$72,2,0),""))</f>
        <v>(1.1L)</v>
      </c>
      <c r="K2145" s="3" t="s">
        <v>2624</v>
      </c>
      <c r="L2145" s="3"/>
      <c r="M2145" s="7">
        <v>31</v>
      </c>
      <c r="N2145" s="7">
        <v>0</v>
      </c>
    </row>
    <row r="2146" spans="1:14" ht="14.25" x14ac:dyDescent="0.2">
      <c r="A2146" s="3">
        <v>89785</v>
      </c>
      <c r="B2146" s="3" t="s">
        <v>4156</v>
      </c>
      <c r="C2146" s="3" t="s">
        <v>18</v>
      </c>
      <c r="D2146" s="6" t="s">
        <v>735</v>
      </c>
      <c r="E2146" s="6" t="s">
        <v>735</v>
      </c>
      <c r="F2146" s="3" t="str">
        <f>IFERROR( VLOOKUP(A2146,#REF!,2,0),"")</f>
        <v/>
      </c>
      <c r="G2146" s="3" t="str">
        <f t="array" ref="G2146">_xlfn.XLOOKUP(I2146,Base_Datos!D:D,Base_Datos!B:B,"")</f>
        <v>DFSK</v>
      </c>
      <c r="H2146" s="3" t="str">
        <f t="array" ref="H2146">IF(I2146="","",IFERROR(_xlfn.XLOOKUP(I2146,Base_Datos!$D$2:$D3876,Base_Datos!$C$2:$C3876),""))</f>
        <v>Serie K</v>
      </c>
      <c r="I2146" s="3" t="s">
        <v>1763</v>
      </c>
      <c r="J2146" s="3" t="str">
        <f>IF(I2146="","",IFERROR(VLOOKUP(I2146,Base_Datos!$D$2:$E$72,2,0),""))</f>
        <v>(1.1L)</v>
      </c>
      <c r="K2146" s="3" t="s">
        <v>2624</v>
      </c>
      <c r="L2146" s="3"/>
      <c r="M2146" s="7">
        <v>31</v>
      </c>
      <c r="N2146" s="7">
        <v>0</v>
      </c>
    </row>
    <row r="2147" spans="1:14" ht="14.25" x14ac:dyDescent="0.2">
      <c r="A2147" s="3">
        <v>89786</v>
      </c>
      <c r="B2147" s="3" t="s">
        <v>4157</v>
      </c>
      <c r="C2147" s="3" t="s">
        <v>18</v>
      </c>
      <c r="D2147" s="6" t="s">
        <v>736</v>
      </c>
      <c r="E2147" s="6" t="s">
        <v>4158</v>
      </c>
      <c r="F2147" s="3" t="str">
        <f>IFERROR( VLOOKUP(A2147,#REF!,2,0),"")</f>
        <v/>
      </c>
      <c r="G2147" s="3" t="str">
        <f t="array" ref="G2147">_xlfn.XLOOKUP(I2147,Base_Datos!D:D,Base_Datos!B:B,"")</f>
        <v>DFSK</v>
      </c>
      <c r="H2147" s="3" t="str">
        <f t="array" ref="H2147">IF(I2147="","",IFERROR(_xlfn.XLOOKUP(I2147,Base_Datos!$D$2:$D3876,Base_Datos!$C$2:$C3876),""))</f>
        <v>Serie Glory</v>
      </c>
      <c r="I2147" s="3" t="s">
        <v>404</v>
      </c>
      <c r="J2147" s="3" t="str">
        <f>IF(I2147="","",IFERROR(VLOOKUP(I2147,Base_Datos!$D$2:$E$72,2,0),""))</f>
        <v>(1.5L)</v>
      </c>
      <c r="K2147" s="3" t="s">
        <v>2624</v>
      </c>
      <c r="L2147" s="3"/>
      <c r="M2147" s="7">
        <v>10</v>
      </c>
      <c r="N2147" s="7">
        <v>0</v>
      </c>
    </row>
    <row r="2148" spans="1:14" ht="14.25" x14ac:dyDescent="0.2">
      <c r="A2148" s="3">
        <v>89787</v>
      </c>
      <c r="B2148" s="3" t="s">
        <v>4159</v>
      </c>
      <c r="C2148" s="3" t="s">
        <v>18</v>
      </c>
      <c r="D2148" s="6" t="s">
        <v>737</v>
      </c>
      <c r="E2148" s="6" t="s">
        <v>737</v>
      </c>
      <c r="F2148" s="3" t="str">
        <f>IFERROR( VLOOKUP(A2148,#REF!,2,0),"")</f>
        <v/>
      </c>
      <c r="G2148" s="3" t="str">
        <f t="array" ref="G2148">_xlfn.XLOOKUP(I2148,Base_Datos!D:D,Base_Datos!B:B,"")</f>
        <v>DFSK</v>
      </c>
      <c r="H2148" s="3" t="str">
        <f t="array" ref="H2148">IF(I2148="","",IFERROR(_xlfn.XLOOKUP(I2148,Base_Datos!$D$2:$D3876,Base_Datos!$C$2:$C3876),""))</f>
        <v>Serie Glory</v>
      </c>
      <c r="I2148" s="3" t="s">
        <v>404</v>
      </c>
      <c r="J2148" s="3" t="str">
        <f>IF(I2148="","",IFERROR(VLOOKUP(I2148,Base_Datos!$D$2:$E$72,2,0),""))</f>
        <v>(1.5L)</v>
      </c>
      <c r="K2148" s="3" t="s">
        <v>2624</v>
      </c>
      <c r="L2148" s="3"/>
      <c r="M2148" s="7">
        <v>10</v>
      </c>
      <c r="N2148" s="7">
        <v>0</v>
      </c>
    </row>
    <row r="2149" spans="1:14" ht="14.25" x14ac:dyDescent="0.2">
      <c r="A2149" s="3">
        <v>89788</v>
      </c>
      <c r="B2149" s="3" t="s">
        <v>4160</v>
      </c>
      <c r="C2149" s="3" t="s">
        <v>18</v>
      </c>
      <c r="D2149" s="6" t="s">
        <v>738</v>
      </c>
      <c r="E2149" s="6" t="s">
        <v>738</v>
      </c>
      <c r="F2149" s="3" t="str">
        <f>IFERROR( VLOOKUP(A2149,#REF!,2,0),"")</f>
        <v/>
      </c>
      <c r="G2149" s="3" t="str">
        <f t="array" ref="G2149">_xlfn.XLOOKUP(I2149,Base_Datos!D:D,Base_Datos!B:B,"")</f>
        <v>DFSK</v>
      </c>
      <c r="H2149" s="3" t="str">
        <f t="array" ref="H2149">IF(I2149="","",IFERROR(_xlfn.XLOOKUP(I2149,Base_Datos!$D$2:$D3876,Base_Datos!$C$2:$C3876),""))</f>
        <v>Serie Glory</v>
      </c>
      <c r="I2149" s="3" t="s">
        <v>404</v>
      </c>
      <c r="J2149" s="3" t="str">
        <f>IF(I2149="","",IFERROR(VLOOKUP(I2149,Base_Datos!$D$2:$E$72,2,0),""))</f>
        <v>(1.5L)</v>
      </c>
      <c r="K2149" s="3" t="s">
        <v>2624</v>
      </c>
      <c r="L2149" s="3"/>
      <c r="M2149" s="7">
        <v>20</v>
      </c>
      <c r="N2149" s="7">
        <v>0</v>
      </c>
    </row>
    <row r="2150" spans="1:14" ht="14.25" x14ac:dyDescent="0.2">
      <c r="A2150" s="3">
        <v>89789</v>
      </c>
      <c r="B2150" s="3" t="s">
        <v>3953</v>
      </c>
      <c r="C2150" s="3" t="s">
        <v>18</v>
      </c>
      <c r="D2150" s="6" t="s">
        <v>739</v>
      </c>
      <c r="E2150" s="6" t="s">
        <v>739</v>
      </c>
      <c r="F2150" s="3" t="str">
        <f>IFERROR( VLOOKUP(A2150,#REF!,2,0),"")</f>
        <v/>
      </c>
      <c r="G2150" s="3" t="str">
        <f t="array" ref="G2150">_xlfn.XLOOKUP(I2150,Base_Datos!D:D,Base_Datos!B:B,"")</f>
        <v>DFSK</v>
      </c>
      <c r="H2150" s="3" t="str">
        <f t="array" ref="H2150">IF(I2150="","",IFERROR(_xlfn.XLOOKUP(I2150,Base_Datos!$D$2:$D3876,Base_Datos!$C$2:$C3876),""))</f>
        <v>Serie Glory</v>
      </c>
      <c r="I2150" s="3" t="s">
        <v>404</v>
      </c>
      <c r="J2150" s="3" t="str">
        <f>IF(I2150="","",IFERROR(VLOOKUP(I2150,Base_Datos!$D$2:$E$72,2,0),""))</f>
        <v>(1.5L)</v>
      </c>
      <c r="K2150" s="3" t="s">
        <v>2624</v>
      </c>
      <c r="L2150" s="3"/>
      <c r="M2150" s="7">
        <v>9</v>
      </c>
      <c r="N2150" s="7">
        <v>0</v>
      </c>
    </row>
    <row r="2151" spans="1:14" ht="14.25" x14ac:dyDescent="0.2">
      <c r="A2151" s="3">
        <v>89790</v>
      </c>
      <c r="B2151" s="3" t="s">
        <v>3778</v>
      </c>
      <c r="C2151" s="3" t="s">
        <v>18</v>
      </c>
      <c r="D2151" s="6" t="s">
        <v>901</v>
      </c>
      <c r="E2151" s="6" t="s">
        <v>901</v>
      </c>
      <c r="F2151" s="3" t="str">
        <f>IFERROR( VLOOKUP(A2151,#REF!,2,0),"")</f>
        <v/>
      </c>
      <c r="G2151" s="3" t="str">
        <f t="array" ref="G2151">_xlfn.XLOOKUP(I2151,Base_Datos!D:D,Base_Datos!B:B,"")</f>
        <v>DFSK</v>
      </c>
      <c r="H2151" s="3" t="str">
        <f t="array" ref="H2151">IF(I2151="","",IFERROR(_xlfn.XLOOKUP(I2151,Base_Datos!$D$2:$D3876,Base_Datos!$C$2:$C3876),""))</f>
        <v>Serie K</v>
      </c>
      <c r="I2151" s="3" t="s">
        <v>1762</v>
      </c>
      <c r="J2151" s="3" t="str">
        <f>IF(I2151="","",IFERROR(VLOOKUP(I2151,Base_Datos!$D$2:$E$72,2,0),""))</f>
        <v>(1.1L)</v>
      </c>
      <c r="K2151" s="3" t="s">
        <v>2553</v>
      </c>
      <c r="L2151" s="3"/>
      <c r="M2151" s="7">
        <v>30</v>
      </c>
      <c r="N2151" s="7">
        <v>0</v>
      </c>
    </row>
    <row r="2152" spans="1:14" ht="14.25" x14ac:dyDescent="0.2">
      <c r="A2152" s="3">
        <v>89791</v>
      </c>
      <c r="B2152" s="3" t="s">
        <v>4161</v>
      </c>
      <c r="C2152" s="3" t="s">
        <v>18</v>
      </c>
      <c r="D2152" s="6" t="s">
        <v>740</v>
      </c>
      <c r="E2152" s="6" t="s">
        <v>740</v>
      </c>
      <c r="F2152" s="3" t="str">
        <f>IFERROR( VLOOKUP(A2152,#REF!,2,0),"")</f>
        <v/>
      </c>
      <c r="G2152" s="3" t="str">
        <f t="array" ref="G2152">_xlfn.XLOOKUP(I2152,Base_Datos!D:D,Base_Datos!B:B,"")</f>
        <v>DFSK</v>
      </c>
      <c r="H2152" s="3" t="str">
        <f t="array" ref="H2152">IF(I2152="","",IFERROR(_xlfn.XLOOKUP(I2152,Base_Datos!$D$2:$D3876,Base_Datos!$C$2:$C3876),""))</f>
        <v>Serie Glory</v>
      </c>
      <c r="I2152" s="3" t="s">
        <v>404</v>
      </c>
      <c r="J2152" s="3" t="str">
        <f>IF(I2152="","",IFERROR(VLOOKUP(I2152,Base_Datos!$D$2:$E$72,2,0),""))</f>
        <v>(1.5L)</v>
      </c>
      <c r="K2152" s="3" t="s">
        <v>2624</v>
      </c>
      <c r="L2152" s="3"/>
      <c r="M2152" s="7">
        <v>9</v>
      </c>
      <c r="N2152" s="7">
        <v>0</v>
      </c>
    </row>
    <row r="2153" spans="1:14" ht="14.25" x14ac:dyDescent="0.2">
      <c r="A2153" s="3">
        <v>89792</v>
      </c>
      <c r="B2153" s="3" t="s">
        <v>4162</v>
      </c>
      <c r="C2153" s="3" t="s">
        <v>18</v>
      </c>
      <c r="D2153" s="6" t="s">
        <v>741</v>
      </c>
      <c r="E2153" s="6" t="s">
        <v>741</v>
      </c>
      <c r="F2153" s="3" t="str">
        <f>IFERROR( VLOOKUP(A2153,#REF!,2,0),"")</f>
        <v/>
      </c>
      <c r="G2153" s="3" t="str">
        <f t="array" ref="G2153">_xlfn.XLOOKUP(I2153,Base_Datos!D:D,Base_Datos!B:B,"")</f>
        <v>DFSK</v>
      </c>
      <c r="H2153" s="3" t="str">
        <f t="array" ref="H2153">IF(I2153="","",IFERROR(_xlfn.XLOOKUP(I2153,Base_Datos!$D$2:$D3876,Base_Datos!$C$2:$C3876),""))</f>
        <v>Serie K</v>
      </c>
      <c r="I2153" s="3" t="s">
        <v>475</v>
      </c>
      <c r="J2153" s="3" t="str">
        <f>IF(I2153="","",IFERROR(VLOOKUP(I2153,Base_Datos!$D$2:$E$72,2,0),""))</f>
        <v>(1.1L)</v>
      </c>
      <c r="K2153" s="3" t="s">
        <v>2624</v>
      </c>
      <c r="L2153" s="3"/>
      <c r="M2153" s="7">
        <v>30</v>
      </c>
      <c r="N2153" s="7">
        <v>0</v>
      </c>
    </row>
    <row r="2154" spans="1:14" ht="14.25" x14ac:dyDescent="0.2">
      <c r="A2154" s="3">
        <v>89793</v>
      </c>
      <c r="B2154" s="3" t="s">
        <v>4163</v>
      </c>
      <c r="C2154" s="3" t="s">
        <v>18</v>
      </c>
      <c r="D2154" s="6" t="s">
        <v>742</v>
      </c>
      <c r="E2154" s="6" t="s">
        <v>742</v>
      </c>
      <c r="F2154" s="3" t="str">
        <f>IFERROR( VLOOKUP(A2154,#REF!,2,0),"")</f>
        <v/>
      </c>
      <c r="G2154" s="3" t="str">
        <f t="array" ref="G2154">_xlfn.XLOOKUP(I2154,Base_Datos!D:D,Base_Datos!B:B,"")</f>
        <v>DFSK</v>
      </c>
      <c r="H2154" s="3" t="str">
        <f t="array" ref="H2154">IF(I2154="","",IFERROR(_xlfn.XLOOKUP(I2154,Base_Datos!$D$2:$D3876,Base_Datos!$C$2:$C3876),""))</f>
        <v>Serie Glory</v>
      </c>
      <c r="I2154" s="3" t="s">
        <v>404</v>
      </c>
      <c r="J2154" s="3" t="str">
        <f>IF(I2154="","",IFERROR(VLOOKUP(I2154,Base_Datos!$D$2:$E$72,2,0),""))</f>
        <v>(1.5L)</v>
      </c>
      <c r="K2154" s="3" t="s">
        <v>2624</v>
      </c>
      <c r="L2154" s="3"/>
      <c r="M2154" s="7">
        <v>9</v>
      </c>
      <c r="N2154" s="7">
        <v>0</v>
      </c>
    </row>
    <row r="2155" spans="1:14" ht="14.25" x14ac:dyDescent="0.2">
      <c r="A2155" s="3">
        <v>89794</v>
      </c>
      <c r="B2155" s="3" t="s">
        <v>4164</v>
      </c>
      <c r="C2155" s="3" t="s">
        <v>18</v>
      </c>
      <c r="D2155" s="6" t="s">
        <v>743</v>
      </c>
      <c r="E2155" s="6" t="s">
        <v>743</v>
      </c>
      <c r="F2155" s="3" t="str">
        <f>IFERROR( VLOOKUP(A2155,#REF!,2,0),"")</f>
        <v/>
      </c>
      <c r="G2155" s="3" t="str">
        <f t="array" ref="G2155">_xlfn.XLOOKUP(I2155,Base_Datos!D:D,Base_Datos!B:B,"")</f>
        <v>DFSK</v>
      </c>
      <c r="H2155" s="3" t="str">
        <f t="array" ref="H2155">IF(I2155="","",IFERROR(_xlfn.XLOOKUP(I2155,Base_Datos!$D$2:$D3876,Base_Datos!$C$2:$C3876),""))</f>
        <v>Serie K</v>
      </c>
      <c r="I2155" s="3" t="s">
        <v>475</v>
      </c>
      <c r="J2155" s="3" t="str">
        <f>IF(I2155="","",IFERROR(VLOOKUP(I2155,Base_Datos!$D$2:$E$72,2,0),""))</f>
        <v>(1.1L)</v>
      </c>
      <c r="K2155" s="3" t="s">
        <v>2624</v>
      </c>
      <c r="L2155" s="3"/>
      <c r="M2155" s="7">
        <v>52</v>
      </c>
      <c r="N2155" s="7">
        <v>0</v>
      </c>
    </row>
    <row r="2156" spans="1:14" ht="14.25" x14ac:dyDescent="0.2">
      <c r="A2156" s="3">
        <v>89795</v>
      </c>
      <c r="B2156" s="3" t="s">
        <v>4165</v>
      </c>
      <c r="C2156" s="3" t="s">
        <v>18</v>
      </c>
      <c r="D2156" s="6" t="s">
        <v>744</v>
      </c>
      <c r="E2156" s="6" t="s">
        <v>744</v>
      </c>
      <c r="F2156" s="3" t="str">
        <f>IFERROR( VLOOKUP(A2156,#REF!,2,0),"")</f>
        <v/>
      </c>
      <c r="G2156" s="3" t="str">
        <f t="array" ref="G2156">_xlfn.XLOOKUP(I2156,Base_Datos!D:D,Base_Datos!B:B,"")</f>
        <v>DFSK</v>
      </c>
      <c r="H2156" s="3" t="str">
        <f t="array" ref="H2156">IF(I2156="","",IFERROR(_xlfn.XLOOKUP(I2156,Base_Datos!$D$2:$D3876,Base_Datos!$C$2:$C3876),""))</f>
        <v>Serie K</v>
      </c>
      <c r="I2156" s="3" t="s">
        <v>475</v>
      </c>
      <c r="J2156" s="3" t="str">
        <f>IF(I2156="","",IFERROR(VLOOKUP(I2156,Base_Datos!$D$2:$E$72,2,0),""))</f>
        <v>(1.1L)</v>
      </c>
      <c r="K2156" s="3" t="s">
        <v>2624</v>
      </c>
      <c r="L2156" s="3"/>
      <c r="M2156" s="7">
        <v>61</v>
      </c>
      <c r="N2156" s="7">
        <v>0</v>
      </c>
    </row>
    <row r="2157" spans="1:14" ht="14.25" x14ac:dyDescent="0.2">
      <c r="A2157" s="3">
        <v>89796</v>
      </c>
      <c r="B2157" s="3" t="s">
        <v>4166</v>
      </c>
      <c r="C2157" s="3" t="s">
        <v>18</v>
      </c>
      <c r="D2157" s="6" t="s">
        <v>745</v>
      </c>
      <c r="E2157" s="6" t="s">
        <v>745</v>
      </c>
      <c r="F2157" s="3" t="str">
        <f>IFERROR( VLOOKUP(A2157,#REF!,2,0),"")</f>
        <v/>
      </c>
      <c r="G2157" s="3" t="str">
        <f t="array" ref="G2157">_xlfn.XLOOKUP(I2157,Base_Datos!D:D,Base_Datos!B:B,"")</f>
        <v>DFSK</v>
      </c>
      <c r="H2157" s="3" t="str">
        <f t="array" ref="H2157">IF(I2157="","",IFERROR(_xlfn.XLOOKUP(I2157,Base_Datos!$D$2:$D3876,Base_Datos!$C$2:$C3876),""))</f>
        <v>Serie Glory</v>
      </c>
      <c r="I2157" s="3" t="s">
        <v>404</v>
      </c>
      <c r="J2157" s="3" t="str">
        <f>IF(I2157="","",IFERROR(VLOOKUP(I2157,Base_Datos!$D$2:$E$72,2,0),""))</f>
        <v>(1.5L)</v>
      </c>
      <c r="K2157" s="3" t="s">
        <v>2624</v>
      </c>
      <c r="L2157" s="3"/>
      <c r="M2157" s="7">
        <v>13</v>
      </c>
      <c r="N2157" s="7">
        <v>0</v>
      </c>
    </row>
    <row r="2158" spans="1:14" ht="14.25" x14ac:dyDescent="0.2">
      <c r="A2158" s="3">
        <v>89797</v>
      </c>
      <c r="B2158" s="3" t="s">
        <v>4167</v>
      </c>
      <c r="C2158" s="3" t="s">
        <v>18</v>
      </c>
      <c r="D2158" s="6" t="s">
        <v>746</v>
      </c>
      <c r="E2158" s="6" t="s">
        <v>746</v>
      </c>
      <c r="F2158" s="3" t="str">
        <f>IFERROR( VLOOKUP(A2158,#REF!,2,0),"")</f>
        <v/>
      </c>
      <c r="G2158" s="3" t="str">
        <f t="array" ref="G2158">_xlfn.XLOOKUP(I2158,Base_Datos!D:D,Base_Datos!B:B,"")</f>
        <v>DFSK</v>
      </c>
      <c r="H2158" s="3" t="str">
        <f t="array" ref="H2158">IF(I2158="","",IFERROR(_xlfn.XLOOKUP(I2158,Base_Datos!$D$2:$D3876,Base_Datos!$C$2:$C3876),""))</f>
        <v>Serie K</v>
      </c>
      <c r="I2158" s="3" t="s">
        <v>475</v>
      </c>
      <c r="J2158" s="3" t="str">
        <f>IF(I2158="","",IFERROR(VLOOKUP(I2158,Base_Datos!$D$2:$E$72,2,0),""))</f>
        <v>(1.1L)</v>
      </c>
      <c r="K2158" s="3" t="s">
        <v>2624</v>
      </c>
      <c r="L2158" s="3"/>
      <c r="M2158" s="7">
        <v>23</v>
      </c>
      <c r="N2158" s="7">
        <v>0</v>
      </c>
    </row>
    <row r="2159" spans="1:14" ht="14.25" x14ac:dyDescent="0.2">
      <c r="A2159" s="3">
        <v>89798</v>
      </c>
      <c r="B2159" s="3" t="s">
        <v>3969</v>
      </c>
      <c r="C2159" s="3" t="s">
        <v>18</v>
      </c>
      <c r="D2159" s="6" t="s">
        <v>747</v>
      </c>
      <c r="E2159" s="6" t="s">
        <v>747</v>
      </c>
      <c r="F2159" s="3" t="str">
        <f>IFERROR( VLOOKUP(A2159,#REF!,2,0),"")</f>
        <v/>
      </c>
      <c r="G2159" s="3" t="str">
        <f t="array" ref="G2159">_xlfn.XLOOKUP(I2159,Base_Datos!D:D,Base_Datos!B:B,"")</f>
        <v>DFSK</v>
      </c>
      <c r="H2159" s="3" t="str">
        <f t="array" ref="H2159">IF(I2159="","",IFERROR(_xlfn.XLOOKUP(I2159,Base_Datos!$D$2:$D3876,Base_Datos!$C$2:$C3876),""))</f>
        <v>Serie Glory</v>
      </c>
      <c r="I2159" s="3" t="s">
        <v>404</v>
      </c>
      <c r="J2159" s="3" t="str">
        <f>IF(I2159="","",IFERROR(VLOOKUP(I2159,Base_Datos!$D$2:$E$72,2,0),""))</f>
        <v>(1.5L)</v>
      </c>
      <c r="K2159" s="3" t="s">
        <v>2624</v>
      </c>
      <c r="L2159" s="3"/>
      <c r="M2159" s="7">
        <v>12</v>
      </c>
      <c r="N2159" s="7">
        <v>0</v>
      </c>
    </row>
    <row r="2160" spans="1:14" ht="14.25" x14ac:dyDescent="0.2">
      <c r="A2160" s="3">
        <v>89799</v>
      </c>
      <c r="B2160" s="3" t="s">
        <v>3970</v>
      </c>
      <c r="C2160" s="3" t="s">
        <v>18</v>
      </c>
      <c r="D2160" s="6" t="s">
        <v>748</v>
      </c>
      <c r="E2160" s="6" t="s">
        <v>748</v>
      </c>
      <c r="F2160" s="3" t="str">
        <f>IFERROR( VLOOKUP(A2160,#REF!,2,0),"")</f>
        <v/>
      </c>
      <c r="G2160" s="3" t="str">
        <f t="array" ref="G2160">_xlfn.XLOOKUP(I2160,Base_Datos!D:D,Base_Datos!B:B,"")</f>
        <v>DFSK</v>
      </c>
      <c r="H2160" s="3" t="str">
        <f t="array" ref="H2160">IF(I2160="","",IFERROR(_xlfn.XLOOKUP(I2160,Base_Datos!$D$2:$D3876,Base_Datos!$C$2:$C3876),""))</f>
        <v>Serie Glory</v>
      </c>
      <c r="I2160" s="3" t="s">
        <v>404</v>
      </c>
      <c r="J2160" s="3" t="str">
        <f>IF(I2160="","",IFERROR(VLOOKUP(I2160,Base_Datos!$D$2:$E$72,2,0),""))</f>
        <v>(1.5L)</v>
      </c>
      <c r="K2160" s="3" t="s">
        <v>2624</v>
      </c>
      <c r="L2160" s="3"/>
      <c r="M2160" s="7">
        <v>6</v>
      </c>
      <c r="N2160" s="7">
        <v>0</v>
      </c>
    </row>
    <row r="2161" spans="1:14" ht="14.25" x14ac:dyDescent="0.2">
      <c r="A2161" s="3">
        <v>89800</v>
      </c>
      <c r="B2161" s="3" t="s">
        <v>2415</v>
      </c>
      <c r="C2161" s="3" t="s">
        <v>18</v>
      </c>
      <c r="D2161" s="6" t="s">
        <v>749</v>
      </c>
      <c r="E2161" s="6" t="s">
        <v>4168</v>
      </c>
      <c r="F2161" s="3" t="str">
        <f>IFERROR( VLOOKUP(A2161,#REF!,2,0),"")</f>
        <v/>
      </c>
      <c r="G2161" s="3" t="str">
        <f t="array" ref="G2161">_xlfn.XLOOKUP(I2161,Base_Datos!D:D,Base_Datos!B:B,"")</f>
        <v>DFSK</v>
      </c>
      <c r="H2161" s="3" t="str">
        <f t="array" ref="H2161">IF(I2161="","",IFERROR(_xlfn.XLOOKUP(I2161,Base_Datos!$D$2:$D3876,Base_Datos!$C$2:$C3876),""))</f>
        <v>Serie K</v>
      </c>
      <c r="I2161" s="3" t="s">
        <v>475</v>
      </c>
      <c r="J2161" s="3" t="str">
        <f>IF(I2161="","",IFERROR(VLOOKUP(I2161,Base_Datos!$D$2:$E$72,2,0),""))</f>
        <v>(1.1L)</v>
      </c>
      <c r="K2161" s="3" t="s">
        <v>2624</v>
      </c>
      <c r="L2161" s="3"/>
      <c r="M2161" s="7">
        <v>32</v>
      </c>
      <c r="N2161" s="7">
        <v>0</v>
      </c>
    </row>
    <row r="2162" spans="1:14" ht="14.25" x14ac:dyDescent="0.2">
      <c r="A2162" s="3">
        <v>89801</v>
      </c>
      <c r="B2162" s="3" t="s">
        <v>4169</v>
      </c>
      <c r="C2162" s="3" t="s">
        <v>18</v>
      </c>
      <c r="D2162" s="6" t="s">
        <v>750</v>
      </c>
      <c r="E2162" s="6" t="s">
        <v>750</v>
      </c>
      <c r="F2162" s="3" t="str">
        <f>IFERROR( VLOOKUP(A2162,#REF!,2,0),"")</f>
        <v/>
      </c>
      <c r="G2162" s="3" t="str">
        <f t="array" ref="G2162">_xlfn.XLOOKUP(I2162,Base_Datos!D:D,Base_Datos!B:B,"")</f>
        <v>DFSK</v>
      </c>
      <c r="H2162" s="3" t="str">
        <f t="array" ref="H2162">IF(I2162="","",IFERROR(_xlfn.XLOOKUP(I2162,Base_Datos!$D$2:$D3876,Base_Datos!$C$2:$C3876),""))</f>
        <v>Serie Glory</v>
      </c>
      <c r="I2162" s="3" t="s">
        <v>404</v>
      </c>
      <c r="J2162" s="3" t="str">
        <f>IF(I2162="","",IFERROR(VLOOKUP(I2162,Base_Datos!$D$2:$E$72,2,0),""))</f>
        <v>(1.5L)</v>
      </c>
      <c r="K2162" s="3" t="s">
        <v>2624</v>
      </c>
      <c r="L2162" s="3"/>
      <c r="M2162" s="7">
        <v>6</v>
      </c>
      <c r="N2162" s="7">
        <v>0</v>
      </c>
    </row>
    <row r="2163" spans="1:14" ht="14.25" x14ac:dyDescent="0.2">
      <c r="A2163" s="3">
        <v>89802</v>
      </c>
      <c r="B2163" s="3" t="s">
        <v>4170</v>
      </c>
      <c r="C2163" s="3" t="s">
        <v>18</v>
      </c>
      <c r="D2163" s="6" t="s">
        <v>751</v>
      </c>
      <c r="E2163" s="6" t="s">
        <v>751</v>
      </c>
      <c r="F2163" s="3" t="str">
        <f>IFERROR( VLOOKUP(A2163,#REF!,2,0),"")</f>
        <v/>
      </c>
      <c r="G2163" s="3" t="str">
        <f t="array" ref="G2163">_xlfn.XLOOKUP(I2163,Base_Datos!D:D,Base_Datos!B:B,"")</f>
        <v>DFSK</v>
      </c>
      <c r="H2163" s="3" t="str">
        <f t="array" ref="H2163">IF(I2163="","",IFERROR(_xlfn.XLOOKUP(I2163,Base_Datos!$D$2:$D3876,Base_Datos!$C$2:$C3876),""))</f>
        <v>Serie Glory</v>
      </c>
      <c r="I2163" s="3" t="s">
        <v>404</v>
      </c>
      <c r="J2163" s="3" t="str">
        <f>IF(I2163="","",IFERROR(VLOOKUP(I2163,Base_Datos!$D$2:$E$72,2,0),""))</f>
        <v>(1.5L)</v>
      </c>
      <c r="K2163" s="3" t="s">
        <v>2624</v>
      </c>
      <c r="L2163" s="3"/>
      <c r="M2163" s="7">
        <v>8</v>
      </c>
      <c r="N2163" s="7">
        <v>0</v>
      </c>
    </row>
    <row r="2164" spans="1:14" ht="14.25" x14ac:dyDescent="0.2">
      <c r="A2164" s="3">
        <v>89803</v>
      </c>
      <c r="B2164" s="3" t="s">
        <v>4171</v>
      </c>
      <c r="C2164" s="3" t="s">
        <v>18</v>
      </c>
      <c r="D2164" s="6" t="s">
        <v>752</v>
      </c>
      <c r="E2164" s="6" t="s">
        <v>4172</v>
      </c>
      <c r="F2164" s="3" t="str">
        <f>IFERROR( VLOOKUP(A2164,#REF!,2,0),"")</f>
        <v/>
      </c>
      <c r="G2164" s="3" t="str">
        <f t="array" ref="G2164">_xlfn.XLOOKUP(I2164,Base_Datos!D:D,Base_Datos!B:B,"")</f>
        <v>DFSK</v>
      </c>
      <c r="H2164" s="3" t="str">
        <f t="array" ref="H2164">IF(I2164="","",IFERROR(_xlfn.XLOOKUP(I2164,Base_Datos!$D$2:$D3876,Base_Datos!$C$2:$C3876),""))</f>
        <v>Serie Glory</v>
      </c>
      <c r="I2164" s="3" t="s">
        <v>404</v>
      </c>
      <c r="J2164" s="3" t="str">
        <f>IF(I2164="","",IFERROR(VLOOKUP(I2164,Base_Datos!$D$2:$E$72,2,0),""))</f>
        <v>(1.5L)</v>
      </c>
      <c r="K2164" s="3" t="s">
        <v>2624</v>
      </c>
      <c r="L2164" s="3"/>
      <c r="M2164" s="7">
        <v>6</v>
      </c>
      <c r="N2164" s="7">
        <v>0</v>
      </c>
    </row>
    <row r="2165" spans="1:14" ht="14.25" x14ac:dyDescent="0.2">
      <c r="A2165" s="3">
        <v>89804</v>
      </c>
      <c r="B2165" s="3" t="s">
        <v>4173</v>
      </c>
      <c r="C2165" s="3" t="s">
        <v>18</v>
      </c>
      <c r="D2165" s="6" t="s">
        <v>753</v>
      </c>
      <c r="E2165" s="6" t="s">
        <v>753</v>
      </c>
      <c r="F2165" s="3" t="str">
        <f>IFERROR( VLOOKUP(A2165,#REF!,2,0),"")</f>
        <v/>
      </c>
      <c r="G2165" s="3" t="str">
        <f t="array" ref="G2165">_xlfn.XLOOKUP(I2165,Base_Datos!D:D,Base_Datos!B:B,"")</f>
        <v>DFSK</v>
      </c>
      <c r="H2165" s="3" t="str">
        <f t="array" ref="H2165">IF(I2165="","",IFERROR(_xlfn.XLOOKUP(I2165,Base_Datos!$D$2:$D3876,Base_Datos!$C$2:$C3876),""))</f>
        <v>Serie Glory</v>
      </c>
      <c r="I2165" s="3" t="s">
        <v>404</v>
      </c>
      <c r="J2165" s="3" t="str">
        <f>IF(I2165="","",IFERROR(VLOOKUP(I2165,Base_Datos!$D$2:$E$72,2,0),""))</f>
        <v>(1.5L)</v>
      </c>
      <c r="K2165" s="3" t="s">
        <v>2624</v>
      </c>
      <c r="L2165" s="3"/>
      <c r="M2165" s="7">
        <v>6</v>
      </c>
      <c r="N2165" s="7">
        <v>0</v>
      </c>
    </row>
    <row r="2166" spans="1:14" ht="14.25" x14ac:dyDescent="0.2">
      <c r="A2166" s="3">
        <v>89805</v>
      </c>
      <c r="B2166" s="3" t="s">
        <v>4174</v>
      </c>
      <c r="C2166" s="3" t="s">
        <v>18</v>
      </c>
      <c r="D2166" s="6" t="s">
        <v>754</v>
      </c>
      <c r="E2166" s="6" t="s">
        <v>4175</v>
      </c>
      <c r="F2166" s="3" t="str">
        <f>IFERROR( VLOOKUP(A2166,#REF!,2,0),"")</f>
        <v/>
      </c>
      <c r="G2166" s="3" t="str">
        <f t="array" ref="G2166">_xlfn.XLOOKUP(I2166,Base_Datos!D:D,Base_Datos!B:B,"")</f>
        <v>DFSK</v>
      </c>
      <c r="H2166" s="3" t="str">
        <f t="array" ref="H2166">IF(I2166="","",IFERROR(_xlfn.XLOOKUP(I2166,Base_Datos!$D$2:$D3876,Base_Datos!$C$2:$C3876),""))</f>
        <v>Serie K</v>
      </c>
      <c r="I2166" s="3" t="s">
        <v>475</v>
      </c>
      <c r="J2166" s="3" t="str">
        <f>IF(I2166="","",IFERROR(VLOOKUP(I2166,Base_Datos!$D$2:$E$72,2,0),""))</f>
        <v>(1.1L)</v>
      </c>
      <c r="K2166" s="3" t="s">
        <v>2624</v>
      </c>
      <c r="L2166" s="3"/>
      <c r="M2166" s="7">
        <v>174</v>
      </c>
      <c r="N2166" s="7">
        <v>0</v>
      </c>
    </row>
    <row r="2167" spans="1:14" ht="14.25" x14ac:dyDescent="0.2">
      <c r="A2167" s="3">
        <v>89806</v>
      </c>
      <c r="B2167" s="3" t="s">
        <v>4176</v>
      </c>
      <c r="C2167" s="3" t="s">
        <v>18</v>
      </c>
      <c r="D2167" s="6" t="s">
        <v>755</v>
      </c>
      <c r="E2167" s="6" t="s">
        <v>755</v>
      </c>
      <c r="F2167" s="3" t="str">
        <f>IFERROR( VLOOKUP(A2167,#REF!,2,0),"")</f>
        <v/>
      </c>
      <c r="G2167" s="3" t="str">
        <f t="array" ref="G2167">_xlfn.XLOOKUP(I2167,Base_Datos!D:D,Base_Datos!B:B,"")</f>
        <v>DFSK</v>
      </c>
      <c r="H2167" s="3" t="str">
        <f t="array" ref="H2167">IF(I2167="","",IFERROR(_xlfn.XLOOKUP(I2167,Base_Datos!$D$2:$D3876,Base_Datos!$C$2:$C3876),""))</f>
        <v>Serie Glory</v>
      </c>
      <c r="I2167" s="3" t="s">
        <v>404</v>
      </c>
      <c r="J2167" s="3" t="str">
        <f>IF(I2167="","",IFERROR(VLOOKUP(I2167,Base_Datos!$D$2:$E$72,2,0),""))</f>
        <v>(1.5L)</v>
      </c>
      <c r="K2167" s="3" t="s">
        <v>2624</v>
      </c>
      <c r="L2167" s="3"/>
      <c r="M2167" s="7">
        <v>20</v>
      </c>
      <c r="N2167" s="7">
        <v>0</v>
      </c>
    </row>
    <row r="2168" spans="1:14" ht="14.25" x14ac:dyDescent="0.2">
      <c r="A2168" s="3">
        <v>89807</v>
      </c>
      <c r="B2168" s="3" t="s">
        <v>4177</v>
      </c>
      <c r="C2168" s="3" t="s">
        <v>18</v>
      </c>
      <c r="D2168" s="6" t="s">
        <v>756</v>
      </c>
      <c r="E2168" s="6" t="s">
        <v>756</v>
      </c>
      <c r="F2168" s="3" t="str">
        <f>IFERROR( VLOOKUP(A2168,#REF!,2,0),"")</f>
        <v/>
      </c>
      <c r="G2168" s="3" t="str">
        <f t="array" ref="G2168">_xlfn.XLOOKUP(I2168,Base_Datos!D:D,Base_Datos!B:B,"")</f>
        <v>DFSK</v>
      </c>
      <c r="H2168" s="3" t="str">
        <f t="array" ref="H2168">IF(I2168="","",IFERROR(_xlfn.XLOOKUP(I2168,Base_Datos!$D$2:$D3876,Base_Datos!$C$2:$C3876),""))</f>
        <v>Serie Glory</v>
      </c>
      <c r="I2168" s="3" t="s">
        <v>404</v>
      </c>
      <c r="J2168" s="3" t="str">
        <f>IF(I2168="","",IFERROR(VLOOKUP(I2168,Base_Datos!$D$2:$E$72,2,0),""))</f>
        <v>(1.5L)</v>
      </c>
      <c r="K2168" s="3" t="s">
        <v>2624</v>
      </c>
      <c r="L2168" s="3"/>
      <c r="M2168" s="7">
        <v>6</v>
      </c>
      <c r="N2168" s="7">
        <v>0</v>
      </c>
    </row>
    <row r="2169" spans="1:14" ht="14.25" x14ac:dyDescent="0.2">
      <c r="A2169" s="3">
        <v>89808</v>
      </c>
      <c r="B2169" s="3" t="s">
        <v>4178</v>
      </c>
      <c r="C2169" s="3" t="s">
        <v>18</v>
      </c>
      <c r="D2169" s="6" t="s">
        <v>757</v>
      </c>
      <c r="E2169" s="6" t="s">
        <v>757</v>
      </c>
      <c r="F2169" s="3" t="str">
        <f>IFERROR( VLOOKUP(A2169,#REF!,2,0),"")</f>
        <v/>
      </c>
      <c r="G2169" s="3" t="str">
        <f t="array" ref="G2169">_xlfn.XLOOKUP(I2169,Base_Datos!D:D,Base_Datos!B:B,"")</f>
        <v>DFSK</v>
      </c>
      <c r="H2169" s="3" t="str">
        <f t="array" ref="H2169">IF(I2169="","",IFERROR(_xlfn.XLOOKUP(I2169,Base_Datos!$D$2:$D3876,Base_Datos!$C$2:$C3876),""))</f>
        <v>Serie Glory</v>
      </c>
      <c r="I2169" s="3" t="s">
        <v>404</v>
      </c>
      <c r="J2169" s="3" t="str">
        <f>IF(I2169="","",IFERROR(VLOOKUP(I2169,Base_Datos!$D$2:$E$72,2,0),""))</f>
        <v>(1.5L)</v>
      </c>
      <c r="K2169" s="3" t="s">
        <v>2624</v>
      </c>
      <c r="L2169" s="3"/>
      <c r="M2169" s="7">
        <v>8</v>
      </c>
      <c r="N2169" s="7">
        <v>0</v>
      </c>
    </row>
    <row r="2170" spans="1:14" ht="14.25" x14ac:dyDescent="0.2">
      <c r="A2170" s="3">
        <v>89809</v>
      </c>
      <c r="B2170" s="3" t="s">
        <v>4179</v>
      </c>
      <c r="C2170" s="3" t="s">
        <v>18</v>
      </c>
      <c r="D2170" s="6" t="s">
        <v>758</v>
      </c>
      <c r="E2170" s="6" t="s">
        <v>758</v>
      </c>
      <c r="F2170" s="3" t="str">
        <f>IFERROR( VLOOKUP(A2170,#REF!,2,0),"")</f>
        <v/>
      </c>
      <c r="G2170" s="3" t="str">
        <f t="array" ref="G2170">_xlfn.XLOOKUP(I2170,Base_Datos!D:D,Base_Datos!B:B,"")</f>
        <v>DFSK</v>
      </c>
      <c r="H2170" s="3" t="str">
        <f t="array" ref="H2170">IF(I2170="","",IFERROR(_xlfn.XLOOKUP(I2170,Base_Datos!$D$2:$D3876,Base_Datos!$C$2:$C3876),""))</f>
        <v>Serie Glory</v>
      </c>
      <c r="I2170" s="3" t="s">
        <v>404</v>
      </c>
      <c r="J2170" s="3" t="str">
        <f>IF(I2170="","",IFERROR(VLOOKUP(I2170,Base_Datos!$D$2:$E$72,2,0),""))</f>
        <v>(1.5L)</v>
      </c>
      <c r="K2170" s="3" t="s">
        <v>2624</v>
      </c>
      <c r="L2170" s="3"/>
      <c r="M2170" s="7">
        <v>19</v>
      </c>
      <c r="N2170" s="7">
        <v>0</v>
      </c>
    </row>
    <row r="2171" spans="1:14" ht="14.25" x14ac:dyDescent="0.2">
      <c r="A2171" s="3">
        <v>89810</v>
      </c>
      <c r="B2171" s="3" t="s">
        <v>4180</v>
      </c>
      <c r="C2171" s="3" t="s">
        <v>18</v>
      </c>
      <c r="D2171" s="6" t="s">
        <v>759</v>
      </c>
      <c r="E2171" s="6" t="s">
        <v>759</v>
      </c>
      <c r="F2171" s="3" t="str">
        <f>IFERROR( VLOOKUP(A2171,#REF!,2,0),"")</f>
        <v/>
      </c>
      <c r="G2171" s="3" t="str">
        <f t="array" ref="G2171">_xlfn.XLOOKUP(I2171,Base_Datos!D:D,Base_Datos!B:B,"")</f>
        <v>DFSK</v>
      </c>
      <c r="H2171" s="3" t="str">
        <f t="array" ref="H2171">IF(I2171="","",IFERROR(_xlfn.XLOOKUP(I2171,Base_Datos!$D$2:$D3876,Base_Datos!$C$2:$C3876),""))</f>
        <v>Serie Glory</v>
      </c>
      <c r="I2171" s="3" t="s">
        <v>404</v>
      </c>
      <c r="J2171" s="3" t="str">
        <f>IF(I2171="","",IFERROR(VLOOKUP(I2171,Base_Datos!$D$2:$E$72,2,0),""))</f>
        <v>(1.5L)</v>
      </c>
      <c r="K2171" s="3" t="s">
        <v>2624</v>
      </c>
      <c r="L2171" s="3"/>
      <c r="M2171" s="7">
        <v>20</v>
      </c>
      <c r="N2171" s="7">
        <v>0</v>
      </c>
    </row>
    <row r="2172" spans="1:14" ht="14.25" x14ac:dyDescent="0.2">
      <c r="A2172" s="3">
        <v>89811</v>
      </c>
      <c r="B2172" s="3" t="s">
        <v>4181</v>
      </c>
      <c r="C2172" s="3" t="s">
        <v>18</v>
      </c>
      <c r="D2172" s="6" t="s">
        <v>760</v>
      </c>
      <c r="E2172" s="6" t="s">
        <v>760</v>
      </c>
      <c r="F2172" s="3" t="str">
        <f>IFERROR( VLOOKUP(A2172,#REF!,2,0),"")</f>
        <v/>
      </c>
      <c r="G2172" s="3" t="str">
        <f t="array" ref="G2172">_xlfn.XLOOKUP(I2172,Base_Datos!D:D,Base_Datos!B:B,"")</f>
        <v>DFSK</v>
      </c>
      <c r="H2172" s="3" t="str">
        <f t="array" ref="H2172">IF(I2172="","",IFERROR(_xlfn.XLOOKUP(I2172,Base_Datos!$D$2:$D3876,Base_Datos!$C$2:$C3876),""))</f>
        <v>Serie Glory</v>
      </c>
      <c r="I2172" s="3" t="s">
        <v>404</v>
      </c>
      <c r="J2172" s="3" t="str">
        <f>IF(I2172="","",IFERROR(VLOOKUP(I2172,Base_Datos!$D$2:$E$72,2,0),""))</f>
        <v>(1.5L)</v>
      </c>
      <c r="K2172" s="3" t="s">
        <v>2624</v>
      </c>
      <c r="L2172" s="3"/>
      <c r="M2172" s="7">
        <v>6</v>
      </c>
      <c r="N2172" s="7">
        <v>0</v>
      </c>
    </row>
    <row r="2173" spans="1:14" ht="14.25" x14ac:dyDescent="0.2">
      <c r="A2173" s="3">
        <v>89812</v>
      </c>
      <c r="B2173" s="3" t="s">
        <v>3625</v>
      </c>
      <c r="C2173" s="3" t="s">
        <v>18</v>
      </c>
      <c r="D2173" s="6" t="s">
        <v>761</v>
      </c>
      <c r="E2173" s="6" t="s">
        <v>761</v>
      </c>
      <c r="F2173" s="3" t="str">
        <f>IFERROR( VLOOKUP(A2173,#REF!,2,0),"")</f>
        <v/>
      </c>
      <c r="G2173" s="3" t="str">
        <f t="array" ref="G2173">_xlfn.XLOOKUP(I2173,Base_Datos!D:D,Base_Datos!B:B,"")</f>
        <v>DFSK</v>
      </c>
      <c r="H2173" s="3" t="str">
        <f t="array" ref="H2173">IF(I2173="","",IFERROR(_xlfn.XLOOKUP(I2173,Base_Datos!$D$2:$D3876,Base_Datos!$C$2:$C3876),""))</f>
        <v>Serie K</v>
      </c>
      <c r="I2173" s="3" t="s">
        <v>475</v>
      </c>
      <c r="J2173" s="3" t="str">
        <f>IF(I2173="","",IFERROR(VLOOKUP(I2173,Base_Datos!$D$2:$E$72,2,0),""))</f>
        <v>(1.1L)</v>
      </c>
      <c r="K2173" s="3" t="s">
        <v>2624</v>
      </c>
      <c r="L2173" s="3"/>
      <c r="M2173" s="7">
        <v>13</v>
      </c>
      <c r="N2173" s="7">
        <v>0</v>
      </c>
    </row>
    <row r="2174" spans="1:14" ht="14.25" x14ac:dyDescent="0.2">
      <c r="A2174" s="3">
        <v>89813</v>
      </c>
      <c r="B2174" s="3" t="s">
        <v>4182</v>
      </c>
      <c r="C2174" s="3" t="s">
        <v>18</v>
      </c>
      <c r="D2174" s="6" t="s">
        <v>762</v>
      </c>
      <c r="E2174" s="6" t="s">
        <v>762</v>
      </c>
      <c r="F2174" s="3" t="str">
        <f>IFERROR( VLOOKUP(A2174,#REF!,2,0),"")</f>
        <v/>
      </c>
      <c r="G2174" s="3" t="str">
        <f t="array" ref="G2174">_xlfn.XLOOKUP(I2174,Base_Datos!D:D,Base_Datos!B:B,"")</f>
        <v>DFSK</v>
      </c>
      <c r="H2174" s="3" t="str">
        <f t="array" ref="H2174">IF(I2174="","",IFERROR(_xlfn.XLOOKUP(I2174,Base_Datos!$D$2:$D3876,Base_Datos!$C$2:$C3876),""))</f>
        <v>Serie K</v>
      </c>
      <c r="I2174" s="3" t="s">
        <v>475</v>
      </c>
      <c r="J2174" s="3" t="str">
        <f>IF(I2174="","",IFERROR(VLOOKUP(I2174,Base_Datos!$D$2:$E$72,2,0),""))</f>
        <v>(1.1L)</v>
      </c>
      <c r="K2174" s="3" t="s">
        <v>2624</v>
      </c>
      <c r="L2174" s="3"/>
      <c r="M2174" s="7">
        <v>151</v>
      </c>
      <c r="N2174" s="7">
        <v>0</v>
      </c>
    </row>
    <row r="2175" spans="1:14" ht="14.25" x14ac:dyDescent="0.2">
      <c r="A2175" s="3">
        <v>89814</v>
      </c>
      <c r="B2175" s="3" t="s">
        <v>3991</v>
      </c>
      <c r="C2175" s="3" t="s">
        <v>18</v>
      </c>
      <c r="D2175" s="6" t="s">
        <v>763</v>
      </c>
      <c r="E2175" s="6" t="s">
        <v>763</v>
      </c>
      <c r="F2175" s="3" t="str">
        <f>IFERROR( VLOOKUP(A2175,#REF!,2,0),"")</f>
        <v/>
      </c>
      <c r="G2175" s="3" t="str">
        <f t="array" ref="G2175">_xlfn.XLOOKUP(I2175,Base_Datos!D:D,Base_Datos!B:B,"")</f>
        <v>DFSK</v>
      </c>
      <c r="H2175" s="3" t="str">
        <f t="array" ref="H2175">IF(I2175="","",IFERROR(_xlfn.XLOOKUP(I2175,Base_Datos!$D$2:$D3876,Base_Datos!$C$2:$C3876),""))</f>
        <v>Serie Glory</v>
      </c>
      <c r="I2175" s="3" t="s">
        <v>404</v>
      </c>
      <c r="J2175" s="3" t="str">
        <f>IF(I2175="","",IFERROR(VLOOKUP(I2175,Base_Datos!$D$2:$E$72,2,0),""))</f>
        <v>(1.5L)</v>
      </c>
      <c r="K2175" s="3" t="s">
        <v>2624</v>
      </c>
      <c r="L2175" s="3"/>
      <c r="M2175" s="7">
        <v>6</v>
      </c>
      <c r="N2175" s="7">
        <v>0</v>
      </c>
    </row>
    <row r="2176" spans="1:14" ht="14.25" x14ac:dyDescent="0.2">
      <c r="A2176" s="3">
        <v>89815</v>
      </c>
      <c r="B2176" s="3" t="s">
        <v>3990</v>
      </c>
      <c r="C2176" s="3" t="s">
        <v>18</v>
      </c>
      <c r="D2176" s="6" t="s">
        <v>764</v>
      </c>
      <c r="E2176" s="6" t="s">
        <v>764</v>
      </c>
      <c r="F2176" s="3" t="str">
        <f>IFERROR( VLOOKUP(A2176,#REF!,2,0),"")</f>
        <v/>
      </c>
      <c r="G2176" s="3" t="str">
        <f t="array" ref="G2176">_xlfn.XLOOKUP(I2176,Base_Datos!D:D,Base_Datos!B:B,"")</f>
        <v>DFSK</v>
      </c>
      <c r="H2176" s="3" t="str">
        <f t="array" ref="H2176">IF(I2176="","",IFERROR(_xlfn.XLOOKUP(I2176,Base_Datos!$D$2:$D3876,Base_Datos!$C$2:$C3876),""))</f>
        <v>Serie Glory</v>
      </c>
      <c r="I2176" s="3" t="s">
        <v>404</v>
      </c>
      <c r="J2176" s="3" t="str">
        <f>IF(I2176="","",IFERROR(VLOOKUP(I2176,Base_Datos!$D$2:$E$72,2,0),""))</f>
        <v>(1.5L)</v>
      </c>
      <c r="K2176" s="3" t="s">
        <v>2624</v>
      </c>
      <c r="L2176" s="3"/>
      <c r="M2176" s="7">
        <v>6</v>
      </c>
      <c r="N2176" s="7">
        <v>0</v>
      </c>
    </row>
    <row r="2177" spans="1:14" ht="14.25" x14ac:dyDescent="0.2">
      <c r="A2177" s="3">
        <v>89816</v>
      </c>
      <c r="B2177" s="3" t="s">
        <v>4183</v>
      </c>
      <c r="C2177" s="3" t="s">
        <v>18</v>
      </c>
      <c r="D2177" s="6" t="s">
        <v>765</v>
      </c>
      <c r="E2177" s="6" t="s">
        <v>765</v>
      </c>
      <c r="F2177" s="3" t="str">
        <f>IFERROR( VLOOKUP(A2177,#REF!,2,0),"")</f>
        <v/>
      </c>
      <c r="G2177" s="3" t="str">
        <f t="array" ref="G2177">_xlfn.XLOOKUP(I2177,Base_Datos!D:D,Base_Datos!B:B,"")</f>
        <v>DFSK</v>
      </c>
      <c r="H2177" s="3" t="str">
        <f t="array" ref="H2177">IF(I2177="","",IFERROR(_xlfn.XLOOKUP(I2177,Base_Datos!$D$2:$D3876,Base_Datos!$C$2:$C3876),""))</f>
        <v>Serie Glory</v>
      </c>
      <c r="I2177" s="3" t="s">
        <v>404</v>
      </c>
      <c r="J2177" s="3" t="str">
        <f>IF(I2177="","",IFERROR(VLOOKUP(I2177,Base_Datos!$D$2:$E$72,2,0),""))</f>
        <v>(1.5L)</v>
      </c>
      <c r="K2177" s="3"/>
      <c r="L2177" s="3"/>
      <c r="M2177" s="7">
        <v>204</v>
      </c>
      <c r="N2177" s="7">
        <v>0</v>
      </c>
    </row>
    <row r="2178" spans="1:14" ht="14.25" x14ac:dyDescent="0.2">
      <c r="A2178" s="3">
        <v>89817</v>
      </c>
      <c r="B2178" s="3" t="s">
        <v>4184</v>
      </c>
      <c r="C2178" s="3" t="s">
        <v>18</v>
      </c>
      <c r="D2178" s="6" t="s">
        <v>231</v>
      </c>
      <c r="E2178" s="6" t="s">
        <v>231</v>
      </c>
      <c r="F2178" s="3" t="str">
        <f>IFERROR( VLOOKUP(A2178,#REF!,2,0),"")</f>
        <v/>
      </c>
      <c r="G2178" s="3" t="str">
        <f t="array" ref="G2178">_xlfn.XLOOKUP(I2178,Base_Datos!D:D,Base_Datos!B:B,"")</f>
        <v>DFSK</v>
      </c>
      <c r="H2178" s="3" t="str">
        <f t="array" ref="H2178">IF(I2178="","",IFERROR(_xlfn.XLOOKUP(I2178,Base_Datos!$D$2:$D3876,Base_Datos!$C$2:$C3876),""))</f>
        <v>Serie Glory</v>
      </c>
      <c r="I2178" s="3" t="s">
        <v>404</v>
      </c>
      <c r="J2178" s="3" t="str">
        <f>IF(I2178="","",IFERROR(VLOOKUP(I2178,Base_Datos!$D$2:$E$72,2,0),""))</f>
        <v>(1.5L)</v>
      </c>
      <c r="K2178" s="3"/>
      <c r="L2178" s="3"/>
      <c r="M2178" s="7">
        <v>204</v>
      </c>
      <c r="N2178" s="7">
        <v>0</v>
      </c>
    </row>
    <row r="2179" spans="1:14" ht="14.25" x14ac:dyDescent="0.2">
      <c r="A2179" s="3">
        <v>89818</v>
      </c>
      <c r="B2179" s="3" t="s">
        <v>3598</v>
      </c>
      <c r="C2179" s="3" t="s">
        <v>18</v>
      </c>
      <c r="D2179" s="6" t="s">
        <v>766</v>
      </c>
      <c r="E2179" s="6" t="s">
        <v>766</v>
      </c>
      <c r="F2179" s="3" t="str">
        <f>IFERROR( VLOOKUP(A2179,#REF!,2,0),"")</f>
        <v/>
      </c>
      <c r="G2179" s="3" t="str">
        <f t="array" ref="G2179">_xlfn.XLOOKUP(I2179,Base_Datos!D:D,Base_Datos!B:B,"")</f>
        <v>DFSK</v>
      </c>
      <c r="H2179" s="3" t="str">
        <f t="array" ref="H2179">IF(I2179="","",IFERROR(_xlfn.XLOOKUP(I2179,Base_Datos!$D$2:$D3876,Base_Datos!$C$2:$C3876),""))</f>
        <v>Serie K</v>
      </c>
      <c r="I2179" s="3" t="s">
        <v>475</v>
      </c>
      <c r="J2179" s="3" t="str">
        <f>IF(I2179="","",IFERROR(VLOOKUP(I2179,Base_Datos!$D$2:$E$72,2,0),""))</f>
        <v>(1.1L)</v>
      </c>
      <c r="K2179" s="3" t="s">
        <v>2624</v>
      </c>
      <c r="L2179" s="3"/>
      <c r="M2179" s="7">
        <v>48</v>
      </c>
      <c r="N2179" s="7">
        <v>0</v>
      </c>
    </row>
    <row r="2180" spans="1:14" ht="14.25" x14ac:dyDescent="0.2">
      <c r="A2180" s="3">
        <v>89819</v>
      </c>
      <c r="B2180" s="3" t="s">
        <v>4185</v>
      </c>
      <c r="C2180" s="3" t="s">
        <v>18</v>
      </c>
      <c r="D2180" s="6" t="s">
        <v>767</v>
      </c>
      <c r="E2180" s="6" t="s">
        <v>767</v>
      </c>
      <c r="F2180" s="3" t="str">
        <f>IFERROR( VLOOKUP(A2180,#REF!,2,0),"")</f>
        <v/>
      </c>
      <c r="G2180" s="3" t="str">
        <f t="array" ref="G2180">_xlfn.XLOOKUP(I2180,Base_Datos!D:D,Base_Datos!B:B,"")</f>
        <v>DFSK</v>
      </c>
      <c r="H2180" s="3" t="str">
        <f t="array" ref="H2180">IF(I2180="","",IFERROR(_xlfn.XLOOKUP(I2180,Base_Datos!$D$2:$D3876,Base_Datos!$C$2:$C3876),""))</f>
        <v>Serie K</v>
      </c>
      <c r="I2180" s="3" t="s">
        <v>475</v>
      </c>
      <c r="J2180" s="3" t="str">
        <f>IF(I2180="","",IFERROR(VLOOKUP(I2180,Base_Datos!$D$2:$E$72,2,0),""))</f>
        <v>(1.1L)</v>
      </c>
      <c r="K2180" s="3" t="s">
        <v>2624</v>
      </c>
      <c r="L2180" s="3"/>
      <c r="M2180" s="7">
        <v>6</v>
      </c>
      <c r="N2180" s="7">
        <v>0</v>
      </c>
    </row>
    <row r="2181" spans="1:14" ht="14.25" x14ac:dyDescent="0.2">
      <c r="A2181" s="3">
        <v>89820</v>
      </c>
      <c r="B2181" s="3" t="s">
        <v>4186</v>
      </c>
      <c r="C2181" s="3" t="s">
        <v>18</v>
      </c>
      <c r="D2181" s="6" t="s">
        <v>768</v>
      </c>
      <c r="E2181" s="6" t="s">
        <v>768</v>
      </c>
      <c r="F2181" s="3" t="str">
        <f>IFERROR( VLOOKUP(A2181,#REF!,2,0),"")</f>
        <v/>
      </c>
      <c r="G2181" s="3" t="str">
        <f t="array" ref="G2181">_xlfn.XLOOKUP(I2181,Base_Datos!D:D,Base_Datos!B:B,"")</f>
        <v>DFSK</v>
      </c>
      <c r="H2181" s="3" t="str">
        <f t="array" ref="H2181">IF(I2181="","",IFERROR(_xlfn.XLOOKUP(I2181,Base_Datos!$D$2:$D3876,Base_Datos!$C$2:$C3876),""))</f>
        <v>Serie Glory</v>
      </c>
      <c r="I2181" s="3" t="s">
        <v>404</v>
      </c>
      <c r="J2181" s="3" t="str">
        <f>IF(I2181="","",IFERROR(VLOOKUP(I2181,Base_Datos!$D$2:$E$72,2,0),""))</f>
        <v>(1.5L)</v>
      </c>
      <c r="K2181" s="3" t="s">
        <v>2624</v>
      </c>
      <c r="L2181" s="3"/>
      <c r="M2181" s="7">
        <v>65</v>
      </c>
      <c r="N2181" s="7">
        <v>0</v>
      </c>
    </row>
    <row r="2182" spans="1:14" ht="14.25" x14ac:dyDescent="0.2">
      <c r="A2182" s="3">
        <v>89821</v>
      </c>
      <c r="B2182" s="3" t="s">
        <v>4187</v>
      </c>
      <c r="C2182" s="3" t="s">
        <v>18</v>
      </c>
      <c r="D2182" s="6" t="s">
        <v>769</v>
      </c>
      <c r="E2182" s="6" t="s">
        <v>769</v>
      </c>
      <c r="F2182" s="3" t="str">
        <f>IFERROR( VLOOKUP(A2182,#REF!,2,0),"")</f>
        <v/>
      </c>
      <c r="G2182" s="3" t="str">
        <f t="array" ref="G2182">_xlfn.XLOOKUP(I2182,Base_Datos!D:D,Base_Datos!B:B,"")</f>
        <v>DFSK</v>
      </c>
      <c r="H2182" s="3" t="str">
        <f t="array" ref="H2182">IF(I2182="","",IFERROR(_xlfn.XLOOKUP(I2182,Base_Datos!$D$2:$D3876,Base_Datos!$C$2:$C3876),""))</f>
        <v>Serie Glory</v>
      </c>
      <c r="I2182" s="3" t="s">
        <v>404</v>
      </c>
      <c r="J2182" s="3" t="str">
        <f>IF(I2182="","",IFERROR(VLOOKUP(I2182,Base_Datos!$D$2:$E$72,2,0),""))</f>
        <v>(1.5L)</v>
      </c>
      <c r="K2182" s="3" t="s">
        <v>2624</v>
      </c>
      <c r="L2182" s="3"/>
      <c r="M2182" s="7">
        <v>26</v>
      </c>
      <c r="N2182" s="7">
        <v>0</v>
      </c>
    </row>
    <row r="2183" spans="1:14" ht="14.25" x14ac:dyDescent="0.2">
      <c r="A2183" s="3">
        <v>89822</v>
      </c>
      <c r="B2183" s="3" t="s">
        <v>3995</v>
      </c>
      <c r="C2183" s="3" t="s">
        <v>15</v>
      </c>
      <c r="D2183" s="6" t="s">
        <v>4188</v>
      </c>
      <c r="E2183" s="6" t="s">
        <v>4188</v>
      </c>
      <c r="F2183" s="3" t="str">
        <f>IFERROR( VLOOKUP(A2183,#REF!,2,0),"")</f>
        <v/>
      </c>
      <c r="G2183" s="3">
        <f t="array" ref="G2183">_xlfn.XLOOKUP(I2183,Base_Datos!D:D,Base_Datos!B:B,"")</f>
        <v>0</v>
      </c>
      <c r="H2183" s="3" t="str">
        <f t="array" ref="H2183">IF(I2183="","",IFERROR(_xlfn.XLOOKUP(I2183,Base_Datos!$D$2:$D3876,Base_Datos!$C$2:$C3876),""))</f>
        <v/>
      </c>
      <c r="I2183" s="3"/>
      <c r="J2183" s="3" t="str">
        <f>IF(I2183="","",IFERROR(VLOOKUP(I2183,Base_Datos!$D$2:$E$72,2,0),""))</f>
        <v/>
      </c>
      <c r="K2183" s="3"/>
      <c r="L2183" s="3"/>
      <c r="M2183" s="7">
        <v>0</v>
      </c>
      <c r="N2183" s="7">
        <v>0</v>
      </c>
    </row>
    <row r="2184" spans="1:14" ht="14.25" x14ac:dyDescent="0.2">
      <c r="A2184" s="3">
        <v>89823</v>
      </c>
      <c r="B2184" s="3" t="s">
        <v>4189</v>
      </c>
      <c r="C2184" s="3" t="s">
        <v>18</v>
      </c>
      <c r="D2184" s="6" t="s">
        <v>770</v>
      </c>
      <c r="E2184" s="6" t="s">
        <v>770</v>
      </c>
      <c r="F2184" s="3" t="str">
        <f>IFERROR( VLOOKUP(A2184,#REF!,2,0),"")</f>
        <v/>
      </c>
      <c r="G2184" s="3" t="str">
        <f t="array" ref="G2184">_xlfn.XLOOKUP(I2184,Base_Datos!D:D,Base_Datos!B:B,"")</f>
        <v>DFSK</v>
      </c>
      <c r="H2184" s="3" t="str">
        <f t="array" ref="H2184">IF(I2184="","",IFERROR(_xlfn.XLOOKUP(I2184,Base_Datos!$D$2:$D3876,Base_Datos!$C$2:$C3876),""))</f>
        <v>Serie Glory</v>
      </c>
      <c r="I2184" s="3" t="s">
        <v>404</v>
      </c>
      <c r="J2184" s="3" t="str">
        <f>IF(I2184="","",IFERROR(VLOOKUP(I2184,Base_Datos!$D$2:$E$72,2,0),""))</f>
        <v>(1.5L)</v>
      </c>
      <c r="K2184" s="3" t="s">
        <v>2624</v>
      </c>
      <c r="L2184" s="3"/>
      <c r="M2184" s="7">
        <v>57</v>
      </c>
      <c r="N2184" s="7">
        <v>0</v>
      </c>
    </row>
    <row r="2185" spans="1:14" ht="14.25" x14ac:dyDescent="0.2">
      <c r="A2185" s="3">
        <v>89824</v>
      </c>
      <c r="B2185" s="3" t="s">
        <v>4190</v>
      </c>
      <c r="C2185" s="3" t="s">
        <v>18</v>
      </c>
      <c r="D2185" s="6" t="s">
        <v>771</v>
      </c>
      <c r="E2185" s="6" t="s">
        <v>771</v>
      </c>
      <c r="F2185" s="3" t="str">
        <f>IFERROR( VLOOKUP(A2185,#REF!,2,0),"")</f>
        <v/>
      </c>
      <c r="G2185" s="3" t="str">
        <f t="array" ref="G2185">_xlfn.XLOOKUP(I2185,Base_Datos!D:D,Base_Datos!B:B,"")</f>
        <v>DFSK</v>
      </c>
      <c r="H2185" s="3" t="str">
        <f t="array" ref="H2185">IF(I2185="","",IFERROR(_xlfn.XLOOKUP(I2185,Base_Datos!$D$2:$D3876,Base_Datos!$C$2:$C3876),""))</f>
        <v>Serie Glory</v>
      </c>
      <c r="I2185" s="3" t="s">
        <v>404</v>
      </c>
      <c r="J2185" s="3" t="str">
        <f>IF(I2185="","",IFERROR(VLOOKUP(I2185,Base_Datos!$D$2:$E$72,2,0),""))</f>
        <v>(1.5L)</v>
      </c>
      <c r="K2185" s="3" t="s">
        <v>2624</v>
      </c>
      <c r="L2185" s="3"/>
      <c r="M2185" s="7">
        <v>4</v>
      </c>
      <c r="N2185" s="7">
        <v>0</v>
      </c>
    </row>
    <row r="2186" spans="1:14" ht="14.25" x14ac:dyDescent="0.2">
      <c r="A2186" s="3">
        <v>89825</v>
      </c>
      <c r="B2186" s="3" t="s">
        <v>4191</v>
      </c>
      <c r="C2186" s="3" t="s">
        <v>18</v>
      </c>
      <c r="D2186" s="6" t="s">
        <v>772</v>
      </c>
      <c r="E2186" s="6" t="s">
        <v>772</v>
      </c>
      <c r="F2186" s="3" t="str">
        <f>IFERROR( VLOOKUP(A2186,#REF!,2,0),"")</f>
        <v/>
      </c>
      <c r="G2186" s="3" t="str">
        <f t="array" ref="G2186">_xlfn.XLOOKUP(I2186,Base_Datos!D:D,Base_Datos!B:B,"")</f>
        <v>DFSK</v>
      </c>
      <c r="H2186" s="3" t="str">
        <f t="array" ref="H2186">IF(I2186="","",IFERROR(_xlfn.XLOOKUP(I2186,Base_Datos!$D$2:$D3876,Base_Datos!$C$2:$C3876),""))</f>
        <v>Serie K</v>
      </c>
      <c r="I2186" s="3" t="s">
        <v>475</v>
      </c>
      <c r="J2186" s="3" t="str">
        <f>IF(I2186="","",IFERROR(VLOOKUP(I2186,Base_Datos!$D$2:$E$72,2,0),""))</f>
        <v>(1.1L)</v>
      </c>
      <c r="K2186" s="3" t="s">
        <v>2624</v>
      </c>
      <c r="L2186" s="3"/>
      <c r="M2186" s="7">
        <v>33</v>
      </c>
      <c r="N2186" s="7">
        <v>0</v>
      </c>
    </row>
    <row r="2187" spans="1:14" ht="14.25" x14ac:dyDescent="0.2">
      <c r="A2187" s="3">
        <v>89826</v>
      </c>
      <c r="B2187" s="3" t="s">
        <v>4192</v>
      </c>
      <c r="C2187" s="3" t="s">
        <v>18</v>
      </c>
      <c r="D2187" s="6" t="s">
        <v>773</v>
      </c>
      <c r="E2187" s="6" t="s">
        <v>773</v>
      </c>
      <c r="F2187" s="3" t="str">
        <f>IFERROR( VLOOKUP(A2187,#REF!,2,0),"")</f>
        <v/>
      </c>
      <c r="G2187" s="3" t="str">
        <f t="array" ref="G2187">_xlfn.XLOOKUP(I2187,Base_Datos!D:D,Base_Datos!B:B,"")</f>
        <v>DFSK</v>
      </c>
      <c r="H2187" s="3" t="str">
        <f t="array" ref="H2187">IF(I2187="","",IFERROR(_xlfn.XLOOKUP(I2187,Base_Datos!$D$2:$D3876,Base_Datos!$C$2:$C3876),""))</f>
        <v>Serie Glory</v>
      </c>
      <c r="I2187" s="3" t="s">
        <v>404</v>
      </c>
      <c r="J2187" s="3" t="str">
        <f>IF(I2187="","",IFERROR(VLOOKUP(I2187,Base_Datos!$D$2:$E$72,2,0),""))</f>
        <v>(1.5L)</v>
      </c>
      <c r="K2187" s="3" t="s">
        <v>2624</v>
      </c>
      <c r="L2187" s="3"/>
      <c r="M2187" s="7">
        <v>19</v>
      </c>
      <c r="N2187" s="7">
        <v>0</v>
      </c>
    </row>
    <row r="2188" spans="1:14" ht="14.25" x14ac:dyDescent="0.2">
      <c r="A2188" s="3">
        <v>89827</v>
      </c>
      <c r="B2188" s="3" t="s">
        <v>4193</v>
      </c>
      <c r="C2188" s="3" t="s">
        <v>23</v>
      </c>
      <c r="D2188" s="6" t="s">
        <v>774</v>
      </c>
      <c r="E2188" s="6" t="s">
        <v>774</v>
      </c>
      <c r="F2188" s="3" t="str">
        <f>IFERROR( VLOOKUP(A2188,#REF!,2,0),"")</f>
        <v/>
      </c>
      <c r="G2188" s="3" t="str">
        <f t="array" ref="G2188">_xlfn.XLOOKUP(I2188,Base_Datos!D:D,Base_Datos!B:B,"")</f>
        <v>DFSK</v>
      </c>
      <c r="H2188" s="3" t="str">
        <f t="array" ref="H2188">IF(I2188="","",IFERROR(_xlfn.XLOOKUP(I2188,Base_Datos!$D$2:$D3876,Base_Datos!$C$2:$C3876),""))</f>
        <v>Serie K</v>
      </c>
      <c r="I2188" s="3" t="s">
        <v>475</v>
      </c>
      <c r="J2188" s="3" t="str">
        <f>IF(I2188="","",IFERROR(VLOOKUP(I2188,Base_Datos!$D$2:$E$72,2,0),""))</f>
        <v>(1.1L)</v>
      </c>
      <c r="K2188" s="3" t="s">
        <v>2624</v>
      </c>
      <c r="L2188" s="3"/>
      <c r="M2188" s="7">
        <v>7</v>
      </c>
      <c r="N2188" s="7">
        <v>0</v>
      </c>
    </row>
    <row r="2189" spans="1:14" ht="14.25" x14ac:dyDescent="0.2">
      <c r="A2189" s="3">
        <v>89828</v>
      </c>
      <c r="B2189" s="3" t="s">
        <v>4194</v>
      </c>
      <c r="C2189" s="3" t="s">
        <v>18</v>
      </c>
      <c r="D2189" s="6" t="s">
        <v>775</v>
      </c>
      <c r="E2189" s="6" t="s">
        <v>775</v>
      </c>
      <c r="F2189" s="3" t="str">
        <f>IFERROR( VLOOKUP(A2189,#REF!,2,0),"")</f>
        <v/>
      </c>
      <c r="G2189" s="3" t="str">
        <f t="array" ref="G2189">_xlfn.XLOOKUP(I2189,Base_Datos!D:D,Base_Datos!B:B,"")</f>
        <v>DFSK</v>
      </c>
      <c r="H2189" s="3" t="str">
        <f t="array" ref="H2189">IF(I2189="","",IFERROR(_xlfn.XLOOKUP(I2189,Base_Datos!$D$2:$D3876,Base_Datos!$C$2:$C3876),""))</f>
        <v>Serie Glory</v>
      </c>
      <c r="I2189" s="3" t="s">
        <v>404</v>
      </c>
      <c r="J2189" s="3" t="str">
        <f>IF(I2189="","",IFERROR(VLOOKUP(I2189,Base_Datos!$D$2:$E$72,2,0),""))</f>
        <v>(1.5L)</v>
      </c>
      <c r="K2189" s="3" t="s">
        <v>2624</v>
      </c>
      <c r="L2189" s="3"/>
      <c r="M2189" s="7">
        <v>29</v>
      </c>
      <c r="N2189" s="7">
        <v>0</v>
      </c>
    </row>
    <row r="2190" spans="1:14" ht="14.25" x14ac:dyDescent="0.2">
      <c r="A2190" s="3">
        <v>89829</v>
      </c>
      <c r="B2190" s="3" t="s">
        <v>4195</v>
      </c>
      <c r="C2190" s="3" t="s">
        <v>18</v>
      </c>
      <c r="D2190" s="6" t="s">
        <v>2461</v>
      </c>
      <c r="E2190" s="6" t="s">
        <v>2461</v>
      </c>
      <c r="F2190" s="3" t="str">
        <f>IFERROR( VLOOKUP(A2190,#REF!,2,0),"")</f>
        <v/>
      </c>
      <c r="G2190" s="3" t="str">
        <f t="array" ref="G2190">_xlfn.XLOOKUP(I2190,Base_Datos!D:D,Base_Datos!B:B,"")</f>
        <v>DFSK</v>
      </c>
      <c r="H2190" s="3" t="str">
        <f t="array" ref="H2190">IF(I2190="","",IFERROR(_xlfn.XLOOKUP(I2190,Base_Datos!$D$2:$D3876,Base_Datos!$C$2:$C3876),""))</f>
        <v>Serie K</v>
      </c>
      <c r="I2190" s="3" t="s">
        <v>475</v>
      </c>
      <c r="J2190" s="3" t="str">
        <f>IF(I2190="","",IFERROR(VLOOKUP(I2190,Base_Datos!$D$2:$E$72,2,0),""))</f>
        <v>(1.1L)</v>
      </c>
      <c r="K2190" s="3" t="s">
        <v>2624</v>
      </c>
      <c r="L2190" s="3"/>
      <c r="M2190" s="7">
        <v>28</v>
      </c>
      <c r="N2190" s="7">
        <v>0</v>
      </c>
    </row>
    <row r="2191" spans="1:14" ht="14.25" x14ac:dyDescent="0.2">
      <c r="A2191" s="3">
        <v>89830</v>
      </c>
      <c r="B2191" s="3" t="s">
        <v>4196</v>
      </c>
      <c r="C2191" s="3" t="s">
        <v>18</v>
      </c>
      <c r="D2191" s="6" t="s">
        <v>776</v>
      </c>
      <c r="E2191" s="6" t="s">
        <v>776</v>
      </c>
      <c r="F2191" s="3" t="str">
        <f>IFERROR( VLOOKUP(A2191,#REF!,2,0),"")</f>
        <v/>
      </c>
      <c r="G2191" s="3" t="str">
        <f t="array" ref="G2191">_xlfn.XLOOKUP(I2191,Base_Datos!D:D,Base_Datos!B:B,"")</f>
        <v>DFSK</v>
      </c>
      <c r="H2191" s="3" t="str">
        <f t="array" ref="H2191">IF(I2191="","",IFERROR(_xlfn.XLOOKUP(I2191,Base_Datos!$D$2:$D3876,Base_Datos!$C$2:$C3876),""))</f>
        <v>Serie Glory</v>
      </c>
      <c r="I2191" s="3" t="s">
        <v>404</v>
      </c>
      <c r="J2191" s="3" t="str">
        <f>IF(I2191="","",IFERROR(VLOOKUP(I2191,Base_Datos!$D$2:$E$72,2,0),""))</f>
        <v>(1.5L)</v>
      </c>
      <c r="K2191" s="3" t="s">
        <v>2624</v>
      </c>
      <c r="L2191" s="3"/>
      <c r="M2191" s="7">
        <v>10</v>
      </c>
      <c r="N2191" s="7">
        <v>0</v>
      </c>
    </row>
    <row r="2192" spans="1:14" ht="14.25" x14ac:dyDescent="0.2">
      <c r="A2192" s="3">
        <v>89831</v>
      </c>
      <c r="B2192" s="3" t="s">
        <v>4197</v>
      </c>
      <c r="C2192" s="3" t="s">
        <v>23</v>
      </c>
      <c r="D2192" s="6" t="s">
        <v>777</v>
      </c>
      <c r="E2192" s="6" t="s">
        <v>777</v>
      </c>
      <c r="F2192" s="3" t="str">
        <f>IFERROR( VLOOKUP(A2192,#REF!,2,0),"")</f>
        <v/>
      </c>
      <c r="G2192" s="3" t="str">
        <f t="array" ref="G2192">_xlfn.XLOOKUP(I2192,Base_Datos!D:D,Base_Datos!B:B,"")</f>
        <v>DFSK</v>
      </c>
      <c r="H2192" s="3" t="str">
        <f t="array" ref="H2192">IF(I2192="","",IFERROR(_xlfn.XLOOKUP(I2192,Base_Datos!$D$2:$D3876,Base_Datos!$C$2:$C3876),""))</f>
        <v>Serie K</v>
      </c>
      <c r="I2192" s="3" t="s">
        <v>475</v>
      </c>
      <c r="J2192" s="3" t="str">
        <f>IF(I2192="","",IFERROR(VLOOKUP(I2192,Base_Datos!$D$2:$E$72,2,0),""))</f>
        <v>(1.1L)</v>
      </c>
      <c r="K2192" s="3" t="s">
        <v>2624</v>
      </c>
      <c r="L2192" s="3"/>
      <c r="M2192" s="7">
        <v>25</v>
      </c>
      <c r="N2192" s="7">
        <v>0</v>
      </c>
    </row>
    <row r="2193" spans="1:14" ht="14.25" x14ac:dyDescent="0.2">
      <c r="A2193" s="3">
        <v>89832</v>
      </c>
      <c r="B2193" s="3" t="s">
        <v>4198</v>
      </c>
      <c r="C2193" s="3" t="s">
        <v>18</v>
      </c>
      <c r="D2193" s="6" t="s">
        <v>778</v>
      </c>
      <c r="E2193" s="6" t="s">
        <v>778</v>
      </c>
      <c r="F2193" s="3" t="str">
        <f>IFERROR( VLOOKUP(A2193,#REF!,2,0),"")</f>
        <v/>
      </c>
      <c r="G2193" s="3" t="str">
        <f t="array" ref="G2193">_xlfn.XLOOKUP(I2193,Base_Datos!D:D,Base_Datos!B:B,"")</f>
        <v>DFSK</v>
      </c>
      <c r="H2193" s="3" t="str">
        <f t="array" ref="H2193">IF(I2193="","",IFERROR(_xlfn.XLOOKUP(I2193,Base_Datos!$D$2:$D3876,Base_Datos!$C$2:$C3876),""))</f>
        <v>Serie K</v>
      </c>
      <c r="I2193" s="3" t="s">
        <v>475</v>
      </c>
      <c r="J2193" s="3" t="str">
        <f>IF(I2193="","",IFERROR(VLOOKUP(I2193,Base_Datos!$D$2:$E$72,2,0),""))</f>
        <v>(1.1L)</v>
      </c>
      <c r="K2193" s="3" t="s">
        <v>2624</v>
      </c>
      <c r="L2193" s="3"/>
      <c r="M2193" s="7">
        <v>150</v>
      </c>
      <c r="N2193" s="7">
        <v>0</v>
      </c>
    </row>
    <row r="2194" spans="1:14" ht="14.25" x14ac:dyDescent="0.2">
      <c r="A2194" s="3">
        <v>89833</v>
      </c>
      <c r="B2194" s="3" t="s">
        <v>4199</v>
      </c>
      <c r="C2194" s="3" t="s">
        <v>18</v>
      </c>
      <c r="D2194" s="6" t="s">
        <v>779</v>
      </c>
      <c r="E2194" s="6" t="s">
        <v>779</v>
      </c>
      <c r="F2194" s="3" t="str">
        <f>IFERROR( VLOOKUP(A2194,#REF!,2,0),"")</f>
        <v/>
      </c>
      <c r="G2194" s="3" t="str">
        <f t="array" ref="G2194">_xlfn.XLOOKUP(I2194,Base_Datos!D:D,Base_Datos!B:B,"")</f>
        <v>DFSK</v>
      </c>
      <c r="H2194" s="3" t="str">
        <f t="array" ref="H2194">IF(I2194="","",IFERROR(_xlfn.XLOOKUP(I2194,Base_Datos!$D$2:$D3876,Base_Datos!$C$2:$C3876),""))</f>
        <v>Serie Glory</v>
      </c>
      <c r="I2194" s="3" t="s">
        <v>404</v>
      </c>
      <c r="J2194" s="3" t="str">
        <f>IF(I2194="","",IFERROR(VLOOKUP(I2194,Base_Datos!$D$2:$E$72,2,0),""))</f>
        <v>(1.5L)</v>
      </c>
      <c r="K2194" s="3" t="s">
        <v>2624</v>
      </c>
      <c r="L2194" s="3"/>
      <c r="M2194" s="7">
        <v>5</v>
      </c>
      <c r="N2194" s="7">
        <v>0</v>
      </c>
    </row>
    <row r="2195" spans="1:14" ht="14.25" x14ac:dyDescent="0.2">
      <c r="A2195" s="3">
        <v>89834</v>
      </c>
      <c r="B2195" s="3" t="s">
        <v>2912</v>
      </c>
      <c r="C2195" s="3" t="s">
        <v>18</v>
      </c>
      <c r="D2195" s="6" t="s">
        <v>780</v>
      </c>
      <c r="E2195" s="6" t="s">
        <v>780</v>
      </c>
      <c r="F2195" s="3" t="str">
        <f>IFERROR( VLOOKUP(A2195,#REF!,2,0),"")</f>
        <v/>
      </c>
      <c r="G2195" s="3" t="str">
        <f t="array" ref="G2195">_xlfn.XLOOKUP(I2195,Base_Datos!D:D,Base_Datos!B:B,"")</f>
        <v>DFSK</v>
      </c>
      <c r="H2195" s="3" t="str">
        <f t="array" ref="H2195">IF(I2195="","",IFERROR(_xlfn.XLOOKUP(I2195,Base_Datos!$D$2:$D3876,Base_Datos!$C$2:$C3876),""))</f>
        <v>Serie Glory</v>
      </c>
      <c r="I2195" s="3" t="s">
        <v>404</v>
      </c>
      <c r="J2195" s="3" t="str">
        <f>IF(I2195="","",IFERROR(VLOOKUP(I2195,Base_Datos!$D$2:$E$72,2,0),""))</f>
        <v>(1.5L)</v>
      </c>
      <c r="K2195" s="3" t="s">
        <v>2624</v>
      </c>
      <c r="L2195" s="3"/>
      <c r="M2195" s="7">
        <v>21</v>
      </c>
      <c r="N2195" s="7">
        <v>0</v>
      </c>
    </row>
    <row r="2196" spans="1:14" ht="14.25" x14ac:dyDescent="0.2">
      <c r="A2196" s="3">
        <v>89835</v>
      </c>
      <c r="B2196" s="3" t="s">
        <v>2914</v>
      </c>
      <c r="C2196" s="3" t="s">
        <v>18</v>
      </c>
      <c r="D2196" s="6" t="s">
        <v>781</v>
      </c>
      <c r="E2196" s="6" t="s">
        <v>781</v>
      </c>
      <c r="F2196" s="3" t="str">
        <f>IFERROR( VLOOKUP(A2196,#REF!,2,0),"")</f>
        <v/>
      </c>
      <c r="G2196" s="3" t="str">
        <f t="array" ref="G2196">_xlfn.XLOOKUP(I2196,Base_Datos!D:D,Base_Datos!B:B,"")</f>
        <v>DFSK</v>
      </c>
      <c r="H2196" s="3" t="str">
        <f t="array" ref="H2196">IF(I2196="","",IFERROR(_xlfn.XLOOKUP(I2196,Base_Datos!$D$2:$D3876,Base_Datos!$C$2:$C3876),""))</f>
        <v>Serie Glory</v>
      </c>
      <c r="I2196" s="3" t="s">
        <v>404</v>
      </c>
      <c r="J2196" s="3" t="str">
        <f>IF(I2196="","",IFERROR(VLOOKUP(I2196,Base_Datos!$D$2:$E$72,2,0),""))</f>
        <v>(1.5L)</v>
      </c>
      <c r="K2196" s="3" t="s">
        <v>2624</v>
      </c>
      <c r="L2196" s="3"/>
      <c r="M2196" s="7">
        <v>21</v>
      </c>
      <c r="N2196" s="7">
        <v>0</v>
      </c>
    </row>
    <row r="2197" spans="1:14" ht="14.25" x14ac:dyDescent="0.2">
      <c r="A2197" s="3">
        <v>89836</v>
      </c>
      <c r="B2197" s="3" t="s">
        <v>4200</v>
      </c>
      <c r="C2197" s="3" t="s">
        <v>18</v>
      </c>
      <c r="D2197" s="6" t="s">
        <v>782</v>
      </c>
      <c r="E2197" s="6" t="s">
        <v>782</v>
      </c>
      <c r="F2197" s="3" t="str">
        <f>IFERROR( VLOOKUP(A2197,#REF!,2,0),"")</f>
        <v/>
      </c>
      <c r="G2197" s="3" t="str">
        <f t="array" ref="G2197">_xlfn.XLOOKUP(I2197,Base_Datos!D:D,Base_Datos!B:B,"")</f>
        <v>DFSK</v>
      </c>
      <c r="H2197" s="3" t="str">
        <f t="array" ref="H2197">IF(I2197="","",IFERROR(_xlfn.XLOOKUP(I2197,Base_Datos!$D$2:$D3876,Base_Datos!$C$2:$C3876),""))</f>
        <v>Serie Glory</v>
      </c>
      <c r="I2197" s="3" t="s">
        <v>404</v>
      </c>
      <c r="J2197" s="3" t="str">
        <f>IF(I2197="","",IFERROR(VLOOKUP(I2197,Base_Datos!$D$2:$E$72,2,0),""))</f>
        <v>(1.5L)</v>
      </c>
      <c r="K2197" s="3" t="s">
        <v>2624</v>
      </c>
      <c r="L2197" s="3"/>
      <c r="M2197" s="7">
        <v>24</v>
      </c>
      <c r="N2197" s="7">
        <v>0</v>
      </c>
    </row>
    <row r="2198" spans="1:14" ht="14.25" x14ac:dyDescent="0.2">
      <c r="A2198" s="3">
        <v>89837</v>
      </c>
      <c r="B2198" s="3" t="s">
        <v>4201</v>
      </c>
      <c r="C2198" s="3" t="s">
        <v>18</v>
      </c>
      <c r="D2198" s="6" t="s">
        <v>4202</v>
      </c>
      <c r="E2198" s="6" t="s">
        <v>4202</v>
      </c>
      <c r="F2198" s="3" t="str">
        <f>IFERROR( VLOOKUP(A2198,#REF!,2,0),"")</f>
        <v/>
      </c>
      <c r="G2198" s="3" t="str">
        <f t="array" ref="G2198">_xlfn.XLOOKUP(I2198,Base_Datos!D:D,Base_Datos!B:B,"")</f>
        <v>DFSK</v>
      </c>
      <c r="H2198" s="3" t="str">
        <f t="array" ref="H2198">IF(I2198="","",IFERROR(_xlfn.XLOOKUP(I2198,Base_Datos!$D$2:$D3876,Base_Datos!$C$2:$C3876),""))</f>
        <v>Serie Glory</v>
      </c>
      <c r="I2198" s="3" t="s">
        <v>1765</v>
      </c>
      <c r="J2198" s="3" t="str">
        <f>IF(I2198="","",IFERROR(VLOOKUP(I2198,Base_Datos!$D$2:$E$72,2,0),""))</f>
        <v>(1.5L)</v>
      </c>
      <c r="K2198" s="3" t="s">
        <v>3797</v>
      </c>
      <c r="L2198" s="3"/>
      <c r="M2198" s="7">
        <v>6</v>
      </c>
      <c r="N2198" s="7">
        <v>0</v>
      </c>
    </row>
    <row r="2199" spans="1:14" ht="14.25" x14ac:dyDescent="0.2">
      <c r="A2199" s="3">
        <v>89838</v>
      </c>
      <c r="B2199" s="3" t="s">
        <v>4203</v>
      </c>
      <c r="C2199" s="3" t="s">
        <v>23</v>
      </c>
      <c r="D2199" s="6" t="s">
        <v>4204</v>
      </c>
      <c r="E2199" s="6" t="s">
        <v>4204</v>
      </c>
      <c r="F2199" s="3" t="str">
        <f>IFERROR( VLOOKUP(A2199,#REF!,2,0),"")</f>
        <v/>
      </c>
      <c r="G2199" s="3" t="str">
        <f t="array" ref="G2199">_xlfn.XLOOKUP(I2199,Base_Datos!D:D,Base_Datos!B:B,"")</f>
        <v>DFSK</v>
      </c>
      <c r="H2199" s="3" t="str">
        <f t="array" ref="H2199">IF(I2199="","",IFERROR(_xlfn.XLOOKUP(I2199,Base_Datos!$D$2:$D3876,Base_Datos!$C$2:$C3876),""))</f>
        <v>Serie Glory</v>
      </c>
      <c r="I2199" s="3" t="s">
        <v>404</v>
      </c>
      <c r="J2199" s="3" t="str">
        <f>IF(I2199="","",IFERROR(VLOOKUP(I2199,Base_Datos!$D$2:$E$72,2,0),""))</f>
        <v>(1.5L)</v>
      </c>
      <c r="K2199" s="3" t="s">
        <v>2624</v>
      </c>
      <c r="L2199" s="3"/>
      <c r="M2199" s="7">
        <v>15</v>
      </c>
      <c r="N2199" s="7">
        <v>0</v>
      </c>
    </row>
    <row r="2200" spans="1:14" ht="14.25" x14ac:dyDescent="0.2">
      <c r="A2200" s="3">
        <v>89839</v>
      </c>
      <c r="B2200" s="3" t="s">
        <v>4030</v>
      </c>
      <c r="C2200" s="3" t="s">
        <v>18</v>
      </c>
      <c r="D2200" s="6" t="s">
        <v>783</v>
      </c>
      <c r="E2200" s="6" t="s">
        <v>783</v>
      </c>
      <c r="F2200" s="3" t="str">
        <f>IFERROR( VLOOKUP(A2200,#REF!,2,0),"")</f>
        <v/>
      </c>
      <c r="G2200" s="3" t="str">
        <f t="array" ref="G2200">_xlfn.XLOOKUP(I2200,Base_Datos!D:D,Base_Datos!B:B,"")</f>
        <v>DFSK</v>
      </c>
      <c r="H2200" s="3" t="str">
        <f t="array" ref="H2200">IF(I2200="","",IFERROR(_xlfn.XLOOKUP(I2200,Base_Datos!$D$2:$D3876,Base_Datos!$C$2:$C3876),""))</f>
        <v>Serie K</v>
      </c>
      <c r="I2200" s="3" t="s">
        <v>475</v>
      </c>
      <c r="J2200" s="3" t="str">
        <f>IF(I2200="","",IFERROR(VLOOKUP(I2200,Base_Datos!$D$2:$E$72,2,0),""))</f>
        <v>(1.1L)</v>
      </c>
      <c r="K2200" s="3" t="s">
        <v>2624</v>
      </c>
      <c r="L2200" s="3"/>
      <c r="M2200" s="7">
        <v>6</v>
      </c>
      <c r="N2200" s="7">
        <v>0</v>
      </c>
    </row>
    <row r="2201" spans="1:14" ht="14.25" x14ac:dyDescent="0.2">
      <c r="A2201" s="3">
        <v>89840</v>
      </c>
      <c r="B2201" s="3" t="s">
        <v>4205</v>
      </c>
      <c r="C2201" s="3" t="s">
        <v>18</v>
      </c>
      <c r="D2201" s="6" t="s">
        <v>784</v>
      </c>
      <c r="E2201" s="6" t="s">
        <v>784</v>
      </c>
      <c r="F2201" s="3" t="str">
        <f>IFERROR( VLOOKUP(A2201,#REF!,2,0),"")</f>
        <v/>
      </c>
      <c r="G2201" s="3" t="str">
        <f t="array" ref="G2201">_xlfn.XLOOKUP(I2201,Base_Datos!D:D,Base_Datos!B:B,"")</f>
        <v>DFSK</v>
      </c>
      <c r="H2201" s="3" t="str">
        <f t="array" ref="H2201">IF(I2201="","",IFERROR(_xlfn.XLOOKUP(I2201,Base_Datos!$D$2:$D3876,Base_Datos!$C$2:$C3876),""))</f>
        <v>Serie Glory</v>
      </c>
      <c r="I2201" s="3" t="s">
        <v>404</v>
      </c>
      <c r="J2201" s="3" t="str">
        <f>IF(I2201="","",IFERROR(VLOOKUP(I2201,Base_Datos!$D$2:$E$72,2,0),""))</f>
        <v>(1.5L)</v>
      </c>
      <c r="K2201" s="3" t="s">
        <v>2624</v>
      </c>
      <c r="L2201" s="3"/>
      <c r="M2201" s="7">
        <v>30</v>
      </c>
      <c r="N2201" s="7">
        <v>0</v>
      </c>
    </row>
    <row r="2202" spans="1:14" ht="14.25" x14ac:dyDescent="0.2">
      <c r="A2202" s="3">
        <v>89841</v>
      </c>
      <c r="B2202" s="3" t="s">
        <v>4206</v>
      </c>
      <c r="C2202" s="3" t="s">
        <v>18</v>
      </c>
      <c r="D2202" s="6" t="s">
        <v>785</v>
      </c>
      <c r="E2202" s="6" t="s">
        <v>785</v>
      </c>
      <c r="F2202" s="3" t="str">
        <f>IFERROR( VLOOKUP(A2202,#REF!,2,0),"")</f>
        <v/>
      </c>
      <c r="G2202" s="3" t="str">
        <f t="array" ref="G2202">_xlfn.XLOOKUP(I2202,Base_Datos!D:D,Base_Datos!B:B,"")</f>
        <v>DFSK</v>
      </c>
      <c r="H2202" s="3" t="str">
        <f t="array" ref="H2202">IF(I2202="","",IFERROR(_xlfn.XLOOKUP(I2202,Base_Datos!$D$2:$D3876,Base_Datos!$C$2:$C3876),""))</f>
        <v>Serie K</v>
      </c>
      <c r="I2202" s="3" t="s">
        <v>475</v>
      </c>
      <c r="J2202" s="3" t="str">
        <f>IF(I2202="","",IFERROR(VLOOKUP(I2202,Base_Datos!$D$2:$E$72,2,0),""))</f>
        <v>(1.1L)</v>
      </c>
      <c r="K2202" s="3" t="s">
        <v>2624</v>
      </c>
      <c r="L2202" s="3"/>
      <c r="M2202" s="7">
        <v>5</v>
      </c>
      <c r="N2202" s="7">
        <v>0</v>
      </c>
    </row>
    <row r="2203" spans="1:14" ht="14.25" x14ac:dyDescent="0.2">
      <c r="A2203" s="3">
        <v>89842</v>
      </c>
      <c r="B2203" s="3" t="s">
        <v>4003</v>
      </c>
      <c r="C2203" s="3" t="s">
        <v>18</v>
      </c>
      <c r="D2203" s="6" t="s">
        <v>786</v>
      </c>
      <c r="E2203" s="6" t="s">
        <v>786</v>
      </c>
      <c r="F2203" s="3" t="str">
        <f>IFERROR( VLOOKUP(A2203,#REF!,2,0),"")</f>
        <v/>
      </c>
      <c r="G2203" s="3" t="str">
        <f t="array" ref="G2203">_xlfn.XLOOKUP(I2203,Base_Datos!D:D,Base_Datos!B:B,"")</f>
        <v>DFSK</v>
      </c>
      <c r="H2203" s="3" t="str">
        <f t="array" ref="H2203">IF(I2203="","",IFERROR(_xlfn.XLOOKUP(I2203,Base_Datos!$D$2:$D3876,Base_Datos!$C$2:$C3876),""))</f>
        <v>Serie Glory</v>
      </c>
      <c r="I2203" s="3" t="s">
        <v>404</v>
      </c>
      <c r="J2203" s="3" t="str">
        <f>IF(I2203="","",IFERROR(VLOOKUP(I2203,Base_Datos!$D$2:$E$72,2,0),""))</f>
        <v>(1.5L)</v>
      </c>
      <c r="K2203" s="3" t="s">
        <v>2624</v>
      </c>
      <c r="L2203" s="3"/>
      <c r="M2203" s="7">
        <v>10</v>
      </c>
      <c r="N2203" s="7">
        <v>0</v>
      </c>
    </row>
    <row r="2204" spans="1:14" ht="14.25" x14ac:dyDescent="0.2">
      <c r="A2204" s="3">
        <v>89843</v>
      </c>
      <c r="B2204" s="3" t="s">
        <v>3795</v>
      </c>
      <c r="C2204" s="3" t="s">
        <v>18</v>
      </c>
      <c r="D2204" s="6" t="s">
        <v>787</v>
      </c>
      <c r="E2204" s="6" t="s">
        <v>787</v>
      </c>
      <c r="F2204" s="3" t="str">
        <f>IFERROR( VLOOKUP(A2204,#REF!,2,0),"")</f>
        <v/>
      </c>
      <c r="G2204" s="3" t="str">
        <f t="array" ref="G2204">_xlfn.XLOOKUP(I2204,Base_Datos!D:D,Base_Datos!B:B,"")</f>
        <v>DFSK</v>
      </c>
      <c r="H2204" s="3" t="str">
        <f t="array" ref="H2204">IF(I2204="","",IFERROR(_xlfn.XLOOKUP(I2204,Base_Datos!$D$2:$D3876,Base_Datos!$C$2:$C3876),""))</f>
        <v>Serie K</v>
      </c>
      <c r="I2204" s="3" t="s">
        <v>475</v>
      </c>
      <c r="J2204" s="3" t="str">
        <f>IF(I2204="","",IFERROR(VLOOKUP(I2204,Base_Datos!$D$2:$E$72,2,0),""))</f>
        <v>(1.1L)</v>
      </c>
      <c r="K2204" s="3" t="s">
        <v>2624</v>
      </c>
      <c r="L2204" s="3"/>
      <c r="M2204" s="7">
        <v>6</v>
      </c>
      <c r="N2204" s="7">
        <v>0</v>
      </c>
    </row>
    <row r="2205" spans="1:14" ht="14.25" x14ac:dyDescent="0.2">
      <c r="A2205" s="3">
        <v>89844</v>
      </c>
      <c r="B2205" s="3" t="s">
        <v>3701</v>
      </c>
      <c r="C2205" s="3" t="s">
        <v>18</v>
      </c>
      <c r="D2205" s="6" t="s">
        <v>788</v>
      </c>
      <c r="E2205" s="6" t="s">
        <v>788</v>
      </c>
      <c r="F2205" s="3" t="str">
        <f>IFERROR( VLOOKUP(A2205,#REF!,2,0),"")</f>
        <v/>
      </c>
      <c r="G2205" s="3" t="str">
        <f t="array" ref="G2205">_xlfn.XLOOKUP(I2205,Base_Datos!D:D,Base_Datos!B:B,"")</f>
        <v>DFSK</v>
      </c>
      <c r="H2205" s="3" t="str">
        <f t="array" ref="H2205">IF(I2205="","",IFERROR(_xlfn.XLOOKUP(I2205,Base_Datos!$D$2:$D3876,Base_Datos!$C$2:$C3876),""))</f>
        <v>Serie Glory</v>
      </c>
      <c r="I2205" s="3" t="s">
        <v>404</v>
      </c>
      <c r="J2205" s="3" t="str">
        <f>IF(I2205="","",IFERROR(VLOOKUP(I2205,Base_Datos!$D$2:$E$72,2,0),""))</f>
        <v>(1.5L)</v>
      </c>
      <c r="K2205" s="3" t="s">
        <v>2624</v>
      </c>
      <c r="L2205" s="3"/>
      <c r="M2205" s="7">
        <v>4</v>
      </c>
      <c r="N2205" s="7">
        <v>0</v>
      </c>
    </row>
    <row r="2206" spans="1:14" ht="14.25" x14ac:dyDescent="0.2">
      <c r="A2206" s="3">
        <v>89845</v>
      </c>
      <c r="B2206" s="3" t="s">
        <v>4207</v>
      </c>
      <c r="C2206" s="3" t="s">
        <v>18</v>
      </c>
      <c r="D2206" s="6" t="s">
        <v>789</v>
      </c>
      <c r="E2206" s="6" t="s">
        <v>4208</v>
      </c>
      <c r="F2206" s="3" t="str">
        <f>IFERROR( VLOOKUP(A2206,#REF!,2,0),"")</f>
        <v/>
      </c>
      <c r="G2206" s="3" t="str">
        <f t="array" ref="G2206">_xlfn.XLOOKUP(I2206,Base_Datos!D:D,Base_Datos!B:B,"")</f>
        <v>DFSK</v>
      </c>
      <c r="H2206" s="3" t="str">
        <f t="array" ref="H2206">IF(I2206="","",IFERROR(_xlfn.XLOOKUP(I2206,Base_Datos!$D$2:$D3876,Base_Datos!$C$2:$C3876),""))</f>
        <v>Serie K</v>
      </c>
      <c r="I2206" s="3" t="s">
        <v>475</v>
      </c>
      <c r="J2206" s="3" t="str">
        <f>IF(I2206="","",IFERROR(VLOOKUP(I2206,Base_Datos!$D$2:$E$72,2,0),""))</f>
        <v>(1.1L)</v>
      </c>
      <c r="K2206" s="3" t="s">
        <v>2624</v>
      </c>
      <c r="L2206" s="3"/>
      <c r="M2206" s="7">
        <v>5</v>
      </c>
      <c r="N2206" s="7">
        <v>0</v>
      </c>
    </row>
    <row r="2207" spans="1:14" ht="14.25" x14ac:dyDescent="0.2">
      <c r="A2207" s="3">
        <v>89846</v>
      </c>
      <c r="B2207" s="3" t="s">
        <v>4209</v>
      </c>
      <c r="C2207" s="3" t="s">
        <v>23</v>
      </c>
      <c r="D2207" s="6" t="s">
        <v>4210</v>
      </c>
      <c r="E2207" s="6" t="s">
        <v>4210</v>
      </c>
      <c r="F2207" s="3" t="str">
        <f>IFERROR( VLOOKUP(A2207,#REF!,2,0),"")</f>
        <v/>
      </c>
      <c r="G2207" s="3" t="str">
        <f t="array" ref="G2207">_xlfn.XLOOKUP(I2207,Base_Datos!D:D,Base_Datos!B:B,"")</f>
        <v>DFSK</v>
      </c>
      <c r="H2207" s="3" t="str">
        <f t="array" ref="H2207">IF(I2207="","",IFERROR(_xlfn.XLOOKUP(I2207,Base_Datos!$D$2:$D3876,Base_Datos!$C$2:$C3876),""))</f>
        <v>Serie Glory</v>
      </c>
      <c r="I2207" s="3" t="s">
        <v>404</v>
      </c>
      <c r="J2207" s="3" t="str">
        <f>IF(I2207="","",IFERROR(VLOOKUP(I2207,Base_Datos!$D$2:$E$72,2,0),""))</f>
        <v>(1.5L)</v>
      </c>
      <c r="K2207" s="3" t="s">
        <v>2624</v>
      </c>
      <c r="L2207" s="3"/>
      <c r="M2207" s="7">
        <v>0</v>
      </c>
      <c r="N2207" s="7">
        <v>0</v>
      </c>
    </row>
    <row r="2208" spans="1:14" ht="14.25" x14ac:dyDescent="0.2">
      <c r="A2208" s="3">
        <v>89847</v>
      </c>
      <c r="B2208" s="3" t="s">
        <v>3502</v>
      </c>
      <c r="C2208" s="3" t="s">
        <v>18</v>
      </c>
      <c r="D2208" s="6" t="s">
        <v>4211</v>
      </c>
      <c r="E2208" s="6" t="s">
        <v>4211</v>
      </c>
      <c r="F2208" s="3" t="str">
        <f>IFERROR( VLOOKUP(A2208,#REF!,2,0),"")</f>
        <v/>
      </c>
      <c r="G2208" s="3" t="str">
        <f t="array" ref="G2208">_xlfn.XLOOKUP(I2208,Base_Datos!D:D,Base_Datos!B:B,"")</f>
        <v>DFSK</v>
      </c>
      <c r="H2208" s="3" t="str">
        <f t="array" ref="H2208">IF(I2208="","",IFERROR(_xlfn.XLOOKUP(I2208,Base_Datos!$D$2:$D3876,Base_Datos!$C$2:$C3876),""))</f>
        <v>Serie Glory</v>
      </c>
      <c r="I2208" s="3" t="s">
        <v>404</v>
      </c>
      <c r="J2208" s="3" t="str">
        <f>IF(I2208="","",IFERROR(VLOOKUP(I2208,Base_Datos!$D$2:$E$72,2,0),""))</f>
        <v>(1.5L)</v>
      </c>
      <c r="K2208" s="3" t="s">
        <v>2624</v>
      </c>
      <c r="L2208" s="3"/>
      <c r="M2208" s="7">
        <v>58</v>
      </c>
      <c r="N2208" s="7">
        <v>0</v>
      </c>
    </row>
    <row r="2209" spans="1:14" ht="14.25" x14ac:dyDescent="0.2">
      <c r="A2209" s="3">
        <v>89848</v>
      </c>
      <c r="B2209" s="3" t="s">
        <v>4212</v>
      </c>
      <c r="C2209" s="3" t="s">
        <v>18</v>
      </c>
      <c r="D2209" s="6" t="s">
        <v>4213</v>
      </c>
      <c r="E2209" s="6" t="s">
        <v>4213</v>
      </c>
      <c r="F2209" s="3" t="str">
        <f>IFERROR( VLOOKUP(A2209,#REF!,2,0),"")</f>
        <v/>
      </c>
      <c r="G2209" s="3" t="str">
        <f t="array" ref="G2209">_xlfn.XLOOKUP(I2209,Base_Datos!D:D,Base_Datos!B:B,"")</f>
        <v>DFSK</v>
      </c>
      <c r="H2209" s="3" t="str">
        <f t="array" ref="H2209">IF(I2209="","",IFERROR(_xlfn.XLOOKUP(I2209,Base_Datos!$D$2:$D3876,Base_Datos!$C$2:$C3876),""))</f>
        <v>Serie K</v>
      </c>
      <c r="I2209" s="3" t="s">
        <v>475</v>
      </c>
      <c r="J2209" s="3" t="str">
        <f>IF(I2209="","",IFERROR(VLOOKUP(I2209,Base_Datos!$D$2:$E$72,2,0),""))</f>
        <v>(1.1L)</v>
      </c>
      <c r="K2209" s="3" t="s">
        <v>2624</v>
      </c>
      <c r="L2209" s="3"/>
      <c r="M2209" s="7">
        <v>74</v>
      </c>
      <c r="N2209" s="7">
        <v>0</v>
      </c>
    </row>
    <row r="2210" spans="1:14" ht="14.25" x14ac:dyDescent="0.2">
      <c r="A2210" s="3">
        <v>89849</v>
      </c>
      <c r="B2210" s="3" t="s">
        <v>4214</v>
      </c>
      <c r="C2210" s="3" t="s">
        <v>18</v>
      </c>
      <c r="D2210" s="6" t="s">
        <v>1782</v>
      </c>
      <c r="E2210" s="6" t="s">
        <v>1782</v>
      </c>
      <c r="F2210" s="3" t="str">
        <f>IFERROR( VLOOKUP(A2210,#REF!,2,0),"")</f>
        <v/>
      </c>
      <c r="G2210" s="3">
        <f t="array" ref="G2210">_xlfn.XLOOKUP(I2210,Base_Datos!D:D,Base_Datos!B:B,"")</f>
        <v>0</v>
      </c>
      <c r="H2210" s="3" t="str">
        <f t="array" ref="H2210">IF(I2210="","",IFERROR(_xlfn.XLOOKUP(I2210,Base_Datos!$D$2:$D3876,Base_Datos!$C$2:$C3876),""))</f>
        <v/>
      </c>
      <c r="I2210" s="3"/>
      <c r="J2210" s="3" t="str">
        <f>IF(I2210="","",IFERROR(VLOOKUP(I2210,Base_Datos!$D$2:$E$72,2,0),""))</f>
        <v/>
      </c>
      <c r="K2210" s="3"/>
      <c r="L2210" s="3"/>
      <c r="M2210" s="7">
        <v>80</v>
      </c>
      <c r="N2210" s="7">
        <v>0</v>
      </c>
    </row>
    <row r="2211" spans="1:14" ht="14.25" x14ac:dyDescent="0.2">
      <c r="A2211" s="3">
        <v>89850</v>
      </c>
      <c r="B2211" s="3" t="s">
        <v>4012</v>
      </c>
      <c r="C2211" s="3" t="s">
        <v>18</v>
      </c>
      <c r="D2211" s="6" t="s">
        <v>790</v>
      </c>
      <c r="E2211" s="6" t="s">
        <v>790</v>
      </c>
      <c r="F2211" s="3" t="str">
        <f>IFERROR( VLOOKUP(A2211,#REF!,2,0),"")</f>
        <v/>
      </c>
      <c r="G2211" s="3" t="str">
        <f t="array" ref="G2211">_xlfn.XLOOKUP(I2211,Base_Datos!D:D,Base_Datos!B:B,"")</f>
        <v>DFSK</v>
      </c>
      <c r="H2211" s="3" t="str">
        <f t="array" ref="H2211">IF(I2211="","",IFERROR(_xlfn.XLOOKUP(I2211,Base_Datos!$D$2:$D3876,Base_Datos!$C$2:$C3876),""))</f>
        <v>Serie Glory</v>
      </c>
      <c r="I2211" s="3" t="s">
        <v>404</v>
      </c>
      <c r="J2211" s="3" t="str">
        <f>IF(I2211="","",IFERROR(VLOOKUP(I2211,Base_Datos!$D$2:$E$72,2,0),""))</f>
        <v>(1.5L)</v>
      </c>
      <c r="K2211" s="3" t="s">
        <v>2624</v>
      </c>
      <c r="L2211" s="3"/>
      <c r="M2211" s="7">
        <v>7</v>
      </c>
      <c r="N2211" s="7">
        <v>0</v>
      </c>
    </row>
    <row r="2212" spans="1:14" ht="14.25" x14ac:dyDescent="0.2">
      <c r="A2212" s="3">
        <v>89851</v>
      </c>
      <c r="B2212" s="3" t="s">
        <v>2687</v>
      </c>
      <c r="C2212" s="3" t="s">
        <v>18</v>
      </c>
      <c r="D2212" s="6" t="s">
        <v>791</v>
      </c>
      <c r="E2212" s="6" t="s">
        <v>791</v>
      </c>
      <c r="F2212" s="3" t="str">
        <f>IFERROR( VLOOKUP(A2212,#REF!,2,0),"")</f>
        <v/>
      </c>
      <c r="G2212" s="3" t="str">
        <f t="array" ref="G2212">_xlfn.XLOOKUP(I2212,Base_Datos!D:D,Base_Datos!B:B,"")</f>
        <v>DFSK</v>
      </c>
      <c r="H2212" s="3" t="str">
        <f t="array" ref="H2212">IF(I2212="","",IFERROR(_xlfn.XLOOKUP(I2212,Base_Datos!$D$2:$D3876,Base_Datos!$C$2:$C3876),""))</f>
        <v>Serie K</v>
      </c>
      <c r="I2212" s="3" t="s">
        <v>475</v>
      </c>
      <c r="J2212" s="3" t="str">
        <f>IF(I2212="","",IFERROR(VLOOKUP(I2212,Base_Datos!$D$2:$E$72,2,0),""))</f>
        <v>(1.1L)</v>
      </c>
      <c r="K2212" s="3" t="s">
        <v>2624</v>
      </c>
      <c r="L2212" s="3"/>
      <c r="M2212" s="7">
        <v>3</v>
      </c>
      <c r="N2212" s="7">
        <v>0</v>
      </c>
    </row>
    <row r="2213" spans="1:14" ht="14.25" x14ac:dyDescent="0.2">
      <c r="A2213" s="3">
        <v>89852</v>
      </c>
      <c r="B2213" s="3" t="s">
        <v>4215</v>
      </c>
      <c r="C2213" s="3" t="s">
        <v>18</v>
      </c>
      <c r="D2213" s="6" t="s">
        <v>792</v>
      </c>
      <c r="E2213" s="6" t="s">
        <v>792</v>
      </c>
      <c r="F2213" s="3" t="str">
        <f>IFERROR( VLOOKUP(A2213,#REF!,2,0),"")</f>
        <v/>
      </c>
      <c r="G2213" s="3" t="str">
        <f t="array" ref="G2213">_xlfn.XLOOKUP(I2213,Base_Datos!D:D,Base_Datos!B:B,"")</f>
        <v>DFSK</v>
      </c>
      <c r="H2213" s="3" t="str">
        <f t="array" ref="H2213">IF(I2213="","",IFERROR(_xlfn.XLOOKUP(I2213,Base_Datos!$D$2:$D3876,Base_Datos!$C$2:$C3876),""))</f>
        <v>Serie K</v>
      </c>
      <c r="I2213" s="3" t="s">
        <v>475</v>
      </c>
      <c r="J2213" s="3" t="str">
        <f>IF(I2213="","",IFERROR(VLOOKUP(I2213,Base_Datos!$D$2:$E$72,2,0),""))</f>
        <v>(1.1L)</v>
      </c>
      <c r="K2213" s="3" t="s">
        <v>2624</v>
      </c>
      <c r="L2213" s="3"/>
      <c r="M2213" s="7">
        <v>3</v>
      </c>
      <c r="N2213" s="7">
        <v>0</v>
      </c>
    </row>
    <row r="2214" spans="1:14" ht="14.25" x14ac:dyDescent="0.2">
      <c r="A2214" s="3">
        <v>89853</v>
      </c>
      <c r="B2214" s="3" t="s">
        <v>4025</v>
      </c>
      <c r="C2214" s="3" t="s">
        <v>18</v>
      </c>
      <c r="D2214" s="6" t="s">
        <v>793</v>
      </c>
      <c r="E2214" s="6" t="s">
        <v>793</v>
      </c>
      <c r="F2214" s="3" t="str">
        <f>IFERROR( VLOOKUP(A2214,#REF!,2,0),"")</f>
        <v/>
      </c>
      <c r="G2214" s="3" t="str">
        <f t="array" ref="G2214">_xlfn.XLOOKUP(I2214,Base_Datos!D:D,Base_Datos!B:B,"")</f>
        <v>DFSK</v>
      </c>
      <c r="H2214" s="3" t="str">
        <f t="array" ref="H2214">IF(I2214="","",IFERROR(_xlfn.XLOOKUP(I2214,Base_Datos!$D$2:$D3876,Base_Datos!$C$2:$C3876),""))</f>
        <v>Serie Glory</v>
      </c>
      <c r="I2214" s="3" t="s">
        <v>404</v>
      </c>
      <c r="J2214" s="3" t="str">
        <f>IF(I2214="","",IFERROR(VLOOKUP(I2214,Base_Datos!$D$2:$E$72,2,0),""))</f>
        <v>(1.5L)</v>
      </c>
      <c r="K2214" s="3"/>
      <c r="L2214" s="3"/>
      <c r="M2214" s="7">
        <v>7</v>
      </c>
      <c r="N2214" s="7">
        <v>0</v>
      </c>
    </row>
    <row r="2215" spans="1:14" ht="14.25" x14ac:dyDescent="0.2">
      <c r="A2215" s="3">
        <v>89854</v>
      </c>
      <c r="B2215" s="3" t="s">
        <v>4028</v>
      </c>
      <c r="C2215" s="3" t="s">
        <v>15</v>
      </c>
      <c r="D2215" s="6" t="s">
        <v>794</v>
      </c>
      <c r="E2215" s="6" t="s">
        <v>794</v>
      </c>
      <c r="F2215" s="3" t="str">
        <f>IFERROR( VLOOKUP(A2215,#REF!,2,0),"")</f>
        <v/>
      </c>
      <c r="G2215" s="3">
        <f t="array" ref="G2215">_xlfn.XLOOKUP(I2215,Base_Datos!D:D,Base_Datos!B:B,"")</f>
        <v>0</v>
      </c>
      <c r="H2215" s="3" t="str">
        <f t="array" ref="H2215">IF(I2215="","",IFERROR(_xlfn.XLOOKUP(I2215,Base_Datos!$D$2:$D3876,Base_Datos!$C$2:$C3876),""))</f>
        <v/>
      </c>
      <c r="I2215" s="3"/>
      <c r="J2215" s="3" t="str">
        <f>IF(I2215="","",IFERROR(VLOOKUP(I2215,Base_Datos!$D$2:$E$72,2,0),""))</f>
        <v/>
      </c>
      <c r="K2215" s="3"/>
      <c r="L2215" s="3"/>
      <c r="M2215" s="7">
        <v>8</v>
      </c>
      <c r="N2215" s="7">
        <v>0</v>
      </c>
    </row>
    <row r="2216" spans="1:14" ht="14.25" x14ac:dyDescent="0.2">
      <c r="A2216" s="3">
        <v>89855</v>
      </c>
      <c r="B2216" s="3" t="s">
        <v>4027</v>
      </c>
      <c r="C2216" s="3" t="s">
        <v>15</v>
      </c>
      <c r="D2216" s="6" t="s">
        <v>795</v>
      </c>
      <c r="E2216" s="6" t="s">
        <v>4216</v>
      </c>
      <c r="F2216" s="3" t="str">
        <f>IFERROR( VLOOKUP(A2216,#REF!,2,0),"")</f>
        <v/>
      </c>
      <c r="G2216" s="3">
        <f t="array" ref="G2216">_xlfn.XLOOKUP(I2216,Base_Datos!D:D,Base_Datos!B:B,"")</f>
        <v>0</v>
      </c>
      <c r="H2216" s="3" t="str">
        <f t="array" ref="H2216">IF(I2216="","",IFERROR(_xlfn.XLOOKUP(I2216,Base_Datos!$D$2:$D3876,Base_Datos!$C$2:$C3876),""))</f>
        <v/>
      </c>
      <c r="I2216" s="3"/>
      <c r="J2216" s="3" t="str">
        <f>IF(I2216="","",IFERROR(VLOOKUP(I2216,Base_Datos!$D$2:$E$72,2,0),""))</f>
        <v/>
      </c>
      <c r="K2216" s="3"/>
      <c r="L2216" s="3"/>
      <c r="M2216" s="7">
        <v>8</v>
      </c>
      <c r="N2216" s="7">
        <v>0</v>
      </c>
    </row>
    <row r="2217" spans="1:14" ht="14.25" x14ac:dyDescent="0.2">
      <c r="A2217" s="3">
        <v>89856</v>
      </c>
      <c r="B2217" s="3" t="s">
        <v>3996</v>
      </c>
      <c r="C2217" s="3" t="s">
        <v>15</v>
      </c>
      <c r="D2217" s="6" t="s">
        <v>796</v>
      </c>
      <c r="E2217" s="6" t="s">
        <v>796</v>
      </c>
      <c r="F2217" s="3" t="str">
        <f>IFERROR( VLOOKUP(A2217,#REF!,2,0),"")</f>
        <v/>
      </c>
      <c r="G2217" s="3">
        <f t="array" ref="G2217">_xlfn.XLOOKUP(I2217,Base_Datos!D:D,Base_Datos!B:B,"")</f>
        <v>0</v>
      </c>
      <c r="H2217" s="3" t="str">
        <f t="array" ref="H2217">IF(I2217="","",IFERROR(_xlfn.XLOOKUP(I2217,Base_Datos!$D$2:$D3876,Base_Datos!$C$2:$C3876),""))</f>
        <v/>
      </c>
      <c r="I2217" s="3"/>
      <c r="J2217" s="3" t="str">
        <f>IF(I2217="","",IFERROR(VLOOKUP(I2217,Base_Datos!$D$2:$E$72,2,0),""))</f>
        <v/>
      </c>
      <c r="K2217" s="3"/>
      <c r="L2217" s="3"/>
      <c r="M2217" s="7">
        <v>36</v>
      </c>
      <c r="N2217" s="7">
        <v>0</v>
      </c>
    </row>
    <row r="2218" spans="1:14" ht="14.25" x14ac:dyDescent="0.2">
      <c r="A2218" s="3">
        <v>89857</v>
      </c>
      <c r="B2218" s="3" t="s">
        <v>2402</v>
      </c>
      <c r="C2218" s="3" t="s">
        <v>18</v>
      </c>
      <c r="D2218" s="6" t="s">
        <v>4217</v>
      </c>
      <c r="E2218" s="6" t="s">
        <v>4217</v>
      </c>
      <c r="F2218" s="3" t="str">
        <f>IFERROR( VLOOKUP(A2218,#REF!,2,0),"")</f>
        <v/>
      </c>
      <c r="G2218" s="3" t="str">
        <f t="array" ref="G2218">_xlfn.XLOOKUP(I2218,Base_Datos!D:D,Base_Datos!B:B,"")</f>
        <v>DFSK</v>
      </c>
      <c r="H2218" s="3" t="str">
        <f t="array" ref="H2218">IF(I2218="","",IFERROR(_xlfn.XLOOKUP(I2218,Base_Datos!$D$2:$D3876,Base_Datos!$C$2:$C3876),""))</f>
        <v>Serie K</v>
      </c>
      <c r="I2218" s="3" t="s">
        <v>1761</v>
      </c>
      <c r="J2218" s="3" t="str">
        <f>IF(I2218="","",IFERROR(VLOOKUP(I2218,Base_Datos!$D$2:$E$72,2,0),""))</f>
        <v>(1.1L)</v>
      </c>
      <c r="K2218" s="3" t="s">
        <v>2624</v>
      </c>
      <c r="L2218" s="3"/>
      <c r="M2218" s="7">
        <v>10</v>
      </c>
      <c r="N2218" s="7">
        <v>0</v>
      </c>
    </row>
    <row r="2219" spans="1:14" ht="14.25" x14ac:dyDescent="0.2">
      <c r="A2219" s="3">
        <v>89858</v>
      </c>
      <c r="B2219" s="3" t="s">
        <v>1848</v>
      </c>
      <c r="C2219" s="3" t="s">
        <v>18</v>
      </c>
      <c r="D2219" s="6" t="s">
        <v>797</v>
      </c>
      <c r="E2219" s="6" t="s">
        <v>797</v>
      </c>
      <c r="F2219" s="3" t="str">
        <f>IFERROR( VLOOKUP(A2219,#REF!,2,0),"")</f>
        <v/>
      </c>
      <c r="G2219" s="3" t="str">
        <f t="array" ref="G2219">_xlfn.XLOOKUP(I2219,Base_Datos!D:D,Base_Datos!B:B,"")</f>
        <v>DFSK</v>
      </c>
      <c r="H2219" s="3" t="str">
        <f t="array" ref="H2219">IF(I2219="","",IFERROR(_xlfn.XLOOKUP(I2219,Base_Datos!$D$2:$D3876,Base_Datos!$C$2:$C3876),""))</f>
        <v>Serie K</v>
      </c>
      <c r="I2219" s="3" t="s">
        <v>475</v>
      </c>
      <c r="J2219" s="3" t="str">
        <f>IF(I2219="","",IFERROR(VLOOKUP(I2219,Base_Datos!$D$2:$E$72,2,0),""))</f>
        <v>(1.1L)</v>
      </c>
      <c r="K2219" s="3" t="s">
        <v>2624</v>
      </c>
      <c r="L2219" s="3"/>
      <c r="M2219" s="7">
        <v>5</v>
      </c>
      <c r="N2219" s="7">
        <v>0</v>
      </c>
    </row>
    <row r="2220" spans="1:14" ht="14.25" x14ac:dyDescent="0.2">
      <c r="A2220" s="3">
        <v>89859</v>
      </c>
      <c r="B2220" s="3" t="s">
        <v>2564</v>
      </c>
      <c r="C2220" s="3" t="s">
        <v>18</v>
      </c>
      <c r="D2220" s="6" t="s">
        <v>798</v>
      </c>
      <c r="E2220" s="6" t="s">
        <v>798</v>
      </c>
      <c r="F2220" s="3" t="str">
        <f>IFERROR( VLOOKUP(A2220,#REF!,2,0),"")</f>
        <v/>
      </c>
      <c r="G2220" s="3" t="str">
        <f t="array" ref="G2220">_xlfn.XLOOKUP(I2220,Base_Datos!D:D,Base_Datos!B:B,"")</f>
        <v>DFSK</v>
      </c>
      <c r="H2220" s="3" t="str">
        <f t="array" ref="H2220">IF(I2220="","",IFERROR(_xlfn.XLOOKUP(I2220,Base_Datos!$D$2:$D3876,Base_Datos!$C$2:$C3876),""))</f>
        <v>Serie Glory</v>
      </c>
      <c r="I2220" s="3" t="s">
        <v>404</v>
      </c>
      <c r="J2220" s="3" t="str">
        <f>IF(I2220="","",IFERROR(VLOOKUP(I2220,Base_Datos!$D$2:$E$72,2,0),""))</f>
        <v>(1.5L)</v>
      </c>
      <c r="K2220" s="3" t="s">
        <v>2624</v>
      </c>
      <c r="L2220" s="3"/>
      <c r="M2220" s="7">
        <v>5</v>
      </c>
      <c r="N2220" s="7">
        <v>0</v>
      </c>
    </row>
    <row r="2221" spans="1:14" ht="14.25" x14ac:dyDescent="0.2">
      <c r="A2221" s="3">
        <v>89860</v>
      </c>
      <c r="B2221" s="3" t="s">
        <v>4218</v>
      </c>
      <c r="C2221" s="3" t="s">
        <v>18</v>
      </c>
      <c r="D2221" s="6" t="s">
        <v>799</v>
      </c>
      <c r="E2221" s="6" t="s">
        <v>4219</v>
      </c>
      <c r="F2221" s="3" t="str">
        <f>IFERROR( VLOOKUP(A2221,#REF!,2,0),"")</f>
        <v/>
      </c>
      <c r="G2221" s="3" t="str">
        <f t="array" ref="G2221">_xlfn.XLOOKUP(I2221,Base_Datos!D:D,Base_Datos!B:B,"")</f>
        <v>DFSK</v>
      </c>
      <c r="H2221" s="3" t="str">
        <f t="array" ref="H2221">IF(I2221="","",IFERROR(_xlfn.XLOOKUP(I2221,Base_Datos!$D$2:$D3876,Base_Datos!$C$2:$C3876),""))</f>
        <v>Serie K</v>
      </c>
      <c r="I2221" s="3" t="s">
        <v>1761</v>
      </c>
      <c r="J2221" s="3" t="str">
        <f>IF(I2221="","",IFERROR(VLOOKUP(I2221,Base_Datos!$D$2:$E$72,2,0),""))</f>
        <v>(1.1L)</v>
      </c>
      <c r="K2221" s="3" t="s">
        <v>2624</v>
      </c>
      <c r="L2221" s="3"/>
      <c r="M2221" s="7">
        <v>41</v>
      </c>
      <c r="N2221" s="7">
        <v>0</v>
      </c>
    </row>
    <row r="2222" spans="1:14" ht="14.25" x14ac:dyDescent="0.2">
      <c r="A2222" s="3">
        <v>89861</v>
      </c>
      <c r="B2222" s="3" t="s">
        <v>4031</v>
      </c>
      <c r="C2222" s="3" t="s">
        <v>23</v>
      </c>
      <c r="D2222" s="6" t="s">
        <v>800</v>
      </c>
      <c r="E2222" s="6" t="s">
        <v>800</v>
      </c>
      <c r="F2222" s="3" t="str">
        <f>IFERROR( VLOOKUP(A2222,#REF!,2,0),"")</f>
        <v/>
      </c>
      <c r="G2222" s="3" t="str">
        <f t="array" ref="G2222">_xlfn.XLOOKUP(I2222,Base_Datos!D:D,Base_Datos!B:B,"")</f>
        <v>DFSK</v>
      </c>
      <c r="H2222" s="3" t="str">
        <f t="array" ref="H2222">IF(I2222="","",IFERROR(_xlfn.XLOOKUP(I2222,Base_Datos!$D$2:$D3876,Base_Datos!$C$2:$C3876),""))</f>
        <v>Serie Glory</v>
      </c>
      <c r="I2222" s="3" t="s">
        <v>404</v>
      </c>
      <c r="J2222" s="3" t="str">
        <f>IF(I2222="","",IFERROR(VLOOKUP(I2222,Base_Datos!$D$2:$E$72,2,0),""))</f>
        <v>(1.5L)</v>
      </c>
      <c r="K2222" s="3" t="s">
        <v>2624</v>
      </c>
      <c r="L2222" s="3"/>
      <c r="M2222" s="7">
        <v>6</v>
      </c>
      <c r="N2222" s="7">
        <v>0</v>
      </c>
    </row>
    <row r="2223" spans="1:14" ht="14.25" x14ac:dyDescent="0.2">
      <c r="A2223" s="3">
        <v>89862</v>
      </c>
      <c r="B2223" s="3" t="s">
        <v>4220</v>
      </c>
      <c r="C2223" s="3" t="s">
        <v>23</v>
      </c>
      <c r="D2223" s="6" t="s">
        <v>801</v>
      </c>
      <c r="E2223" s="6" t="s">
        <v>801</v>
      </c>
      <c r="F2223" s="3" t="str">
        <f>IFERROR( VLOOKUP(A2223,#REF!,2,0),"")</f>
        <v/>
      </c>
      <c r="G2223" s="3" t="str">
        <f t="array" ref="G2223">_xlfn.XLOOKUP(I2223,Base_Datos!D:D,Base_Datos!B:B,"")</f>
        <v>DFSK</v>
      </c>
      <c r="H2223" s="3" t="str">
        <f t="array" ref="H2223">IF(I2223="","",IFERROR(_xlfn.XLOOKUP(I2223,Base_Datos!$D$2:$D3876,Base_Datos!$C$2:$C3876),""))</f>
        <v>Serie K</v>
      </c>
      <c r="I2223" s="3" t="s">
        <v>475</v>
      </c>
      <c r="J2223" s="3" t="str">
        <f>IF(I2223="","",IFERROR(VLOOKUP(I2223,Base_Datos!$D$2:$E$72,2,0),""))</f>
        <v>(1.1L)</v>
      </c>
      <c r="K2223" s="3" t="s">
        <v>2624</v>
      </c>
      <c r="L2223" s="3"/>
      <c r="M2223" s="7">
        <v>3</v>
      </c>
      <c r="N2223" s="7">
        <v>0</v>
      </c>
    </row>
    <row r="2224" spans="1:14" ht="14.25" x14ac:dyDescent="0.2">
      <c r="A2224" s="3">
        <v>89863</v>
      </c>
      <c r="B2224" s="3" t="s">
        <v>4221</v>
      </c>
      <c r="C2224" s="3" t="s">
        <v>23</v>
      </c>
      <c r="D2224" s="6" t="s">
        <v>802</v>
      </c>
      <c r="E2224" s="6" t="s">
        <v>802</v>
      </c>
      <c r="F2224" s="3" t="str">
        <f>IFERROR( VLOOKUP(A2224,#REF!,2,0),"")</f>
        <v/>
      </c>
      <c r="G2224" s="3" t="str">
        <f t="array" ref="G2224">_xlfn.XLOOKUP(I2224,Base_Datos!D:D,Base_Datos!B:B,"")</f>
        <v>DFSK</v>
      </c>
      <c r="H2224" s="3" t="str">
        <f t="array" ref="H2224">IF(I2224="","",IFERROR(_xlfn.XLOOKUP(I2224,Base_Datos!$D$2:$D3876,Base_Datos!$C$2:$C3876),""))</f>
        <v>Serie K</v>
      </c>
      <c r="I2224" s="3" t="s">
        <v>475</v>
      </c>
      <c r="J2224" s="3" t="str">
        <f>IF(I2224="","",IFERROR(VLOOKUP(I2224,Base_Datos!$D$2:$E$72,2,0),""))</f>
        <v>(1.1L)</v>
      </c>
      <c r="K2224" s="3" t="s">
        <v>2624</v>
      </c>
      <c r="L2224" s="3"/>
      <c r="M2224" s="7">
        <v>8</v>
      </c>
      <c r="N2224" s="7">
        <v>0</v>
      </c>
    </row>
    <row r="2225" spans="1:14" ht="14.25" x14ac:dyDescent="0.2">
      <c r="A2225" s="3">
        <v>89864</v>
      </c>
      <c r="B2225" s="3" t="s">
        <v>3518</v>
      </c>
      <c r="C2225" s="3" t="s">
        <v>18</v>
      </c>
      <c r="D2225" s="6" t="s">
        <v>803</v>
      </c>
      <c r="E2225" s="6" t="s">
        <v>803</v>
      </c>
      <c r="F2225" s="3" t="str">
        <f>IFERROR( VLOOKUP(A2225,#REF!,2,0),"")</f>
        <v/>
      </c>
      <c r="G2225" s="3" t="str">
        <f t="array" ref="G2225">_xlfn.XLOOKUP(I2225,Base_Datos!D:D,Base_Datos!B:B,"")</f>
        <v>DFSK</v>
      </c>
      <c r="H2225" s="3" t="str">
        <f t="array" ref="H2225">IF(I2225="","",IFERROR(_xlfn.XLOOKUP(I2225,Base_Datos!$D$2:$D3876,Base_Datos!$C$2:$C3876),""))</f>
        <v>Serie Glory</v>
      </c>
      <c r="I2225" s="3" t="s">
        <v>404</v>
      </c>
      <c r="J2225" s="3" t="str">
        <f>IF(I2225="","",IFERROR(VLOOKUP(I2225,Base_Datos!$D$2:$E$72,2,0),""))</f>
        <v>(1.5L)</v>
      </c>
      <c r="K2225" s="3" t="s">
        <v>2624</v>
      </c>
      <c r="L2225" s="3"/>
      <c r="M2225" s="7">
        <v>24</v>
      </c>
      <c r="N2225" s="7">
        <v>0</v>
      </c>
    </row>
    <row r="2226" spans="1:14" ht="14.25" x14ac:dyDescent="0.2">
      <c r="A2226" s="3">
        <v>89865</v>
      </c>
      <c r="B2226" s="3" t="s">
        <v>4222</v>
      </c>
      <c r="C2226" s="3" t="s">
        <v>18</v>
      </c>
      <c r="D2226" s="6" t="s">
        <v>804</v>
      </c>
      <c r="E2226" s="6" t="s">
        <v>804</v>
      </c>
      <c r="F2226" s="3" t="str">
        <f>IFERROR( VLOOKUP(A2226,#REF!,2,0),"")</f>
        <v/>
      </c>
      <c r="G2226" s="3" t="str">
        <f t="array" ref="G2226">_xlfn.XLOOKUP(I2226,Base_Datos!D:D,Base_Datos!B:B,"")</f>
        <v>DFSK</v>
      </c>
      <c r="H2226" s="3" t="str">
        <f t="array" ref="H2226">IF(I2226="","",IFERROR(_xlfn.XLOOKUP(I2226,Base_Datos!$D$2:$D3876,Base_Datos!$C$2:$C3876),""))</f>
        <v>Serie Glory</v>
      </c>
      <c r="I2226" s="3" t="s">
        <v>1765</v>
      </c>
      <c r="J2226" s="3" t="str">
        <f>IF(I2226="","",IFERROR(VLOOKUP(I2226,Base_Datos!$D$2:$E$72,2,0),""))</f>
        <v>(1.5L)</v>
      </c>
      <c r="K2226" s="3" t="s">
        <v>2624</v>
      </c>
      <c r="L2226" s="3"/>
      <c r="M2226" s="7">
        <v>4</v>
      </c>
      <c r="N2226" s="7">
        <v>0</v>
      </c>
    </row>
    <row r="2227" spans="1:14" ht="14.25" x14ac:dyDescent="0.2">
      <c r="A2227" s="3">
        <v>89866</v>
      </c>
      <c r="B2227" s="3" t="s">
        <v>4223</v>
      </c>
      <c r="C2227" s="3" t="s">
        <v>18</v>
      </c>
      <c r="D2227" s="6" t="s">
        <v>805</v>
      </c>
      <c r="E2227" s="6" t="s">
        <v>805</v>
      </c>
      <c r="F2227" s="3" t="str">
        <f>IFERROR( VLOOKUP(A2227,#REF!,2,0),"")</f>
        <v/>
      </c>
      <c r="G2227" s="3" t="str">
        <f t="array" ref="G2227">_xlfn.XLOOKUP(I2227,Base_Datos!D:D,Base_Datos!B:B,"")</f>
        <v>DFSK</v>
      </c>
      <c r="H2227" s="3" t="str">
        <f t="array" ref="H2227">IF(I2227="","",IFERROR(_xlfn.XLOOKUP(I2227,Base_Datos!$D$2:$D3876,Base_Datos!$C$2:$C3876),""))</f>
        <v>Serie Glory</v>
      </c>
      <c r="I2227" s="3" t="s">
        <v>404</v>
      </c>
      <c r="J2227" s="3" t="str">
        <f>IF(I2227="","",IFERROR(VLOOKUP(I2227,Base_Datos!$D$2:$E$72,2,0),""))</f>
        <v>(1.5L)</v>
      </c>
      <c r="K2227" s="3" t="s">
        <v>2624</v>
      </c>
      <c r="L2227" s="3"/>
      <c r="M2227" s="7">
        <v>4</v>
      </c>
      <c r="N2227" s="7">
        <v>0</v>
      </c>
    </row>
    <row r="2228" spans="1:14" ht="14.25" x14ac:dyDescent="0.2">
      <c r="A2228" s="3">
        <v>89867</v>
      </c>
      <c r="B2228" s="3" t="s">
        <v>4224</v>
      </c>
      <c r="C2228" s="3" t="s">
        <v>18</v>
      </c>
      <c r="D2228" s="6" t="s">
        <v>4225</v>
      </c>
      <c r="E2228" s="6" t="s">
        <v>4225</v>
      </c>
      <c r="F2228" s="3" t="str">
        <f>IFERROR( VLOOKUP(A2228,#REF!,2,0),"")</f>
        <v/>
      </c>
      <c r="G2228" s="3" t="str">
        <f t="array" ref="G2228">_xlfn.XLOOKUP(I2228,Base_Datos!D:D,Base_Datos!B:B,"")</f>
        <v>DFSK</v>
      </c>
      <c r="H2228" s="3" t="str">
        <f t="array" ref="H2228">IF(I2228="","",IFERROR(_xlfn.XLOOKUP(I2228,Base_Datos!$D$2:$D3876,Base_Datos!$C$2:$C3876),""))</f>
        <v>Serie K</v>
      </c>
      <c r="I2228" s="3" t="s">
        <v>475</v>
      </c>
      <c r="J2228" s="3" t="str">
        <f>IF(I2228="","",IFERROR(VLOOKUP(I2228,Base_Datos!$D$2:$E$72,2,0),""))</f>
        <v>(1.1L)</v>
      </c>
      <c r="K2228" s="3" t="s">
        <v>2624</v>
      </c>
      <c r="L2228" s="3"/>
      <c r="M2228" s="7">
        <v>23</v>
      </c>
      <c r="N2228" s="7">
        <v>0</v>
      </c>
    </row>
    <row r="2229" spans="1:14" ht="14.25" x14ac:dyDescent="0.2">
      <c r="A2229" s="3">
        <v>89868</v>
      </c>
      <c r="B2229" s="3" t="s">
        <v>4226</v>
      </c>
      <c r="C2229" s="3" t="s">
        <v>15</v>
      </c>
      <c r="D2229" s="6" t="s">
        <v>205</v>
      </c>
      <c r="E2229" s="6" t="s">
        <v>1782</v>
      </c>
      <c r="F2229" s="3" t="str">
        <f>IFERROR( VLOOKUP(A2229,#REF!,2,0),"")</f>
        <v/>
      </c>
      <c r="G2229" s="3">
        <f t="array" ref="G2229">_xlfn.XLOOKUP(I2229,Base_Datos!D:D,Base_Datos!B:B,"")</f>
        <v>0</v>
      </c>
      <c r="H2229" s="3" t="str">
        <f t="array" ref="H2229">IF(I2229="","",IFERROR(_xlfn.XLOOKUP(I2229,Base_Datos!$D$2:$D3876,Base_Datos!$C$2:$C3876),""))</f>
        <v/>
      </c>
      <c r="I2229" s="3"/>
      <c r="J2229" s="3" t="str">
        <f>IF(I2229="","",IFERROR(VLOOKUP(I2229,Base_Datos!$D$2:$E$72,2,0),""))</f>
        <v/>
      </c>
      <c r="K2229" s="3"/>
      <c r="L2229" s="3"/>
      <c r="M2229" s="7">
        <v>0</v>
      </c>
      <c r="N2229" s="7">
        <v>0</v>
      </c>
    </row>
    <row r="2230" spans="1:14" ht="14.25" x14ac:dyDescent="0.2">
      <c r="A2230" s="3">
        <v>89869</v>
      </c>
      <c r="B2230" s="3" t="s">
        <v>2825</v>
      </c>
      <c r="C2230" s="3" t="s">
        <v>18</v>
      </c>
      <c r="D2230" s="6" t="s">
        <v>861</v>
      </c>
      <c r="E2230" s="6" t="s">
        <v>861</v>
      </c>
      <c r="F2230" s="3" t="str">
        <f>IFERROR( VLOOKUP(A2230,#REF!,2,0),"")</f>
        <v/>
      </c>
      <c r="G2230" s="3" t="str">
        <f t="array" ref="G2230">_xlfn.XLOOKUP(I2230,Base_Datos!D:D,Base_Datos!B:B,"")</f>
        <v>DFSK</v>
      </c>
      <c r="H2230" s="3" t="str">
        <f t="array" ref="H2230">IF(I2230="","",IFERROR(_xlfn.XLOOKUP(I2230,Base_Datos!$D$2:$D3876,Base_Datos!$C$2:$C3876),""))</f>
        <v>Serie K</v>
      </c>
      <c r="I2230" s="3" t="s">
        <v>475</v>
      </c>
      <c r="J2230" s="3" t="str">
        <f>IF(I2230="","",IFERROR(VLOOKUP(I2230,Base_Datos!$D$2:$E$72,2,0),""))</f>
        <v>(1.1L)</v>
      </c>
      <c r="K2230" s="3" t="s">
        <v>2624</v>
      </c>
      <c r="L2230" s="3"/>
      <c r="M2230" s="7">
        <v>79</v>
      </c>
      <c r="N2230" s="7">
        <v>0</v>
      </c>
    </row>
    <row r="2231" spans="1:14" ht="14.25" x14ac:dyDescent="0.2">
      <c r="A2231" s="3">
        <v>89870</v>
      </c>
      <c r="B2231" s="3" t="s">
        <v>4227</v>
      </c>
      <c r="C2231" s="3" t="s">
        <v>18</v>
      </c>
      <c r="D2231" s="6" t="s">
        <v>806</v>
      </c>
      <c r="E2231" s="6" t="s">
        <v>806</v>
      </c>
      <c r="F2231" s="3" t="str">
        <f>IFERROR( VLOOKUP(A2231,#REF!,2,0),"")</f>
        <v/>
      </c>
      <c r="G2231" s="3" t="str">
        <f t="array" ref="G2231">_xlfn.XLOOKUP(I2231,Base_Datos!D:D,Base_Datos!B:B,"")</f>
        <v>DFSK</v>
      </c>
      <c r="H2231" s="3" t="str">
        <f t="array" ref="H2231">IF(I2231="","",IFERROR(_xlfn.XLOOKUP(I2231,Base_Datos!$D$2:$D3876,Base_Datos!$C$2:$C3876),""))</f>
        <v>Serie K</v>
      </c>
      <c r="I2231" s="3" t="s">
        <v>475</v>
      </c>
      <c r="J2231" s="3" t="str">
        <f>IF(I2231="","",IFERROR(VLOOKUP(I2231,Base_Datos!$D$2:$E$72,2,0),""))</f>
        <v>(1.1L)</v>
      </c>
      <c r="K2231" s="3" t="s">
        <v>2624</v>
      </c>
      <c r="L2231" s="3"/>
      <c r="M2231" s="7">
        <v>61</v>
      </c>
      <c r="N2231" s="7">
        <v>0</v>
      </c>
    </row>
    <row r="2232" spans="1:14" ht="14.25" x14ac:dyDescent="0.2">
      <c r="A2232" s="3">
        <v>89871</v>
      </c>
      <c r="B2232" s="3" t="s">
        <v>2023</v>
      </c>
      <c r="C2232" s="3" t="s">
        <v>18</v>
      </c>
      <c r="D2232" s="6" t="s">
        <v>807</v>
      </c>
      <c r="E2232" s="6" t="s">
        <v>807</v>
      </c>
      <c r="F2232" s="3" t="str">
        <f>IFERROR( VLOOKUP(A2232,#REF!,2,0),"")</f>
        <v/>
      </c>
      <c r="G2232" s="3" t="str">
        <f t="array" ref="G2232">_xlfn.XLOOKUP(I2232,Base_Datos!D:D,Base_Datos!B:B,"")</f>
        <v>DFSK</v>
      </c>
      <c r="H2232" s="3" t="str">
        <f t="array" ref="H2232">IF(I2232="","",IFERROR(_xlfn.XLOOKUP(I2232,Base_Datos!$D$2:$D3876,Base_Datos!$C$2:$C3876),""))</f>
        <v>Serie K</v>
      </c>
      <c r="I2232" s="3" t="s">
        <v>475</v>
      </c>
      <c r="J2232" s="3" t="str">
        <f>IF(I2232="","",IFERROR(VLOOKUP(I2232,Base_Datos!$D$2:$E$72,2,0),""))</f>
        <v>(1.1L)</v>
      </c>
      <c r="K2232" s="3" t="s">
        <v>2624</v>
      </c>
      <c r="L2232" s="3"/>
      <c r="M2232" s="7">
        <v>22</v>
      </c>
      <c r="N2232" s="7">
        <v>0</v>
      </c>
    </row>
    <row r="2233" spans="1:14" ht="14.25" x14ac:dyDescent="0.2">
      <c r="A2233" s="3">
        <v>89872</v>
      </c>
      <c r="B2233" s="3" t="s">
        <v>3552</v>
      </c>
      <c r="C2233" s="3" t="s">
        <v>18</v>
      </c>
      <c r="D2233" s="6" t="s">
        <v>4228</v>
      </c>
      <c r="E2233" s="6" t="s">
        <v>4228</v>
      </c>
      <c r="F2233" s="3" t="str">
        <f>IFERROR( VLOOKUP(A2233,#REF!,2,0),"")</f>
        <v/>
      </c>
      <c r="G2233" s="3" t="str">
        <f t="array" ref="G2233">_xlfn.XLOOKUP(I2233,Base_Datos!D:D,Base_Datos!B:B,"")</f>
        <v>DFSK</v>
      </c>
      <c r="H2233" s="3" t="str">
        <f t="array" ref="H2233">IF(I2233="","",IFERROR(_xlfn.XLOOKUP(I2233,Base_Datos!$D$2:$D3876,Base_Datos!$C$2:$C3876),""))</f>
        <v>Serie K</v>
      </c>
      <c r="I2233" s="3" t="s">
        <v>475</v>
      </c>
      <c r="J2233" s="3" t="str">
        <f>IF(I2233="","",IFERROR(VLOOKUP(I2233,Base_Datos!$D$2:$E$72,2,0),""))</f>
        <v>(1.1L)</v>
      </c>
      <c r="K2233" s="3" t="s">
        <v>2624</v>
      </c>
      <c r="L2233" s="3"/>
      <c r="M2233" s="7">
        <v>436</v>
      </c>
      <c r="N2233" s="7">
        <v>0</v>
      </c>
    </row>
    <row r="2234" spans="1:14" ht="14.25" x14ac:dyDescent="0.2">
      <c r="A2234" s="3">
        <v>89873</v>
      </c>
      <c r="B2234" s="3" t="s">
        <v>2404</v>
      </c>
      <c r="C2234" s="3" t="s">
        <v>23</v>
      </c>
      <c r="D2234" s="6" t="s">
        <v>808</v>
      </c>
      <c r="E2234" s="6" t="s">
        <v>808</v>
      </c>
      <c r="F2234" s="3" t="str">
        <f>IFERROR( VLOOKUP(A2234,#REF!,2,0),"")</f>
        <v/>
      </c>
      <c r="G2234" s="3" t="str">
        <f t="array" ref="G2234">_xlfn.XLOOKUP(I2234,Base_Datos!D:D,Base_Datos!B:B,"")</f>
        <v>DFSK</v>
      </c>
      <c r="H2234" s="3" t="str">
        <f t="array" ref="H2234">IF(I2234="","",IFERROR(_xlfn.XLOOKUP(I2234,Base_Datos!$D$2:$D3876,Base_Datos!$C$2:$C3876),""))</f>
        <v>Serie Glory</v>
      </c>
      <c r="I2234" s="3" t="s">
        <v>404</v>
      </c>
      <c r="J2234" s="3" t="str">
        <f>IF(I2234="","",IFERROR(VLOOKUP(I2234,Base_Datos!$D$2:$E$72,2,0),""))</f>
        <v>(1.5L)</v>
      </c>
      <c r="K2234" s="3" t="s">
        <v>2624</v>
      </c>
      <c r="L2234" s="3"/>
      <c r="M2234" s="7">
        <v>4</v>
      </c>
      <c r="N2234" s="7">
        <v>0</v>
      </c>
    </row>
    <row r="2235" spans="1:14" ht="14.25" x14ac:dyDescent="0.2">
      <c r="A2235" s="3">
        <v>89874</v>
      </c>
      <c r="B2235" s="3" t="s">
        <v>3813</v>
      </c>
      <c r="C2235" s="3" t="s">
        <v>18</v>
      </c>
      <c r="D2235" s="6" t="s">
        <v>809</v>
      </c>
      <c r="E2235" s="6" t="s">
        <v>809</v>
      </c>
      <c r="F2235" s="3" t="str">
        <f>IFERROR( VLOOKUP(A2235,#REF!,2,0),"")</f>
        <v/>
      </c>
      <c r="G2235" s="3" t="str">
        <f t="array" ref="G2235">_xlfn.XLOOKUP(I2235,Base_Datos!D:D,Base_Datos!B:B,"")</f>
        <v>DFSK</v>
      </c>
      <c r="H2235" s="3" t="str">
        <f t="array" ref="H2235">IF(I2235="","",IFERROR(_xlfn.XLOOKUP(I2235,Base_Datos!$D$2:$D3876,Base_Datos!$C$2:$C3876),""))</f>
        <v>Serie Glory</v>
      </c>
      <c r="I2235" s="3" t="s">
        <v>404</v>
      </c>
      <c r="J2235" s="3" t="str">
        <f>IF(I2235="","",IFERROR(VLOOKUP(I2235,Base_Datos!$D$2:$E$72,2,0),""))</f>
        <v>(1.5L)</v>
      </c>
      <c r="K2235" s="3" t="s">
        <v>2624</v>
      </c>
      <c r="L2235" s="3"/>
      <c r="M2235" s="7">
        <v>21</v>
      </c>
      <c r="N2235" s="7">
        <v>0</v>
      </c>
    </row>
    <row r="2236" spans="1:14" ht="14.25" x14ac:dyDescent="0.2">
      <c r="A2236" s="3">
        <v>89875</v>
      </c>
      <c r="B2236" s="3" t="s">
        <v>4229</v>
      </c>
      <c r="C2236" s="3" t="s">
        <v>18</v>
      </c>
      <c r="D2236" s="6" t="s">
        <v>810</v>
      </c>
      <c r="E2236" s="6" t="s">
        <v>810</v>
      </c>
      <c r="F2236" s="3" t="str">
        <f>IFERROR( VLOOKUP(A2236,#REF!,2,0),"")</f>
        <v/>
      </c>
      <c r="G2236" s="3" t="str">
        <f t="array" ref="G2236">_xlfn.XLOOKUP(I2236,Base_Datos!D:D,Base_Datos!B:B,"")</f>
        <v>DFSK</v>
      </c>
      <c r="H2236" s="3" t="str">
        <f t="array" ref="H2236">IF(I2236="","",IFERROR(_xlfn.XLOOKUP(I2236,Base_Datos!$D$2:$D3876,Base_Datos!$C$2:$C3876),""))</f>
        <v>Serie Glory</v>
      </c>
      <c r="I2236" s="3" t="s">
        <v>404</v>
      </c>
      <c r="J2236" s="3" t="str">
        <f>IF(I2236="","",IFERROR(VLOOKUP(I2236,Base_Datos!$D$2:$E$72,2,0),""))</f>
        <v>(1.5L)</v>
      </c>
      <c r="K2236" s="3" t="s">
        <v>2624</v>
      </c>
      <c r="L2236" s="3"/>
      <c r="M2236" s="7">
        <v>15</v>
      </c>
      <c r="N2236" s="7">
        <v>0</v>
      </c>
    </row>
    <row r="2237" spans="1:14" ht="14.25" x14ac:dyDescent="0.2">
      <c r="A2237" s="3">
        <v>89876</v>
      </c>
      <c r="B2237" s="3" t="s">
        <v>3414</v>
      </c>
      <c r="C2237" s="3" t="s">
        <v>18</v>
      </c>
      <c r="D2237" s="6" t="s">
        <v>811</v>
      </c>
      <c r="E2237" s="6" t="s">
        <v>811</v>
      </c>
      <c r="F2237" s="3" t="str">
        <f>IFERROR( VLOOKUP(A2237,#REF!,2,0),"")</f>
        <v/>
      </c>
      <c r="G2237" s="3" t="str">
        <f t="array" ref="G2237">_xlfn.XLOOKUP(I2237,Base_Datos!D:D,Base_Datos!B:B,"")</f>
        <v>DFSK</v>
      </c>
      <c r="H2237" s="3" t="str">
        <f t="array" ref="H2237">IF(I2237="","",IFERROR(_xlfn.XLOOKUP(I2237,Base_Datos!$D$2:$D3876,Base_Datos!$C$2:$C3876),""))</f>
        <v>Serie K</v>
      </c>
      <c r="I2237" s="3" t="s">
        <v>475</v>
      </c>
      <c r="J2237" s="3" t="str">
        <f>IF(I2237="","",IFERROR(VLOOKUP(I2237,Base_Datos!$D$2:$E$72,2,0),""))</f>
        <v>(1.1L)</v>
      </c>
      <c r="K2237" s="3" t="s">
        <v>2624</v>
      </c>
      <c r="L2237" s="3"/>
      <c r="M2237" s="7">
        <v>34</v>
      </c>
      <c r="N2237" s="7">
        <v>0</v>
      </c>
    </row>
    <row r="2238" spans="1:14" ht="14.25" x14ac:dyDescent="0.2">
      <c r="A2238" s="3">
        <v>89877</v>
      </c>
      <c r="B2238" s="3" t="s">
        <v>4230</v>
      </c>
      <c r="C2238" s="3" t="s">
        <v>15</v>
      </c>
      <c r="D2238" s="6" t="s">
        <v>397</v>
      </c>
      <c r="E2238" s="6" t="s">
        <v>716</v>
      </c>
      <c r="F2238" s="3" t="str">
        <f>IFERROR( VLOOKUP(A2238,#REF!,2,0),"")</f>
        <v/>
      </c>
      <c r="G2238" s="3">
        <f t="array" ref="G2238">_xlfn.XLOOKUP(I2238,Base_Datos!D:D,Base_Datos!B:B,"")</f>
        <v>0</v>
      </c>
      <c r="H2238" s="3" t="str">
        <f t="array" ref="H2238">IF(I2238="","",IFERROR(_xlfn.XLOOKUP(I2238,Base_Datos!$D$2:$D3876,Base_Datos!$C$2:$C3876),""))</f>
        <v/>
      </c>
      <c r="I2238" s="3"/>
      <c r="J2238" s="3" t="str">
        <f>IF(I2238="","",IFERROR(VLOOKUP(I2238,Base_Datos!$D$2:$E$72,2,0),""))</f>
        <v/>
      </c>
      <c r="K2238" s="3"/>
      <c r="L2238" s="3"/>
      <c r="M2238" s="7">
        <v>13</v>
      </c>
      <c r="N2238" s="7">
        <v>0</v>
      </c>
    </row>
    <row r="2239" spans="1:14" ht="14.25" x14ac:dyDescent="0.2">
      <c r="A2239" s="3">
        <v>89878</v>
      </c>
      <c r="B2239" s="3" t="s">
        <v>3519</v>
      </c>
      <c r="C2239" s="3" t="s">
        <v>18</v>
      </c>
      <c r="D2239" s="6" t="s">
        <v>812</v>
      </c>
      <c r="E2239" s="6" t="s">
        <v>812</v>
      </c>
      <c r="F2239" s="3" t="str">
        <f>IFERROR( VLOOKUP(A2239,#REF!,2,0),"")</f>
        <v/>
      </c>
      <c r="G2239" s="3" t="str">
        <f t="array" ref="G2239">_xlfn.XLOOKUP(I2239,Base_Datos!D:D,Base_Datos!B:B,"")</f>
        <v>DFSK</v>
      </c>
      <c r="H2239" s="3" t="str">
        <f t="array" ref="H2239">IF(I2239="","",IFERROR(_xlfn.XLOOKUP(I2239,Base_Datos!$D$2:$D3876,Base_Datos!$C$2:$C3876),""))</f>
        <v>Serie K</v>
      </c>
      <c r="I2239" s="3" t="s">
        <v>475</v>
      </c>
      <c r="J2239" s="3" t="str">
        <f>IF(I2239="","",IFERROR(VLOOKUP(I2239,Base_Datos!$D$2:$E$72,2,0),""))</f>
        <v>(1.1L)</v>
      </c>
      <c r="K2239" s="3" t="s">
        <v>2624</v>
      </c>
      <c r="L2239" s="3"/>
      <c r="M2239" s="7">
        <v>7</v>
      </c>
      <c r="N2239" s="7">
        <v>0</v>
      </c>
    </row>
    <row r="2240" spans="1:14" ht="14.25" x14ac:dyDescent="0.2">
      <c r="A2240" s="3">
        <v>89879</v>
      </c>
      <c r="B2240" s="3" t="s">
        <v>4044</v>
      </c>
      <c r="C2240" s="3" t="s">
        <v>18</v>
      </c>
      <c r="D2240" s="6" t="s">
        <v>813</v>
      </c>
      <c r="E2240" s="6" t="s">
        <v>813</v>
      </c>
      <c r="F2240" s="3" t="str">
        <f>IFERROR( VLOOKUP(A2240,#REF!,2,0),"")</f>
        <v/>
      </c>
      <c r="G2240" s="3" t="str">
        <f t="array" ref="G2240">_xlfn.XLOOKUP(I2240,Base_Datos!D:D,Base_Datos!B:B,"")</f>
        <v>DFSK</v>
      </c>
      <c r="H2240" s="3" t="str">
        <f t="array" ref="H2240">IF(I2240="","",IFERROR(_xlfn.XLOOKUP(I2240,Base_Datos!$D$2:$D3876,Base_Datos!$C$2:$C3876),""))</f>
        <v>Serie Glory</v>
      </c>
      <c r="I2240" s="3" t="s">
        <v>404</v>
      </c>
      <c r="J2240" s="3" t="str">
        <f>IF(I2240="","",IFERROR(VLOOKUP(I2240,Base_Datos!$D$2:$E$72,2,0),""))</f>
        <v>(1.5L)</v>
      </c>
      <c r="K2240" s="3" t="s">
        <v>2624</v>
      </c>
      <c r="L2240" s="3"/>
      <c r="M2240" s="7">
        <v>5</v>
      </c>
      <c r="N2240" s="7">
        <v>0</v>
      </c>
    </row>
    <row r="2241" spans="1:14" ht="14.25" x14ac:dyDescent="0.2">
      <c r="A2241" s="3">
        <v>89880</v>
      </c>
      <c r="B2241" s="3" t="s">
        <v>2280</v>
      </c>
      <c r="C2241" s="3" t="s">
        <v>18</v>
      </c>
      <c r="D2241" s="6" t="s">
        <v>814</v>
      </c>
      <c r="E2241" s="6" t="s">
        <v>4231</v>
      </c>
      <c r="F2241" s="3" t="str">
        <f>IFERROR( VLOOKUP(A2241,#REF!,2,0),"")</f>
        <v/>
      </c>
      <c r="G2241" s="3" t="str">
        <f t="array" ref="G2241">_xlfn.XLOOKUP(I2241,Base_Datos!D:D,Base_Datos!B:B,"")</f>
        <v>DFSK</v>
      </c>
      <c r="H2241" s="3" t="str">
        <f t="array" ref="H2241">IF(I2241="","",IFERROR(_xlfn.XLOOKUP(I2241,Base_Datos!$D$2:$D3876,Base_Datos!$C$2:$C3876),""))</f>
        <v>Serie K</v>
      </c>
      <c r="I2241" s="3" t="s">
        <v>475</v>
      </c>
      <c r="J2241" s="3" t="str">
        <f>IF(I2241="","",IFERROR(VLOOKUP(I2241,Base_Datos!$D$2:$E$72,2,0),""))</f>
        <v>(1.1L)</v>
      </c>
      <c r="K2241" s="3" t="s">
        <v>2624</v>
      </c>
      <c r="L2241" s="3"/>
      <c r="M2241" s="7">
        <v>78</v>
      </c>
      <c r="N2241" s="7">
        <v>0</v>
      </c>
    </row>
    <row r="2242" spans="1:14" ht="14.25" x14ac:dyDescent="0.2">
      <c r="A2242" s="3">
        <v>89881</v>
      </c>
      <c r="B2242" s="3" t="s">
        <v>4232</v>
      </c>
      <c r="C2242" s="3" t="s">
        <v>18</v>
      </c>
      <c r="D2242" s="6" t="s">
        <v>815</v>
      </c>
      <c r="E2242" s="6" t="s">
        <v>815</v>
      </c>
      <c r="F2242" s="3" t="str">
        <f>IFERROR( VLOOKUP(A2242,#REF!,2,0),"")</f>
        <v/>
      </c>
      <c r="G2242" s="3" t="str">
        <f t="array" ref="G2242">_xlfn.XLOOKUP(I2242,Base_Datos!D:D,Base_Datos!B:B,"")</f>
        <v>DFSK</v>
      </c>
      <c r="H2242" s="3" t="str">
        <f t="array" ref="H2242">IF(I2242="","",IFERROR(_xlfn.XLOOKUP(I2242,Base_Datos!$D$2:$D3876,Base_Datos!$C$2:$C3876),""))</f>
        <v>Serie K</v>
      </c>
      <c r="I2242" s="3" t="s">
        <v>475</v>
      </c>
      <c r="J2242" s="3" t="str">
        <f>IF(I2242="","",IFERROR(VLOOKUP(I2242,Base_Datos!$D$2:$E$72,2,0),""))</f>
        <v>(1.1L)</v>
      </c>
      <c r="K2242" s="3" t="s">
        <v>2624</v>
      </c>
      <c r="L2242" s="3"/>
      <c r="M2242" s="7">
        <v>18</v>
      </c>
      <c r="N2242" s="7">
        <v>0</v>
      </c>
    </row>
    <row r="2243" spans="1:14" ht="14.25" x14ac:dyDescent="0.2">
      <c r="A2243" s="3">
        <v>89882</v>
      </c>
      <c r="B2243" s="3" t="s">
        <v>2805</v>
      </c>
      <c r="C2243" s="3" t="s">
        <v>18</v>
      </c>
      <c r="D2243" s="6" t="s">
        <v>816</v>
      </c>
      <c r="E2243" s="6" t="s">
        <v>816</v>
      </c>
      <c r="F2243" s="3" t="str">
        <f>IFERROR( VLOOKUP(A2243,#REF!,2,0),"")</f>
        <v/>
      </c>
      <c r="G2243" s="3" t="str">
        <f t="array" ref="G2243">_xlfn.XLOOKUP(I2243,Base_Datos!D:D,Base_Datos!B:B,"")</f>
        <v>DFSK</v>
      </c>
      <c r="H2243" s="3" t="str">
        <f t="array" ref="H2243">IF(I2243="","",IFERROR(_xlfn.XLOOKUP(I2243,Base_Datos!$D$2:$D3876,Base_Datos!$C$2:$C3876),""))</f>
        <v>Serie K</v>
      </c>
      <c r="I2243" s="3" t="s">
        <v>475</v>
      </c>
      <c r="J2243" s="3" t="str">
        <f>IF(I2243="","",IFERROR(VLOOKUP(I2243,Base_Datos!$D$2:$E$72,2,0),""))</f>
        <v>(1.1L)</v>
      </c>
      <c r="K2243" s="3" t="s">
        <v>2624</v>
      </c>
      <c r="L2243" s="3"/>
      <c r="M2243" s="7">
        <v>12</v>
      </c>
      <c r="N2243" s="7">
        <v>0</v>
      </c>
    </row>
    <row r="2244" spans="1:14" ht="14.25" x14ac:dyDescent="0.2">
      <c r="A2244" s="3">
        <v>89883</v>
      </c>
      <c r="B2244" s="3" t="s">
        <v>4233</v>
      </c>
      <c r="C2244" s="3" t="s">
        <v>23</v>
      </c>
      <c r="D2244" s="6" t="s">
        <v>817</v>
      </c>
      <c r="E2244" s="6" t="s">
        <v>817</v>
      </c>
      <c r="F2244" s="3" t="str">
        <f>IFERROR( VLOOKUP(A2244,#REF!,2,0),"")</f>
        <v/>
      </c>
      <c r="G2244" s="3" t="str">
        <f t="array" ref="G2244">_xlfn.XLOOKUP(I2244,Base_Datos!D:D,Base_Datos!B:B,"")</f>
        <v>DFSK</v>
      </c>
      <c r="H2244" s="3" t="str">
        <f t="array" ref="H2244">IF(I2244="","",IFERROR(_xlfn.XLOOKUP(I2244,Base_Datos!$D$2:$D3876,Base_Datos!$C$2:$C3876),""))</f>
        <v>Serie Glory</v>
      </c>
      <c r="I2244" s="3" t="s">
        <v>404</v>
      </c>
      <c r="J2244" s="3" t="str">
        <f>IF(I2244="","",IFERROR(VLOOKUP(I2244,Base_Datos!$D$2:$E$72,2,0),""))</f>
        <v>(1.5L)</v>
      </c>
      <c r="K2244" s="3" t="s">
        <v>2624</v>
      </c>
      <c r="L2244" s="3"/>
      <c r="M2244" s="7">
        <v>7</v>
      </c>
      <c r="N2244" s="7">
        <v>0</v>
      </c>
    </row>
    <row r="2245" spans="1:14" ht="14.25" x14ac:dyDescent="0.2">
      <c r="A2245" s="3">
        <v>89884</v>
      </c>
      <c r="B2245" s="3" t="s">
        <v>3819</v>
      </c>
      <c r="C2245" s="3" t="s">
        <v>18</v>
      </c>
      <c r="D2245" s="6" t="s">
        <v>818</v>
      </c>
      <c r="E2245" s="6" t="s">
        <v>4234</v>
      </c>
      <c r="F2245" s="3" t="str">
        <f>IFERROR( VLOOKUP(A2245,#REF!,2,0),"")</f>
        <v/>
      </c>
      <c r="G2245" s="3" t="str">
        <f t="array" ref="G2245">_xlfn.XLOOKUP(I2245,Base_Datos!D:D,Base_Datos!B:B,"")</f>
        <v>DFSK</v>
      </c>
      <c r="H2245" s="3" t="str">
        <f t="array" ref="H2245">IF(I2245="","",IFERROR(_xlfn.XLOOKUP(I2245,Base_Datos!$D$2:$D3876,Base_Datos!$C$2:$C3876),""))</f>
        <v>Serie Glory</v>
      </c>
      <c r="I2245" s="3" t="s">
        <v>404</v>
      </c>
      <c r="J2245" s="3" t="str">
        <f>IF(I2245="","",IFERROR(VLOOKUP(I2245,Base_Datos!$D$2:$E$72,2,0),""))</f>
        <v>(1.5L)</v>
      </c>
      <c r="K2245" s="3" t="s">
        <v>2624</v>
      </c>
      <c r="L2245" s="3"/>
      <c r="M2245" s="7">
        <v>10</v>
      </c>
      <c r="N2245" s="7">
        <v>0</v>
      </c>
    </row>
    <row r="2246" spans="1:14" ht="14.25" x14ac:dyDescent="0.2">
      <c r="A2246" s="3">
        <v>89885</v>
      </c>
      <c r="B2246" s="3" t="s">
        <v>4056</v>
      </c>
      <c r="C2246" s="3" t="s">
        <v>18</v>
      </c>
      <c r="D2246" s="6" t="s">
        <v>819</v>
      </c>
      <c r="E2246" s="6" t="s">
        <v>819</v>
      </c>
      <c r="F2246" s="3" t="str">
        <f>IFERROR( VLOOKUP(A2246,#REF!,2,0),"")</f>
        <v/>
      </c>
      <c r="G2246" s="3" t="str">
        <f t="array" ref="G2246">_xlfn.XLOOKUP(I2246,Base_Datos!D:D,Base_Datos!B:B,"")</f>
        <v>DFSK</v>
      </c>
      <c r="H2246" s="3" t="str">
        <f t="array" ref="H2246">IF(I2246="","",IFERROR(_xlfn.XLOOKUP(I2246,Base_Datos!$D$2:$D3876,Base_Datos!$C$2:$C3876),""))</f>
        <v>Serie Glory</v>
      </c>
      <c r="I2246" s="3" t="s">
        <v>1765</v>
      </c>
      <c r="J2246" s="3" t="str">
        <f>IF(I2246="","",IFERROR(VLOOKUP(I2246,Base_Datos!$D$2:$E$72,2,0),""))</f>
        <v>(1.5L)</v>
      </c>
      <c r="K2246" s="3" t="s">
        <v>2624</v>
      </c>
      <c r="L2246" s="3"/>
      <c r="M2246" s="7">
        <v>30</v>
      </c>
      <c r="N2246" s="7">
        <v>0</v>
      </c>
    </row>
    <row r="2247" spans="1:14" ht="14.25" x14ac:dyDescent="0.2">
      <c r="A2247" s="3">
        <v>89886</v>
      </c>
      <c r="B2247" s="3" t="s">
        <v>3821</v>
      </c>
      <c r="C2247" s="3" t="s">
        <v>18</v>
      </c>
      <c r="D2247" s="6" t="s">
        <v>820</v>
      </c>
      <c r="E2247" s="6" t="s">
        <v>820</v>
      </c>
      <c r="F2247" s="3" t="str">
        <f>IFERROR( VLOOKUP(A2247,#REF!,2,0),"")</f>
        <v/>
      </c>
      <c r="G2247" s="3" t="str">
        <f t="array" ref="G2247">_xlfn.XLOOKUP(I2247,Base_Datos!D:D,Base_Datos!B:B,"")</f>
        <v>DFSK</v>
      </c>
      <c r="H2247" s="3" t="str">
        <f t="array" ref="H2247">IF(I2247="","",IFERROR(_xlfn.XLOOKUP(I2247,Base_Datos!$D$2:$D3876,Base_Datos!$C$2:$C3876),""))</f>
        <v>Serie Glory</v>
      </c>
      <c r="I2247" s="3" t="s">
        <v>404</v>
      </c>
      <c r="J2247" s="3" t="str">
        <f>IF(I2247="","",IFERROR(VLOOKUP(I2247,Base_Datos!$D$2:$E$72,2,0),""))</f>
        <v>(1.5L)</v>
      </c>
      <c r="K2247" s="3" t="s">
        <v>2624</v>
      </c>
      <c r="L2247" s="3"/>
      <c r="M2247" s="7">
        <v>10</v>
      </c>
      <c r="N2247" s="7">
        <v>0</v>
      </c>
    </row>
    <row r="2248" spans="1:14" ht="14.25" x14ac:dyDescent="0.2">
      <c r="A2248" s="3">
        <v>89887</v>
      </c>
      <c r="B2248" s="3" t="s">
        <v>1829</v>
      </c>
      <c r="C2248" s="3" t="s">
        <v>18</v>
      </c>
      <c r="D2248" s="6" t="s">
        <v>821</v>
      </c>
      <c r="E2248" s="6" t="s">
        <v>821</v>
      </c>
      <c r="F2248" s="3" t="str">
        <f>IFERROR( VLOOKUP(A2248,#REF!,2,0),"")</f>
        <v/>
      </c>
      <c r="G2248" s="3" t="str">
        <f t="array" ref="G2248">_xlfn.XLOOKUP(I2248,Base_Datos!D:D,Base_Datos!B:B,"")</f>
        <v>DFSK</v>
      </c>
      <c r="H2248" s="3" t="str">
        <f t="array" ref="H2248">IF(I2248="","",IFERROR(_xlfn.XLOOKUP(I2248,Base_Datos!$D$2:$D3876,Base_Datos!$C$2:$C3876),""))</f>
        <v>Serie K</v>
      </c>
      <c r="I2248" s="3" t="s">
        <v>475</v>
      </c>
      <c r="J2248" s="3" t="str">
        <f>IF(I2248="","",IFERROR(VLOOKUP(I2248,Base_Datos!$D$2:$E$72,2,0),""))</f>
        <v>(1.1L)</v>
      </c>
      <c r="K2248" s="3" t="s">
        <v>2624</v>
      </c>
      <c r="L2248" s="3"/>
      <c r="M2248" s="7">
        <v>16</v>
      </c>
      <c r="N2248" s="7">
        <v>0</v>
      </c>
    </row>
    <row r="2249" spans="1:14" ht="14.25" x14ac:dyDescent="0.2">
      <c r="A2249" s="3">
        <v>89888</v>
      </c>
      <c r="B2249" s="3" t="s">
        <v>3826</v>
      </c>
      <c r="C2249" s="3" t="s">
        <v>18</v>
      </c>
      <c r="D2249" s="6" t="s">
        <v>4235</v>
      </c>
      <c r="E2249" s="6" t="s">
        <v>4235</v>
      </c>
      <c r="F2249" s="3" t="str">
        <f>IFERROR( VLOOKUP(A2249,#REF!,2,0),"")</f>
        <v/>
      </c>
      <c r="G2249" s="3" t="str">
        <f t="array" ref="G2249">_xlfn.XLOOKUP(I2249,Base_Datos!D:D,Base_Datos!B:B,"")</f>
        <v>DFSK</v>
      </c>
      <c r="H2249" s="3" t="str">
        <f t="array" ref="H2249">IF(I2249="","",IFERROR(_xlfn.XLOOKUP(I2249,Base_Datos!$D$2:$D3876,Base_Datos!$C$2:$C3876),""))</f>
        <v>Serie Glory</v>
      </c>
      <c r="I2249" s="3" t="s">
        <v>404</v>
      </c>
      <c r="J2249" s="3" t="str">
        <f>IF(I2249="","",IFERROR(VLOOKUP(I2249,Base_Datos!$D$2:$E$72,2,0),""))</f>
        <v>(1.5L)</v>
      </c>
      <c r="K2249" s="3" t="s">
        <v>2624</v>
      </c>
      <c r="L2249" s="3"/>
      <c r="M2249" s="7">
        <v>2</v>
      </c>
      <c r="N2249" s="7">
        <v>0</v>
      </c>
    </row>
    <row r="2250" spans="1:14" ht="14.25" x14ac:dyDescent="0.2">
      <c r="A2250" s="3">
        <v>89889</v>
      </c>
      <c r="B2250" s="3" t="s">
        <v>3824</v>
      </c>
      <c r="C2250" s="3" t="s">
        <v>18</v>
      </c>
      <c r="D2250" s="6" t="s">
        <v>822</v>
      </c>
      <c r="E2250" s="6" t="s">
        <v>822</v>
      </c>
      <c r="F2250" s="3" t="str">
        <f>IFERROR( VLOOKUP(A2250,#REF!,2,0),"")</f>
        <v/>
      </c>
      <c r="G2250" s="3" t="str">
        <f t="array" ref="G2250">_xlfn.XLOOKUP(I2250,Base_Datos!D:D,Base_Datos!B:B,"")</f>
        <v>DFSK</v>
      </c>
      <c r="H2250" s="3" t="str">
        <f t="array" ref="H2250">IF(I2250="","",IFERROR(_xlfn.XLOOKUP(I2250,Base_Datos!$D$2:$D3876,Base_Datos!$C$2:$C3876),""))</f>
        <v>Serie Glory</v>
      </c>
      <c r="I2250" s="3" t="s">
        <v>404</v>
      </c>
      <c r="J2250" s="3" t="str">
        <f>IF(I2250="","",IFERROR(VLOOKUP(I2250,Base_Datos!$D$2:$E$72,2,0),""))</f>
        <v>(1.5L)</v>
      </c>
      <c r="K2250" s="3" t="s">
        <v>2624</v>
      </c>
      <c r="L2250" s="3"/>
      <c r="M2250" s="7">
        <v>21</v>
      </c>
      <c r="N2250" s="7">
        <v>0</v>
      </c>
    </row>
    <row r="2251" spans="1:14" ht="14.25" x14ac:dyDescent="0.2">
      <c r="A2251" s="3">
        <v>89890</v>
      </c>
      <c r="B2251" s="3" t="s">
        <v>1787</v>
      </c>
      <c r="C2251" s="3" t="s">
        <v>18</v>
      </c>
      <c r="D2251" s="6" t="s">
        <v>823</v>
      </c>
      <c r="E2251" s="6" t="s">
        <v>823</v>
      </c>
      <c r="F2251" s="3" t="str">
        <f>IFERROR( VLOOKUP(A2251,#REF!,2,0),"")</f>
        <v/>
      </c>
      <c r="G2251" s="3" t="str">
        <f t="array" ref="G2251">_xlfn.XLOOKUP(I2251,Base_Datos!D:D,Base_Datos!B:B,"")</f>
        <v>DFSK</v>
      </c>
      <c r="H2251" s="3" t="str">
        <f t="array" ref="H2251">IF(I2251="","",IFERROR(_xlfn.XLOOKUP(I2251,Base_Datos!$D$2:$D3876,Base_Datos!$C$2:$C3876),""))</f>
        <v>Serie Glory</v>
      </c>
      <c r="I2251" s="3" t="s">
        <v>404</v>
      </c>
      <c r="J2251" s="3" t="str">
        <f>IF(I2251="","",IFERROR(VLOOKUP(I2251,Base_Datos!$D$2:$E$72,2,0),""))</f>
        <v>(1.5L)</v>
      </c>
      <c r="K2251" s="3" t="s">
        <v>2624</v>
      </c>
      <c r="L2251" s="3"/>
      <c r="M2251" s="7">
        <v>2</v>
      </c>
      <c r="N2251" s="7">
        <v>0</v>
      </c>
    </row>
    <row r="2252" spans="1:14" ht="14.25" x14ac:dyDescent="0.2">
      <c r="A2252" s="3">
        <v>89891</v>
      </c>
      <c r="B2252" s="3" t="s">
        <v>4236</v>
      </c>
      <c r="C2252" s="3" t="s">
        <v>23</v>
      </c>
      <c r="D2252" s="6" t="s">
        <v>824</v>
      </c>
      <c r="E2252" s="6" t="s">
        <v>824</v>
      </c>
      <c r="F2252" s="3" t="str">
        <f>IFERROR( VLOOKUP(A2252,#REF!,2,0),"")</f>
        <v/>
      </c>
      <c r="G2252" s="3" t="str">
        <f t="array" ref="G2252">_xlfn.XLOOKUP(I2252,Base_Datos!D:D,Base_Datos!B:B,"")</f>
        <v>DFSK</v>
      </c>
      <c r="H2252" s="3" t="str">
        <f t="array" ref="H2252">IF(I2252="","",IFERROR(_xlfn.XLOOKUP(I2252,Base_Datos!$D$2:$D3876,Base_Datos!$C$2:$C3876),""))</f>
        <v>Serie Glory</v>
      </c>
      <c r="I2252" s="3" t="s">
        <v>404</v>
      </c>
      <c r="J2252" s="3" t="str">
        <f>IF(I2252="","",IFERROR(VLOOKUP(I2252,Base_Datos!$D$2:$E$72,2,0),""))</f>
        <v>(1.5L)</v>
      </c>
      <c r="K2252" s="3" t="s">
        <v>2624</v>
      </c>
      <c r="L2252" s="3"/>
      <c r="M2252" s="7">
        <v>8</v>
      </c>
      <c r="N2252" s="7">
        <v>0</v>
      </c>
    </row>
    <row r="2253" spans="1:14" ht="14.25" x14ac:dyDescent="0.2">
      <c r="A2253" s="3">
        <v>89892</v>
      </c>
      <c r="B2253" s="3" t="s">
        <v>4237</v>
      </c>
      <c r="C2253" s="3" t="s">
        <v>23</v>
      </c>
      <c r="D2253" s="6" t="s">
        <v>825</v>
      </c>
      <c r="E2253" s="6" t="s">
        <v>825</v>
      </c>
      <c r="F2253" s="3" t="str">
        <f>IFERROR( VLOOKUP(A2253,#REF!,2,0),"")</f>
        <v/>
      </c>
      <c r="G2253" s="3" t="str">
        <f t="array" ref="G2253">_xlfn.XLOOKUP(I2253,Base_Datos!D:D,Base_Datos!B:B,"")</f>
        <v>DFSK</v>
      </c>
      <c r="H2253" s="3" t="str">
        <f t="array" ref="H2253">IF(I2253="","",IFERROR(_xlfn.XLOOKUP(I2253,Base_Datos!$D$2:$D3876,Base_Datos!$C$2:$C3876),""))</f>
        <v>Serie K</v>
      </c>
      <c r="I2253" s="3" t="s">
        <v>475</v>
      </c>
      <c r="J2253" s="3" t="str">
        <f>IF(I2253="","",IFERROR(VLOOKUP(I2253,Base_Datos!$D$2:$E$72,2,0),""))</f>
        <v>(1.1L)</v>
      </c>
      <c r="K2253" s="3" t="s">
        <v>2624</v>
      </c>
      <c r="L2253" s="3"/>
      <c r="M2253" s="7">
        <v>18</v>
      </c>
      <c r="N2253" s="7">
        <v>0</v>
      </c>
    </row>
    <row r="2254" spans="1:14" ht="14.25" x14ac:dyDescent="0.2">
      <c r="A2254" s="3">
        <v>89893</v>
      </c>
      <c r="B2254" s="3" t="s">
        <v>2929</v>
      </c>
      <c r="C2254" s="3" t="s">
        <v>18</v>
      </c>
      <c r="D2254" s="6" t="s">
        <v>826</v>
      </c>
      <c r="E2254" s="6" t="s">
        <v>826</v>
      </c>
      <c r="F2254" s="3" t="str">
        <f>IFERROR( VLOOKUP(A2254,#REF!,2,0),"")</f>
        <v/>
      </c>
      <c r="G2254" s="3" t="str">
        <f t="array" ref="G2254">_xlfn.XLOOKUP(I2254,Base_Datos!D:D,Base_Datos!B:B,"")</f>
        <v>DFSK</v>
      </c>
      <c r="H2254" s="3" t="str">
        <f t="array" ref="H2254">IF(I2254="","",IFERROR(_xlfn.XLOOKUP(I2254,Base_Datos!$D$2:$D3876,Base_Datos!$C$2:$C3876),""))</f>
        <v>Serie K</v>
      </c>
      <c r="I2254" s="3" t="s">
        <v>475</v>
      </c>
      <c r="J2254" s="3" t="str">
        <f>IF(I2254="","",IFERROR(VLOOKUP(I2254,Base_Datos!$D$2:$E$72,2,0),""))</f>
        <v>(1.1L)</v>
      </c>
      <c r="K2254" s="3" t="s">
        <v>2624</v>
      </c>
      <c r="L2254" s="3"/>
      <c r="M2254" s="7">
        <v>63</v>
      </c>
      <c r="N2254" s="7">
        <v>0</v>
      </c>
    </row>
    <row r="2255" spans="1:14" ht="14.25" x14ac:dyDescent="0.2">
      <c r="A2255" s="3">
        <v>89894</v>
      </c>
      <c r="B2255" s="3" t="s">
        <v>4238</v>
      </c>
      <c r="C2255" s="3" t="s">
        <v>18</v>
      </c>
      <c r="D2255" s="6" t="s">
        <v>827</v>
      </c>
      <c r="E2255" s="6" t="s">
        <v>827</v>
      </c>
      <c r="F2255" s="3" t="str">
        <f>IFERROR( VLOOKUP(A2255,#REF!,2,0),"")</f>
        <v/>
      </c>
      <c r="G2255" s="3" t="str">
        <f t="array" ref="G2255">_xlfn.XLOOKUP(I2255,Base_Datos!D:D,Base_Datos!B:B,"")</f>
        <v>DFSK</v>
      </c>
      <c r="H2255" s="3" t="str">
        <f t="array" ref="H2255">IF(I2255="","",IFERROR(_xlfn.XLOOKUP(I2255,Base_Datos!$D$2:$D3876,Base_Datos!$C$2:$C3876),""))</f>
        <v>Serie Glory</v>
      </c>
      <c r="I2255" s="3" t="s">
        <v>404</v>
      </c>
      <c r="J2255" s="3" t="str">
        <f>IF(I2255="","",IFERROR(VLOOKUP(I2255,Base_Datos!$D$2:$E$72,2,0),""))</f>
        <v>(1.5L)</v>
      </c>
      <c r="K2255" s="3" t="s">
        <v>2624</v>
      </c>
      <c r="L2255" s="3"/>
      <c r="M2255" s="7">
        <v>18</v>
      </c>
      <c r="N2255" s="7">
        <v>0</v>
      </c>
    </row>
    <row r="2256" spans="1:14" ht="14.25" x14ac:dyDescent="0.2">
      <c r="A2256" s="3">
        <v>89895</v>
      </c>
      <c r="B2256" s="3" t="s">
        <v>3066</v>
      </c>
      <c r="C2256" s="3" t="s">
        <v>18</v>
      </c>
      <c r="D2256" s="6" t="s">
        <v>828</v>
      </c>
      <c r="E2256" s="6" t="s">
        <v>828</v>
      </c>
      <c r="F2256" s="3" t="str">
        <f>IFERROR( VLOOKUP(A2256,#REF!,2,0),"")</f>
        <v/>
      </c>
      <c r="G2256" s="3" t="str">
        <f t="array" ref="G2256">_xlfn.XLOOKUP(I2256,Base_Datos!D:D,Base_Datos!B:B,"")</f>
        <v>DFSK</v>
      </c>
      <c r="H2256" s="3" t="str">
        <f t="array" ref="H2256">IF(I2256="","",IFERROR(_xlfn.XLOOKUP(I2256,Base_Datos!$D$2:$D3876,Base_Datos!$C$2:$C3876),""))</f>
        <v>Serie K</v>
      </c>
      <c r="I2256" s="3" t="s">
        <v>475</v>
      </c>
      <c r="J2256" s="3" t="str">
        <f>IF(I2256="","",IFERROR(VLOOKUP(I2256,Base_Datos!$D$2:$E$72,2,0),""))</f>
        <v>(1.1L)</v>
      </c>
      <c r="K2256" s="3" t="s">
        <v>2624</v>
      </c>
      <c r="L2256" s="3"/>
      <c r="M2256" s="7">
        <v>59</v>
      </c>
      <c r="N2256" s="7">
        <v>0</v>
      </c>
    </row>
    <row r="2257" spans="1:14" ht="14.25" x14ac:dyDescent="0.2">
      <c r="A2257" s="3">
        <v>89896</v>
      </c>
      <c r="B2257" s="3" t="s">
        <v>3068</v>
      </c>
      <c r="C2257" s="3" t="s">
        <v>18</v>
      </c>
      <c r="D2257" s="6" t="s">
        <v>829</v>
      </c>
      <c r="E2257" s="6" t="s">
        <v>829</v>
      </c>
      <c r="F2257" s="3" t="str">
        <f>IFERROR( VLOOKUP(A2257,#REF!,2,0),"")</f>
        <v/>
      </c>
      <c r="G2257" s="3" t="str">
        <f t="array" ref="G2257">_xlfn.XLOOKUP(I2257,Base_Datos!D:D,Base_Datos!B:B,"")</f>
        <v>DFSK</v>
      </c>
      <c r="H2257" s="3" t="str">
        <f t="array" ref="H2257">IF(I2257="","",IFERROR(_xlfn.XLOOKUP(I2257,Base_Datos!$D$2:$D3876,Base_Datos!$C$2:$C3876),""))</f>
        <v>Serie K</v>
      </c>
      <c r="I2257" s="3" t="s">
        <v>475</v>
      </c>
      <c r="J2257" s="3" t="str">
        <f>IF(I2257="","",IFERROR(VLOOKUP(I2257,Base_Datos!$D$2:$E$72,2,0),""))</f>
        <v>(1.1L)</v>
      </c>
      <c r="K2257" s="3" t="s">
        <v>2624</v>
      </c>
      <c r="L2257" s="3"/>
      <c r="M2257" s="7">
        <v>59</v>
      </c>
      <c r="N2257" s="7">
        <v>0</v>
      </c>
    </row>
    <row r="2258" spans="1:14" ht="14.25" x14ac:dyDescent="0.2">
      <c r="A2258" s="3">
        <v>89897</v>
      </c>
      <c r="B2258" s="3" t="s">
        <v>3389</v>
      </c>
      <c r="C2258" s="3" t="s">
        <v>18</v>
      </c>
      <c r="D2258" s="6" t="s">
        <v>830</v>
      </c>
      <c r="E2258" s="6" t="s">
        <v>830</v>
      </c>
      <c r="F2258" s="3" t="str">
        <f>IFERROR( VLOOKUP(A2258,#REF!,2,0),"")</f>
        <v/>
      </c>
      <c r="G2258" s="3" t="str">
        <f t="array" ref="G2258">_xlfn.XLOOKUP(I2258,Base_Datos!D:D,Base_Datos!B:B,"")</f>
        <v>DFSK</v>
      </c>
      <c r="H2258" s="3" t="str">
        <f t="array" ref="H2258">IF(I2258="","",IFERROR(_xlfn.XLOOKUP(I2258,Base_Datos!$D$2:$D3876,Base_Datos!$C$2:$C3876),""))</f>
        <v>Serie Glory</v>
      </c>
      <c r="I2258" s="3" t="s">
        <v>404</v>
      </c>
      <c r="J2258" s="3" t="str">
        <f>IF(I2258="","",IFERROR(VLOOKUP(I2258,Base_Datos!$D$2:$E$72,2,0),""))</f>
        <v>(1.5L)</v>
      </c>
      <c r="K2258" s="3" t="s">
        <v>2624</v>
      </c>
      <c r="L2258" s="3"/>
      <c r="M2258" s="7">
        <v>151</v>
      </c>
      <c r="N2258" s="7">
        <v>0</v>
      </c>
    </row>
    <row r="2259" spans="1:14" ht="14.25" x14ac:dyDescent="0.2">
      <c r="A2259" s="3">
        <v>89898</v>
      </c>
      <c r="B2259" s="3" t="s">
        <v>3387</v>
      </c>
      <c r="C2259" s="3" t="s">
        <v>18</v>
      </c>
      <c r="D2259" s="6" t="s">
        <v>831</v>
      </c>
      <c r="E2259" s="6" t="s">
        <v>831</v>
      </c>
      <c r="F2259" s="3" t="str">
        <f>IFERROR( VLOOKUP(A2259,#REF!,2,0),"")</f>
        <v/>
      </c>
      <c r="G2259" s="3" t="str">
        <f t="array" ref="G2259">_xlfn.XLOOKUP(I2259,Base_Datos!D:D,Base_Datos!B:B,"")</f>
        <v>DFSK</v>
      </c>
      <c r="H2259" s="3" t="str">
        <f t="array" ref="H2259">IF(I2259="","",IFERROR(_xlfn.XLOOKUP(I2259,Base_Datos!$D$2:$D3876,Base_Datos!$C$2:$C3876),""))</f>
        <v>Serie Glory</v>
      </c>
      <c r="I2259" s="3" t="s">
        <v>404</v>
      </c>
      <c r="J2259" s="3" t="str">
        <f>IF(I2259="","",IFERROR(VLOOKUP(I2259,Base_Datos!$D$2:$E$72,2,0),""))</f>
        <v>(1.5L)</v>
      </c>
      <c r="K2259" s="3" t="s">
        <v>2624</v>
      </c>
      <c r="L2259" s="3"/>
      <c r="M2259" s="7">
        <v>150</v>
      </c>
      <c r="N2259" s="7">
        <v>0</v>
      </c>
    </row>
    <row r="2260" spans="1:14" ht="14.25" x14ac:dyDescent="0.2">
      <c r="A2260" s="3">
        <v>89899</v>
      </c>
      <c r="B2260" s="3" t="s">
        <v>4239</v>
      </c>
      <c r="C2260" s="3" t="s">
        <v>18</v>
      </c>
      <c r="D2260" s="6" t="s">
        <v>4240</v>
      </c>
      <c r="E2260" s="6" t="s">
        <v>4240</v>
      </c>
      <c r="F2260" s="3" t="str">
        <f>IFERROR( VLOOKUP(A2260,#REF!,2,0),"")</f>
        <v/>
      </c>
      <c r="G2260" s="3" t="str">
        <f t="array" ref="G2260">_xlfn.XLOOKUP(I2260,Base_Datos!D:D,Base_Datos!B:B,"")</f>
        <v>DFSK</v>
      </c>
      <c r="H2260" s="3" t="str">
        <f t="array" ref="H2260">IF(I2260="","",IFERROR(_xlfn.XLOOKUP(I2260,Base_Datos!$D$2:$D3876,Base_Datos!$C$2:$C3876),""))</f>
        <v>Serie K</v>
      </c>
      <c r="I2260" s="3" t="s">
        <v>475</v>
      </c>
      <c r="J2260" s="3" t="str">
        <f>IF(I2260="","",IFERROR(VLOOKUP(I2260,Base_Datos!$D$2:$E$72,2,0),""))</f>
        <v>(1.1L)</v>
      </c>
      <c r="K2260" s="3" t="s">
        <v>2624</v>
      </c>
      <c r="L2260" s="3"/>
      <c r="M2260" s="7">
        <v>11</v>
      </c>
      <c r="N2260" s="7">
        <v>0</v>
      </c>
    </row>
    <row r="2261" spans="1:14" ht="14.25" x14ac:dyDescent="0.2">
      <c r="A2261" s="3">
        <v>89900</v>
      </c>
      <c r="B2261" s="3" t="s">
        <v>4241</v>
      </c>
      <c r="C2261" s="3" t="s">
        <v>23</v>
      </c>
      <c r="D2261" s="6" t="s">
        <v>305</v>
      </c>
      <c r="E2261" s="6" t="s">
        <v>305</v>
      </c>
      <c r="F2261" s="3" t="str">
        <f>IFERROR( VLOOKUP(A2261,#REF!,2,0),"")</f>
        <v/>
      </c>
      <c r="G2261" s="3" t="str">
        <f t="array" ref="G2261">_xlfn.XLOOKUP(I2261,Base_Datos!D:D,Base_Datos!B:B,"")</f>
        <v>DFSK</v>
      </c>
      <c r="H2261" s="3" t="str">
        <f t="array" ref="H2261">IF(I2261="","",IFERROR(_xlfn.XLOOKUP(I2261,Base_Datos!$D$2:$D3876,Base_Datos!$C$2:$C3876),""))</f>
        <v>Serie Glory</v>
      </c>
      <c r="I2261" s="3" t="s">
        <v>404</v>
      </c>
      <c r="J2261" s="3" t="str">
        <f>IF(I2261="","",IFERROR(VLOOKUP(I2261,Base_Datos!$D$2:$E$72,2,0),""))</f>
        <v>(1.5L)</v>
      </c>
      <c r="K2261" s="3" t="s">
        <v>3698</v>
      </c>
      <c r="L2261" s="3"/>
      <c r="M2261" s="7">
        <v>16</v>
      </c>
      <c r="N2261" s="7">
        <v>0</v>
      </c>
    </row>
    <row r="2262" spans="1:14" ht="14.25" x14ac:dyDescent="0.2">
      <c r="A2262" s="3">
        <v>89901</v>
      </c>
      <c r="B2262" s="3" t="s">
        <v>4242</v>
      </c>
      <c r="C2262" s="3" t="s">
        <v>18</v>
      </c>
      <c r="D2262" s="6" t="s">
        <v>832</v>
      </c>
      <c r="E2262" s="6" t="s">
        <v>4243</v>
      </c>
      <c r="F2262" s="3" t="str">
        <f>IFERROR( VLOOKUP(A2262,#REF!,2,0),"")</f>
        <v/>
      </c>
      <c r="G2262" s="3" t="str">
        <f t="array" ref="G2262">_xlfn.XLOOKUP(I2262,Base_Datos!D:D,Base_Datos!B:B,"")</f>
        <v>DFSK</v>
      </c>
      <c r="H2262" s="3" t="str">
        <f t="array" ref="H2262">IF(I2262="","",IFERROR(_xlfn.XLOOKUP(I2262,Base_Datos!$D$2:$D3876,Base_Datos!$C$2:$C3876),""))</f>
        <v>Serie K</v>
      </c>
      <c r="I2262" s="3" t="s">
        <v>475</v>
      </c>
      <c r="J2262" s="3" t="str">
        <f>IF(I2262="","",IFERROR(VLOOKUP(I2262,Base_Datos!$D$2:$E$72,2,0),""))</f>
        <v>(1.1L)</v>
      </c>
      <c r="K2262" s="3" t="s">
        <v>2624</v>
      </c>
      <c r="L2262" s="3"/>
      <c r="M2262" s="7">
        <v>100</v>
      </c>
      <c r="N2262" s="7">
        <v>0</v>
      </c>
    </row>
    <row r="2263" spans="1:14" ht="14.25" x14ac:dyDescent="0.2">
      <c r="A2263" s="3">
        <v>89902</v>
      </c>
      <c r="B2263" s="3" t="s">
        <v>4244</v>
      </c>
      <c r="C2263" s="3" t="s">
        <v>18</v>
      </c>
      <c r="D2263" s="6" t="s">
        <v>833</v>
      </c>
      <c r="E2263" s="6" t="s">
        <v>833</v>
      </c>
      <c r="F2263" s="3" t="str">
        <f>IFERROR( VLOOKUP(A2263,#REF!,2,0),"")</f>
        <v/>
      </c>
      <c r="G2263" s="3" t="str">
        <f t="array" ref="G2263">_xlfn.XLOOKUP(I2263,Base_Datos!D:D,Base_Datos!B:B,"")</f>
        <v>DFSK</v>
      </c>
      <c r="H2263" s="3" t="str">
        <f t="array" ref="H2263">IF(I2263="","",IFERROR(_xlfn.XLOOKUP(I2263,Base_Datos!$D$2:$D3876,Base_Datos!$C$2:$C3876),""))</f>
        <v>Serie Glory</v>
      </c>
      <c r="I2263" s="3" t="s">
        <v>404</v>
      </c>
      <c r="J2263" s="3" t="str">
        <f>IF(I2263="","",IFERROR(VLOOKUP(I2263,Base_Datos!$D$2:$E$72,2,0),""))</f>
        <v>(1.5L)</v>
      </c>
      <c r="K2263" s="3" t="s">
        <v>2624</v>
      </c>
      <c r="L2263" s="3"/>
      <c r="M2263" s="7">
        <v>16</v>
      </c>
      <c r="N2263" s="7">
        <v>0</v>
      </c>
    </row>
    <row r="2264" spans="1:14" ht="14.25" x14ac:dyDescent="0.2">
      <c r="A2264" s="3">
        <v>89903</v>
      </c>
      <c r="B2264" s="3" t="s">
        <v>4245</v>
      </c>
      <c r="C2264" s="3" t="s">
        <v>18</v>
      </c>
      <c r="D2264" s="6" t="s">
        <v>834</v>
      </c>
      <c r="E2264" s="6" t="s">
        <v>834</v>
      </c>
      <c r="F2264" s="3" t="str">
        <f>IFERROR( VLOOKUP(A2264,#REF!,2,0),"")</f>
        <v/>
      </c>
      <c r="G2264" s="3" t="str">
        <f t="array" ref="G2264">_xlfn.XLOOKUP(I2264,Base_Datos!D:D,Base_Datos!B:B,"")</f>
        <v>DFSK</v>
      </c>
      <c r="H2264" s="3" t="str">
        <f t="array" ref="H2264">IF(I2264="","",IFERROR(_xlfn.XLOOKUP(I2264,Base_Datos!$D$2:$D3876,Base_Datos!$C$2:$C3876),""))</f>
        <v>Serie Glory</v>
      </c>
      <c r="I2264" s="3" t="s">
        <v>404</v>
      </c>
      <c r="J2264" s="3" t="str">
        <f>IF(I2264="","",IFERROR(VLOOKUP(I2264,Base_Datos!$D$2:$E$72,2,0),""))</f>
        <v>(1.5L)</v>
      </c>
      <c r="K2264" s="3" t="s">
        <v>2624</v>
      </c>
      <c r="L2264" s="3"/>
      <c r="M2264" s="7">
        <v>15</v>
      </c>
      <c r="N2264" s="7">
        <v>0</v>
      </c>
    </row>
    <row r="2265" spans="1:14" ht="14.25" x14ac:dyDescent="0.2">
      <c r="A2265" s="3">
        <v>89904</v>
      </c>
      <c r="B2265" s="3" t="s">
        <v>4246</v>
      </c>
      <c r="C2265" s="3" t="s">
        <v>18</v>
      </c>
      <c r="D2265" s="6" t="s">
        <v>835</v>
      </c>
      <c r="E2265" s="6" t="s">
        <v>835</v>
      </c>
      <c r="F2265" s="3" t="str">
        <f>IFERROR( VLOOKUP(A2265,#REF!,2,0),"")</f>
        <v/>
      </c>
      <c r="G2265" s="3" t="str">
        <f t="array" ref="G2265">_xlfn.XLOOKUP(I2265,Base_Datos!D:D,Base_Datos!B:B,"")</f>
        <v>DFSK</v>
      </c>
      <c r="H2265" s="3" t="str">
        <f t="array" ref="H2265">IF(I2265="","",IFERROR(_xlfn.XLOOKUP(I2265,Base_Datos!$D$2:$D3876,Base_Datos!$C$2:$C3876),""))</f>
        <v>Serie Glory</v>
      </c>
      <c r="I2265" s="3" t="s">
        <v>404</v>
      </c>
      <c r="J2265" s="3" t="str">
        <f>IF(I2265="","",IFERROR(VLOOKUP(I2265,Base_Datos!$D$2:$E$72,2,0),""))</f>
        <v>(1.5L)</v>
      </c>
      <c r="K2265" s="3" t="s">
        <v>2624</v>
      </c>
      <c r="L2265" s="3"/>
      <c r="M2265" s="7">
        <v>6</v>
      </c>
      <c r="N2265" s="7">
        <v>0</v>
      </c>
    </row>
    <row r="2266" spans="1:14" ht="14.25" x14ac:dyDescent="0.2">
      <c r="A2266" s="3">
        <v>89905</v>
      </c>
      <c r="B2266" s="3" t="s">
        <v>4247</v>
      </c>
      <c r="C2266" s="3" t="s">
        <v>18</v>
      </c>
      <c r="D2266" s="6" t="s">
        <v>4248</v>
      </c>
      <c r="E2266" s="6" t="s">
        <v>4248</v>
      </c>
      <c r="F2266" s="3" t="str">
        <f>IFERROR( VLOOKUP(A2266,#REF!,2,0),"")</f>
        <v/>
      </c>
      <c r="G2266" s="3" t="str">
        <f t="array" ref="G2266">_xlfn.XLOOKUP(I2266,Base_Datos!D:D,Base_Datos!B:B,"")</f>
        <v>DFSK</v>
      </c>
      <c r="H2266" s="3" t="str">
        <f t="array" ref="H2266">IF(I2266="","",IFERROR(_xlfn.XLOOKUP(I2266,Base_Datos!$D$2:$D3876,Base_Datos!$C$2:$C3876),""))</f>
        <v>Serie Glory</v>
      </c>
      <c r="I2266" s="3" t="s">
        <v>404</v>
      </c>
      <c r="J2266" s="3" t="str">
        <f>IF(I2266="","",IFERROR(VLOOKUP(I2266,Base_Datos!$D$2:$E$72,2,0),""))</f>
        <v>(1.5L)</v>
      </c>
      <c r="K2266" s="3" t="s">
        <v>2624</v>
      </c>
      <c r="L2266" s="3"/>
      <c r="M2266" s="7">
        <v>20</v>
      </c>
      <c r="N2266" s="7">
        <v>0</v>
      </c>
    </row>
    <row r="2267" spans="1:14" ht="14.25" x14ac:dyDescent="0.2">
      <c r="A2267" s="3">
        <v>89906</v>
      </c>
      <c r="B2267" s="3" t="s">
        <v>4249</v>
      </c>
      <c r="C2267" s="3" t="s">
        <v>18</v>
      </c>
      <c r="D2267" s="6" t="s">
        <v>836</v>
      </c>
      <c r="E2267" s="6" t="s">
        <v>836</v>
      </c>
      <c r="F2267" s="3" t="str">
        <f>IFERROR( VLOOKUP(A2267,#REF!,2,0),"")</f>
        <v/>
      </c>
      <c r="G2267" s="3" t="str">
        <f t="array" ref="G2267">_xlfn.XLOOKUP(I2267,Base_Datos!D:D,Base_Datos!B:B,"")</f>
        <v>DFSK</v>
      </c>
      <c r="H2267" s="3" t="str">
        <f t="array" ref="H2267">IF(I2267="","",IFERROR(_xlfn.XLOOKUP(I2267,Base_Datos!$D$2:$D3876,Base_Datos!$C$2:$C3876),""))</f>
        <v>Serie Glory</v>
      </c>
      <c r="I2267" s="3" t="s">
        <v>404</v>
      </c>
      <c r="J2267" s="3" t="str">
        <f>IF(I2267="","",IFERROR(VLOOKUP(I2267,Base_Datos!$D$2:$E$72,2,0),""))</f>
        <v>(1.5L)</v>
      </c>
      <c r="K2267" s="3" t="s">
        <v>2624</v>
      </c>
      <c r="L2267" s="3"/>
      <c r="M2267" s="7">
        <v>18</v>
      </c>
      <c r="N2267" s="7">
        <v>0</v>
      </c>
    </row>
    <row r="2268" spans="1:14" ht="14.25" x14ac:dyDescent="0.2">
      <c r="A2268" s="3">
        <v>89907</v>
      </c>
      <c r="B2268" s="3" t="s">
        <v>4250</v>
      </c>
      <c r="C2268" s="3" t="s">
        <v>18</v>
      </c>
      <c r="D2268" s="6" t="s">
        <v>837</v>
      </c>
      <c r="E2268" s="6" t="s">
        <v>837</v>
      </c>
      <c r="F2268" s="3" t="str">
        <f>IFERROR( VLOOKUP(A2268,#REF!,2,0),"")</f>
        <v/>
      </c>
      <c r="G2268" s="3" t="str">
        <f t="array" ref="G2268">_xlfn.XLOOKUP(I2268,Base_Datos!D:D,Base_Datos!B:B,"")</f>
        <v>DFSK</v>
      </c>
      <c r="H2268" s="3" t="str">
        <f t="array" ref="H2268">IF(I2268="","",IFERROR(_xlfn.XLOOKUP(I2268,Base_Datos!$D$2:$D3876,Base_Datos!$C$2:$C3876),""))</f>
        <v>Serie Glory</v>
      </c>
      <c r="I2268" s="3" t="s">
        <v>404</v>
      </c>
      <c r="J2268" s="3" t="str">
        <f>IF(I2268="","",IFERROR(VLOOKUP(I2268,Base_Datos!$D$2:$E$72,2,0),""))</f>
        <v>(1.5L)</v>
      </c>
      <c r="K2268" s="3" t="s">
        <v>2624</v>
      </c>
      <c r="L2268" s="3"/>
      <c r="M2268" s="7">
        <v>38</v>
      </c>
      <c r="N2268" s="7">
        <v>0</v>
      </c>
    </row>
    <row r="2269" spans="1:14" ht="14.25" x14ac:dyDescent="0.2">
      <c r="A2269" s="3">
        <v>89908</v>
      </c>
      <c r="B2269" s="3" t="s">
        <v>4251</v>
      </c>
      <c r="C2269" s="3" t="s">
        <v>18</v>
      </c>
      <c r="D2269" s="6" t="s">
        <v>838</v>
      </c>
      <c r="E2269" s="6" t="s">
        <v>838</v>
      </c>
      <c r="F2269" s="3" t="str">
        <f>IFERROR( VLOOKUP(A2269,#REF!,2,0),"")</f>
        <v/>
      </c>
      <c r="G2269" s="3" t="str">
        <f t="array" ref="G2269">_xlfn.XLOOKUP(I2269,Base_Datos!D:D,Base_Datos!B:B,"")</f>
        <v>DFSK</v>
      </c>
      <c r="H2269" s="3" t="str">
        <f t="array" ref="H2269">IF(I2269="","",IFERROR(_xlfn.XLOOKUP(I2269,Base_Datos!$D$2:$D3876,Base_Datos!$C$2:$C3876),""))</f>
        <v>Serie Glory</v>
      </c>
      <c r="I2269" s="3" t="s">
        <v>404</v>
      </c>
      <c r="J2269" s="3" t="str">
        <f>IF(I2269="","",IFERROR(VLOOKUP(I2269,Base_Datos!$D$2:$E$72,2,0),""))</f>
        <v>(1.5L)</v>
      </c>
      <c r="K2269" s="3" t="s">
        <v>2624</v>
      </c>
      <c r="L2269" s="3"/>
      <c r="M2269" s="7">
        <v>40</v>
      </c>
      <c r="N2269" s="7">
        <v>0</v>
      </c>
    </row>
    <row r="2270" spans="1:14" ht="14.25" x14ac:dyDescent="0.2">
      <c r="A2270" s="3">
        <v>89909</v>
      </c>
      <c r="B2270" s="3" t="s">
        <v>4252</v>
      </c>
      <c r="C2270" s="3" t="s">
        <v>18</v>
      </c>
      <c r="D2270" s="6" t="s">
        <v>839</v>
      </c>
      <c r="E2270" s="6" t="s">
        <v>839</v>
      </c>
      <c r="F2270" s="3" t="str">
        <f>IFERROR( VLOOKUP(A2270,#REF!,2,0),"")</f>
        <v/>
      </c>
      <c r="G2270" s="3" t="str">
        <f t="array" ref="G2270">_xlfn.XLOOKUP(I2270,Base_Datos!D:D,Base_Datos!B:B,"")</f>
        <v>DFSK</v>
      </c>
      <c r="H2270" s="3" t="str">
        <f t="array" ref="H2270">IF(I2270="","",IFERROR(_xlfn.XLOOKUP(I2270,Base_Datos!$D$2:$D3876,Base_Datos!$C$2:$C3876),""))</f>
        <v>Serie Glory</v>
      </c>
      <c r="I2270" s="3" t="s">
        <v>404</v>
      </c>
      <c r="J2270" s="3" t="str">
        <f>IF(I2270="","",IFERROR(VLOOKUP(I2270,Base_Datos!$D$2:$E$72,2,0),""))</f>
        <v>(1.5L)</v>
      </c>
      <c r="K2270" s="3" t="s">
        <v>2624</v>
      </c>
      <c r="L2270" s="3"/>
      <c r="M2270" s="7">
        <v>10</v>
      </c>
      <c r="N2270" s="7">
        <v>0</v>
      </c>
    </row>
    <row r="2271" spans="1:14" ht="14.25" x14ac:dyDescent="0.2">
      <c r="A2271" s="3">
        <v>89910</v>
      </c>
      <c r="B2271" s="3" t="s">
        <v>4253</v>
      </c>
      <c r="C2271" s="3" t="s">
        <v>18</v>
      </c>
      <c r="D2271" s="6" t="s">
        <v>840</v>
      </c>
      <c r="E2271" s="6" t="s">
        <v>840</v>
      </c>
      <c r="F2271" s="3" t="str">
        <f>IFERROR( VLOOKUP(A2271,#REF!,2,0),"")</f>
        <v/>
      </c>
      <c r="G2271" s="3" t="str">
        <f t="array" ref="G2271">_xlfn.XLOOKUP(I2271,Base_Datos!D:D,Base_Datos!B:B,"")</f>
        <v>DFSK</v>
      </c>
      <c r="H2271" s="3" t="str">
        <f t="array" ref="H2271">IF(I2271="","",IFERROR(_xlfn.XLOOKUP(I2271,Base_Datos!$D$2:$D3876,Base_Datos!$C$2:$C3876),""))</f>
        <v>Serie Glory</v>
      </c>
      <c r="I2271" s="3" t="s">
        <v>404</v>
      </c>
      <c r="J2271" s="3" t="str">
        <f>IF(I2271="","",IFERROR(VLOOKUP(I2271,Base_Datos!$D$2:$E$72,2,0),""))</f>
        <v>(1.5L)</v>
      </c>
      <c r="K2271" s="3" t="s">
        <v>2624</v>
      </c>
      <c r="L2271" s="3"/>
      <c r="M2271" s="7">
        <v>10</v>
      </c>
      <c r="N2271" s="7">
        <v>0</v>
      </c>
    </row>
    <row r="2272" spans="1:14" ht="14.25" x14ac:dyDescent="0.2">
      <c r="A2272" s="3">
        <v>89911</v>
      </c>
      <c r="B2272" s="3" t="s">
        <v>2678</v>
      </c>
      <c r="C2272" s="3" t="s">
        <v>23</v>
      </c>
      <c r="D2272" s="6" t="s">
        <v>841</v>
      </c>
      <c r="E2272" s="6" t="s">
        <v>841</v>
      </c>
      <c r="F2272" s="3" t="str">
        <f>IFERROR( VLOOKUP(A2272,#REF!,2,0),"")</f>
        <v/>
      </c>
      <c r="G2272" s="3" t="str">
        <f t="array" ref="G2272">_xlfn.XLOOKUP(I2272,Base_Datos!D:D,Base_Datos!B:B,"")</f>
        <v>DFSK</v>
      </c>
      <c r="H2272" s="3" t="str">
        <f t="array" ref="H2272">IF(I2272="","",IFERROR(_xlfn.XLOOKUP(I2272,Base_Datos!$D$2:$D3876,Base_Datos!$C$2:$C3876),""))</f>
        <v>Serie K</v>
      </c>
      <c r="I2272" s="3" t="s">
        <v>475</v>
      </c>
      <c r="J2272" s="3" t="str">
        <f>IF(I2272="","",IFERROR(VLOOKUP(I2272,Base_Datos!$D$2:$E$72,2,0),""))</f>
        <v>(1.1L)</v>
      </c>
      <c r="K2272" s="3" t="s">
        <v>2624</v>
      </c>
      <c r="L2272" s="3"/>
      <c r="M2272" s="7">
        <v>12</v>
      </c>
      <c r="N2272" s="7">
        <v>0</v>
      </c>
    </row>
    <row r="2273" spans="1:14" ht="14.25" x14ac:dyDescent="0.2">
      <c r="A2273" s="3">
        <v>89912</v>
      </c>
      <c r="B2273" s="3" t="s">
        <v>4254</v>
      </c>
      <c r="C2273" s="3" t="s">
        <v>18</v>
      </c>
      <c r="D2273" s="6" t="s">
        <v>842</v>
      </c>
      <c r="E2273" s="6" t="s">
        <v>842</v>
      </c>
      <c r="F2273" s="3" t="str">
        <f>IFERROR( VLOOKUP(A2273,#REF!,2,0),"")</f>
        <v/>
      </c>
      <c r="G2273" s="3" t="str">
        <f t="array" ref="G2273">_xlfn.XLOOKUP(I2273,Base_Datos!D:D,Base_Datos!B:B,"")</f>
        <v>DFSK</v>
      </c>
      <c r="H2273" s="3" t="str">
        <f t="array" ref="H2273">IF(I2273="","",IFERROR(_xlfn.XLOOKUP(I2273,Base_Datos!$D$2:$D3876,Base_Datos!$C$2:$C3876),""))</f>
        <v>Serie Glory</v>
      </c>
      <c r="I2273" s="3" t="s">
        <v>404</v>
      </c>
      <c r="J2273" s="3" t="str">
        <f>IF(I2273="","",IFERROR(VLOOKUP(I2273,Base_Datos!$D$2:$E$72,2,0),""))</f>
        <v>(1.5L)</v>
      </c>
      <c r="K2273" s="3" t="s">
        <v>2624</v>
      </c>
      <c r="L2273" s="3"/>
      <c r="M2273" s="7">
        <v>15</v>
      </c>
      <c r="N2273" s="7">
        <v>0</v>
      </c>
    </row>
    <row r="2274" spans="1:14" ht="14.25" x14ac:dyDescent="0.2">
      <c r="A2274" s="3">
        <v>89913</v>
      </c>
      <c r="B2274" s="3" t="s">
        <v>4255</v>
      </c>
      <c r="C2274" s="3" t="s">
        <v>18</v>
      </c>
      <c r="D2274" s="6" t="s">
        <v>843</v>
      </c>
      <c r="E2274" s="6" t="s">
        <v>843</v>
      </c>
      <c r="F2274" s="3" t="str">
        <f>IFERROR( VLOOKUP(A2274,#REF!,2,0),"")</f>
        <v/>
      </c>
      <c r="G2274" s="3" t="str">
        <f t="array" ref="G2274">_xlfn.XLOOKUP(I2274,Base_Datos!D:D,Base_Datos!B:B,"")</f>
        <v>DFSK</v>
      </c>
      <c r="H2274" s="3" t="str">
        <f t="array" ref="H2274">IF(I2274="","",IFERROR(_xlfn.XLOOKUP(I2274,Base_Datos!$D$2:$D3876,Base_Datos!$C$2:$C3876),""))</f>
        <v>Serie Glory</v>
      </c>
      <c r="I2274" s="3" t="s">
        <v>404</v>
      </c>
      <c r="J2274" s="3" t="str">
        <f>IF(I2274="","",IFERROR(VLOOKUP(I2274,Base_Datos!$D$2:$E$72,2,0),""))</f>
        <v>(1.5L)</v>
      </c>
      <c r="K2274" s="3" t="s">
        <v>2624</v>
      </c>
      <c r="L2274" s="3"/>
      <c r="M2274" s="7">
        <v>50</v>
      </c>
      <c r="N2274" s="7">
        <v>0</v>
      </c>
    </row>
    <row r="2275" spans="1:14" ht="14.25" x14ac:dyDescent="0.2">
      <c r="A2275" s="3">
        <v>89914</v>
      </c>
      <c r="B2275" s="3" t="s">
        <v>4256</v>
      </c>
      <c r="C2275" s="3" t="s">
        <v>18</v>
      </c>
      <c r="D2275" s="6" t="s">
        <v>844</v>
      </c>
      <c r="E2275" s="6" t="s">
        <v>844</v>
      </c>
      <c r="F2275" s="3" t="str">
        <f>IFERROR( VLOOKUP(A2275,#REF!,2,0),"")</f>
        <v/>
      </c>
      <c r="G2275" s="3" t="str">
        <f t="array" ref="G2275">_xlfn.XLOOKUP(I2275,Base_Datos!D:D,Base_Datos!B:B,"")</f>
        <v>DFSK</v>
      </c>
      <c r="H2275" s="3" t="str">
        <f t="array" ref="H2275">IF(I2275="","",IFERROR(_xlfn.XLOOKUP(I2275,Base_Datos!$D$2:$D3876,Base_Datos!$C$2:$C3876),""))</f>
        <v>Serie K</v>
      </c>
      <c r="I2275" s="3" t="s">
        <v>475</v>
      </c>
      <c r="J2275" s="3" t="str">
        <f>IF(I2275="","",IFERROR(VLOOKUP(I2275,Base_Datos!$D$2:$E$72,2,0),""))</f>
        <v>(1.1L)</v>
      </c>
      <c r="K2275" s="3" t="s">
        <v>2624</v>
      </c>
      <c r="L2275" s="3"/>
      <c r="M2275" s="7">
        <v>302</v>
      </c>
      <c r="N2275" s="7">
        <v>0</v>
      </c>
    </row>
    <row r="2276" spans="1:14" ht="14.25" x14ac:dyDescent="0.2">
      <c r="A2276" s="3">
        <v>89915</v>
      </c>
      <c r="B2276" s="3" t="s">
        <v>4071</v>
      </c>
      <c r="C2276" s="3" t="s">
        <v>23</v>
      </c>
      <c r="D2276" s="6" t="s">
        <v>845</v>
      </c>
      <c r="E2276" s="6" t="s">
        <v>845</v>
      </c>
      <c r="F2276" s="3" t="str">
        <f>IFERROR( VLOOKUP(A2276,#REF!,2,0),"")</f>
        <v/>
      </c>
      <c r="G2276" s="3" t="str">
        <f t="array" ref="G2276">_xlfn.XLOOKUP(I2276,Base_Datos!D:D,Base_Datos!B:B,"")</f>
        <v>DFSK</v>
      </c>
      <c r="H2276" s="3" t="str">
        <f t="array" ref="H2276">IF(I2276="","",IFERROR(_xlfn.XLOOKUP(I2276,Base_Datos!$D$2:$D3876,Base_Datos!$C$2:$C3876),""))</f>
        <v>Serie Glory</v>
      </c>
      <c r="I2276" s="3" t="s">
        <v>404</v>
      </c>
      <c r="J2276" s="3" t="str">
        <f>IF(I2276="","",IFERROR(VLOOKUP(I2276,Base_Datos!$D$2:$E$72,2,0),""))</f>
        <v>(1.5L)</v>
      </c>
      <c r="K2276" s="3" t="s">
        <v>2624</v>
      </c>
      <c r="L2276" s="3"/>
      <c r="M2276" s="7">
        <v>6</v>
      </c>
      <c r="N2276" s="7">
        <v>0</v>
      </c>
    </row>
    <row r="2277" spans="1:14" ht="14.25" x14ac:dyDescent="0.2">
      <c r="A2277" s="3">
        <v>89916</v>
      </c>
      <c r="B2277" s="3" t="s">
        <v>4257</v>
      </c>
      <c r="C2277" s="3" t="s">
        <v>18</v>
      </c>
      <c r="D2277" s="6" t="s">
        <v>846</v>
      </c>
      <c r="E2277" s="6" t="s">
        <v>846</v>
      </c>
      <c r="F2277" s="3" t="str">
        <f>IFERROR( VLOOKUP(A2277,#REF!,2,0),"")</f>
        <v/>
      </c>
      <c r="G2277" s="3" t="str">
        <f t="array" ref="G2277">_xlfn.XLOOKUP(I2277,Base_Datos!D:D,Base_Datos!B:B,"")</f>
        <v>DFSK</v>
      </c>
      <c r="H2277" s="3" t="str">
        <f t="array" ref="H2277">IF(I2277="","",IFERROR(_xlfn.XLOOKUP(I2277,Base_Datos!$D$2:$D3876,Base_Datos!$C$2:$C3876),""))</f>
        <v>Serie K</v>
      </c>
      <c r="I2277" s="3" t="s">
        <v>475</v>
      </c>
      <c r="J2277" s="3" t="str">
        <f>IF(I2277="","",IFERROR(VLOOKUP(I2277,Base_Datos!$D$2:$E$72,2,0),""))</f>
        <v>(1.1L)</v>
      </c>
      <c r="K2277" s="3" t="s">
        <v>2624</v>
      </c>
      <c r="L2277" s="3"/>
      <c r="M2277" s="7">
        <v>101</v>
      </c>
      <c r="N2277" s="7">
        <v>0</v>
      </c>
    </row>
    <row r="2278" spans="1:14" ht="14.25" x14ac:dyDescent="0.2">
      <c r="A2278" s="3">
        <v>89917</v>
      </c>
      <c r="B2278" s="3" t="s">
        <v>3728</v>
      </c>
      <c r="C2278" s="3" t="s">
        <v>18</v>
      </c>
      <c r="D2278" s="6" t="s">
        <v>847</v>
      </c>
      <c r="E2278" s="6" t="s">
        <v>4258</v>
      </c>
      <c r="F2278" s="3" t="str">
        <f>IFERROR( VLOOKUP(A2278,#REF!,2,0),"")</f>
        <v/>
      </c>
      <c r="G2278" s="3" t="str">
        <f t="array" ref="G2278">_xlfn.XLOOKUP(I2278,Base_Datos!D:D,Base_Datos!B:B,"")</f>
        <v>DFSK</v>
      </c>
      <c r="H2278" s="3" t="str">
        <f t="array" ref="H2278">IF(I2278="","",IFERROR(_xlfn.XLOOKUP(I2278,Base_Datos!$D$2:$D3876,Base_Datos!$C$2:$C3876),""))</f>
        <v>Serie K</v>
      </c>
      <c r="I2278" s="3" t="s">
        <v>475</v>
      </c>
      <c r="J2278" s="3" t="str">
        <f>IF(I2278="","",IFERROR(VLOOKUP(I2278,Base_Datos!$D$2:$E$72,2,0),""))</f>
        <v>(1.1L)</v>
      </c>
      <c r="K2278" s="3" t="s">
        <v>2624</v>
      </c>
      <c r="L2278" s="3"/>
      <c r="M2278" s="7">
        <v>60</v>
      </c>
      <c r="N2278" s="7">
        <v>0</v>
      </c>
    </row>
    <row r="2279" spans="1:14" ht="14.25" x14ac:dyDescent="0.2">
      <c r="A2279" s="3">
        <v>89918</v>
      </c>
      <c r="B2279" s="3" t="s">
        <v>4259</v>
      </c>
      <c r="C2279" s="3" t="s">
        <v>18</v>
      </c>
      <c r="D2279" s="6" t="s">
        <v>4260</v>
      </c>
      <c r="E2279" s="6" t="s">
        <v>4260</v>
      </c>
      <c r="F2279" s="3" t="str">
        <f>IFERROR( VLOOKUP(A2279,#REF!,2,0),"")</f>
        <v/>
      </c>
      <c r="G2279" s="3" t="str">
        <f t="array" ref="G2279">_xlfn.XLOOKUP(I2279,Base_Datos!D:D,Base_Datos!B:B,"")</f>
        <v>DFSK</v>
      </c>
      <c r="H2279" s="3" t="str">
        <f t="array" ref="H2279">IF(I2279="","",IFERROR(_xlfn.XLOOKUP(I2279,Base_Datos!$D$2:$D3876,Base_Datos!$C$2:$C3876),""))</f>
        <v>Serie K</v>
      </c>
      <c r="I2279" s="3" t="s">
        <v>475</v>
      </c>
      <c r="J2279" s="3" t="str">
        <f>IF(I2279="","",IFERROR(VLOOKUP(I2279,Base_Datos!$D$2:$E$72,2,0),""))</f>
        <v>(1.1L)</v>
      </c>
      <c r="K2279" s="3" t="s">
        <v>2624</v>
      </c>
      <c r="L2279" s="3"/>
      <c r="M2279" s="7">
        <v>199</v>
      </c>
      <c r="N2279" s="7">
        <v>0</v>
      </c>
    </row>
    <row r="2280" spans="1:14" ht="14.25" x14ac:dyDescent="0.2">
      <c r="A2280" s="3">
        <v>89919</v>
      </c>
      <c r="B2280" s="3" t="s">
        <v>1879</v>
      </c>
      <c r="C2280" s="3" t="s">
        <v>18</v>
      </c>
      <c r="D2280" s="6" t="s">
        <v>848</v>
      </c>
      <c r="E2280" s="6" t="s">
        <v>4261</v>
      </c>
      <c r="F2280" s="3" t="str">
        <f>IFERROR( VLOOKUP(A2280,#REF!,2,0),"")</f>
        <v/>
      </c>
      <c r="G2280" s="3" t="str">
        <f t="array" ref="G2280">_xlfn.XLOOKUP(I2280,Base_Datos!D:D,Base_Datos!B:B,"")</f>
        <v>DFSK</v>
      </c>
      <c r="H2280" s="3" t="str">
        <f t="array" ref="H2280">IF(I2280="","",IFERROR(_xlfn.XLOOKUP(I2280,Base_Datos!$D$2:$D3876,Base_Datos!$C$2:$C3876),""))</f>
        <v>Serie K</v>
      </c>
      <c r="I2280" s="3" t="s">
        <v>475</v>
      </c>
      <c r="J2280" s="3" t="str">
        <f>IF(I2280="","",IFERROR(VLOOKUP(I2280,Base_Datos!$D$2:$E$72,2,0),""))</f>
        <v>(1.1L)</v>
      </c>
      <c r="K2280" s="3" t="s">
        <v>2624</v>
      </c>
      <c r="L2280" s="3"/>
      <c r="M2280" s="7">
        <v>5</v>
      </c>
      <c r="N2280" s="7">
        <v>0</v>
      </c>
    </row>
    <row r="2281" spans="1:14" ht="14.25" x14ac:dyDescent="0.2">
      <c r="A2281" s="3">
        <v>89920</v>
      </c>
      <c r="B2281" s="3" t="s">
        <v>3732</v>
      </c>
      <c r="C2281" s="3" t="s">
        <v>18</v>
      </c>
      <c r="D2281" s="6" t="s">
        <v>849</v>
      </c>
      <c r="E2281" s="6" t="s">
        <v>849</v>
      </c>
      <c r="F2281" s="3" t="str">
        <f>IFERROR( VLOOKUP(A2281,#REF!,2,0),"")</f>
        <v/>
      </c>
      <c r="G2281" s="3" t="str">
        <f t="array" ref="G2281">_xlfn.XLOOKUP(I2281,Base_Datos!D:D,Base_Datos!B:B,"")</f>
        <v>DFSK</v>
      </c>
      <c r="H2281" s="3" t="str">
        <f t="array" ref="H2281">IF(I2281="","",IFERROR(_xlfn.XLOOKUP(I2281,Base_Datos!$D$2:$D3876,Base_Datos!$C$2:$C3876),""))</f>
        <v>Serie K</v>
      </c>
      <c r="I2281" s="3" t="s">
        <v>475</v>
      </c>
      <c r="J2281" s="3" t="str">
        <f>IF(I2281="","",IFERROR(VLOOKUP(I2281,Base_Datos!$D$2:$E$72,2,0),""))</f>
        <v>(1.1L)</v>
      </c>
      <c r="K2281" s="3" t="s">
        <v>2624</v>
      </c>
      <c r="L2281" s="3"/>
      <c r="M2281" s="7">
        <v>36</v>
      </c>
      <c r="N2281" s="7">
        <v>0</v>
      </c>
    </row>
    <row r="2282" spans="1:14" ht="14.25" x14ac:dyDescent="0.2">
      <c r="A2282" s="3">
        <v>89921</v>
      </c>
      <c r="B2282" s="3" t="s">
        <v>4262</v>
      </c>
      <c r="C2282" s="3" t="s">
        <v>18</v>
      </c>
      <c r="D2282" s="6" t="s">
        <v>850</v>
      </c>
      <c r="E2282" s="6" t="s">
        <v>4263</v>
      </c>
      <c r="F2282" s="3" t="str">
        <f>IFERROR( VLOOKUP(A2282,#REF!,2,0),"")</f>
        <v/>
      </c>
      <c r="G2282" s="3" t="str">
        <f t="array" ref="G2282">_xlfn.XLOOKUP(I2282,Base_Datos!D:D,Base_Datos!B:B,"")</f>
        <v>DFSK</v>
      </c>
      <c r="H2282" s="3" t="str">
        <f t="array" ref="H2282">IF(I2282="","",IFERROR(_xlfn.XLOOKUP(I2282,Base_Datos!$D$2:$D3876,Base_Datos!$C$2:$C3876),""))</f>
        <v>Serie K</v>
      </c>
      <c r="I2282" s="3" t="s">
        <v>475</v>
      </c>
      <c r="J2282" s="3" t="str">
        <f>IF(I2282="","",IFERROR(VLOOKUP(I2282,Base_Datos!$D$2:$E$72,2,0),""))</f>
        <v>(1.1L)</v>
      </c>
      <c r="K2282" s="3" t="s">
        <v>2624</v>
      </c>
      <c r="L2282" s="3"/>
      <c r="M2282" s="7">
        <v>36</v>
      </c>
      <c r="N2282" s="7">
        <v>0</v>
      </c>
    </row>
    <row r="2283" spans="1:14" ht="14.25" x14ac:dyDescent="0.2">
      <c r="A2283" s="3">
        <v>89922</v>
      </c>
      <c r="B2283" s="3" t="s">
        <v>3678</v>
      </c>
      <c r="C2283" s="3" t="s">
        <v>18</v>
      </c>
      <c r="D2283" s="6" t="s">
        <v>851</v>
      </c>
      <c r="E2283" s="6" t="s">
        <v>851</v>
      </c>
      <c r="F2283" s="3" t="str">
        <f>IFERROR( VLOOKUP(A2283,#REF!,2,0),"")</f>
        <v/>
      </c>
      <c r="G2283" s="3" t="str">
        <f t="array" ref="G2283">_xlfn.XLOOKUP(I2283,Base_Datos!D:D,Base_Datos!B:B,"")</f>
        <v>DFSK</v>
      </c>
      <c r="H2283" s="3" t="str">
        <f t="array" ref="H2283">IF(I2283="","",IFERROR(_xlfn.XLOOKUP(I2283,Base_Datos!$D$2:$D3876,Base_Datos!$C$2:$C3876),""))</f>
        <v>Serie Glory</v>
      </c>
      <c r="I2283" s="3" t="s">
        <v>404</v>
      </c>
      <c r="J2283" s="3" t="str">
        <f>IF(I2283="","",IFERROR(VLOOKUP(I2283,Base_Datos!$D$2:$E$72,2,0),""))</f>
        <v>(1.5L)</v>
      </c>
      <c r="K2283" s="3" t="s">
        <v>2624</v>
      </c>
      <c r="L2283" s="3"/>
      <c r="M2283" s="7">
        <v>6</v>
      </c>
      <c r="N2283" s="7">
        <v>0</v>
      </c>
    </row>
    <row r="2284" spans="1:14" ht="14.25" x14ac:dyDescent="0.2">
      <c r="A2284" s="3">
        <v>89923</v>
      </c>
      <c r="B2284" s="3" t="s">
        <v>4264</v>
      </c>
      <c r="C2284" s="3" t="s">
        <v>18</v>
      </c>
      <c r="D2284" s="6" t="s">
        <v>886</v>
      </c>
      <c r="E2284" s="6" t="s">
        <v>886</v>
      </c>
      <c r="F2284" s="3" t="str">
        <f>IFERROR( VLOOKUP(A2284,#REF!,2,0),"")</f>
        <v/>
      </c>
      <c r="G2284" s="3" t="str">
        <f t="array" ref="G2284">_xlfn.XLOOKUP(I2284,Base_Datos!D:D,Base_Datos!B:B,"")</f>
        <v>DFSK</v>
      </c>
      <c r="H2284" s="3" t="str">
        <f t="array" ref="H2284">IF(I2284="","",IFERROR(_xlfn.XLOOKUP(I2284,Base_Datos!$D$2:$D3876,Base_Datos!$C$2:$C3876),""))</f>
        <v>Serie K</v>
      </c>
      <c r="I2284" s="3" t="s">
        <v>475</v>
      </c>
      <c r="J2284" s="3" t="str">
        <f>IF(I2284="","",IFERROR(VLOOKUP(I2284,Base_Datos!$D$2:$E$72,2,0),""))</f>
        <v>(1.1L)</v>
      </c>
      <c r="K2284" s="3" t="s">
        <v>2624</v>
      </c>
      <c r="L2284" s="3"/>
      <c r="M2284" s="7">
        <v>10</v>
      </c>
      <c r="N2284" s="7">
        <v>0</v>
      </c>
    </row>
    <row r="2285" spans="1:14" ht="14.25" x14ac:dyDescent="0.2">
      <c r="A2285" s="3">
        <v>89924</v>
      </c>
      <c r="B2285" s="3" t="s">
        <v>4265</v>
      </c>
      <c r="C2285" s="3" t="s">
        <v>18</v>
      </c>
      <c r="D2285" s="6" t="s">
        <v>852</v>
      </c>
      <c r="E2285" s="6" t="s">
        <v>852</v>
      </c>
      <c r="F2285" s="3" t="str">
        <f>IFERROR( VLOOKUP(A2285,#REF!,2,0),"")</f>
        <v/>
      </c>
      <c r="G2285" s="3" t="str">
        <f t="array" ref="G2285">_xlfn.XLOOKUP(I2285,Base_Datos!D:D,Base_Datos!B:B,"")</f>
        <v>DFSK</v>
      </c>
      <c r="H2285" s="3" t="str">
        <f t="array" ref="H2285">IF(I2285="","",IFERROR(_xlfn.XLOOKUP(I2285,Base_Datos!$D$2:$D3876,Base_Datos!$C$2:$C3876),""))</f>
        <v>Serie K</v>
      </c>
      <c r="I2285" s="3" t="s">
        <v>475</v>
      </c>
      <c r="J2285" s="3" t="str">
        <f>IF(I2285="","",IFERROR(VLOOKUP(I2285,Base_Datos!$D$2:$E$72,2,0),""))</f>
        <v>(1.1L)</v>
      </c>
      <c r="K2285" s="3" t="s">
        <v>2624</v>
      </c>
      <c r="L2285" s="3"/>
      <c r="M2285" s="7">
        <v>203</v>
      </c>
      <c r="N2285" s="7">
        <v>0</v>
      </c>
    </row>
    <row r="2286" spans="1:14" ht="14.25" x14ac:dyDescent="0.2">
      <c r="A2286" s="3">
        <v>89925</v>
      </c>
      <c r="B2286" s="3" t="s">
        <v>4266</v>
      </c>
      <c r="C2286" s="3" t="s">
        <v>18</v>
      </c>
      <c r="D2286" s="6" t="s">
        <v>853</v>
      </c>
      <c r="E2286" s="6" t="s">
        <v>853</v>
      </c>
      <c r="F2286" s="3" t="str">
        <f>IFERROR( VLOOKUP(A2286,#REF!,2,0),"")</f>
        <v/>
      </c>
      <c r="G2286" s="3" t="str">
        <f t="array" ref="G2286">_xlfn.XLOOKUP(I2286,Base_Datos!D:D,Base_Datos!B:B,"")</f>
        <v>DFSK</v>
      </c>
      <c r="H2286" s="3" t="str">
        <f t="array" ref="H2286">IF(I2286="","",IFERROR(_xlfn.XLOOKUP(I2286,Base_Datos!$D$2:$D3876,Base_Datos!$C$2:$C3876),""))</f>
        <v>Serie Glory</v>
      </c>
      <c r="I2286" s="3" t="s">
        <v>404</v>
      </c>
      <c r="J2286" s="3" t="str">
        <f>IF(I2286="","",IFERROR(VLOOKUP(I2286,Base_Datos!$D$2:$E$72,2,0),""))</f>
        <v>(1.5L)</v>
      </c>
      <c r="K2286" s="3" t="s">
        <v>2624</v>
      </c>
      <c r="L2286" s="3"/>
      <c r="M2286" s="7">
        <v>20</v>
      </c>
      <c r="N2286" s="7">
        <v>0</v>
      </c>
    </row>
    <row r="2287" spans="1:14" ht="14.25" x14ac:dyDescent="0.2">
      <c r="A2287" s="3">
        <v>89926</v>
      </c>
      <c r="B2287" s="3" t="s">
        <v>4267</v>
      </c>
      <c r="C2287" s="3" t="s">
        <v>18</v>
      </c>
      <c r="D2287" s="6" t="s">
        <v>854</v>
      </c>
      <c r="E2287" s="6" t="s">
        <v>854</v>
      </c>
      <c r="F2287" s="3" t="str">
        <f>IFERROR( VLOOKUP(A2287,#REF!,2,0),"")</f>
        <v/>
      </c>
      <c r="G2287" s="3" t="str">
        <f t="array" ref="G2287">_xlfn.XLOOKUP(I2287,Base_Datos!D:D,Base_Datos!B:B,"")</f>
        <v>DFSK</v>
      </c>
      <c r="H2287" s="3" t="str">
        <f t="array" ref="H2287">IF(I2287="","",IFERROR(_xlfn.XLOOKUP(I2287,Base_Datos!$D$2:$D3876,Base_Datos!$C$2:$C3876),""))</f>
        <v>Serie Glory</v>
      </c>
      <c r="I2287" s="3" t="s">
        <v>404</v>
      </c>
      <c r="J2287" s="3" t="str">
        <f>IF(I2287="","",IFERROR(VLOOKUP(I2287,Base_Datos!$D$2:$E$72,2,0),""))</f>
        <v>(1.5L)</v>
      </c>
      <c r="K2287" s="3" t="s">
        <v>2624</v>
      </c>
      <c r="L2287" s="3"/>
      <c r="M2287" s="7">
        <v>8</v>
      </c>
      <c r="N2287" s="7">
        <v>0</v>
      </c>
    </row>
    <row r="2288" spans="1:14" ht="14.25" x14ac:dyDescent="0.2">
      <c r="A2288" s="3">
        <v>89927</v>
      </c>
      <c r="B2288" s="3" t="s">
        <v>4268</v>
      </c>
      <c r="C2288" s="3" t="s">
        <v>18</v>
      </c>
      <c r="D2288" s="6" t="s">
        <v>4269</v>
      </c>
      <c r="E2288" s="6" t="s">
        <v>4269</v>
      </c>
      <c r="F2288" s="3" t="str">
        <f>IFERROR( VLOOKUP(A2288,#REF!,2,0),"")</f>
        <v/>
      </c>
      <c r="G2288" s="3" t="str">
        <f t="array" ref="G2288">_xlfn.XLOOKUP(I2288,Base_Datos!D:D,Base_Datos!B:B,"")</f>
        <v>DFSK</v>
      </c>
      <c r="H2288" s="3" t="str">
        <f t="array" ref="H2288">IF(I2288="","",IFERROR(_xlfn.XLOOKUP(I2288,Base_Datos!$D$2:$D3876,Base_Datos!$C$2:$C3876),""))</f>
        <v>Serie K</v>
      </c>
      <c r="I2288" s="3" t="s">
        <v>475</v>
      </c>
      <c r="J2288" s="3" t="str">
        <f>IF(I2288="","",IFERROR(VLOOKUP(I2288,Base_Datos!$D$2:$E$72,2,0),""))</f>
        <v>(1.1L)</v>
      </c>
      <c r="K2288" s="3" t="s">
        <v>2624</v>
      </c>
      <c r="L2288" s="3"/>
      <c r="M2288" s="7">
        <v>30</v>
      </c>
      <c r="N2288" s="7">
        <v>0</v>
      </c>
    </row>
    <row r="2289" spans="1:14" ht="14.25" x14ac:dyDescent="0.2">
      <c r="A2289" s="3">
        <v>89928</v>
      </c>
      <c r="B2289" s="3" t="s">
        <v>4270</v>
      </c>
      <c r="C2289" s="3" t="s">
        <v>18</v>
      </c>
      <c r="D2289" s="6" t="s">
        <v>855</v>
      </c>
      <c r="E2289" s="6" t="s">
        <v>855</v>
      </c>
      <c r="F2289" s="3" t="str">
        <f>IFERROR( VLOOKUP(A2289,#REF!,2,0),"")</f>
        <v/>
      </c>
      <c r="G2289" s="3" t="str">
        <f t="array" ref="G2289">_xlfn.XLOOKUP(I2289,Base_Datos!D:D,Base_Datos!B:B,"")</f>
        <v>DFSK</v>
      </c>
      <c r="H2289" s="3" t="str">
        <f t="array" ref="H2289">IF(I2289="","",IFERROR(_xlfn.XLOOKUP(I2289,Base_Datos!$D$2:$D3876,Base_Datos!$C$2:$C3876),""))</f>
        <v>Serie K</v>
      </c>
      <c r="I2289" s="3" t="s">
        <v>475</v>
      </c>
      <c r="J2289" s="3" t="str">
        <f>IF(I2289="","",IFERROR(VLOOKUP(I2289,Base_Datos!$D$2:$E$72,2,0),""))</f>
        <v>(1.1L)</v>
      </c>
      <c r="K2289" s="3" t="s">
        <v>2624</v>
      </c>
      <c r="L2289" s="3"/>
      <c r="M2289" s="7">
        <v>102</v>
      </c>
      <c r="N2289" s="7">
        <v>0</v>
      </c>
    </row>
    <row r="2290" spans="1:14" ht="14.25" x14ac:dyDescent="0.2">
      <c r="A2290" s="3">
        <v>89929</v>
      </c>
      <c r="B2290" s="3" t="s">
        <v>4271</v>
      </c>
      <c r="C2290" s="3" t="s">
        <v>18</v>
      </c>
      <c r="D2290" s="6" t="s">
        <v>856</v>
      </c>
      <c r="E2290" s="6" t="s">
        <v>856</v>
      </c>
      <c r="F2290" s="3" t="str">
        <f>IFERROR( VLOOKUP(A2290,#REF!,2,0),"")</f>
        <v/>
      </c>
      <c r="G2290" s="3" t="str">
        <f t="array" ref="G2290">_xlfn.XLOOKUP(I2290,Base_Datos!D:D,Base_Datos!B:B,"")</f>
        <v>DFSK</v>
      </c>
      <c r="H2290" s="3" t="str">
        <f t="array" ref="H2290">IF(I2290="","",IFERROR(_xlfn.XLOOKUP(I2290,Base_Datos!$D$2:$D3876,Base_Datos!$C$2:$C3876),""))</f>
        <v>Serie Glory</v>
      </c>
      <c r="I2290" s="3" t="s">
        <v>404</v>
      </c>
      <c r="J2290" s="3" t="str">
        <f>IF(I2290="","",IFERROR(VLOOKUP(I2290,Base_Datos!$D$2:$E$72,2,0),""))</f>
        <v>(1.5L)</v>
      </c>
      <c r="K2290" s="3" t="s">
        <v>2624</v>
      </c>
      <c r="L2290" s="3"/>
      <c r="M2290" s="7">
        <v>4</v>
      </c>
      <c r="N2290" s="7">
        <v>0</v>
      </c>
    </row>
    <row r="2291" spans="1:14" ht="14.25" x14ac:dyDescent="0.2">
      <c r="A2291" s="3">
        <v>89930</v>
      </c>
      <c r="B2291" s="3" t="s">
        <v>4272</v>
      </c>
      <c r="C2291" s="3" t="s">
        <v>18</v>
      </c>
      <c r="D2291" s="6" t="s">
        <v>857</v>
      </c>
      <c r="E2291" s="6" t="s">
        <v>1782</v>
      </c>
      <c r="F2291" s="3" t="str">
        <f>IFERROR( VLOOKUP(A2291,#REF!,2,0),"")</f>
        <v/>
      </c>
      <c r="G2291" s="3" t="str">
        <f t="array" ref="G2291">_xlfn.XLOOKUP(I2291,Base_Datos!D:D,Base_Datos!B:B,"")</f>
        <v>DFSK</v>
      </c>
      <c r="H2291" s="3" t="str">
        <f t="array" ref="H2291">IF(I2291="","",IFERROR(_xlfn.XLOOKUP(I2291,Base_Datos!$D$2:$D3876,Base_Datos!$C$2:$C3876),""))</f>
        <v>Serie Glory</v>
      </c>
      <c r="I2291" s="3" t="s">
        <v>404</v>
      </c>
      <c r="J2291" s="3" t="str">
        <f>IF(I2291="","",IFERROR(VLOOKUP(I2291,Base_Datos!$D$2:$E$72,2,0),""))</f>
        <v>(1.5L)</v>
      </c>
      <c r="K2291" s="3" t="s">
        <v>2624</v>
      </c>
      <c r="L2291" s="3"/>
      <c r="M2291" s="7">
        <v>10</v>
      </c>
      <c r="N2291" s="7">
        <v>0</v>
      </c>
    </row>
    <row r="2292" spans="1:14" ht="14.25" x14ac:dyDescent="0.2">
      <c r="A2292" s="3">
        <v>89931</v>
      </c>
      <c r="B2292" s="3" t="s">
        <v>4273</v>
      </c>
      <c r="C2292" s="3" t="s">
        <v>18</v>
      </c>
      <c r="D2292" s="6" t="s">
        <v>858</v>
      </c>
      <c r="E2292" s="6" t="s">
        <v>858</v>
      </c>
      <c r="F2292" s="3" t="str">
        <f>IFERROR( VLOOKUP(A2292,#REF!,2,0),"")</f>
        <v/>
      </c>
      <c r="G2292" s="3" t="str">
        <f t="array" ref="G2292">_xlfn.XLOOKUP(I2292,Base_Datos!D:D,Base_Datos!B:B,"")</f>
        <v>DFSK</v>
      </c>
      <c r="H2292" s="3" t="str">
        <f t="array" ref="H2292">IF(I2292="","",IFERROR(_xlfn.XLOOKUP(I2292,Base_Datos!$D$2:$D3876,Base_Datos!$C$2:$C3876),""))</f>
        <v>Serie Glory</v>
      </c>
      <c r="I2292" s="3" t="s">
        <v>404</v>
      </c>
      <c r="J2292" s="3" t="str">
        <f>IF(I2292="","",IFERROR(VLOOKUP(I2292,Base_Datos!$D$2:$E$72,2,0),""))</f>
        <v>(1.5L)</v>
      </c>
      <c r="K2292" s="3"/>
      <c r="L2292" s="3"/>
      <c r="M2292" s="7">
        <v>4</v>
      </c>
      <c r="N2292" s="7">
        <v>0</v>
      </c>
    </row>
    <row r="2293" spans="1:14" ht="14.25" x14ac:dyDescent="0.2">
      <c r="A2293" s="3">
        <v>89933</v>
      </c>
      <c r="B2293" s="3" t="s">
        <v>3315</v>
      </c>
      <c r="C2293" s="3" t="s">
        <v>23</v>
      </c>
      <c r="D2293" s="6" t="s">
        <v>859</v>
      </c>
      <c r="E2293" s="6" t="s">
        <v>859</v>
      </c>
      <c r="F2293" s="3" t="str">
        <f>IFERROR( VLOOKUP(A2293,#REF!,2,0),"")</f>
        <v/>
      </c>
      <c r="G2293" s="3" t="str">
        <f t="array" ref="G2293">_xlfn.XLOOKUP(I2293,Base_Datos!D:D,Base_Datos!B:B,"")</f>
        <v>DFSK</v>
      </c>
      <c r="H2293" s="3" t="str">
        <f t="array" ref="H2293">IF(I2293="","",IFERROR(_xlfn.XLOOKUP(I2293,Base_Datos!$D$2:$D3876,Base_Datos!$C$2:$C3876),""))</f>
        <v>Serie Glory</v>
      </c>
      <c r="I2293" s="3" t="s">
        <v>404</v>
      </c>
      <c r="J2293" s="3" t="str">
        <f>IF(I2293="","",IFERROR(VLOOKUP(I2293,Base_Datos!$D$2:$E$72,2,0),""))</f>
        <v>(1.5L)</v>
      </c>
      <c r="K2293" s="3"/>
      <c r="L2293" s="3"/>
      <c r="M2293" s="7">
        <v>6</v>
      </c>
      <c r="N2293" s="7">
        <v>0</v>
      </c>
    </row>
    <row r="2294" spans="1:14" ht="14.25" x14ac:dyDescent="0.2">
      <c r="A2294" s="3">
        <v>89934</v>
      </c>
      <c r="B2294" s="3" t="s">
        <v>4274</v>
      </c>
      <c r="C2294" s="3" t="s">
        <v>23</v>
      </c>
      <c r="D2294" s="6" t="s">
        <v>1782</v>
      </c>
      <c r="E2294" s="6" t="s">
        <v>1782</v>
      </c>
      <c r="F2294" s="3" t="str">
        <f>IFERROR( VLOOKUP(A2294,#REF!,2,0),"")</f>
        <v/>
      </c>
      <c r="G2294" s="3" t="str">
        <f t="array" ref="G2294">_xlfn.XLOOKUP(I2294,Base_Datos!D:D,Base_Datos!B:B,"")</f>
        <v>DFSK</v>
      </c>
      <c r="H2294" s="3" t="str">
        <f t="array" ref="H2294">IF(I2294="","",IFERROR(_xlfn.XLOOKUP(I2294,Base_Datos!$D$2:$D3876,Base_Datos!$C$2:$C3876),""))</f>
        <v>Serie Glory</v>
      </c>
      <c r="I2294" s="3" t="s">
        <v>1765</v>
      </c>
      <c r="J2294" s="3" t="str">
        <f>IF(I2294="","",IFERROR(VLOOKUP(I2294,Base_Datos!$D$2:$E$72,2,0),""))</f>
        <v>(1.5L)</v>
      </c>
      <c r="K2294" s="3" t="s">
        <v>2881</v>
      </c>
      <c r="L2294" s="3"/>
      <c r="M2294" s="7">
        <v>0</v>
      </c>
      <c r="N2294" s="7">
        <v>0</v>
      </c>
    </row>
    <row r="2295" spans="1:14" ht="14.25" x14ac:dyDescent="0.2">
      <c r="A2295" s="3">
        <v>89935</v>
      </c>
      <c r="B2295" s="3" t="s">
        <v>4275</v>
      </c>
      <c r="C2295" s="3" t="s">
        <v>23</v>
      </c>
      <c r="D2295" s="6" t="s">
        <v>4276</v>
      </c>
      <c r="E2295" s="6" t="s">
        <v>4276</v>
      </c>
      <c r="F2295" s="3" t="str">
        <f>IFERROR( VLOOKUP(A2295,#REF!,2,0),"")</f>
        <v/>
      </c>
      <c r="G2295" s="3" t="str">
        <f t="array" ref="G2295">_xlfn.XLOOKUP(I2295,Base_Datos!D:D,Base_Datos!B:B,"")</f>
        <v>DFSK</v>
      </c>
      <c r="H2295" s="3" t="str">
        <f t="array" ref="H2295">IF(I2295="","",IFERROR(_xlfn.XLOOKUP(I2295,Base_Datos!$D$2:$D3876,Base_Datos!$C$2:$C3876),""))</f>
        <v>Serie Glory</v>
      </c>
      <c r="I2295" s="3" t="s">
        <v>404</v>
      </c>
      <c r="J2295" s="3" t="str">
        <f>IF(I2295="","",IFERROR(VLOOKUP(I2295,Base_Datos!$D$2:$E$72,2,0),""))</f>
        <v>(1.5L)</v>
      </c>
      <c r="K2295" s="3"/>
      <c r="L2295" s="3"/>
      <c r="M2295" s="7">
        <v>0</v>
      </c>
      <c r="N2295" s="7">
        <v>0</v>
      </c>
    </row>
    <row r="2296" spans="1:14" ht="14.25" x14ac:dyDescent="0.2">
      <c r="A2296" s="3">
        <v>89936</v>
      </c>
      <c r="B2296" s="3" t="s">
        <v>4277</v>
      </c>
      <c r="C2296" s="3" t="s">
        <v>18</v>
      </c>
      <c r="D2296" s="6" t="s">
        <v>4278</v>
      </c>
      <c r="E2296" s="6" t="s">
        <v>4278</v>
      </c>
      <c r="F2296" s="3" t="str">
        <f>IFERROR( VLOOKUP(A2296,#REF!,2,0),"")</f>
        <v/>
      </c>
      <c r="G2296" s="3" t="str">
        <f t="array" ref="G2296">_xlfn.XLOOKUP(I2296,Base_Datos!D:D,Base_Datos!B:B,"")</f>
        <v>DFSK</v>
      </c>
      <c r="H2296" s="3" t="str">
        <f t="array" ref="H2296">IF(I2296="","",IFERROR(_xlfn.XLOOKUP(I2296,Base_Datos!$D$2:$D3876,Base_Datos!$C$2:$C3876),""))</f>
        <v>Serie K</v>
      </c>
      <c r="I2296" s="3" t="s">
        <v>475</v>
      </c>
      <c r="J2296" s="3" t="str">
        <f>IF(I2296="","",IFERROR(VLOOKUP(I2296,Base_Datos!$D$2:$E$72,2,0),""))</f>
        <v>(1.1L)</v>
      </c>
      <c r="K2296" s="3" t="s">
        <v>2624</v>
      </c>
      <c r="L2296" s="3"/>
      <c r="M2296" s="7">
        <v>52</v>
      </c>
      <c r="N2296" s="7">
        <v>0</v>
      </c>
    </row>
    <row r="2297" spans="1:14" ht="14.25" x14ac:dyDescent="0.2">
      <c r="A2297" s="3">
        <v>89937</v>
      </c>
      <c r="B2297" s="3" t="s">
        <v>3190</v>
      </c>
      <c r="C2297" s="3" t="s">
        <v>23</v>
      </c>
      <c r="D2297" s="6" t="s">
        <v>860</v>
      </c>
      <c r="E2297" s="6" t="s">
        <v>4279</v>
      </c>
      <c r="F2297" s="3" t="str">
        <f>IFERROR( VLOOKUP(A2297,#REF!,2,0),"")</f>
        <v/>
      </c>
      <c r="G2297" s="3" t="str">
        <f t="array" ref="G2297">_xlfn.XLOOKUP(I2297,Base_Datos!D:D,Base_Datos!B:B,"")</f>
        <v>DFSK</v>
      </c>
      <c r="H2297" s="3" t="str">
        <f t="array" ref="H2297">IF(I2297="","",IFERROR(_xlfn.XLOOKUP(I2297,Base_Datos!$D$2:$D3876,Base_Datos!$C$2:$C3876),""))</f>
        <v>Serie Glory</v>
      </c>
      <c r="I2297" s="3" t="s">
        <v>404</v>
      </c>
      <c r="J2297" s="3" t="str">
        <f>IF(I2297="","",IFERROR(VLOOKUP(I2297,Base_Datos!$D$2:$E$72,2,0),""))</f>
        <v>(1.5L)</v>
      </c>
      <c r="K2297" s="3" t="s">
        <v>2624</v>
      </c>
      <c r="L2297" s="3"/>
      <c r="M2297" s="7">
        <v>3</v>
      </c>
      <c r="N2297" s="7">
        <v>0</v>
      </c>
    </row>
    <row r="2298" spans="1:14" ht="14.25" x14ac:dyDescent="0.2">
      <c r="A2298" s="3">
        <v>89938</v>
      </c>
      <c r="B2298" s="3" t="s">
        <v>3549</v>
      </c>
      <c r="C2298" s="3" t="s">
        <v>23</v>
      </c>
      <c r="D2298" s="6" t="s">
        <v>861</v>
      </c>
      <c r="E2298" s="6" t="s">
        <v>861</v>
      </c>
      <c r="F2298" s="3" t="str">
        <f>IFERROR( VLOOKUP(A2298,#REF!,2,0),"")</f>
        <v/>
      </c>
      <c r="G2298" s="3" t="str">
        <f t="array" ref="G2298">_xlfn.XLOOKUP(I2298,Base_Datos!D:D,Base_Datos!B:B,"")</f>
        <v>DFSK</v>
      </c>
      <c r="H2298" s="3" t="str">
        <f t="array" ref="H2298">IF(I2298="","",IFERROR(_xlfn.XLOOKUP(I2298,Base_Datos!$D$2:$D3876,Base_Datos!$C$2:$C3876),""))</f>
        <v>Serie Glory</v>
      </c>
      <c r="I2298" s="3" t="s">
        <v>404</v>
      </c>
      <c r="J2298" s="3" t="str">
        <f>IF(I2298="","",IFERROR(VLOOKUP(I2298,Base_Datos!$D$2:$E$72,2,0),""))</f>
        <v>(1.5L)</v>
      </c>
      <c r="K2298" s="3"/>
      <c r="L2298" s="3"/>
      <c r="M2298" s="7">
        <v>2</v>
      </c>
      <c r="N2298" s="7">
        <v>0</v>
      </c>
    </row>
    <row r="2299" spans="1:14" ht="14.25" x14ac:dyDescent="0.2">
      <c r="A2299" s="3">
        <v>89939</v>
      </c>
      <c r="B2299" s="3" t="s">
        <v>4280</v>
      </c>
      <c r="C2299" s="3" t="s">
        <v>23</v>
      </c>
      <c r="D2299" s="6" t="s">
        <v>4281</v>
      </c>
      <c r="E2299" s="6" t="s">
        <v>4281</v>
      </c>
      <c r="F2299" s="3" t="str">
        <f>IFERROR( VLOOKUP(A2299,#REF!,2,0),"")</f>
        <v/>
      </c>
      <c r="G2299" s="3" t="str">
        <f t="array" ref="G2299">_xlfn.XLOOKUP(I2299,Base_Datos!D:D,Base_Datos!B:B,"")</f>
        <v>DFSK</v>
      </c>
      <c r="H2299" s="3" t="str">
        <f t="array" ref="H2299">IF(I2299="","",IFERROR(_xlfn.XLOOKUP(I2299,Base_Datos!$D$2:$D3876,Base_Datos!$C$2:$C3876),""))</f>
        <v>Serie K</v>
      </c>
      <c r="I2299" s="3" t="s">
        <v>475</v>
      </c>
      <c r="J2299" s="3" t="str">
        <f>IF(I2299="","",IFERROR(VLOOKUP(I2299,Base_Datos!$D$2:$E$72,2,0),""))</f>
        <v>(1.1L)</v>
      </c>
      <c r="K2299" s="3" t="s">
        <v>2624</v>
      </c>
      <c r="L2299" s="3"/>
      <c r="M2299" s="7">
        <v>19</v>
      </c>
      <c r="N2299" s="7">
        <v>0</v>
      </c>
    </row>
    <row r="2300" spans="1:14" ht="14.25" x14ac:dyDescent="0.2">
      <c r="A2300" s="3">
        <v>89940</v>
      </c>
      <c r="B2300" s="3" t="s">
        <v>4101</v>
      </c>
      <c r="C2300" s="3" t="s">
        <v>23</v>
      </c>
      <c r="D2300" s="6" t="s">
        <v>862</v>
      </c>
      <c r="E2300" s="6" t="s">
        <v>862</v>
      </c>
      <c r="F2300" s="3" t="str">
        <f>IFERROR( VLOOKUP(A2300,#REF!,2,0),"")</f>
        <v/>
      </c>
      <c r="G2300" s="3" t="str">
        <f t="array" ref="G2300">_xlfn.XLOOKUP(I2300,Base_Datos!D:D,Base_Datos!B:B,"")</f>
        <v>DFSK</v>
      </c>
      <c r="H2300" s="3" t="str">
        <f t="array" ref="H2300">IF(I2300="","",IFERROR(_xlfn.XLOOKUP(I2300,Base_Datos!$D$2:$D3876,Base_Datos!$C$2:$C3876),""))</f>
        <v>Serie K</v>
      </c>
      <c r="I2300" s="3" t="s">
        <v>475</v>
      </c>
      <c r="J2300" s="3" t="str">
        <f>IF(I2300="","",IFERROR(VLOOKUP(I2300,Base_Datos!$D$2:$E$72,2,0),""))</f>
        <v>(1.1L)</v>
      </c>
      <c r="K2300" s="3" t="s">
        <v>2624</v>
      </c>
      <c r="L2300" s="3"/>
      <c r="M2300" s="7">
        <v>4</v>
      </c>
      <c r="N2300" s="7">
        <v>0</v>
      </c>
    </row>
    <row r="2301" spans="1:14" ht="14.25" x14ac:dyDescent="0.2">
      <c r="A2301" s="3">
        <v>89941</v>
      </c>
      <c r="B2301" s="3" t="s">
        <v>4282</v>
      </c>
      <c r="C2301" s="3" t="s">
        <v>23</v>
      </c>
      <c r="D2301" s="6" t="s">
        <v>863</v>
      </c>
      <c r="E2301" s="6" t="s">
        <v>863</v>
      </c>
      <c r="F2301" s="3" t="str">
        <f>IFERROR( VLOOKUP(A2301,#REF!,2,0),"")</f>
        <v/>
      </c>
      <c r="G2301" s="3" t="str">
        <f t="array" ref="G2301">_xlfn.XLOOKUP(I2301,Base_Datos!D:D,Base_Datos!B:B,"")</f>
        <v>DFSK</v>
      </c>
      <c r="H2301" s="3" t="str">
        <f t="array" ref="H2301">IF(I2301="","",IFERROR(_xlfn.XLOOKUP(I2301,Base_Datos!$D$2:$D3876,Base_Datos!$C$2:$C3876),""))</f>
        <v>Serie Glory</v>
      </c>
      <c r="I2301" s="3" t="s">
        <v>404</v>
      </c>
      <c r="J2301" s="3" t="str">
        <f>IF(I2301="","",IFERROR(VLOOKUP(I2301,Base_Datos!$D$2:$E$72,2,0),""))</f>
        <v>(1.5L)</v>
      </c>
      <c r="K2301" s="3" t="s">
        <v>2624</v>
      </c>
      <c r="L2301" s="3"/>
      <c r="M2301" s="7">
        <v>5</v>
      </c>
      <c r="N2301" s="7">
        <v>0</v>
      </c>
    </row>
    <row r="2302" spans="1:14" ht="14.25" x14ac:dyDescent="0.2">
      <c r="A2302" s="3">
        <v>89942</v>
      </c>
      <c r="B2302" s="3" t="s">
        <v>4283</v>
      </c>
      <c r="C2302" s="3" t="s">
        <v>23</v>
      </c>
      <c r="D2302" s="6" t="s">
        <v>4284</v>
      </c>
      <c r="E2302" s="6" t="s">
        <v>4284</v>
      </c>
      <c r="F2302" s="3" t="str">
        <f>IFERROR( VLOOKUP(A2302,#REF!,2,0),"")</f>
        <v/>
      </c>
      <c r="G2302" s="3" t="str">
        <f t="array" ref="G2302">_xlfn.XLOOKUP(I2302,Base_Datos!D:D,Base_Datos!B:B,"")</f>
        <v>DFSK</v>
      </c>
      <c r="H2302" s="3" t="str">
        <f t="array" ref="H2302">IF(I2302="","",IFERROR(_xlfn.XLOOKUP(I2302,Base_Datos!$D$2:$D3876,Base_Datos!$C$2:$C3876),""))</f>
        <v>Serie Glory</v>
      </c>
      <c r="I2302" s="3" t="s">
        <v>404</v>
      </c>
      <c r="J2302" s="3" t="str">
        <f>IF(I2302="","",IFERROR(VLOOKUP(I2302,Base_Datos!$D$2:$E$72,2,0),""))</f>
        <v>(1.5L)</v>
      </c>
      <c r="K2302" s="3"/>
      <c r="L2302" s="3"/>
      <c r="M2302" s="7">
        <v>0</v>
      </c>
      <c r="N2302" s="7">
        <v>0</v>
      </c>
    </row>
    <row r="2303" spans="1:14" ht="14.25" x14ac:dyDescent="0.2">
      <c r="A2303" s="3">
        <v>89944</v>
      </c>
      <c r="B2303" s="3" t="s">
        <v>3313</v>
      </c>
      <c r="C2303" s="3" t="s">
        <v>23</v>
      </c>
      <c r="D2303" s="6" t="s">
        <v>864</v>
      </c>
      <c r="E2303" s="6" t="s">
        <v>864</v>
      </c>
      <c r="F2303" s="3" t="str">
        <f>IFERROR( VLOOKUP(A2303,#REF!,2,0),"")</f>
        <v/>
      </c>
      <c r="G2303" s="3" t="str">
        <f t="array" ref="G2303">_xlfn.XLOOKUP(I2303,Base_Datos!D:D,Base_Datos!B:B,"")</f>
        <v>DFSK</v>
      </c>
      <c r="H2303" s="3" t="str">
        <f t="array" ref="H2303">IF(I2303="","",IFERROR(_xlfn.XLOOKUP(I2303,Base_Datos!$D$2:$D3876,Base_Datos!$C$2:$C3876),""))</f>
        <v>Serie Glory</v>
      </c>
      <c r="I2303" s="3" t="s">
        <v>404</v>
      </c>
      <c r="J2303" s="3" t="str">
        <f>IF(I2303="","",IFERROR(VLOOKUP(I2303,Base_Datos!$D$2:$E$72,2,0),""))</f>
        <v>(1.5L)</v>
      </c>
      <c r="K2303" s="3" t="s">
        <v>2624</v>
      </c>
      <c r="L2303" s="3"/>
      <c r="M2303" s="7">
        <v>6</v>
      </c>
      <c r="N2303" s="7">
        <v>0</v>
      </c>
    </row>
    <row r="2304" spans="1:14" ht="14.25" x14ac:dyDescent="0.2">
      <c r="A2304" s="3">
        <v>89947</v>
      </c>
      <c r="B2304" s="3" t="s">
        <v>4285</v>
      </c>
      <c r="C2304" s="3" t="s">
        <v>2</v>
      </c>
      <c r="D2304" s="6" t="s">
        <v>4286</v>
      </c>
      <c r="E2304" s="6" t="s">
        <v>4286</v>
      </c>
      <c r="F2304" s="3" t="str">
        <f>IFERROR( VLOOKUP(A2304,#REF!,2,0),"")</f>
        <v/>
      </c>
      <c r="G2304" s="3" t="str">
        <f t="array" ref="G2304">_xlfn.XLOOKUP(I2304,Base_Datos!D:D,Base_Datos!B:B,"")</f>
        <v>DFSK</v>
      </c>
      <c r="H2304" s="3" t="str">
        <f t="array" ref="H2304">IF(I2304="","",IFERROR(_xlfn.XLOOKUP(I2304,Base_Datos!$D$2:$D3876,Base_Datos!$C$2:$C3876),""))</f>
        <v>Serie Glory</v>
      </c>
      <c r="I2304" s="3" t="s">
        <v>1765</v>
      </c>
      <c r="J2304" s="3" t="str">
        <f>IF(I2304="","",IFERROR(VLOOKUP(I2304,Base_Datos!$D$2:$E$72,2,0),""))</f>
        <v>(1.5L)</v>
      </c>
      <c r="K2304" s="3"/>
      <c r="L2304" s="3"/>
      <c r="M2304" s="7">
        <v>0</v>
      </c>
      <c r="N2304" s="7">
        <v>0</v>
      </c>
    </row>
    <row r="2305" spans="1:14" ht="14.25" x14ac:dyDescent="0.2">
      <c r="A2305" s="3">
        <v>89948</v>
      </c>
      <c r="B2305" s="3" t="s">
        <v>4287</v>
      </c>
      <c r="C2305" s="3" t="s">
        <v>2</v>
      </c>
      <c r="D2305" s="6" t="s">
        <v>4286</v>
      </c>
      <c r="E2305" s="6" t="s">
        <v>4286</v>
      </c>
      <c r="F2305" s="3" t="str">
        <f>IFERROR( VLOOKUP(A2305,#REF!,2,0),"")</f>
        <v/>
      </c>
      <c r="G2305" s="3" t="str">
        <f t="array" ref="G2305">_xlfn.XLOOKUP(I2305,Base_Datos!D:D,Base_Datos!B:B,"")</f>
        <v>DFSK</v>
      </c>
      <c r="H2305" s="3" t="str">
        <f t="array" ref="H2305">IF(I2305="","",IFERROR(_xlfn.XLOOKUP(I2305,Base_Datos!$D$2:$D3876,Base_Datos!$C$2:$C3876),""))</f>
        <v>Serie K</v>
      </c>
      <c r="I2305" s="3" t="s">
        <v>1761</v>
      </c>
      <c r="J2305" s="3" t="str">
        <f>IF(I2305="","",IFERROR(VLOOKUP(I2305,Base_Datos!$D$2:$E$72,2,0),""))</f>
        <v>(1.1L)</v>
      </c>
      <c r="K2305" s="3"/>
      <c r="L2305" s="3"/>
      <c r="M2305" s="7">
        <v>0</v>
      </c>
      <c r="N2305" s="7">
        <v>0</v>
      </c>
    </row>
    <row r="2306" spans="1:14" ht="14.25" x14ac:dyDescent="0.2">
      <c r="A2306" s="3">
        <v>89949</v>
      </c>
      <c r="B2306" s="3" t="s">
        <v>4288</v>
      </c>
      <c r="C2306" s="3" t="s">
        <v>18</v>
      </c>
      <c r="D2306" s="6" t="s">
        <v>4289</v>
      </c>
      <c r="E2306" s="6" t="s">
        <v>4289</v>
      </c>
      <c r="F2306" s="3" t="str">
        <f>IFERROR( VLOOKUP(A2306,#REF!,2,0),"")</f>
        <v/>
      </c>
      <c r="G2306" s="3" t="str">
        <f t="array" ref="G2306">_xlfn.XLOOKUP(I2306,Base_Datos!D:D,Base_Datos!B:B,"")</f>
        <v>DFSK</v>
      </c>
      <c r="H2306" s="3" t="str">
        <f t="array" ref="H2306">IF(I2306="","",IFERROR(_xlfn.XLOOKUP(I2306,Base_Datos!$D$2:$D3876,Base_Datos!$C$2:$C3876),""))</f>
        <v>Serie K</v>
      </c>
      <c r="I2306" s="3" t="s">
        <v>1761</v>
      </c>
      <c r="J2306" s="3" t="str">
        <f>IF(I2306="","",IFERROR(VLOOKUP(I2306,Base_Datos!$D$2:$E$72,2,0),""))</f>
        <v>(1.1L)</v>
      </c>
      <c r="K2306" s="3"/>
      <c r="L2306" s="3"/>
      <c r="M2306" s="7">
        <v>40</v>
      </c>
      <c r="N2306" s="7">
        <v>0</v>
      </c>
    </row>
    <row r="2307" spans="1:14" ht="14.25" x14ac:dyDescent="0.2">
      <c r="A2307" s="3">
        <v>89950</v>
      </c>
      <c r="B2307" s="3" t="s">
        <v>4290</v>
      </c>
      <c r="C2307" s="3" t="s">
        <v>18</v>
      </c>
      <c r="D2307" s="6" t="s">
        <v>1782</v>
      </c>
      <c r="E2307" s="6" t="s">
        <v>1782</v>
      </c>
      <c r="F2307" s="3" t="str">
        <f>IFERROR( VLOOKUP(A2307,#REF!,2,0),"")</f>
        <v/>
      </c>
      <c r="G2307" s="3" t="str">
        <f t="array" ref="G2307">_xlfn.XLOOKUP(I2307,Base_Datos!D:D,Base_Datos!B:B,"")</f>
        <v>DFSK</v>
      </c>
      <c r="H2307" s="3" t="str">
        <f t="array" ref="H2307">IF(I2307="","",IFERROR(_xlfn.XLOOKUP(I2307,Base_Datos!$D$2:$D3876,Base_Datos!$C$2:$C3876),""))</f>
        <v>Serie Glory</v>
      </c>
      <c r="I2307" s="3" t="s">
        <v>404</v>
      </c>
      <c r="J2307" s="3" t="str">
        <f>IF(I2307="","",IFERROR(VLOOKUP(I2307,Base_Datos!$D$2:$E$72,2,0),""))</f>
        <v>(1.5L)</v>
      </c>
      <c r="K2307" s="3"/>
      <c r="L2307" s="3"/>
      <c r="M2307" s="7">
        <v>0</v>
      </c>
      <c r="N2307" s="7">
        <v>0</v>
      </c>
    </row>
    <row r="2308" spans="1:14" ht="14.25" x14ac:dyDescent="0.2">
      <c r="A2308" s="3">
        <v>89951</v>
      </c>
      <c r="B2308" s="3" t="s">
        <v>4291</v>
      </c>
      <c r="C2308" s="3" t="s">
        <v>18</v>
      </c>
      <c r="D2308" s="6" t="s">
        <v>866</v>
      </c>
      <c r="E2308" s="6" t="s">
        <v>4276</v>
      </c>
      <c r="F2308" s="3" t="str">
        <f>IFERROR( VLOOKUP(A2308,#REF!,2,0),"")</f>
        <v/>
      </c>
      <c r="G2308" s="3" t="str">
        <f t="array" ref="G2308">_xlfn.XLOOKUP(I2308,Base_Datos!D:D,Base_Datos!B:B,"")</f>
        <v>DFSK</v>
      </c>
      <c r="H2308" s="3" t="str">
        <f t="array" ref="H2308">IF(I2308="","",IFERROR(_xlfn.XLOOKUP(I2308,Base_Datos!$D$2:$D3876,Base_Datos!$C$2:$C3876),""))</f>
        <v>Serie K</v>
      </c>
      <c r="I2308" s="3" t="s">
        <v>475</v>
      </c>
      <c r="J2308" s="3" t="str">
        <f>IF(I2308="","",IFERROR(VLOOKUP(I2308,Base_Datos!$D$2:$E$72,2,0),""))</f>
        <v>(1.1L)</v>
      </c>
      <c r="K2308" s="3"/>
      <c r="L2308" s="3"/>
      <c r="M2308" s="7">
        <v>75</v>
      </c>
      <c r="N2308" s="7">
        <v>0</v>
      </c>
    </row>
    <row r="2309" spans="1:14" ht="14.25" x14ac:dyDescent="0.2">
      <c r="A2309" s="3">
        <v>89952</v>
      </c>
      <c r="B2309" s="3" t="s">
        <v>4292</v>
      </c>
      <c r="C2309" s="3" t="s">
        <v>23</v>
      </c>
      <c r="D2309" s="6" t="s">
        <v>867</v>
      </c>
      <c r="E2309" s="6" t="s">
        <v>867</v>
      </c>
      <c r="F2309" s="3" t="str">
        <f>IFERROR( VLOOKUP(A2309,#REF!,2,0),"")</f>
        <v/>
      </c>
      <c r="G2309" s="3" t="str">
        <f t="array" ref="G2309">_xlfn.XLOOKUP(I2309,Base_Datos!D:D,Base_Datos!B:B,"")</f>
        <v>DFSK</v>
      </c>
      <c r="H2309" s="3" t="str">
        <f t="array" ref="H2309">IF(I2309="","",IFERROR(_xlfn.XLOOKUP(I2309,Base_Datos!$D$2:$D3876,Base_Datos!$C$2:$C3876),""))</f>
        <v>Serie Glory</v>
      </c>
      <c r="I2309" s="3" t="s">
        <v>404</v>
      </c>
      <c r="J2309" s="3" t="str">
        <f>IF(I2309="","",IFERROR(VLOOKUP(I2309,Base_Datos!$D$2:$E$72,2,0),""))</f>
        <v>(1.5L)</v>
      </c>
      <c r="K2309" s="3"/>
      <c r="L2309" s="3"/>
      <c r="M2309" s="7">
        <v>31</v>
      </c>
      <c r="N2309" s="7">
        <v>0</v>
      </c>
    </row>
    <row r="2310" spans="1:14" ht="14.25" x14ac:dyDescent="0.2">
      <c r="A2310" s="3">
        <v>89953</v>
      </c>
      <c r="B2310" s="3" t="s">
        <v>4293</v>
      </c>
      <c r="C2310" s="3" t="s">
        <v>18</v>
      </c>
      <c r="D2310" s="6" t="s">
        <v>868</v>
      </c>
      <c r="E2310" s="6" t="s">
        <v>868</v>
      </c>
      <c r="F2310" s="3" t="str">
        <f>IFERROR( VLOOKUP(A2310,#REF!,2,0),"")</f>
        <v/>
      </c>
      <c r="G2310" s="3" t="str">
        <f t="array" ref="G2310">_xlfn.XLOOKUP(I2310,Base_Datos!D:D,Base_Datos!B:B,"")</f>
        <v>DFSK</v>
      </c>
      <c r="H2310" s="3" t="str">
        <f t="array" ref="H2310">IF(I2310="","",IFERROR(_xlfn.XLOOKUP(I2310,Base_Datos!$D$2:$D3876,Base_Datos!$C$2:$C3876),""))</f>
        <v>Serie K</v>
      </c>
      <c r="I2310" s="3" t="s">
        <v>475</v>
      </c>
      <c r="J2310" s="3" t="str">
        <f>IF(I2310="","",IFERROR(VLOOKUP(I2310,Base_Datos!$D$2:$E$72,2,0),""))</f>
        <v>(1.1L)</v>
      </c>
      <c r="K2310" s="3"/>
      <c r="L2310" s="3"/>
      <c r="M2310" s="7">
        <v>45</v>
      </c>
      <c r="N2310" s="7">
        <v>0</v>
      </c>
    </row>
    <row r="2311" spans="1:14" ht="14.25" x14ac:dyDescent="0.2">
      <c r="A2311" s="3">
        <v>89954</v>
      </c>
      <c r="B2311" s="3" t="s">
        <v>4294</v>
      </c>
      <c r="C2311" s="3" t="s">
        <v>18</v>
      </c>
      <c r="D2311" s="6" t="s">
        <v>869</v>
      </c>
      <c r="E2311" s="6" t="s">
        <v>4295</v>
      </c>
      <c r="F2311" s="3" t="str">
        <f>IFERROR( VLOOKUP(A2311,#REF!,2,0),"")</f>
        <v/>
      </c>
      <c r="G2311" s="3" t="str">
        <f t="array" ref="G2311">_xlfn.XLOOKUP(I2311,Base_Datos!D:D,Base_Datos!B:B,"")</f>
        <v>DFSK</v>
      </c>
      <c r="H2311" s="3" t="str">
        <f t="array" ref="H2311">IF(I2311="","",IFERROR(_xlfn.XLOOKUP(I2311,Base_Datos!$D$2:$D3876,Base_Datos!$C$2:$C3876),""))</f>
        <v>Serie K</v>
      </c>
      <c r="I2311" s="3" t="s">
        <v>475</v>
      </c>
      <c r="J2311" s="3" t="str">
        <f>IF(I2311="","",IFERROR(VLOOKUP(I2311,Base_Datos!$D$2:$E$72,2,0),""))</f>
        <v>(1.1L)</v>
      </c>
      <c r="K2311" s="3"/>
      <c r="L2311" s="3"/>
      <c r="M2311" s="7">
        <v>45</v>
      </c>
      <c r="N2311" s="7">
        <v>0</v>
      </c>
    </row>
    <row r="2312" spans="1:14" ht="14.25" x14ac:dyDescent="0.2">
      <c r="A2312" s="3">
        <v>89955</v>
      </c>
      <c r="B2312" s="3" t="s">
        <v>4296</v>
      </c>
      <c r="C2312" s="3" t="s">
        <v>18</v>
      </c>
      <c r="D2312" s="6" t="s">
        <v>870</v>
      </c>
      <c r="E2312" s="6" t="s">
        <v>4297</v>
      </c>
      <c r="F2312" s="3" t="str">
        <f>IFERROR( VLOOKUP(A2312,#REF!,2,0),"")</f>
        <v/>
      </c>
      <c r="G2312" s="3" t="str">
        <f t="array" ref="G2312">_xlfn.XLOOKUP(I2312,Base_Datos!D:D,Base_Datos!B:B,"")</f>
        <v>DFSK</v>
      </c>
      <c r="H2312" s="3" t="str">
        <f t="array" ref="H2312">IF(I2312="","",IFERROR(_xlfn.XLOOKUP(I2312,Base_Datos!$D$2:$D3876,Base_Datos!$C$2:$C3876),""))</f>
        <v>Serie K</v>
      </c>
      <c r="I2312" s="3" t="s">
        <v>475</v>
      </c>
      <c r="J2312" s="3" t="str">
        <f>IF(I2312="","",IFERROR(VLOOKUP(I2312,Base_Datos!$D$2:$E$72,2,0),""))</f>
        <v>(1.1L)</v>
      </c>
      <c r="K2312" s="3"/>
      <c r="L2312" s="3"/>
      <c r="M2312" s="7">
        <v>45</v>
      </c>
      <c r="N2312" s="7">
        <v>0</v>
      </c>
    </row>
    <row r="2313" spans="1:14" ht="14.25" x14ac:dyDescent="0.2">
      <c r="A2313" s="3">
        <v>89956</v>
      </c>
      <c r="B2313" s="3" t="s">
        <v>3180</v>
      </c>
      <c r="C2313" s="3" t="s">
        <v>23</v>
      </c>
      <c r="D2313" s="6" t="s">
        <v>871</v>
      </c>
      <c r="E2313" s="6" t="s">
        <v>871</v>
      </c>
      <c r="F2313" s="3" t="str">
        <f>IFERROR( VLOOKUP(A2313,#REF!,2,0),"")</f>
        <v/>
      </c>
      <c r="G2313" s="3" t="str">
        <f t="array" ref="G2313">_xlfn.XLOOKUP(I2313,Base_Datos!D:D,Base_Datos!B:B,"")</f>
        <v>DFSK</v>
      </c>
      <c r="H2313" s="3" t="str">
        <f t="array" ref="H2313">IF(I2313="","",IFERROR(_xlfn.XLOOKUP(I2313,Base_Datos!$D$2:$D3876,Base_Datos!$C$2:$C3876),""))</f>
        <v>Serie K</v>
      </c>
      <c r="I2313" s="3" t="s">
        <v>475</v>
      </c>
      <c r="J2313" s="3" t="str">
        <f>IF(I2313="","",IFERROR(VLOOKUP(I2313,Base_Datos!$D$2:$E$72,2,0),""))</f>
        <v>(1.1L)</v>
      </c>
      <c r="K2313" s="3"/>
      <c r="L2313" s="3"/>
      <c r="M2313" s="7">
        <v>0</v>
      </c>
      <c r="N2313" s="7">
        <v>0</v>
      </c>
    </row>
    <row r="2314" spans="1:14" ht="14.25" x14ac:dyDescent="0.2">
      <c r="A2314" s="3">
        <v>89957</v>
      </c>
      <c r="B2314" s="3" t="s">
        <v>3743</v>
      </c>
      <c r="C2314" s="3" t="s">
        <v>23</v>
      </c>
      <c r="D2314" s="6" t="s">
        <v>872</v>
      </c>
      <c r="E2314" s="6" t="s">
        <v>872</v>
      </c>
      <c r="F2314" s="3" t="str">
        <f>IFERROR( VLOOKUP(A2314,#REF!,2,0),"")</f>
        <v/>
      </c>
      <c r="G2314" s="3" t="str">
        <f t="array" ref="G2314">_xlfn.XLOOKUP(I2314,Base_Datos!D:D,Base_Datos!B:B,"")</f>
        <v>DFSK</v>
      </c>
      <c r="H2314" s="3" t="str">
        <f t="array" ref="H2314">IF(I2314="","",IFERROR(_xlfn.XLOOKUP(I2314,Base_Datos!$D$2:$D3876,Base_Datos!$C$2:$C3876),""))</f>
        <v>Serie K</v>
      </c>
      <c r="I2314" s="3" t="s">
        <v>475</v>
      </c>
      <c r="J2314" s="3" t="str">
        <f>IF(I2314="","",IFERROR(VLOOKUP(I2314,Base_Datos!$D$2:$E$72,2,0),""))</f>
        <v>(1.1L)</v>
      </c>
      <c r="K2314" s="3"/>
      <c r="L2314" s="3"/>
      <c r="M2314" s="7">
        <v>5</v>
      </c>
      <c r="N2314" s="7">
        <v>0</v>
      </c>
    </row>
    <row r="2315" spans="1:14" ht="14.25" x14ac:dyDescent="0.2">
      <c r="A2315" s="3">
        <v>89958</v>
      </c>
      <c r="B2315" s="3" t="s">
        <v>4298</v>
      </c>
      <c r="C2315" s="3" t="s">
        <v>23</v>
      </c>
      <c r="D2315" s="6" t="s">
        <v>873</v>
      </c>
      <c r="E2315" s="6" t="s">
        <v>873</v>
      </c>
      <c r="F2315" s="3" t="str">
        <f>IFERROR( VLOOKUP(A2315,#REF!,2,0),"")</f>
        <v/>
      </c>
      <c r="G2315" s="3" t="str">
        <f t="array" ref="G2315">_xlfn.XLOOKUP(I2315,Base_Datos!D:D,Base_Datos!B:B,"")</f>
        <v>DFSK</v>
      </c>
      <c r="H2315" s="3" t="str">
        <f t="array" ref="H2315">IF(I2315="","",IFERROR(_xlfn.XLOOKUP(I2315,Base_Datos!$D$2:$D3876,Base_Datos!$C$2:$C3876),""))</f>
        <v>Serie K</v>
      </c>
      <c r="I2315" s="3" t="s">
        <v>475</v>
      </c>
      <c r="J2315" s="3" t="str">
        <f>IF(I2315="","",IFERROR(VLOOKUP(I2315,Base_Datos!$D$2:$E$72,2,0),""))</f>
        <v>(1.1L)</v>
      </c>
      <c r="K2315" s="3"/>
      <c r="L2315" s="3"/>
      <c r="M2315" s="7">
        <v>8</v>
      </c>
      <c r="N2315" s="7">
        <v>0</v>
      </c>
    </row>
    <row r="2316" spans="1:14" ht="14.25" x14ac:dyDescent="0.2">
      <c r="A2316" s="3">
        <v>89959</v>
      </c>
      <c r="B2316" s="3" t="s">
        <v>3027</v>
      </c>
      <c r="C2316" s="3" t="s">
        <v>23</v>
      </c>
      <c r="D2316" s="6" t="s">
        <v>874</v>
      </c>
      <c r="E2316" s="6" t="s">
        <v>874</v>
      </c>
      <c r="F2316" s="3" t="str">
        <f>IFERROR( VLOOKUP(A2316,#REF!,2,0),"")</f>
        <v/>
      </c>
      <c r="G2316" s="3" t="str">
        <f t="array" ref="G2316">_xlfn.XLOOKUP(I2316,Base_Datos!D:D,Base_Datos!B:B,"")</f>
        <v>DFSK</v>
      </c>
      <c r="H2316" s="3" t="str">
        <f t="array" ref="H2316">IF(I2316="","",IFERROR(_xlfn.XLOOKUP(I2316,Base_Datos!$D$2:$D3876,Base_Datos!$C$2:$C3876),""))</f>
        <v>Serie K</v>
      </c>
      <c r="I2316" s="3" t="s">
        <v>475</v>
      </c>
      <c r="J2316" s="3" t="str">
        <f>IF(I2316="","",IFERROR(VLOOKUP(I2316,Base_Datos!$D$2:$E$72,2,0),""))</f>
        <v>(1.1L)</v>
      </c>
      <c r="K2316" s="3"/>
      <c r="L2316" s="3"/>
      <c r="M2316" s="7">
        <v>8</v>
      </c>
      <c r="N2316" s="7">
        <v>0</v>
      </c>
    </row>
    <row r="2317" spans="1:14" ht="14.25" x14ac:dyDescent="0.2">
      <c r="A2317" s="3">
        <v>89960</v>
      </c>
      <c r="B2317" s="3" t="s">
        <v>2458</v>
      </c>
      <c r="C2317" s="3" t="s">
        <v>23</v>
      </c>
      <c r="D2317" s="6" t="s">
        <v>875</v>
      </c>
      <c r="E2317" s="6" t="s">
        <v>875</v>
      </c>
      <c r="F2317" s="3" t="str">
        <f>IFERROR( VLOOKUP(A2317,#REF!,2,0),"")</f>
        <v/>
      </c>
      <c r="G2317" s="3" t="str">
        <f t="array" ref="G2317">_xlfn.XLOOKUP(I2317,Base_Datos!D:D,Base_Datos!B:B,"")</f>
        <v>DFSK</v>
      </c>
      <c r="H2317" s="3" t="str">
        <f t="array" ref="H2317">IF(I2317="","",IFERROR(_xlfn.XLOOKUP(I2317,Base_Datos!$D$2:$D3876,Base_Datos!$C$2:$C3876),""))</f>
        <v>Serie K</v>
      </c>
      <c r="I2317" s="3" t="s">
        <v>475</v>
      </c>
      <c r="J2317" s="3" t="str">
        <f>IF(I2317="","",IFERROR(VLOOKUP(I2317,Base_Datos!$D$2:$E$72,2,0),""))</f>
        <v>(1.1L)</v>
      </c>
      <c r="K2317" s="3"/>
      <c r="L2317" s="3"/>
      <c r="M2317" s="7">
        <v>0</v>
      </c>
      <c r="N2317" s="7">
        <v>0</v>
      </c>
    </row>
    <row r="2318" spans="1:14" ht="14.25" x14ac:dyDescent="0.2">
      <c r="A2318" s="3">
        <v>89961</v>
      </c>
      <c r="B2318" s="3" t="s">
        <v>2271</v>
      </c>
      <c r="C2318" s="3" t="s">
        <v>23</v>
      </c>
      <c r="D2318" s="6" t="s">
        <v>876</v>
      </c>
      <c r="E2318" s="6" t="s">
        <v>876</v>
      </c>
      <c r="F2318" s="3" t="str">
        <f>IFERROR( VLOOKUP(A2318,#REF!,2,0),"")</f>
        <v/>
      </c>
      <c r="G2318" s="3" t="str">
        <f t="array" ref="G2318">_xlfn.XLOOKUP(I2318,Base_Datos!D:D,Base_Datos!B:B,"")</f>
        <v>DFSK</v>
      </c>
      <c r="H2318" s="3" t="str">
        <f t="array" ref="H2318">IF(I2318="","",IFERROR(_xlfn.XLOOKUP(I2318,Base_Datos!$D$2:$D3876,Base_Datos!$C$2:$C3876),""))</f>
        <v>Serie K</v>
      </c>
      <c r="I2318" s="3" t="s">
        <v>475</v>
      </c>
      <c r="J2318" s="3" t="str">
        <f>IF(I2318="","",IFERROR(VLOOKUP(I2318,Base_Datos!$D$2:$E$72,2,0),""))</f>
        <v>(1.1L)</v>
      </c>
      <c r="K2318" s="3"/>
      <c r="L2318" s="3"/>
      <c r="M2318" s="7">
        <v>8</v>
      </c>
      <c r="N2318" s="7">
        <v>0</v>
      </c>
    </row>
    <row r="2319" spans="1:14" ht="14.25" x14ac:dyDescent="0.2">
      <c r="A2319" s="3">
        <v>89962</v>
      </c>
      <c r="B2319" s="3" t="s">
        <v>4299</v>
      </c>
      <c r="C2319" s="3" t="s">
        <v>23</v>
      </c>
      <c r="D2319" s="6" t="s">
        <v>877</v>
      </c>
      <c r="E2319" s="6" t="s">
        <v>877</v>
      </c>
      <c r="F2319" s="3" t="str">
        <f>IFERROR( VLOOKUP(A2319,#REF!,2,0),"")</f>
        <v/>
      </c>
      <c r="G2319" s="3" t="str">
        <f t="array" ref="G2319">_xlfn.XLOOKUP(I2319,Base_Datos!D:D,Base_Datos!B:B,"")</f>
        <v>DFSK</v>
      </c>
      <c r="H2319" s="3" t="str">
        <f t="array" ref="H2319">IF(I2319="","",IFERROR(_xlfn.XLOOKUP(I2319,Base_Datos!$D$2:$D3876,Base_Datos!$C$2:$C3876),""))</f>
        <v>Serie K</v>
      </c>
      <c r="I2319" s="3" t="s">
        <v>475</v>
      </c>
      <c r="J2319" s="3" t="str">
        <f>IF(I2319="","",IFERROR(VLOOKUP(I2319,Base_Datos!$D$2:$E$72,2,0),""))</f>
        <v>(1.1L)</v>
      </c>
      <c r="K2319" s="3"/>
      <c r="L2319" s="3"/>
      <c r="M2319" s="7">
        <v>5</v>
      </c>
      <c r="N2319" s="7">
        <v>0</v>
      </c>
    </row>
    <row r="2320" spans="1:14" ht="14.25" x14ac:dyDescent="0.2">
      <c r="A2320" s="3">
        <v>89963</v>
      </c>
      <c r="B2320" s="9" t="s">
        <v>2275</v>
      </c>
      <c r="C2320" s="3" t="s">
        <v>23</v>
      </c>
      <c r="D2320" s="6" t="s">
        <v>878</v>
      </c>
      <c r="E2320" s="6" t="s">
        <v>2589</v>
      </c>
      <c r="F2320" s="3" t="str">
        <f>IFERROR( VLOOKUP(A2320,#REF!,2,0),"")</f>
        <v/>
      </c>
      <c r="G2320" s="3" t="str">
        <f t="array" ref="G2320">_xlfn.XLOOKUP(I2320,Base_Datos!D:D,Base_Datos!B:B,"")</f>
        <v>DFSK</v>
      </c>
      <c r="H2320" s="3" t="str">
        <f t="array" ref="H2320">IF(I2320="","",IFERROR(_xlfn.XLOOKUP(I2320,Base_Datos!$D$2:$D3876,Base_Datos!$C$2:$C3876),""))</f>
        <v>Serie K</v>
      </c>
      <c r="I2320" s="3" t="s">
        <v>475</v>
      </c>
      <c r="J2320" s="3" t="str">
        <f>IF(I2320="","",IFERROR(VLOOKUP(I2320,Base_Datos!$D$2:$E$72,2,0),""))</f>
        <v>(1.1L)</v>
      </c>
      <c r="K2320" s="3" t="s">
        <v>4300</v>
      </c>
      <c r="L2320" s="3"/>
      <c r="M2320" s="7">
        <v>327</v>
      </c>
      <c r="N2320" s="7">
        <v>0</v>
      </c>
    </row>
    <row r="2321" spans="1:14" ht="14.25" x14ac:dyDescent="0.2">
      <c r="A2321" s="3">
        <v>89964</v>
      </c>
      <c r="B2321" s="3" t="s">
        <v>4301</v>
      </c>
      <c r="C2321" s="3" t="s">
        <v>18</v>
      </c>
      <c r="D2321" s="6" t="s">
        <v>879</v>
      </c>
      <c r="E2321" s="6" t="s">
        <v>1782</v>
      </c>
      <c r="F2321" s="3" t="str">
        <f>IFERROR( VLOOKUP(A2321,#REF!,2,0),"")</f>
        <v/>
      </c>
      <c r="G2321" s="3">
        <f t="array" ref="G2321">_xlfn.XLOOKUP(I2321,Base_Datos!D:D,Base_Datos!B:B,"")</f>
        <v>0</v>
      </c>
      <c r="H2321" s="3" t="str">
        <f t="array" ref="H2321">IF(I2321="","",IFERROR(_xlfn.XLOOKUP(I2321,Base_Datos!$D$2:$D3876,Base_Datos!$C$2:$C3876),""))</f>
        <v/>
      </c>
      <c r="I2321" s="3"/>
      <c r="J2321" s="3" t="str">
        <f>IF(I2321="","",IFERROR(VLOOKUP(I2321,Base_Datos!$D$2:$E$72,2,0),""))</f>
        <v/>
      </c>
      <c r="K2321" s="3"/>
      <c r="L2321" s="3"/>
      <c r="M2321" s="7">
        <v>25</v>
      </c>
      <c r="N2321" s="7">
        <v>0</v>
      </c>
    </row>
    <row r="2322" spans="1:14" ht="14.25" x14ac:dyDescent="0.2">
      <c r="A2322" s="3">
        <v>89965</v>
      </c>
      <c r="B2322" s="3" t="s">
        <v>1938</v>
      </c>
      <c r="C2322" s="3" t="s">
        <v>18</v>
      </c>
      <c r="D2322" s="6" t="s">
        <v>880</v>
      </c>
      <c r="E2322" s="6" t="s">
        <v>4302</v>
      </c>
      <c r="F2322" s="3" t="str">
        <f>IFERROR( VLOOKUP(A2322,#REF!,2,0),"")</f>
        <v/>
      </c>
      <c r="G2322" s="3" t="str">
        <f t="array" ref="G2322">_xlfn.XLOOKUP(I2322,Base_Datos!D:D,Base_Datos!B:B,"")</f>
        <v>DFSK</v>
      </c>
      <c r="H2322" s="3" t="str">
        <f t="array" ref="H2322">IF(I2322="","",IFERROR(_xlfn.XLOOKUP(I2322,Base_Datos!$D$2:$D3876,Base_Datos!$C$2:$C3876),""))</f>
        <v>Serie K</v>
      </c>
      <c r="I2322" s="3" t="s">
        <v>475</v>
      </c>
      <c r="J2322" s="3" t="str">
        <f>IF(I2322="","",IFERROR(VLOOKUP(I2322,Base_Datos!$D$2:$E$72,2,0),""))</f>
        <v>(1.1L)</v>
      </c>
      <c r="K2322" s="3" t="s">
        <v>4303</v>
      </c>
      <c r="L2322" s="3"/>
      <c r="M2322" s="7">
        <v>80</v>
      </c>
      <c r="N2322" s="7">
        <v>0</v>
      </c>
    </row>
    <row r="2323" spans="1:14" ht="14.25" x14ac:dyDescent="0.2">
      <c r="A2323" s="3">
        <v>89966</v>
      </c>
      <c r="B2323" s="3" t="s">
        <v>4304</v>
      </c>
      <c r="C2323" s="3" t="s">
        <v>18</v>
      </c>
      <c r="D2323" s="6" t="s">
        <v>881</v>
      </c>
      <c r="E2323" s="6" t="s">
        <v>4305</v>
      </c>
      <c r="F2323" s="3" t="str">
        <f>IFERROR( VLOOKUP(A2323,#REF!,2,0),"")</f>
        <v/>
      </c>
      <c r="G2323" s="3" t="str">
        <f t="array" ref="G2323">_xlfn.XLOOKUP(I2323,Base_Datos!D:D,Base_Datos!B:B,"")</f>
        <v>DFSK</v>
      </c>
      <c r="H2323" s="3" t="str">
        <f t="array" ref="H2323">IF(I2323="","",IFERROR(_xlfn.XLOOKUP(I2323,Base_Datos!$D$2:$D3876,Base_Datos!$C$2:$C3876),""))</f>
        <v>Serie Glory</v>
      </c>
      <c r="I2323" s="3" t="s">
        <v>404</v>
      </c>
      <c r="J2323" s="3" t="str">
        <f>IF(I2323="","",IFERROR(VLOOKUP(I2323,Base_Datos!$D$2:$E$72,2,0),""))</f>
        <v>(1.5L)</v>
      </c>
      <c r="K2323" s="3" t="s">
        <v>4306</v>
      </c>
      <c r="L2323" s="3"/>
      <c r="M2323" s="7">
        <v>55</v>
      </c>
      <c r="N2323" s="7">
        <v>0</v>
      </c>
    </row>
    <row r="2324" spans="1:14" ht="14.25" x14ac:dyDescent="0.2">
      <c r="A2324" s="3">
        <v>89967</v>
      </c>
      <c r="B2324" s="3" t="s">
        <v>4307</v>
      </c>
      <c r="C2324" s="3" t="s">
        <v>18</v>
      </c>
      <c r="D2324" s="6" t="s">
        <v>882</v>
      </c>
      <c r="E2324" s="6" t="s">
        <v>882</v>
      </c>
      <c r="F2324" s="3" t="str">
        <f>IFERROR( VLOOKUP(A2324,#REF!,2,0),"")</f>
        <v/>
      </c>
      <c r="G2324" s="3" t="str">
        <f t="array" ref="G2324">_xlfn.XLOOKUP(I2324,Base_Datos!D:D,Base_Datos!B:B,"")</f>
        <v>DFSK</v>
      </c>
      <c r="H2324" s="3" t="str">
        <f t="array" ref="H2324">IF(I2324="","",IFERROR(_xlfn.XLOOKUP(I2324,Base_Datos!$D$2:$D3876,Base_Datos!$C$2:$C3876),""))</f>
        <v>Serie K</v>
      </c>
      <c r="I2324" s="3" t="s">
        <v>475</v>
      </c>
      <c r="J2324" s="3" t="str">
        <f>IF(I2324="","",IFERROR(VLOOKUP(I2324,Base_Datos!$D$2:$E$72,2,0),""))</f>
        <v>(1.1L)</v>
      </c>
      <c r="K2324" s="3"/>
      <c r="L2324" s="3"/>
      <c r="M2324" s="7">
        <v>55</v>
      </c>
      <c r="N2324" s="7">
        <v>0</v>
      </c>
    </row>
    <row r="2325" spans="1:14" ht="14.25" x14ac:dyDescent="0.2">
      <c r="A2325" s="3">
        <v>89968</v>
      </c>
      <c r="B2325" s="3" t="s">
        <v>4308</v>
      </c>
      <c r="C2325" s="3" t="s">
        <v>18</v>
      </c>
      <c r="D2325" s="6" t="s">
        <v>883</v>
      </c>
      <c r="E2325" s="6" t="s">
        <v>2771</v>
      </c>
      <c r="F2325" s="3" t="str">
        <f>IFERROR( VLOOKUP(A2325,#REF!,2,0),"")</f>
        <v/>
      </c>
      <c r="G2325" s="3">
        <f t="array" ref="G2325">_xlfn.XLOOKUP(I2325,Base_Datos!D:D,Base_Datos!B:B,"")</f>
        <v>0</v>
      </c>
      <c r="H2325" s="3" t="str">
        <f t="array" ref="H2325">IF(I2325="","",IFERROR(_xlfn.XLOOKUP(I2325,Base_Datos!$D$2:$D3876,Base_Datos!$C$2:$C3876),""))</f>
        <v/>
      </c>
      <c r="I2325" s="3"/>
      <c r="J2325" s="3" t="str">
        <f>IF(I2325="","",IFERROR(VLOOKUP(I2325,Base_Datos!$D$2:$E$72,2,0),""))</f>
        <v/>
      </c>
      <c r="K2325" s="3"/>
      <c r="L2325" s="3"/>
      <c r="M2325" s="7">
        <v>30</v>
      </c>
      <c r="N2325" s="7">
        <v>0</v>
      </c>
    </row>
    <row r="2326" spans="1:14" ht="14.25" x14ac:dyDescent="0.2">
      <c r="A2326" s="3">
        <v>89969</v>
      </c>
      <c r="B2326" s="3" t="s">
        <v>4257</v>
      </c>
      <c r="C2326" s="3" t="s">
        <v>18</v>
      </c>
      <c r="D2326" s="6" t="s">
        <v>884</v>
      </c>
      <c r="E2326" s="6" t="s">
        <v>884</v>
      </c>
      <c r="F2326" s="3" t="str">
        <f>IFERROR( VLOOKUP(A2326,#REF!,2,0),"")</f>
        <v/>
      </c>
      <c r="G2326" s="3" t="str">
        <f t="array" ref="G2326">_xlfn.XLOOKUP(I2326,Base_Datos!D:D,Base_Datos!B:B,"")</f>
        <v>DFSK</v>
      </c>
      <c r="H2326" s="3" t="str">
        <f t="array" ref="H2326">IF(I2326="","",IFERROR(_xlfn.XLOOKUP(I2326,Base_Datos!$D$2:$D3876,Base_Datos!$C$2:$C3876),""))</f>
        <v>Serie K</v>
      </c>
      <c r="I2326" s="3" t="s">
        <v>475</v>
      </c>
      <c r="J2326" s="3" t="str">
        <f>IF(I2326="","",IFERROR(VLOOKUP(I2326,Base_Datos!$D$2:$E$72,2,0),""))</f>
        <v>(1.1L)</v>
      </c>
      <c r="K2326" s="3"/>
      <c r="L2326" s="3"/>
      <c r="M2326" s="7">
        <v>104</v>
      </c>
      <c r="N2326" s="7">
        <v>0</v>
      </c>
    </row>
    <row r="2327" spans="1:14" ht="14.25" x14ac:dyDescent="0.2">
      <c r="A2327" s="3">
        <v>89970</v>
      </c>
      <c r="B2327" s="3" t="s">
        <v>3728</v>
      </c>
      <c r="C2327" s="3" t="s">
        <v>18</v>
      </c>
      <c r="D2327" s="6" t="s">
        <v>885</v>
      </c>
      <c r="E2327" s="6" t="s">
        <v>885</v>
      </c>
      <c r="F2327" s="3" t="str">
        <f>IFERROR( VLOOKUP(A2327,#REF!,2,0),"")</f>
        <v/>
      </c>
      <c r="G2327" s="3" t="str">
        <f t="array" ref="G2327">_xlfn.XLOOKUP(I2327,Base_Datos!D:D,Base_Datos!B:B,"")</f>
        <v>DFSK</v>
      </c>
      <c r="H2327" s="3" t="str">
        <f t="array" ref="H2327">IF(I2327="","",IFERROR(_xlfn.XLOOKUP(I2327,Base_Datos!$D$2:$D3876,Base_Datos!$C$2:$C3876),""))</f>
        <v>Serie K</v>
      </c>
      <c r="I2327" s="3" t="s">
        <v>475</v>
      </c>
      <c r="J2327" s="3" t="str">
        <f>IF(I2327="","",IFERROR(VLOOKUP(I2327,Base_Datos!$D$2:$E$72,2,0),""))</f>
        <v>(1.1L)</v>
      </c>
      <c r="K2327" s="3"/>
      <c r="L2327" s="3"/>
      <c r="M2327" s="7">
        <v>105</v>
      </c>
      <c r="N2327" s="7">
        <v>0</v>
      </c>
    </row>
    <row r="2328" spans="1:14" ht="14.25" x14ac:dyDescent="0.2">
      <c r="A2328" s="3">
        <v>89971</v>
      </c>
      <c r="B2328" s="3" t="s">
        <v>3847</v>
      </c>
      <c r="C2328" s="3" t="s">
        <v>23</v>
      </c>
      <c r="D2328" s="6" t="s">
        <v>848</v>
      </c>
      <c r="E2328" s="6" t="s">
        <v>848</v>
      </c>
      <c r="F2328" s="3" t="str">
        <f>IFERROR( VLOOKUP(A2328,#REF!,2,0),"")</f>
        <v/>
      </c>
      <c r="G2328" s="3" t="str">
        <f t="array" ref="G2328">_xlfn.XLOOKUP(I2328,Base_Datos!D:D,Base_Datos!B:B,"")</f>
        <v>DFSK</v>
      </c>
      <c r="H2328" s="3" t="str">
        <f t="array" ref="H2328">IF(I2328="","",IFERROR(_xlfn.XLOOKUP(I2328,Base_Datos!$D$2:$D3876,Base_Datos!$C$2:$C3876),""))</f>
        <v>Serie Glory</v>
      </c>
      <c r="I2328" s="3" t="s">
        <v>404</v>
      </c>
      <c r="J2328" s="3" t="str">
        <f>IF(I2328="","",IFERROR(VLOOKUP(I2328,Base_Datos!$D$2:$E$72,2,0),""))</f>
        <v>(1.5L)</v>
      </c>
      <c r="K2328" s="3"/>
      <c r="L2328" s="3"/>
      <c r="M2328" s="7">
        <v>0</v>
      </c>
      <c r="N2328" s="7">
        <v>0</v>
      </c>
    </row>
    <row r="2329" spans="1:14" ht="14.25" x14ac:dyDescent="0.2">
      <c r="A2329" s="3">
        <v>89972</v>
      </c>
      <c r="B2329" s="3" t="s">
        <v>4264</v>
      </c>
      <c r="C2329" s="3" t="s">
        <v>23</v>
      </c>
      <c r="D2329" s="6" t="s">
        <v>886</v>
      </c>
      <c r="E2329" s="6" t="s">
        <v>886</v>
      </c>
      <c r="F2329" s="3" t="str">
        <f>IFERROR( VLOOKUP(A2329,#REF!,2,0),"")</f>
        <v/>
      </c>
      <c r="G2329" s="3" t="str">
        <f t="array" ref="G2329">_xlfn.XLOOKUP(I2329,Base_Datos!D:D,Base_Datos!B:B,"")</f>
        <v>DFSK</v>
      </c>
      <c r="H2329" s="3" t="str">
        <f t="array" ref="H2329">IF(I2329="","",IFERROR(_xlfn.XLOOKUP(I2329,Base_Datos!$D$2:$D3876,Base_Datos!$C$2:$C3876),""))</f>
        <v>Serie K</v>
      </c>
      <c r="I2329" s="3" t="s">
        <v>475</v>
      </c>
      <c r="J2329" s="3" t="str">
        <f>IF(I2329="","",IFERROR(VLOOKUP(I2329,Base_Datos!$D$2:$E$72,2,0),""))</f>
        <v>(1.1L)</v>
      </c>
      <c r="K2329" s="3" t="s">
        <v>2624</v>
      </c>
      <c r="L2329" s="3"/>
      <c r="M2329" s="7">
        <v>1</v>
      </c>
      <c r="N2329" s="7">
        <v>0</v>
      </c>
    </row>
    <row r="2330" spans="1:14" ht="14.25" x14ac:dyDescent="0.2">
      <c r="A2330" s="3">
        <v>89973</v>
      </c>
      <c r="B2330" s="3" t="s">
        <v>1789</v>
      </c>
      <c r="C2330" s="3" t="s">
        <v>18</v>
      </c>
      <c r="D2330" s="6" t="s">
        <v>887</v>
      </c>
      <c r="E2330" s="6" t="s">
        <v>4309</v>
      </c>
      <c r="F2330" s="3" t="str">
        <f>IFERROR( VLOOKUP(A2330,#REF!,2,0),"")</f>
        <v/>
      </c>
      <c r="G2330" s="3" t="str">
        <f t="array" ref="G2330">_xlfn.XLOOKUP(I2330,Base_Datos!D:D,Base_Datos!B:B,"")</f>
        <v>DFSK</v>
      </c>
      <c r="H2330" s="3" t="str">
        <f t="array" ref="H2330">IF(I2330="","",IFERROR(_xlfn.XLOOKUP(I2330,Base_Datos!$D$2:$D3876,Base_Datos!$C$2:$C3876),""))</f>
        <v>Serie Glory</v>
      </c>
      <c r="I2330" s="3" t="s">
        <v>404</v>
      </c>
      <c r="J2330" s="3" t="str">
        <f>IF(I2330="","",IFERROR(VLOOKUP(I2330,Base_Datos!$D$2:$E$72,2,0),""))</f>
        <v>(1.5L)</v>
      </c>
      <c r="K2330" s="3"/>
      <c r="L2330" s="3"/>
      <c r="M2330" s="7">
        <v>10</v>
      </c>
      <c r="N2330" s="7">
        <v>0</v>
      </c>
    </row>
    <row r="2331" spans="1:14" ht="14.25" x14ac:dyDescent="0.2">
      <c r="A2331" s="3">
        <v>89974</v>
      </c>
      <c r="B2331" s="3" t="s">
        <v>4310</v>
      </c>
      <c r="C2331" s="3" t="s">
        <v>23</v>
      </c>
      <c r="D2331" s="6" t="s">
        <v>765</v>
      </c>
      <c r="E2331" s="6" t="s">
        <v>765</v>
      </c>
      <c r="F2331" s="3" t="str">
        <f>IFERROR( VLOOKUP(A2331,#REF!,2,0),"")</f>
        <v/>
      </c>
      <c r="G2331" s="3" t="str">
        <f t="array" ref="G2331">_xlfn.XLOOKUP(I2331,Base_Datos!D:D,Base_Datos!B:B,"")</f>
        <v>DFSK</v>
      </c>
      <c r="H2331" s="3" t="str">
        <f t="array" ref="H2331">IF(I2331="","",IFERROR(_xlfn.XLOOKUP(I2331,Base_Datos!$D$2:$D3876,Base_Datos!$C$2:$C3876),""))</f>
        <v>Serie Glory</v>
      </c>
      <c r="I2331" s="3" t="s">
        <v>404</v>
      </c>
      <c r="J2331" s="3" t="str">
        <f>IF(I2331="","",IFERROR(VLOOKUP(I2331,Base_Datos!$D$2:$E$72,2,0),""))</f>
        <v>(1.5L)</v>
      </c>
      <c r="K2331" s="3"/>
      <c r="L2331" s="3"/>
      <c r="M2331" s="7">
        <v>0</v>
      </c>
      <c r="N2331" s="7">
        <v>0</v>
      </c>
    </row>
    <row r="2332" spans="1:14" ht="14.25" x14ac:dyDescent="0.2">
      <c r="A2332" s="3">
        <v>89975</v>
      </c>
      <c r="B2332" s="3" t="s">
        <v>4311</v>
      </c>
      <c r="C2332" s="3" t="s">
        <v>23</v>
      </c>
      <c r="D2332" s="6" t="s">
        <v>231</v>
      </c>
      <c r="E2332" s="6" t="s">
        <v>231</v>
      </c>
      <c r="F2332" s="3" t="str">
        <f>IFERROR( VLOOKUP(A2332,#REF!,2,0),"")</f>
        <v/>
      </c>
      <c r="G2332" s="3" t="str">
        <f t="array" ref="G2332">_xlfn.XLOOKUP(I2332,Base_Datos!D:D,Base_Datos!B:B,"")</f>
        <v>DFSK</v>
      </c>
      <c r="H2332" s="3" t="str">
        <f t="array" ref="H2332">IF(I2332="","",IFERROR(_xlfn.XLOOKUP(I2332,Base_Datos!$D$2:$D3876,Base_Datos!$C$2:$C3876),""))</f>
        <v>Serie Glory</v>
      </c>
      <c r="I2332" s="3" t="s">
        <v>404</v>
      </c>
      <c r="J2332" s="3" t="str">
        <f>IF(I2332="","",IFERROR(VLOOKUP(I2332,Base_Datos!$D$2:$E$72,2,0),""))</f>
        <v>(1.5L)</v>
      </c>
      <c r="K2332" s="3"/>
      <c r="L2332" s="3"/>
      <c r="M2332" s="7">
        <v>0</v>
      </c>
      <c r="N2332" s="7">
        <v>0</v>
      </c>
    </row>
    <row r="2333" spans="1:14" ht="14.25" x14ac:dyDescent="0.2">
      <c r="A2333" s="3">
        <v>89976</v>
      </c>
      <c r="B2333" s="3" t="s">
        <v>4312</v>
      </c>
      <c r="C2333" s="3" t="s">
        <v>23</v>
      </c>
      <c r="D2333" s="6" t="s">
        <v>888</v>
      </c>
      <c r="E2333" s="6" t="s">
        <v>888</v>
      </c>
      <c r="F2333" s="3" t="str">
        <f>IFERROR( VLOOKUP(A2333,#REF!,2,0),"")</f>
        <v/>
      </c>
      <c r="G2333" s="3" t="str">
        <f t="array" ref="G2333">_xlfn.XLOOKUP(I2333,Base_Datos!D:D,Base_Datos!B:B,"")</f>
        <v>DFSK</v>
      </c>
      <c r="H2333" s="3" t="str">
        <f t="array" ref="H2333">IF(I2333="","",IFERROR(_xlfn.XLOOKUP(I2333,Base_Datos!$D$2:$D3876,Base_Datos!$C$2:$C3876),""))</f>
        <v>Serie K</v>
      </c>
      <c r="I2333" s="3" t="s">
        <v>475</v>
      </c>
      <c r="J2333" s="3" t="str">
        <f>IF(I2333="","",IFERROR(VLOOKUP(I2333,Base_Datos!$D$2:$E$72,2,0),""))</f>
        <v>(1.1L)</v>
      </c>
      <c r="K2333" s="3"/>
      <c r="L2333" s="3"/>
      <c r="M2333" s="7">
        <v>1</v>
      </c>
      <c r="N2333" s="7">
        <v>0</v>
      </c>
    </row>
    <row r="2334" spans="1:14" ht="14.25" x14ac:dyDescent="0.2">
      <c r="A2334" s="3">
        <v>89977</v>
      </c>
      <c r="B2334" s="3" t="s">
        <v>4313</v>
      </c>
      <c r="C2334" s="3" t="s">
        <v>23</v>
      </c>
      <c r="D2334" s="6" t="s">
        <v>889</v>
      </c>
      <c r="E2334" s="6" t="s">
        <v>889</v>
      </c>
      <c r="F2334" s="3" t="str">
        <f>IFERROR( VLOOKUP(A2334,#REF!,2,0),"")</f>
        <v/>
      </c>
      <c r="G2334" s="3" t="str">
        <f t="array" ref="G2334">_xlfn.XLOOKUP(I2334,Base_Datos!D:D,Base_Datos!B:B,"")</f>
        <v>DFSK</v>
      </c>
      <c r="H2334" s="3" t="str">
        <f t="array" ref="H2334">IF(I2334="","",IFERROR(_xlfn.XLOOKUP(I2334,Base_Datos!$D$2:$D3876,Base_Datos!$C$2:$C3876),""))</f>
        <v>Serie K</v>
      </c>
      <c r="I2334" s="3" t="s">
        <v>475</v>
      </c>
      <c r="J2334" s="3" t="str">
        <f>IF(I2334="","",IFERROR(VLOOKUP(I2334,Base_Datos!$D$2:$E$72,2,0),""))</f>
        <v>(1.1L)</v>
      </c>
      <c r="K2334" s="3"/>
      <c r="L2334" s="3"/>
      <c r="M2334" s="7">
        <v>1</v>
      </c>
      <c r="N2334" s="7">
        <v>0</v>
      </c>
    </row>
    <row r="2335" spans="1:14" ht="14.25" x14ac:dyDescent="0.2">
      <c r="A2335" s="3">
        <v>89978</v>
      </c>
      <c r="B2335" s="3" t="s">
        <v>4314</v>
      </c>
      <c r="C2335" s="3" t="s">
        <v>23</v>
      </c>
      <c r="D2335" s="6" t="s">
        <v>890</v>
      </c>
      <c r="E2335" s="6" t="s">
        <v>890</v>
      </c>
      <c r="F2335" s="3" t="str">
        <f>IFERROR( VLOOKUP(A2335,#REF!,2,0),"")</f>
        <v/>
      </c>
      <c r="G2335" s="3" t="str">
        <f t="array" ref="G2335">_xlfn.XLOOKUP(I2335,Base_Datos!D:D,Base_Datos!B:B,"")</f>
        <v>DFSK</v>
      </c>
      <c r="H2335" s="3" t="str">
        <f t="array" ref="H2335">IF(I2335="","",IFERROR(_xlfn.XLOOKUP(I2335,Base_Datos!$D$2:$D3876,Base_Datos!$C$2:$C3876),""))</f>
        <v>Serie K</v>
      </c>
      <c r="I2335" s="3" t="s">
        <v>475</v>
      </c>
      <c r="J2335" s="3" t="str">
        <f>IF(I2335="","",IFERROR(VLOOKUP(I2335,Base_Datos!$D$2:$E$72,2,0),""))</f>
        <v>(1.1L)</v>
      </c>
      <c r="K2335" s="3" t="s">
        <v>4315</v>
      </c>
      <c r="L2335" s="3"/>
      <c r="M2335" s="7">
        <v>0</v>
      </c>
      <c r="N2335" s="7">
        <v>0</v>
      </c>
    </row>
    <row r="2336" spans="1:14" ht="14.25" x14ac:dyDescent="0.2">
      <c r="A2336" s="3">
        <v>89979</v>
      </c>
      <c r="B2336" s="3" t="s">
        <v>4316</v>
      </c>
      <c r="C2336" s="3" t="s">
        <v>23</v>
      </c>
      <c r="D2336" s="6" t="s">
        <v>891</v>
      </c>
      <c r="E2336" s="6" t="s">
        <v>891</v>
      </c>
      <c r="F2336" s="3" t="str">
        <f>IFERROR( VLOOKUP(A2336,#REF!,2,0),"")</f>
        <v/>
      </c>
      <c r="G2336" s="3" t="str">
        <f t="array" ref="G2336">_xlfn.XLOOKUP(I2336,Base_Datos!D:D,Base_Datos!B:B,"")</f>
        <v>DFSK</v>
      </c>
      <c r="H2336" s="3" t="str">
        <f t="array" ref="H2336">IF(I2336="","",IFERROR(_xlfn.XLOOKUP(I2336,Base_Datos!$D$2:$D3876,Base_Datos!$C$2:$C3876),""))</f>
        <v>Serie Glory</v>
      </c>
      <c r="I2336" s="3" t="s">
        <v>404</v>
      </c>
      <c r="J2336" s="3" t="str">
        <f>IF(I2336="","",IFERROR(VLOOKUP(I2336,Base_Datos!$D$2:$E$72,2,0),""))</f>
        <v>(1.5L)</v>
      </c>
      <c r="K2336" s="3"/>
      <c r="L2336" s="3"/>
      <c r="M2336" s="7">
        <v>1</v>
      </c>
      <c r="N2336" s="7">
        <v>0</v>
      </c>
    </row>
    <row r="2337" spans="1:14" ht="14.25" x14ac:dyDescent="0.2">
      <c r="A2337" s="3">
        <v>89980</v>
      </c>
      <c r="B2337" s="3" t="s">
        <v>1857</v>
      </c>
      <c r="C2337" s="3" t="s">
        <v>23</v>
      </c>
      <c r="D2337" s="6" t="s">
        <v>892</v>
      </c>
      <c r="E2337" s="6" t="s">
        <v>4317</v>
      </c>
      <c r="F2337" s="3" t="str">
        <f>IFERROR( VLOOKUP(A2337,#REF!,2,0),"")</f>
        <v/>
      </c>
      <c r="G2337" s="3" t="str">
        <f t="array" ref="G2337">_xlfn.XLOOKUP(I2337,Base_Datos!D:D,Base_Datos!B:B,"")</f>
        <v>DFSK</v>
      </c>
      <c r="H2337" s="3" t="str">
        <f t="array" ref="H2337">IF(I2337="","",IFERROR(_xlfn.XLOOKUP(I2337,Base_Datos!$D$2:$D3876,Base_Datos!$C$2:$C3876),""))</f>
        <v>Serie K</v>
      </c>
      <c r="I2337" s="3" t="s">
        <v>475</v>
      </c>
      <c r="J2337" s="3" t="str">
        <f>IF(I2337="","",IFERROR(VLOOKUP(I2337,Base_Datos!$D$2:$E$72,2,0),""))</f>
        <v>(1.1L)</v>
      </c>
      <c r="K2337" s="3" t="s">
        <v>4318</v>
      </c>
      <c r="L2337" s="3"/>
      <c r="M2337" s="7">
        <v>3</v>
      </c>
      <c r="N2337" s="7">
        <v>0</v>
      </c>
    </row>
    <row r="2338" spans="1:14" ht="14.25" x14ac:dyDescent="0.2">
      <c r="A2338" s="3">
        <v>89981</v>
      </c>
      <c r="B2338" s="3" t="s">
        <v>1856</v>
      </c>
      <c r="C2338" s="3" t="s">
        <v>23</v>
      </c>
      <c r="D2338" s="6" t="s">
        <v>893</v>
      </c>
      <c r="E2338" s="6" t="s">
        <v>4319</v>
      </c>
      <c r="F2338" s="3" t="str">
        <f>IFERROR( VLOOKUP(A2338,#REF!,2,0),"")</f>
        <v/>
      </c>
      <c r="G2338" s="3" t="str">
        <f t="array" ref="G2338">_xlfn.XLOOKUP(I2338,Base_Datos!D:D,Base_Datos!B:B,"")</f>
        <v>DFSK</v>
      </c>
      <c r="H2338" s="3" t="str">
        <f t="array" ref="H2338">IF(I2338="","",IFERROR(_xlfn.XLOOKUP(I2338,Base_Datos!$D$2:$D3876,Base_Datos!$C$2:$C3876),""))</f>
        <v>Serie K</v>
      </c>
      <c r="I2338" s="3" t="s">
        <v>475</v>
      </c>
      <c r="J2338" s="3" t="str">
        <f>IF(I2338="","",IFERROR(VLOOKUP(I2338,Base_Datos!$D$2:$E$72,2,0),""))</f>
        <v>(1.1L)</v>
      </c>
      <c r="K2338" s="3" t="s">
        <v>2624</v>
      </c>
      <c r="L2338" s="3"/>
      <c r="M2338" s="7">
        <v>4</v>
      </c>
      <c r="N2338" s="7">
        <v>0</v>
      </c>
    </row>
    <row r="2339" spans="1:14" ht="14.25" x14ac:dyDescent="0.2">
      <c r="A2339" s="3">
        <v>89982</v>
      </c>
      <c r="B2339" s="3" t="s">
        <v>1870</v>
      </c>
      <c r="C2339" s="3" t="s">
        <v>23</v>
      </c>
      <c r="D2339" s="6" t="s">
        <v>722</v>
      </c>
      <c r="E2339" s="6" t="s">
        <v>722</v>
      </c>
      <c r="F2339" s="3" t="str">
        <f>IFERROR( VLOOKUP(A2339,#REF!,2,0),"")</f>
        <v/>
      </c>
      <c r="G2339" s="3" t="str">
        <f t="array" ref="G2339">_xlfn.XLOOKUP(I2339,Base_Datos!D:D,Base_Datos!B:B,"")</f>
        <v>DFSK</v>
      </c>
      <c r="H2339" s="3" t="str">
        <f t="array" ref="H2339">IF(I2339="","",IFERROR(_xlfn.XLOOKUP(I2339,Base_Datos!$D$2:$D3876,Base_Datos!$C$2:$C3876),""))</f>
        <v>Serie Glory</v>
      </c>
      <c r="I2339" s="3" t="s">
        <v>404</v>
      </c>
      <c r="J2339" s="3" t="str">
        <f>IF(I2339="","",IFERROR(VLOOKUP(I2339,Base_Datos!$D$2:$E$72,2,0),""))</f>
        <v>(1.5L)</v>
      </c>
      <c r="K2339" s="3"/>
      <c r="L2339" s="3"/>
      <c r="M2339" s="7">
        <v>6</v>
      </c>
      <c r="N2339" s="7">
        <v>0</v>
      </c>
    </row>
    <row r="2340" spans="1:14" ht="14.25" x14ac:dyDescent="0.2">
      <c r="A2340" s="3">
        <v>89983</v>
      </c>
      <c r="B2340" s="3" t="s">
        <v>1830</v>
      </c>
      <c r="C2340" s="3" t="s">
        <v>23</v>
      </c>
      <c r="D2340" s="6" t="s">
        <v>894</v>
      </c>
      <c r="E2340" s="6" t="s">
        <v>894</v>
      </c>
      <c r="F2340" s="3" t="str">
        <f>IFERROR( VLOOKUP(A2340,#REF!,2,0),"")</f>
        <v/>
      </c>
      <c r="G2340" s="3" t="str">
        <f t="array" ref="G2340">_xlfn.XLOOKUP(I2340,Base_Datos!D:D,Base_Datos!B:B,"")</f>
        <v>DFSK</v>
      </c>
      <c r="H2340" s="3" t="str">
        <f t="array" ref="H2340">IF(I2340="","",IFERROR(_xlfn.XLOOKUP(I2340,Base_Datos!$D$2:$D3876,Base_Datos!$C$2:$C3876),""))</f>
        <v>Serie Glory</v>
      </c>
      <c r="I2340" s="3" t="s">
        <v>404</v>
      </c>
      <c r="J2340" s="3" t="str">
        <f>IF(I2340="","",IFERROR(VLOOKUP(I2340,Base_Datos!$D$2:$E$72,2,0),""))</f>
        <v>(1.5L)</v>
      </c>
      <c r="K2340" s="3"/>
      <c r="L2340" s="3"/>
      <c r="M2340" s="7">
        <v>8</v>
      </c>
      <c r="N2340" s="7">
        <v>0</v>
      </c>
    </row>
    <row r="2341" spans="1:14" ht="14.25" x14ac:dyDescent="0.2">
      <c r="A2341" s="3">
        <v>89984</v>
      </c>
      <c r="B2341" s="3" t="s">
        <v>4320</v>
      </c>
      <c r="C2341" s="3" t="s">
        <v>23</v>
      </c>
      <c r="D2341" s="6" t="s">
        <v>895</v>
      </c>
      <c r="E2341" s="6" t="s">
        <v>895</v>
      </c>
      <c r="F2341" s="3" t="str">
        <f>IFERROR( VLOOKUP(A2341,#REF!,2,0),"")</f>
        <v/>
      </c>
      <c r="G2341" s="3" t="str">
        <f t="array" ref="G2341">_xlfn.XLOOKUP(I2341,Base_Datos!D:D,Base_Datos!B:B,"")</f>
        <v>DFSK</v>
      </c>
      <c r="H2341" s="3" t="str">
        <f t="array" ref="H2341">IF(I2341="","",IFERROR(_xlfn.XLOOKUP(I2341,Base_Datos!$D$2:$D3876,Base_Datos!$C$2:$C3876),""))</f>
        <v>Serie K</v>
      </c>
      <c r="I2341" s="3" t="s">
        <v>475</v>
      </c>
      <c r="J2341" s="3" t="str">
        <f>IF(I2341="","",IFERROR(VLOOKUP(I2341,Base_Datos!$D$2:$E$72,2,0),""))</f>
        <v>(1.1L)</v>
      </c>
      <c r="K2341" s="3"/>
      <c r="L2341" s="3"/>
      <c r="M2341" s="7">
        <v>5</v>
      </c>
      <c r="N2341" s="7">
        <v>0</v>
      </c>
    </row>
    <row r="2342" spans="1:14" ht="14.25" x14ac:dyDescent="0.2">
      <c r="A2342" s="3">
        <v>89985</v>
      </c>
      <c r="B2342" s="3" t="s">
        <v>2245</v>
      </c>
      <c r="C2342" s="3" t="s">
        <v>23</v>
      </c>
      <c r="D2342" s="6" t="s">
        <v>896</v>
      </c>
      <c r="E2342" s="6" t="s">
        <v>896</v>
      </c>
      <c r="F2342" s="3" t="str">
        <f>IFERROR( VLOOKUP(A2342,#REF!,2,0),"")</f>
        <v/>
      </c>
      <c r="G2342" s="3" t="str">
        <f t="array" ref="G2342">_xlfn.XLOOKUP(I2342,Base_Datos!D:D,Base_Datos!B:B,"")</f>
        <v>DFSK</v>
      </c>
      <c r="H2342" s="3" t="str">
        <f t="array" ref="H2342">IF(I2342="","",IFERROR(_xlfn.XLOOKUP(I2342,Base_Datos!$D$2:$D3876,Base_Datos!$C$2:$C3876),""))</f>
        <v>Serie K</v>
      </c>
      <c r="I2342" s="3" t="s">
        <v>475</v>
      </c>
      <c r="J2342" s="3" t="str">
        <f>IF(I2342="","",IFERROR(VLOOKUP(I2342,Base_Datos!$D$2:$E$72,2,0),""))</f>
        <v>(1.1L)</v>
      </c>
      <c r="K2342" s="3"/>
      <c r="L2342" s="3"/>
      <c r="M2342" s="7">
        <v>0</v>
      </c>
      <c r="N2342" s="7">
        <v>0</v>
      </c>
    </row>
    <row r="2343" spans="1:14" ht="14.25" x14ac:dyDescent="0.2">
      <c r="A2343" s="3">
        <v>89986</v>
      </c>
      <c r="B2343" s="3" t="s">
        <v>4321</v>
      </c>
      <c r="C2343" s="3" t="s">
        <v>18</v>
      </c>
      <c r="D2343" s="6" t="s">
        <v>897</v>
      </c>
      <c r="E2343" s="6" t="s">
        <v>897</v>
      </c>
      <c r="F2343" s="3" t="str">
        <f>IFERROR( VLOOKUP(A2343,#REF!,2,0),"")</f>
        <v/>
      </c>
      <c r="G2343" s="3" t="str">
        <f t="array" ref="G2343">_xlfn.XLOOKUP(I2343,Base_Datos!D:D,Base_Datos!B:B,"")</f>
        <v>DFSK</v>
      </c>
      <c r="H2343" s="3" t="str">
        <f t="array" ref="H2343">IF(I2343="","",IFERROR(_xlfn.XLOOKUP(I2343,Base_Datos!$D$2:$D3876,Base_Datos!$C$2:$C3876),""))</f>
        <v>Serie K</v>
      </c>
      <c r="I2343" s="3" t="s">
        <v>475</v>
      </c>
      <c r="J2343" s="3" t="str">
        <f>IF(I2343="","",IFERROR(VLOOKUP(I2343,Base_Datos!$D$2:$E$72,2,0),""))</f>
        <v>(1.1L)</v>
      </c>
      <c r="K2343" s="3" t="s">
        <v>4322</v>
      </c>
      <c r="L2343" s="3"/>
      <c r="M2343" s="7">
        <v>13</v>
      </c>
      <c r="N2343" s="7">
        <v>0</v>
      </c>
    </row>
    <row r="2344" spans="1:14" ht="14.25" x14ac:dyDescent="0.2">
      <c r="A2344" s="3">
        <v>89987</v>
      </c>
      <c r="B2344" s="3" t="s">
        <v>4323</v>
      </c>
      <c r="C2344" s="3" t="s">
        <v>18</v>
      </c>
      <c r="D2344" s="6" t="s">
        <v>898</v>
      </c>
      <c r="E2344" s="6" t="s">
        <v>898</v>
      </c>
      <c r="F2344" s="3" t="str">
        <f>IFERROR( VLOOKUP(A2344,#REF!,2,0),"")</f>
        <v/>
      </c>
      <c r="G2344" s="3" t="str">
        <f t="array" ref="G2344">_xlfn.XLOOKUP(I2344,Base_Datos!D:D,Base_Datos!B:B,"")</f>
        <v>DFSK</v>
      </c>
      <c r="H2344" s="3" t="str">
        <f t="array" ref="H2344">IF(I2344="","",IFERROR(_xlfn.XLOOKUP(I2344,Base_Datos!$D$2:$D3876,Base_Datos!$C$2:$C3876),""))</f>
        <v>Serie K</v>
      </c>
      <c r="I2344" s="3" t="s">
        <v>475</v>
      </c>
      <c r="J2344" s="3" t="str">
        <f>IF(I2344="","",IFERROR(VLOOKUP(I2344,Base_Datos!$D$2:$E$72,2,0),""))</f>
        <v>(1.1L)</v>
      </c>
      <c r="K2344" s="3" t="s">
        <v>4322</v>
      </c>
      <c r="L2344" s="3"/>
      <c r="M2344" s="7">
        <v>13</v>
      </c>
      <c r="N2344" s="7">
        <v>0</v>
      </c>
    </row>
    <row r="2345" spans="1:14" ht="14.25" x14ac:dyDescent="0.2">
      <c r="A2345" s="3">
        <v>89988</v>
      </c>
      <c r="B2345" s="3" t="s">
        <v>3148</v>
      </c>
      <c r="C2345" s="3" t="s">
        <v>18</v>
      </c>
      <c r="D2345" s="6" t="s">
        <v>899</v>
      </c>
      <c r="E2345" s="6" t="s">
        <v>899</v>
      </c>
      <c r="F2345" s="3" t="str">
        <f>IFERROR( VLOOKUP(A2345,#REF!,2,0),"")</f>
        <v/>
      </c>
      <c r="G2345" s="3" t="str">
        <f t="array" ref="G2345">_xlfn.XLOOKUP(I2345,Base_Datos!D:D,Base_Datos!B:B,"")</f>
        <v>DFSK</v>
      </c>
      <c r="H2345" s="3" t="str">
        <f t="array" ref="H2345">IF(I2345="","",IFERROR(_xlfn.XLOOKUP(I2345,Base_Datos!$D$2:$D3876,Base_Datos!$C$2:$C3876),""))</f>
        <v>Serie K</v>
      </c>
      <c r="I2345" s="3" t="s">
        <v>475</v>
      </c>
      <c r="J2345" s="3" t="str">
        <f>IF(I2345="","",IFERROR(VLOOKUP(I2345,Base_Datos!$D$2:$E$72,2,0),""))</f>
        <v>(1.1L)</v>
      </c>
      <c r="K2345" s="3" t="s">
        <v>4322</v>
      </c>
      <c r="L2345" s="3"/>
      <c r="M2345" s="7">
        <v>23</v>
      </c>
      <c r="N2345" s="7">
        <v>0</v>
      </c>
    </row>
    <row r="2346" spans="1:14" ht="14.25" x14ac:dyDescent="0.2">
      <c r="A2346" s="3">
        <v>89989</v>
      </c>
      <c r="B2346" s="3" t="s">
        <v>3150</v>
      </c>
      <c r="C2346" s="3" t="s">
        <v>18</v>
      </c>
      <c r="D2346" s="6" t="s">
        <v>900</v>
      </c>
      <c r="E2346" s="6" t="s">
        <v>900</v>
      </c>
      <c r="F2346" s="3" t="str">
        <f>IFERROR( VLOOKUP(A2346,#REF!,2,0),"")</f>
        <v/>
      </c>
      <c r="G2346" s="3" t="str">
        <f t="array" ref="G2346">_xlfn.XLOOKUP(I2346,Base_Datos!D:D,Base_Datos!B:B,"")</f>
        <v>DFSK</v>
      </c>
      <c r="H2346" s="3" t="str">
        <f t="array" ref="H2346">IF(I2346="","",IFERROR(_xlfn.XLOOKUP(I2346,Base_Datos!$D$2:$D3876,Base_Datos!$C$2:$C3876),""))</f>
        <v>Serie K</v>
      </c>
      <c r="I2346" s="3" t="s">
        <v>475</v>
      </c>
      <c r="J2346" s="3" t="str">
        <f>IF(I2346="","",IFERROR(VLOOKUP(I2346,Base_Datos!$D$2:$E$72,2,0),""))</f>
        <v>(1.1L)</v>
      </c>
      <c r="K2346" s="3" t="s">
        <v>4322</v>
      </c>
      <c r="L2346" s="3"/>
      <c r="M2346" s="7">
        <v>11</v>
      </c>
      <c r="N2346" s="7">
        <v>0</v>
      </c>
    </row>
    <row r="2347" spans="1:14" ht="14.25" x14ac:dyDescent="0.2">
      <c r="A2347" s="3">
        <v>89990</v>
      </c>
      <c r="B2347" s="3" t="s">
        <v>4324</v>
      </c>
      <c r="C2347" s="3" t="s">
        <v>23</v>
      </c>
      <c r="D2347" s="6" t="s">
        <v>865</v>
      </c>
      <c r="E2347" s="6" t="s">
        <v>865</v>
      </c>
      <c r="F2347" s="3" t="str">
        <f>IFERROR( VLOOKUP(A2347,#REF!,2,0),"")</f>
        <v/>
      </c>
      <c r="G2347" s="3" t="str">
        <f t="array" ref="G2347">_xlfn.XLOOKUP(I2347,Base_Datos!D:D,Base_Datos!B:B,"")</f>
        <v>DFSK</v>
      </c>
      <c r="H2347" s="3" t="str">
        <f t="array" ref="H2347">IF(I2347="","",IFERROR(_xlfn.XLOOKUP(I2347,Base_Datos!$D$2:$D3876,Base_Datos!$C$2:$C3876),""))</f>
        <v>Serie K</v>
      </c>
      <c r="I2347" s="3" t="s">
        <v>475</v>
      </c>
      <c r="J2347" s="3" t="str">
        <f>IF(I2347="","",IFERROR(VLOOKUP(I2347,Base_Datos!$D$2:$E$72,2,0),""))</f>
        <v>(1.1L)</v>
      </c>
      <c r="K2347" s="3"/>
      <c r="L2347" s="3"/>
      <c r="M2347" s="7">
        <v>100</v>
      </c>
      <c r="N2347" s="7">
        <v>0</v>
      </c>
    </row>
    <row r="2348" spans="1:14" ht="14.25" x14ac:dyDescent="0.2">
      <c r="A2348" s="3">
        <v>89991</v>
      </c>
      <c r="B2348" s="3" t="s">
        <v>3047</v>
      </c>
      <c r="C2348" s="3" t="s">
        <v>23</v>
      </c>
      <c r="D2348" s="6" t="s">
        <v>901</v>
      </c>
      <c r="E2348" s="6" t="s">
        <v>901</v>
      </c>
      <c r="F2348" s="3" t="str">
        <f>IFERROR( VLOOKUP(A2348,#REF!,2,0),"")</f>
        <v/>
      </c>
      <c r="G2348" s="3" t="str">
        <f t="array" ref="G2348">_xlfn.XLOOKUP(I2348,Base_Datos!D:D,Base_Datos!B:B,"")</f>
        <v>DFSK</v>
      </c>
      <c r="H2348" s="3" t="str">
        <f t="array" ref="H2348">IF(I2348="","",IFERROR(_xlfn.XLOOKUP(I2348,Base_Datos!$D$2:$D3876,Base_Datos!$C$2:$C3876),""))</f>
        <v>Serie K</v>
      </c>
      <c r="I2348" s="3" t="s">
        <v>1762</v>
      </c>
      <c r="J2348" s="3" t="str">
        <f>IF(I2348="","",IFERROR(VLOOKUP(I2348,Base_Datos!$D$2:$E$72,2,0),""))</f>
        <v>(1.1L)</v>
      </c>
      <c r="K2348" s="3"/>
      <c r="L2348" s="3"/>
      <c r="M2348" s="7">
        <v>4</v>
      </c>
      <c r="N2348" s="7">
        <v>0</v>
      </c>
    </row>
    <row r="2349" spans="1:14" ht="14.25" x14ac:dyDescent="0.2">
      <c r="A2349" s="3">
        <v>89992</v>
      </c>
      <c r="B2349" s="3" t="s">
        <v>4325</v>
      </c>
      <c r="C2349" s="3" t="s">
        <v>18</v>
      </c>
      <c r="D2349" s="6" t="s">
        <v>902</v>
      </c>
      <c r="E2349" s="6" t="s">
        <v>483</v>
      </c>
      <c r="F2349" s="3" t="str">
        <f>IFERROR( VLOOKUP(A2349,#REF!,2,0),"")</f>
        <v/>
      </c>
      <c r="G2349" s="3">
        <f t="array" ref="G2349">_xlfn.XLOOKUP(I2349,Base_Datos!D:D,Base_Datos!B:B,"")</f>
        <v>0</v>
      </c>
      <c r="H2349" s="3" t="str">
        <f t="array" ref="H2349">IF(I2349="","",IFERROR(_xlfn.XLOOKUP(I2349,Base_Datos!$D$2:$D3876,Base_Datos!$C$2:$C3876),""))</f>
        <v/>
      </c>
      <c r="I2349" s="3"/>
      <c r="J2349" s="3" t="str">
        <f>IF(I2349="","",IFERROR(VLOOKUP(I2349,Base_Datos!$D$2:$E$72,2,0),""))</f>
        <v/>
      </c>
      <c r="K2349" s="3"/>
      <c r="L2349" s="3"/>
      <c r="M2349" s="7">
        <v>1</v>
      </c>
      <c r="N2349" s="7">
        <v>0</v>
      </c>
    </row>
    <row r="2350" spans="1:14" ht="14.25" x14ac:dyDescent="0.2">
      <c r="A2350" s="3">
        <v>89993</v>
      </c>
      <c r="B2350" s="3" t="s">
        <v>4326</v>
      </c>
      <c r="C2350" s="3" t="s">
        <v>18</v>
      </c>
      <c r="D2350" s="6" t="s">
        <v>4327</v>
      </c>
      <c r="E2350" s="6" t="s">
        <v>4327</v>
      </c>
      <c r="F2350" s="3" t="str">
        <f>IFERROR( VLOOKUP(A2350,#REF!,2,0),"")</f>
        <v/>
      </c>
      <c r="G2350" s="3" t="str">
        <f t="array" ref="G2350">_xlfn.XLOOKUP(I2350,Base_Datos!D:D,Base_Datos!B:B,"")</f>
        <v>DFSK</v>
      </c>
      <c r="H2350" s="3" t="str">
        <f t="array" ref="H2350">IF(I2350="","",IFERROR(_xlfn.XLOOKUP(I2350,Base_Datos!$D$2:$D3876,Base_Datos!$C$2:$C3876),""))</f>
        <v>Serie C</v>
      </c>
      <c r="I2350" s="3" t="s">
        <v>343</v>
      </c>
      <c r="J2350" s="3" t="str">
        <f>IF(I2350="","",IFERROR(VLOOKUP(I2350,Base_Datos!$D$2:$E$72,2,0),""))</f>
        <v>(1.5L)</v>
      </c>
      <c r="K2350" s="3"/>
      <c r="L2350" s="3"/>
      <c r="M2350" s="7">
        <v>0</v>
      </c>
      <c r="N2350" s="7">
        <v>0</v>
      </c>
    </row>
    <row r="2351" spans="1:14" ht="14.25" x14ac:dyDescent="0.2">
      <c r="A2351" s="3">
        <v>89994</v>
      </c>
      <c r="B2351" s="3" t="s">
        <v>4328</v>
      </c>
      <c r="C2351" s="3" t="s">
        <v>18</v>
      </c>
      <c r="D2351" s="6" t="s">
        <v>1028</v>
      </c>
      <c r="E2351" s="6" t="s">
        <v>817</v>
      </c>
      <c r="F2351" s="3" t="str">
        <f>IFERROR( VLOOKUP(A2351,#REF!,2,0),"")</f>
        <v/>
      </c>
      <c r="G2351" s="3" t="str">
        <f t="array" ref="G2351">_xlfn.XLOOKUP(I2351,Base_Datos!D:D,Base_Datos!B:B,"")</f>
        <v>DFSK</v>
      </c>
      <c r="H2351" s="3" t="str">
        <f t="array" ref="H2351">IF(I2351="","",IFERROR(_xlfn.XLOOKUP(I2351,Base_Datos!$D$2:$D3876,Base_Datos!$C$2:$C3876),""))</f>
        <v>Serie K</v>
      </c>
      <c r="I2351" s="3" t="s">
        <v>475</v>
      </c>
      <c r="J2351" s="3" t="str">
        <f>IF(I2351="","",IFERROR(VLOOKUP(I2351,Base_Datos!$D$2:$E$72,2,0),""))</f>
        <v>(1.1L)</v>
      </c>
      <c r="K2351" s="3"/>
      <c r="L2351" s="3"/>
      <c r="M2351" s="7">
        <v>0</v>
      </c>
      <c r="N2351" s="7">
        <v>0</v>
      </c>
    </row>
    <row r="2352" spans="1:14" ht="14.25" x14ac:dyDescent="0.2">
      <c r="A2352" s="3">
        <v>89995</v>
      </c>
      <c r="B2352" s="3" t="s">
        <v>4329</v>
      </c>
      <c r="C2352" s="3" t="s">
        <v>18</v>
      </c>
      <c r="D2352" s="6" t="s">
        <v>1029</v>
      </c>
      <c r="E2352" s="6" t="s">
        <v>1029</v>
      </c>
      <c r="F2352" s="3" t="str">
        <f>IFERROR( VLOOKUP(A2352,#REF!,2,0),"")</f>
        <v/>
      </c>
      <c r="G2352" s="3" t="str">
        <f t="array" ref="G2352">_xlfn.XLOOKUP(I2352,Base_Datos!D:D,Base_Datos!B:B,"")</f>
        <v>DFSK</v>
      </c>
      <c r="H2352" s="3" t="str">
        <f t="array" ref="H2352">IF(I2352="","",IFERROR(_xlfn.XLOOKUP(I2352,Base_Datos!$D$2:$D3876,Base_Datos!$C$2:$C3876),""))</f>
        <v>Serie K</v>
      </c>
      <c r="I2352" s="3" t="s">
        <v>475</v>
      </c>
      <c r="J2352" s="3" t="str">
        <f>IF(I2352="","",IFERROR(VLOOKUP(I2352,Base_Datos!$D$2:$E$72,2,0),""))</f>
        <v>(1.1L)</v>
      </c>
      <c r="K2352" s="3"/>
      <c r="L2352" s="3"/>
      <c r="M2352" s="7">
        <v>7</v>
      </c>
      <c r="N2352" s="7">
        <v>0</v>
      </c>
    </row>
    <row r="2353" spans="1:14" ht="14.25" x14ac:dyDescent="0.2">
      <c r="A2353" s="3">
        <v>89996</v>
      </c>
      <c r="B2353" s="3" t="s">
        <v>2560</v>
      </c>
      <c r="C2353" s="3" t="s">
        <v>18</v>
      </c>
      <c r="D2353" s="6" t="s">
        <v>4330</v>
      </c>
      <c r="E2353" s="6" t="s">
        <v>4330</v>
      </c>
      <c r="F2353" s="3" t="str">
        <f>IFERROR( VLOOKUP(A2353,#REF!,2,0),"")</f>
        <v/>
      </c>
      <c r="G2353" s="3" t="str">
        <f t="array" ref="G2353">_xlfn.XLOOKUP(I2353,Base_Datos!D:D,Base_Datos!B:B,"")</f>
        <v>DFSK</v>
      </c>
      <c r="H2353" s="3" t="str">
        <f t="array" ref="H2353">IF(I2353="","",IFERROR(_xlfn.XLOOKUP(I2353,Base_Datos!$D$2:$D3876,Base_Datos!$C$2:$C3876),""))</f>
        <v>Serie K</v>
      </c>
      <c r="I2353" s="3" t="s">
        <v>475</v>
      </c>
      <c r="J2353" s="3" t="str">
        <f>IF(I2353="","",IFERROR(VLOOKUP(I2353,Base_Datos!$D$2:$E$72,2,0),""))</f>
        <v>(1.1L)</v>
      </c>
      <c r="K2353" s="3" t="s">
        <v>1817</v>
      </c>
      <c r="L2353" s="3"/>
      <c r="M2353" s="7">
        <v>0</v>
      </c>
      <c r="N2353" s="7">
        <v>0</v>
      </c>
    </row>
    <row r="2354" spans="1:14" ht="14.25" x14ac:dyDescent="0.2">
      <c r="A2354" s="3">
        <v>89998</v>
      </c>
      <c r="B2354" s="3" t="s">
        <v>4331</v>
      </c>
      <c r="C2354" s="3" t="s">
        <v>18</v>
      </c>
      <c r="D2354" s="6" t="s">
        <v>4332</v>
      </c>
      <c r="E2354" s="6" t="s">
        <v>4332</v>
      </c>
      <c r="F2354" s="3" t="str">
        <f>IFERROR( VLOOKUP(A2354,#REF!,2,0),"")</f>
        <v/>
      </c>
      <c r="G2354" s="3">
        <f t="array" ref="G2354">_xlfn.XLOOKUP(I2354,Base_Datos!D:D,Base_Datos!B:B,"")</f>
        <v>0</v>
      </c>
      <c r="H2354" s="3" t="str">
        <f t="array" ref="H2354">IF(I2354="","",IFERROR(_xlfn.XLOOKUP(I2354,Base_Datos!$D$2:$D3876,Base_Datos!$C$2:$C3876),""))</f>
        <v/>
      </c>
      <c r="I2354" s="3"/>
      <c r="J2354" s="3" t="str">
        <f>IF(I2354="","",IFERROR(VLOOKUP(I2354,Base_Datos!$D$2:$E$72,2,0),""))</f>
        <v/>
      </c>
      <c r="K2354" s="3"/>
      <c r="L2354" s="3"/>
      <c r="M2354" s="7">
        <v>50</v>
      </c>
      <c r="N2354" s="7">
        <v>0</v>
      </c>
    </row>
    <row r="2355" spans="1:14" ht="14.25" x14ac:dyDescent="0.2">
      <c r="A2355" s="3">
        <v>90002</v>
      </c>
      <c r="B2355" s="3" t="s">
        <v>4333</v>
      </c>
      <c r="C2355" s="3" t="s">
        <v>18</v>
      </c>
      <c r="D2355" s="6" t="s">
        <v>904</v>
      </c>
      <c r="E2355" s="6" t="s">
        <v>904</v>
      </c>
      <c r="F2355" s="3" t="str">
        <f>IFERROR( VLOOKUP(A2355,#REF!,2,0),"")</f>
        <v/>
      </c>
      <c r="G2355" s="3" t="str">
        <f t="array" ref="G2355">_xlfn.XLOOKUP(I2355,Base_Datos!D:D,Base_Datos!B:B,"")</f>
        <v>DFSK</v>
      </c>
      <c r="H2355" s="3" t="str">
        <f t="array" ref="H2355">IF(I2355="","",IFERROR(_xlfn.XLOOKUP(I2355,Base_Datos!$D$2:$D3876,Base_Datos!$C$2:$C3876),""))</f>
        <v>Serie K</v>
      </c>
      <c r="I2355" s="3" t="s">
        <v>475</v>
      </c>
      <c r="J2355" s="3" t="str">
        <f>IF(I2355="","",IFERROR(VLOOKUP(I2355,Base_Datos!$D$2:$E$72,2,0),""))</f>
        <v>(1.1L)</v>
      </c>
      <c r="K2355" s="3"/>
      <c r="L2355" s="3"/>
      <c r="M2355" s="7">
        <v>121</v>
      </c>
      <c r="N2355" s="7">
        <v>0</v>
      </c>
    </row>
    <row r="2356" spans="1:14" ht="14.25" x14ac:dyDescent="0.2">
      <c r="A2356" s="3">
        <v>90205</v>
      </c>
      <c r="B2356" s="3" t="s">
        <v>4334</v>
      </c>
      <c r="C2356" s="3" t="s">
        <v>18</v>
      </c>
      <c r="D2356" s="6" t="s">
        <v>1782</v>
      </c>
      <c r="E2356" s="6" t="s">
        <v>4335</v>
      </c>
      <c r="F2356" s="3" t="str">
        <f>IFERROR( VLOOKUP(A2356,#REF!,2,0),"")</f>
        <v/>
      </c>
      <c r="G2356" s="3" t="str">
        <f t="array" ref="G2356">_xlfn.XLOOKUP(I2356,Base_Datos!D:D,Base_Datos!B:B,"")</f>
        <v>DFSK</v>
      </c>
      <c r="H2356" s="3" t="str">
        <f t="array" ref="H2356">IF(I2356="","",IFERROR(_xlfn.XLOOKUP(I2356,Base_Datos!$D$2:$D3876,Base_Datos!$C$2:$C3876),""))</f>
        <v>Serie C</v>
      </c>
      <c r="I2356" s="3" t="s">
        <v>343</v>
      </c>
      <c r="J2356" s="3" t="str">
        <f>IF(I2356="","",IFERROR(VLOOKUP(I2356,Base_Datos!$D$2:$E$72,2,0),""))</f>
        <v>(1.5L)</v>
      </c>
      <c r="K2356" s="3"/>
      <c r="L2356" s="3"/>
      <c r="M2356" s="7">
        <v>1</v>
      </c>
      <c r="N2356" s="7">
        <v>0</v>
      </c>
    </row>
    <row r="2357" spans="1:14" ht="14.25" x14ac:dyDescent="0.2">
      <c r="A2357" s="3">
        <v>90211</v>
      </c>
      <c r="B2357" s="3" t="s">
        <v>4336</v>
      </c>
      <c r="C2357" s="3" t="s">
        <v>18</v>
      </c>
      <c r="D2357" s="6" t="s">
        <v>4337</v>
      </c>
      <c r="E2357" s="6" t="s">
        <v>4337</v>
      </c>
      <c r="F2357" s="3" t="str">
        <f>IFERROR( VLOOKUP(A2357,#REF!,2,0),"")</f>
        <v/>
      </c>
      <c r="G2357" s="3" t="str">
        <f t="array" ref="G2357">_xlfn.XLOOKUP(I2357,Base_Datos!D:D,Base_Datos!B:B,"")</f>
        <v>DFSK</v>
      </c>
      <c r="H2357" s="3" t="str">
        <f t="array" ref="H2357">IF(I2357="","",IFERROR(_xlfn.XLOOKUP(I2357,Base_Datos!$D$2:$D3876,Base_Datos!$C$2:$C3876),""))</f>
        <v>Serie C</v>
      </c>
      <c r="I2357" s="3" t="s">
        <v>265</v>
      </c>
      <c r="J2357" s="3" t="str">
        <f>IF(I2357="","",IFERROR(VLOOKUP(I2357,Base_Datos!$D$2:$E$72,2,0),""))</f>
        <v>(1.5L)</v>
      </c>
      <c r="K2357" s="3"/>
      <c r="L2357" s="3"/>
      <c r="M2357" s="7">
        <v>3</v>
      </c>
      <c r="N2357" s="7">
        <v>0</v>
      </c>
    </row>
    <row r="2358" spans="1:14" ht="14.25" x14ac:dyDescent="0.2">
      <c r="A2358" s="3">
        <v>90212</v>
      </c>
      <c r="B2358" s="3" t="s">
        <v>4338</v>
      </c>
      <c r="C2358" s="3" t="s">
        <v>18</v>
      </c>
      <c r="D2358" s="6" t="s">
        <v>4337</v>
      </c>
      <c r="E2358" s="6" t="s">
        <v>4337</v>
      </c>
      <c r="F2358" s="3" t="str">
        <f>IFERROR( VLOOKUP(A2358,#REF!,2,0),"")</f>
        <v/>
      </c>
      <c r="G2358" s="3" t="str">
        <f t="array" ref="G2358">_xlfn.XLOOKUP(I2358,Base_Datos!D:D,Base_Datos!B:B,"")</f>
        <v>DFSK</v>
      </c>
      <c r="H2358" s="3" t="str">
        <f t="array" ref="H2358">IF(I2358="","",IFERROR(_xlfn.XLOOKUP(I2358,Base_Datos!$D$2:$D3876,Base_Datos!$C$2:$C3876),""))</f>
        <v>Serie C</v>
      </c>
      <c r="I2358" s="3" t="s">
        <v>265</v>
      </c>
      <c r="J2358" s="3" t="str">
        <f>IF(I2358="","",IFERROR(VLOOKUP(I2358,Base_Datos!$D$2:$E$72,2,0),""))</f>
        <v>(1.5L)</v>
      </c>
      <c r="K2358" s="3"/>
      <c r="L2358" s="3"/>
      <c r="M2358" s="7">
        <v>3</v>
      </c>
      <c r="N2358" s="7">
        <v>0</v>
      </c>
    </row>
    <row r="2359" spans="1:14" ht="14.25" x14ac:dyDescent="0.2">
      <c r="A2359" s="3">
        <v>90213</v>
      </c>
      <c r="B2359" s="3" t="s">
        <v>4339</v>
      </c>
      <c r="C2359" s="3" t="s">
        <v>18</v>
      </c>
      <c r="D2359" s="6" t="s">
        <v>4337</v>
      </c>
      <c r="E2359" s="6" t="s">
        <v>4337</v>
      </c>
      <c r="F2359" s="3" t="str">
        <f>IFERROR( VLOOKUP(A2359,#REF!,2,0),"")</f>
        <v/>
      </c>
      <c r="G2359" s="3" t="str">
        <f t="array" ref="G2359">_xlfn.XLOOKUP(I2359,Base_Datos!D:D,Base_Datos!B:B,"")</f>
        <v>DFSK</v>
      </c>
      <c r="H2359" s="3" t="str">
        <f t="array" ref="H2359">IF(I2359="","",IFERROR(_xlfn.XLOOKUP(I2359,Base_Datos!$D$2:$D3876,Base_Datos!$C$2:$C3876),""))</f>
        <v>Serie Glory</v>
      </c>
      <c r="I2359" s="3" t="s">
        <v>1765</v>
      </c>
      <c r="J2359" s="3" t="str">
        <f>IF(I2359="","",IFERROR(VLOOKUP(I2359,Base_Datos!$D$2:$E$72,2,0),""))</f>
        <v>(1.5L)</v>
      </c>
      <c r="K2359" s="3"/>
      <c r="L2359" s="3"/>
      <c r="M2359" s="7">
        <v>59</v>
      </c>
      <c r="N2359" s="7">
        <v>0</v>
      </c>
    </row>
    <row r="2360" spans="1:14" ht="14.25" x14ac:dyDescent="0.2">
      <c r="A2360" s="3">
        <v>90214</v>
      </c>
      <c r="B2360" s="3" t="s">
        <v>4340</v>
      </c>
      <c r="C2360" s="3" t="s">
        <v>18</v>
      </c>
      <c r="D2360" s="6" t="s">
        <v>4337</v>
      </c>
      <c r="E2360" s="6" t="s">
        <v>4337</v>
      </c>
      <c r="F2360" s="3" t="str">
        <f>IFERROR( VLOOKUP(A2360,#REF!,2,0),"")</f>
        <v/>
      </c>
      <c r="G2360" s="3" t="str">
        <f t="array" ref="G2360">_xlfn.XLOOKUP(I2360,Base_Datos!D:D,Base_Datos!B:B,"")</f>
        <v>DFSK</v>
      </c>
      <c r="H2360" s="3" t="str">
        <f t="array" ref="H2360">IF(I2360="","",IFERROR(_xlfn.XLOOKUP(I2360,Base_Datos!$D$2:$D3876,Base_Datos!$C$2:$C3876),""))</f>
        <v>Serie Glory</v>
      </c>
      <c r="I2360" s="3" t="s">
        <v>1765</v>
      </c>
      <c r="J2360" s="3" t="str">
        <f>IF(I2360="","",IFERROR(VLOOKUP(I2360,Base_Datos!$D$2:$E$72,2,0),""))</f>
        <v>(1.5L)</v>
      </c>
      <c r="K2360" s="3"/>
      <c r="L2360" s="3"/>
      <c r="M2360" s="7">
        <v>19</v>
      </c>
      <c r="N2360" s="7">
        <v>0</v>
      </c>
    </row>
    <row r="2361" spans="1:14" ht="14.25" x14ac:dyDescent="0.2">
      <c r="A2361" s="3">
        <v>90398</v>
      </c>
      <c r="B2361" s="3" t="s">
        <v>4341</v>
      </c>
      <c r="C2361" s="3" t="s">
        <v>27</v>
      </c>
      <c r="D2361" s="6" t="s">
        <v>1178</v>
      </c>
      <c r="E2361" s="6" t="s">
        <v>1178</v>
      </c>
      <c r="F2361" s="3" t="str">
        <f>IFERROR( VLOOKUP(A2361,#REF!,2,0),"")</f>
        <v/>
      </c>
      <c r="G2361" s="3" t="str">
        <f t="array" ref="G2361">_xlfn.XLOOKUP(I2361,Base_Datos!D:D,Base_Datos!B:B,"")</f>
        <v>DFSK</v>
      </c>
      <c r="H2361" s="3" t="str">
        <f t="array" ref="H2361">IF(I2361="","",IFERROR(_xlfn.XLOOKUP(I2361,Base_Datos!$D$2:$D3876,Base_Datos!$C$2:$C3876),""))</f>
        <v>Serie D</v>
      </c>
      <c r="I2361" s="3" t="s">
        <v>145</v>
      </c>
      <c r="J2361" s="3" t="str">
        <f>IF(I2361="","",IFERROR(VLOOKUP(I2361,Base_Datos!$D$2:$E$72,2,0),""))</f>
        <v>(2.4L)</v>
      </c>
      <c r="K2361" s="3"/>
      <c r="L2361" s="3"/>
      <c r="M2361" s="7">
        <v>0</v>
      </c>
      <c r="N2361" s="7">
        <v>0</v>
      </c>
    </row>
    <row r="2362" spans="1:14" ht="14.25" x14ac:dyDescent="0.2">
      <c r="A2362" s="3">
        <v>90399</v>
      </c>
      <c r="B2362" s="3" t="s">
        <v>4342</v>
      </c>
      <c r="C2362" s="3" t="s">
        <v>27</v>
      </c>
      <c r="D2362" s="6" t="s">
        <v>4343</v>
      </c>
      <c r="E2362" s="6" t="s">
        <v>4343</v>
      </c>
      <c r="F2362" s="3" t="str">
        <f>IFERROR( VLOOKUP(A2362,#REF!,2,0),"")</f>
        <v/>
      </c>
      <c r="G2362" s="3" t="str">
        <f t="array" ref="G2362">_xlfn.XLOOKUP(I2362,Base_Datos!D:D,Base_Datos!B:B,"")</f>
        <v>DFSK</v>
      </c>
      <c r="H2362" s="3" t="str">
        <f t="array" ref="H2362">IF(I2362="","",IFERROR(_xlfn.XLOOKUP(I2362,Base_Datos!$D$2:$D3876,Base_Datos!$C$2:$C3876),""))</f>
        <v>Serie C</v>
      </c>
      <c r="I2362" s="3" t="s">
        <v>343</v>
      </c>
      <c r="J2362" s="3" t="str">
        <f>IF(I2362="","",IFERROR(VLOOKUP(I2362,Base_Datos!$D$2:$E$72,2,0),""))</f>
        <v>(1.5L)</v>
      </c>
      <c r="K2362" s="3"/>
      <c r="L2362" s="3"/>
      <c r="M2362" s="7">
        <v>0</v>
      </c>
      <c r="N2362" s="7">
        <v>0</v>
      </c>
    </row>
    <row r="2363" spans="1:14" ht="14.25" x14ac:dyDescent="0.2">
      <c r="A2363" s="3">
        <v>90400</v>
      </c>
      <c r="B2363" s="3" t="s">
        <v>4344</v>
      </c>
      <c r="C2363" s="3" t="s">
        <v>27</v>
      </c>
      <c r="D2363" s="6" t="s">
        <v>907</v>
      </c>
      <c r="E2363" s="6" t="s">
        <v>907</v>
      </c>
      <c r="F2363" s="3" t="str">
        <f>IFERROR( VLOOKUP(A2363,#REF!,2,0),"")</f>
        <v/>
      </c>
      <c r="G2363" s="3" t="str">
        <f t="array" ref="G2363">_xlfn.XLOOKUP(I2363,Base_Datos!D:D,Base_Datos!B:B,"")</f>
        <v>DFSK</v>
      </c>
      <c r="H2363" s="3" t="str">
        <f t="array" ref="H2363">IF(I2363="","",IFERROR(_xlfn.XLOOKUP(I2363,Base_Datos!$D$2:$D3876,Base_Datos!$C$2:$C3876),""))</f>
        <v>Serie Glory</v>
      </c>
      <c r="I2363" s="3" t="s">
        <v>404</v>
      </c>
      <c r="J2363" s="3" t="str">
        <f>IF(I2363="","",IFERROR(VLOOKUP(I2363,Base_Datos!$D$2:$E$72,2,0),""))</f>
        <v>(1.5L)</v>
      </c>
      <c r="K2363" s="3"/>
      <c r="L2363" s="3"/>
      <c r="M2363" s="7">
        <v>0</v>
      </c>
      <c r="N2363" s="7">
        <v>0</v>
      </c>
    </row>
    <row r="2364" spans="1:14" ht="14.25" x14ac:dyDescent="0.2">
      <c r="A2364" s="3">
        <v>90401</v>
      </c>
      <c r="B2364" s="3" t="s">
        <v>4345</v>
      </c>
      <c r="C2364" s="3" t="s">
        <v>27</v>
      </c>
      <c r="D2364" s="6" t="s">
        <v>1782</v>
      </c>
      <c r="E2364" s="6" t="s">
        <v>1782</v>
      </c>
      <c r="F2364" s="3" t="str">
        <f>IFERROR( VLOOKUP(A2364,#REF!,2,0),"")</f>
        <v/>
      </c>
      <c r="G2364" s="3" t="str">
        <f t="array" ref="G2364">_xlfn.XLOOKUP(I2364,Base_Datos!D:D,Base_Datos!B:B,"")</f>
        <v>DFSK</v>
      </c>
      <c r="H2364" s="3" t="str">
        <f t="array" ref="H2364">IF(I2364="","",IFERROR(_xlfn.XLOOKUP(I2364,Base_Datos!$D$2:$D3876,Base_Datos!$C$2:$C3876),""))</f>
        <v>Serie D</v>
      </c>
      <c r="I2364" s="3" t="s">
        <v>973</v>
      </c>
      <c r="J2364" s="3" t="str">
        <f>IF(I2364="","",IFERROR(VLOOKUP(I2364,Base_Datos!$D$2:$E$72,2,0),""))</f>
        <v>(1.5L)</v>
      </c>
      <c r="K2364" s="3"/>
      <c r="L2364" s="3"/>
      <c r="M2364" s="7">
        <v>0</v>
      </c>
      <c r="N2364" s="7">
        <v>0</v>
      </c>
    </row>
    <row r="2365" spans="1:14" ht="14.25" x14ac:dyDescent="0.2">
      <c r="A2365" s="3">
        <v>90402</v>
      </c>
      <c r="B2365" s="3" t="s">
        <v>2670</v>
      </c>
      <c r="C2365" s="3" t="s">
        <v>27</v>
      </c>
      <c r="D2365" s="6" t="s">
        <v>908</v>
      </c>
      <c r="E2365" s="6" t="s">
        <v>2671</v>
      </c>
      <c r="F2365" s="3" t="str">
        <f>IFERROR( VLOOKUP(A2365,#REF!,2,0),"")</f>
        <v/>
      </c>
      <c r="G2365" s="3" t="str">
        <f t="array" ref="G2365">_xlfn.XLOOKUP(I2365,Base_Datos!D:D,Base_Datos!B:B,"")</f>
        <v>DFSK</v>
      </c>
      <c r="H2365" s="3" t="str">
        <f t="array" ref="H2365">IF(I2365="","",IFERROR(_xlfn.XLOOKUP(I2365,Base_Datos!$D$2:$D3876,Base_Datos!$C$2:$C3876),""))</f>
        <v>Serie C</v>
      </c>
      <c r="I2365" s="3" t="s">
        <v>332</v>
      </c>
      <c r="J2365" s="3" t="str">
        <f>IF(I2365="","",IFERROR(VLOOKUP(I2365,Base_Datos!$D$2:$E$72,2,0),""))</f>
        <v>(1.5L)</v>
      </c>
      <c r="K2365" s="3"/>
      <c r="L2365" s="3"/>
      <c r="M2365" s="7">
        <v>0</v>
      </c>
      <c r="N2365" s="7">
        <v>0</v>
      </c>
    </row>
    <row r="2366" spans="1:14" ht="14.25" x14ac:dyDescent="0.2">
      <c r="A2366" s="3">
        <v>90403</v>
      </c>
      <c r="B2366" s="3" t="s">
        <v>2399</v>
      </c>
      <c r="C2366" s="3" t="s">
        <v>18</v>
      </c>
      <c r="D2366" s="6" t="s">
        <v>909</v>
      </c>
      <c r="E2366" s="6" t="s">
        <v>909</v>
      </c>
      <c r="F2366" s="3" t="str">
        <f>IFERROR( VLOOKUP(A2366,#REF!,2,0),"")</f>
        <v/>
      </c>
      <c r="G2366" s="3" t="str">
        <f t="array" ref="G2366">_xlfn.XLOOKUP(I2366,Base_Datos!D:D,Base_Datos!B:B,"")</f>
        <v>DFSK</v>
      </c>
      <c r="H2366" s="3" t="str">
        <f t="array" ref="H2366">IF(I2366="","",IFERROR(_xlfn.XLOOKUP(I2366,Base_Datos!$D$2:$D3876,Base_Datos!$C$2:$C3876),""))</f>
        <v>Serie C</v>
      </c>
      <c r="I2366" s="3" t="s">
        <v>343</v>
      </c>
      <c r="J2366" s="3" t="str">
        <f>IF(I2366="","",IFERROR(VLOOKUP(I2366,Base_Datos!$D$2:$E$72,2,0),""))</f>
        <v>(1.5L)</v>
      </c>
      <c r="K2366" s="3" t="s">
        <v>4346</v>
      </c>
      <c r="L2366" s="3"/>
      <c r="M2366" s="7">
        <v>0</v>
      </c>
      <c r="N2366" s="7">
        <v>0</v>
      </c>
    </row>
    <row r="2367" spans="1:14" ht="14.25" x14ac:dyDescent="0.2">
      <c r="A2367" s="3">
        <v>90404</v>
      </c>
      <c r="B2367" s="3" t="s">
        <v>4347</v>
      </c>
      <c r="C2367" s="3" t="s">
        <v>27</v>
      </c>
      <c r="D2367" s="6" t="s">
        <v>259</v>
      </c>
      <c r="E2367" s="6" t="s">
        <v>259</v>
      </c>
      <c r="F2367" s="3" t="str">
        <f>IFERROR( VLOOKUP(A2367,#REF!,2,0),"")</f>
        <v/>
      </c>
      <c r="G2367" s="3" t="str">
        <f t="array" ref="G2367">_xlfn.XLOOKUP(I2367,Base_Datos!D:D,Base_Datos!B:B,"")</f>
        <v>DFSK</v>
      </c>
      <c r="H2367" s="3" t="str">
        <f t="array" ref="H2367">IF(I2367="","",IFERROR(_xlfn.XLOOKUP(I2367,Base_Datos!$D$2:$D3876,Base_Datos!$C$2:$C3876),""))</f>
        <v>Serie C</v>
      </c>
      <c r="I2367" s="3" t="s">
        <v>332</v>
      </c>
      <c r="J2367" s="3" t="str">
        <f>IF(I2367="","",IFERROR(VLOOKUP(I2367,Base_Datos!$D$2:$E$72,2,0),""))</f>
        <v>(1.5L)</v>
      </c>
      <c r="K2367" s="3"/>
      <c r="L2367" s="3"/>
      <c r="M2367" s="7">
        <v>0</v>
      </c>
      <c r="N2367" s="7">
        <v>0</v>
      </c>
    </row>
    <row r="2368" spans="1:14" ht="14.25" x14ac:dyDescent="0.2">
      <c r="A2368" s="3">
        <v>90589</v>
      </c>
      <c r="B2368" s="3" t="s">
        <v>1931</v>
      </c>
      <c r="C2368" s="3" t="s">
        <v>27</v>
      </c>
      <c r="D2368" s="6" t="s">
        <v>1782</v>
      </c>
      <c r="E2368" s="6" t="s">
        <v>1782</v>
      </c>
      <c r="F2368" s="3" t="str">
        <f>IFERROR( VLOOKUP(A2368,#REF!,2,0),"")</f>
        <v/>
      </c>
      <c r="G2368" s="3" t="str">
        <f t="array" ref="G2368">_xlfn.XLOOKUP(I2368,Base_Datos!D:D,Base_Datos!B:B,"")</f>
        <v>DFSK</v>
      </c>
      <c r="H2368" s="3" t="str">
        <f t="array" ref="H2368">IF(I2368="","",IFERROR(_xlfn.XLOOKUP(I2368,Base_Datos!$D$2:$D3876,Base_Datos!$C$2:$C3876),""))</f>
        <v>Serie C</v>
      </c>
      <c r="I2368" s="3" t="s">
        <v>339</v>
      </c>
      <c r="J2368" s="3" t="str">
        <f>IF(I2368="","",IFERROR(VLOOKUP(I2368,Base_Datos!$D$2:$E$72,2,0),""))</f>
        <v>(1.5L)</v>
      </c>
      <c r="K2368" s="3"/>
      <c r="L2368" s="3"/>
      <c r="M2368" s="7">
        <v>0</v>
      </c>
      <c r="N2368" s="7">
        <v>0</v>
      </c>
    </row>
    <row r="2369" spans="1:14" ht="14.25" x14ac:dyDescent="0.2">
      <c r="A2369" s="3">
        <v>90605</v>
      </c>
      <c r="B2369" s="3" t="s">
        <v>4348</v>
      </c>
      <c r="C2369" s="3" t="s">
        <v>15</v>
      </c>
      <c r="D2369" s="6" t="s">
        <v>4349</v>
      </c>
      <c r="E2369" s="6" t="s">
        <v>4349</v>
      </c>
      <c r="F2369" s="3" t="str">
        <f>IFERROR( VLOOKUP(A2369,#REF!,2,0),"")</f>
        <v/>
      </c>
      <c r="G2369" s="3">
        <f t="array" ref="G2369">_xlfn.XLOOKUP(I2369,Base_Datos!D:D,Base_Datos!B:B,"")</f>
        <v>0</v>
      </c>
      <c r="H2369" s="3" t="str">
        <f t="array" ref="H2369">IF(I2369="","",IFERROR(_xlfn.XLOOKUP(I2369,Base_Datos!$D$2:$D3876,Base_Datos!$C$2:$C3876),""))</f>
        <v/>
      </c>
      <c r="I2369" s="3"/>
      <c r="J2369" s="3" t="str">
        <f>IF(I2369="","",IFERROR(VLOOKUP(I2369,Base_Datos!$D$2:$E$72,2,0),""))</f>
        <v/>
      </c>
      <c r="K2369" s="3"/>
      <c r="L2369" s="3"/>
      <c r="M2369" s="7">
        <v>0</v>
      </c>
      <c r="N2369" s="7">
        <v>0</v>
      </c>
    </row>
    <row r="2370" spans="1:14" ht="14.25" x14ac:dyDescent="0.2">
      <c r="A2370" s="3">
        <v>90606</v>
      </c>
      <c r="B2370" s="3" t="s">
        <v>4348</v>
      </c>
      <c r="C2370" s="3" t="s">
        <v>15</v>
      </c>
      <c r="D2370" s="6" t="s">
        <v>4350</v>
      </c>
      <c r="E2370" s="6" t="s">
        <v>4350</v>
      </c>
      <c r="F2370" s="3" t="str">
        <f>IFERROR( VLOOKUP(A2370,#REF!,2,0),"")</f>
        <v/>
      </c>
      <c r="G2370" s="3">
        <f t="array" ref="G2370">_xlfn.XLOOKUP(I2370,Base_Datos!D:D,Base_Datos!B:B,"")</f>
        <v>0</v>
      </c>
      <c r="H2370" s="3" t="str">
        <f t="array" ref="H2370">IF(I2370="","",IFERROR(_xlfn.XLOOKUP(I2370,Base_Datos!$D$2:$D3876,Base_Datos!$C$2:$C3876),""))</f>
        <v/>
      </c>
      <c r="I2370" s="3"/>
      <c r="J2370" s="3" t="str">
        <f>IF(I2370="","",IFERROR(VLOOKUP(I2370,Base_Datos!$D$2:$E$72,2,0),""))</f>
        <v/>
      </c>
      <c r="K2370" s="3"/>
      <c r="L2370" s="3"/>
      <c r="M2370" s="7">
        <v>0</v>
      </c>
      <c r="N2370" s="7">
        <v>0</v>
      </c>
    </row>
    <row r="2371" spans="1:14" ht="14.25" x14ac:dyDescent="0.2">
      <c r="A2371" s="3">
        <v>90610</v>
      </c>
      <c r="B2371" s="3" t="s">
        <v>4351</v>
      </c>
      <c r="C2371" s="3" t="s">
        <v>2</v>
      </c>
      <c r="D2371" s="6" t="s">
        <v>1782</v>
      </c>
      <c r="E2371" s="6" t="s">
        <v>1782</v>
      </c>
      <c r="F2371" s="3" t="str">
        <f>IFERROR( VLOOKUP(A2371,#REF!,2,0),"")</f>
        <v/>
      </c>
      <c r="G2371" s="3" t="str">
        <f t="array" ref="G2371">_xlfn.XLOOKUP(I2371,Base_Datos!D:D,Base_Datos!B:B,"")</f>
        <v>VALVOLINE</v>
      </c>
      <c r="H2371" s="3" t="str">
        <f t="array" ref="H2371">IF(I2371="","",IFERROR(_xlfn.XLOOKUP(I2371,Base_Datos!$D$2:$D3876,Base_Datos!$C$2:$C3876),""))</f>
        <v>MOTOR</v>
      </c>
      <c r="I2371" s="3" t="s">
        <v>4352</v>
      </c>
      <c r="J2371" s="3" t="str">
        <f>IF(I2371="","",IFERROR(VLOOKUP(I2371,Base_Datos!$D$2:$E$72,2,0),""))</f>
        <v>SINTETICO</v>
      </c>
      <c r="K2371" s="3"/>
      <c r="L2371" s="3"/>
      <c r="M2371" s="7">
        <v>0</v>
      </c>
      <c r="N2371" s="7">
        <v>0</v>
      </c>
    </row>
    <row r="2372" spans="1:14" ht="14.25" x14ac:dyDescent="0.2">
      <c r="A2372" s="3">
        <v>90611</v>
      </c>
      <c r="B2372" s="3" t="s">
        <v>4353</v>
      </c>
      <c r="C2372" s="3" t="s">
        <v>2</v>
      </c>
      <c r="D2372" s="6" t="s">
        <v>1782</v>
      </c>
      <c r="E2372" s="6" t="s">
        <v>1782</v>
      </c>
      <c r="F2372" s="3" t="str">
        <f>IFERROR( VLOOKUP(A2372,#REF!,2,0),"")</f>
        <v/>
      </c>
      <c r="G2372" s="3" t="str">
        <f t="array" ref="G2372">_xlfn.XLOOKUP(I2372,Base_Datos!D:D,Base_Datos!B:B,"")</f>
        <v>VALVOLINE</v>
      </c>
      <c r="H2372" s="3" t="str">
        <f t="array" ref="H2372">IF(I2372="","",IFERROR(_xlfn.XLOOKUP(I2372,Base_Datos!$D$2:$D3876,Base_Datos!$C$2:$C3876),""))</f>
        <v>MOTOR</v>
      </c>
      <c r="I2372" s="3" t="s">
        <v>4354</v>
      </c>
      <c r="J2372" s="3" t="str">
        <f>IF(I2372="","",IFERROR(VLOOKUP(I2372,Base_Datos!$D$2:$E$72,2,0),""))</f>
        <v>SINTETICO</v>
      </c>
      <c r="K2372" s="3"/>
      <c r="L2372" s="3"/>
      <c r="M2372" s="7">
        <v>0</v>
      </c>
      <c r="N2372" s="7">
        <v>0</v>
      </c>
    </row>
    <row r="2373" spans="1:14" ht="14.25" x14ac:dyDescent="0.2">
      <c r="A2373" s="3">
        <v>90612</v>
      </c>
      <c r="B2373" s="3" t="s">
        <v>4355</v>
      </c>
      <c r="C2373" s="3" t="s">
        <v>2</v>
      </c>
      <c r="D2373" s="6" t="s">
        <v>1782</v>
      </c>
      <c r="E2373" s="6" t="s">
        <v>1782</v>
      </c>
      <c r="F2373" s="3" t="str">
        <f>IFERROR( VLOOKUP(A2373,#REF!,2,0),"")</f>
        <v/>
      </c>
      <c r="G2373" s="3" t="str">
        <f t="array" ref="G2373">_xlfn.XLOOKUP(I2373,Base_Datos!D:D,Base_Datos!B:B,"")</f>
        <v>VALVOLINE</v>
      </c>
      <c r="H2373" s="3" t="str">
        <f t="array" ref="H2373">IF(I2373="","",IFERROR(_xlfn.XLOOKUP(I2373,Base_Datos!$D$2:$D3876,Base_Datos!$C$2:$C3876),""))</f>
        <v>MOTOR</v>
      </c>
      <c r="I2373" s="3" t="s">
        <v>4356</v>
      </c>
      <c r="J2373" s="3" t="str">
        <f>IF(I2373="","",IFERROR(VLOOKUP(I2373,Base_Datos!$D$2:$E$72,2,0),""))</f>
        <v>SINTETICO</v>
      </c>
      <c r="K2373" s="3"/>
      <c r="L2373" s="3"/>
      <c r="M2373" s="7">
        <v>0</v>
      </c>
      <c r="N2373" s="7">
        <v>0</v>
      </c>
    </row>
    <row r="2374" spans="1:14" ht="14.25" x14ac:dyDescent="0.2">
      <c r="A2374" s="3">
        <v>90613</v>
      </c>
      <c r="B2374" s="3" t="s">
        <v>4357</v>
      </c>
      <c r="C2374" s="3" t="s">
        <v>2</v>
      </c>
      <c r="D2374" s="6" t="s">
        <v>911</v>
      </c>
      <c r="E2374" s="6" t="s">
        <v>911</v>
      </c>
      <c r="F2374" s="3" t="str">
        <f>IFERROR( VLOOKUP(A2374,#REF!,2,0),"")</f>
        <v/>
      </c>
      <c r="G2374" s="3" t="str">
        <f t="array" ref="G2374">_xlfn.XLOOKUP(I2374,Base_Datos!D:D,Base_Datos!B:B,"")</f>
        <v>DFSK</v>
      </c>
      <c r="H2374" s="3" t="str">
        <f t="array" ref="H2374">IF(I2374="","",IFERROR(_xlfn.XLOOKUP(I2374,Base_Datos!$D$2:$D3876,Base_Datos!$C$2:$C3876),""))</f>
        <v>Serie Glory</v>
      </c>
      <c r="I2374" s="3" t="s">
        <v>1765</v>
      </c>
      <c r="J2374" s="3" t="str">
        <f>IF(I2374="","",IFERROR(VLOOKUP(I2374,Base_Datos!$D$2:$E$72,2,0),""))</f>
        <v>(1.5L)</v>
      </c>
      <c r="K2374" s="3" t="s">
        <v>1801</v>
      </c>
      <c r="L2374" s="3"/>
      <c r="M2374" s="7">
        <v>69</v>
      </c>
      <c r="N2374" s="7">
        <v>0</v>
      </c>
    </row>
    <row r="2375" spans="1:14" ht="14.25" x14ac:dyDescent="0.2">
      <c r="A2375" s="3">
        <v>90614</v>
      </c>
      <c r="B2375" s="3" t="s">
        <v>4358</v>
      </c>
      <c r="C2375" s="3" t="s">
        <v>2</v>
      </c>
      <c r="D2375" s="6" t="s">
        <v>1782</v>
      </c>
      <c r="E2375" s="6" t="s">
        <v>1782</v>
      </c>
      <c r="F2375" s="3" t="str">
        <f>IFERROR( VLOOKUP(A2375,#REF!,2,0),"")</f>
        <v/>
      </c>
      <c r="G2375" s="3" t="str">
        <f t="array" ref="G2375">_xlfn.XLOOKUP(I2375,Base_Datos!D:D,Base_Datos!B:B,"")</f>
        <v>VALVOLINE</v>
      </c>
      <c r="H2375" s="3" t="str">
        <f t="array" ref="H2375">IF(I2375="","",IFERROR(_xlfn.XLOOKUP(I2375,Base_Datos!$D$2:$D3876,Base_Datos!$C$2:$C3876),""))</f>
        <v>MOTOR</v>
      </c>
      <c r="I2375" s="3" t="s">
        <v>4352</v>
      </c>
      <c r="J2375" s="3" t="str">
        <f>IF(I2375="","",IFERROR(VLOOKUP(I2375,Base_Datos!$D$2:$E$72,2,0),""))</f>
        <v>SINTETICO</v>
      </c>
      <c r="K2375" s="3"/>
      <c r="L2375" s="3"/>
      <c r="M2375" s="7">
        <v>0</v>
      </c>
      <c r="N2375" s="7">
        <v>0</v>
      </c>
    </row>
    <row r="2376" spans="1:14" ht="14.25" x14ac:dyDescent="0.2">
      <c r="A2376" s="3">
        <v>90615</v>
      </c>
      <c r="B2376" s="3" t="s">
        <v>4359</v>
      </c>
      <c r="C2376" s="3" t="s">
        <v>2</v>
      </c>
      <c r="D2376" s="6" t="s">
        <v>912</v>
      </c>
      <c r="E2376" s="6" t="s">
        <v>4360</v>
      </c>
      <c r="F2376" s="3" t="str">
        <f>IFERROR( VLOOKUP(A2376,#REF!,2,0),"")</f>
        <v/>
      </c>
      <c r="G2376" s="3">
        <f t="array" ref="G2376">_xlfn.XLOOKUP(I2376,Base_Datos!D:D,Base_Datos!B:B,"")</f>
        <v>0</v>
      </c>
      <c r="H2376" s="3" t="str">
        <f t="array" ref="H2376">IF(I2376="","",IFERROR(_xlfn.XLOOKUP(I2376,Base_Datos!$D$2:$D3876,Base_Datos!$C$2:$C3876),""))</f>
        <v/>
      </c>
      <c r="I2376" s="3"/>
      <c r="J2376" s="3" t="str">
        <f>IF(I2376="","",IFERROR(VLOOKUP(I2376,Base_Datos!$D$2:$E$72,2,0),""))</f>
        <v/>
      </c>
      <c r="K2376" s="3"/>
      <c r="L2376" s="3"/>
      <c r="M2376" s="7">
        <v>15</v>
      </c>
      <c r="N2376" s="7">
        <v>0</v>
      </c>
    </row>
    <row r="2377" spans="1:14" ht="14.25" x14ac:dyDescent="0.2">
      <c r="A2377" s="3">
        <v>90616</v>
      </c>
      <c r="B2377" s="9" t="s">
        <v>4361</v>
      </c>
      <c r="C2377" s="3" t="s">
        <v>2</v>
      </c>
      <c r="D2377" s="6" t="s">
        <v>4362</v>
      </c>
      <c r="E2377" s="6" t="s">
        <v>4361</v>
      </c>
      <c r="F2377" s="3" t="str">
        <f>IFERROR( VLOOKUP(A2377,#REF!,2,0),"")</f>
        <v/>
      </c>
      <c r="G2377" s="3">
        <f t="array" ref="G2377">_xlfn.XLOOKUP(I2377,Base_Datos!D:D,Base_Datos!B:B,"")</f>
        <v>0</v>
      </c>
      <c r="H2377" s="3" t="str">
        <f t="array" ref="H2377">IF(I2377="","",IFERROR(_xlfn.XLOOKUP(I2377,Base_Datos!$D$2:$D3876,Base_Datos!$C$2:$C3876),""))</f>
        <v/>
      </c>
      <c r="I2377" s="3"/>
      <c r="J2377" s="3" t="str">
        <f>IF(I2377="","",IFERROR(VLOOKUP(I2377,Base_Datos!$D$2:$E$72,2,0),""))</f>
        <v/>
      </c>
      <c r="K2377" s="3"/>
      <c r="L2377" s="3"/>
      <c r="M2377" s="7">
        <v>0</v>
      </c>
      <c r="N2377" s="7">
        <v>0</v>
      </c>
    </row>
    <row r="2378" spans="1:14" ht="14.25" x14ac:dyDescent="0.2">
      <c r="A2378" s="3">
        <v>90617</v>
      </c>
      <c r="B2378" s="3" t="s">
        <v>4363</v>
      </c>
      <c r="C2378" s="3" t="s">
        <v>2</v>
      </c>
      <c r="D2378" s="6" t="s">
        <v>1782</v>
      </c>
      <c r="E2378" s="6" t="s">
        <v>1782</v>
      </c>
      <c r="F2378" s="3" t="str">
        <f>IFERROR( VLOOKUP(A2378,#REF!,2,0),"")</f>
        <v/>
      </c>
      <c r="G2378" s="3" t="str">
        <f t="array" ref="G2378">_xlfn.XLOOKUP(I2378,Base_Datos!D:D,Base_Datos!B:B,"")</f>
        <v>VALVOLINE</v>
      </c>
      <c r="H2378" s="3" t="str">
        <f t="array" ref="H2378">IF(I2378="","",IFERROR(_xlfn.XLOOKUP(I2378,Base_Datos!$D$2:$D3876,Base_Datos!$C$2:$C3876),""))</f>
        <v>MOTOR</v>
      </c>
      <c r="I2378" s="3" t="s">
        <v>4354</v>
      </c>
      <c r="J2378" s="3" t="str">
        <f>IF(I2378="","",IFERROR(VLOOKUP(I2378,Base_Datos!$D$2:$E$72,2,0),""))</f>
        <v>SINTETICO</v>
      </c>
      <c r="K2378" s="3"/>
      <c r="L2378" s="3"/>
      <c r="M2378" s="7">
        <v>0</v>
      </c>
      <c r="N2378" s="7">
        <v>0</v>
      </c>
    </row>
    <row r="2379" spans="1:14" ht="14.25" x14ac:dyDescent="0.2">
      <c r="A2379" s="3">
        <v>90618</v>
      </c>
      <c r="B2379" s="3" t="s">
        <v>4364</v>
      </c>
      <c r="C2379" s="3" t="s">
        <v>2</v>
      </c>
      <c r="D2379" s="6" t="s">
        <v>1782</v>
      </c>
      <c r="E2379" s="6" t="s">
        <v>1782</v>
      </c>
      <c r="F2379" s="3" t="str">
        <f>IFERROR( VLOOKUP(A2379,#REF!,2,0),"")</f>
        <v/>
      </c>
      <c r="G2379" s="3" t="s">
        <v>4365</v>
      </c>
      <c r="H2379" s="3" t="str">
        <f t="array" ref="H2379">IF(I2379="","",IFERROR(_xlfn.XLOOKUP(I2379,Base_Datos!$D$2:$D3876,Base_Datos!$C$2:$C3876),""))</f>
        <v>TRASMISION</v>
      </c>
      <c r="I2379" s="3" t="s">
        <v>4366</v>
      </c>
      <c r="J2379" s="3">
        <f>IF(I2379="","",IFERROR(VLOOKUP(I2379,Base_Datos!$D$2:$E$72,2,0),""))</f>
        <v>0</v>
      </c>
      <c r="K2379" s="3"/>
      <c r="L2379" s="3"/>
      <c r="M2379" s="7">
        <v>134</v>
      </c>
      <c r="N2379" s="7">
        <v>0</v>
      </c>
    </row>
    <row r="2380" spans="1:14" ht="14.25" x14ac:dyDescent="0.2">
      <c r="A2380" s="3">
        <v>90619</v>
      </c>
      <c r="B2380" s="3" t="s">
        <v>4367</v>
      </c>
      <c r="C2380" s="3" t="s">
        <v>2</v>
      </c>
      <c r="D2380" s="6" t="s">
        <v>1782</v>
      </c>
      <c r="E2380" s="6" t="s">
        <v>1782</v>
      </c>
      <c r="F2380" s="3" t="str">
        <f>IFERROR( VLOOKUP(A2380,#REF!,2,0),"")</f>
        <v/>
      </c>
      <c r="G2380" s="3" t="str">
        <f t="array" ref="G2380">_xlfn.XLOOKUP(I2380,Base_Datos!D:D,Base_Datos!B:B,"")</f>
        <v>VALVOLINE</v>
      </c>
      <c r="H2380" s="3" t="str">
        <f t="array" ref="H2380">IF(I2380="","",IFERROR(_xlfn.XLOOKUP(I2380,Base_Datos!$D$2:$D3876,Base_Datos!$C$2:$C3876),""))</f>
        <v>MOTOR</v>
      </c>
      <c r="I2380" s="3" t="s">
        <v>4352</v>
      </c>
      <c r="J2380" s="3" t="str">
        <f>IF(I2380="","",IFERROR(VLOOKUP(I2380,Base_Datos!$D$2:$E$72,2,0),""))</f>
        <v>SINTETICO</v>
      </c>
      <c r="K2380" s="3"/>
      <c r="L2380" s="3"/>
      <c r="M2380" s="7">
        <v>0</v>
      </c>
      <c r="N2380" s="7">
        <v>0</v>
      </c>
    </row>
    <row r="2381" spans="1:14" ht="14.25" x14ac:dyDescent="0.2">
      <c r="A2381" s="3">
        <v>90620</v>
      </c>
      <c r="B2381" s="3" t="s">
        <v>4368</v>
      </c>
      <c r="C2381" s="3" t="s">
        <v>18</v>
      </c>
      <c r="D2381" s="6" t="s">
        <v>613</v>
      </c>
      <c r="E2381" s="6" t="s">
        <v>613</v>
      </c>
      <c r="F2381" s="3" t="str">
        <f>IFERROR( VLOOKUP(A2381,#REF!,2,0),"")</f>
        <v/>
      </c>
      <c r="G2381" s="3" t="str">
        <f t="array" ref="G2381">_xlfn.XLOOKUP(I2381,Base_Datos!D:D,Base_Datos!B:B,"")</f>
        <v>DFSK</v>
      </c>
      <c r="H2381" s="3" t="str">
        <f t="array" ref="H2381">IF(I2381="","",IFERROR(_xlfn.XLOOKUP(I2381,Base_Datos!$D$2:$D3876,Base_Datos!$C$2:$C3876),""))</f>
        <v>Serie K</v>
      </c>
      <c r="I2381" s="3" t="s">
        <v>475</v>
      </c>
      <c r="J2381" s="3" t="str">
        <f>IF(I2381="","",IFERROR(VLOOKUP(I2381,Base_Datos!$D$2:$E$72,2,0),""))</f>
        <v>(1.1L)</v>
      </c>
      <c r="K2381" s="3"/>
      <c r="L2381" s="3"/>
      <c r="M2381" s="7">
        <v>207</v>
      </c>
      <c r="N2381" s="7">
        <v>4</v>
      </c>
    </row>
    <row r="2382" spans="1:14" ht="14.25" x14ac:dyDescent="0.2">
      <c r="A2382" s="3">
        <v>90621</v>
      </c>
      <c r="B2382" s="3" t="s">
        <v>4369</v>
      </c>
      <c r="C2382" s="3" t="s">
        <v>18</v>
      </c>
      <c r="D2382" s="6" t="s">
        <v>651</v>
      </c>
      <c r="E2382" s="6" t="s">
        <v>651</v>
      </c>
      <c r="F2382" s="3" t="str">
        <f>IFERROR( VLOOKUP(A2382,#REF!,2,0),"")</f>
        <v/>
      </c>
      <c r="G2382" s="3" t="str">
        <f t="array" ref="G2382">_xlfn.XLOOKUP(I2382,Base_Datos!D:D,Base_Datos!B:B,"")</f>
        <v>DFSK</v>
      </c>
      <c r="H2382" s="3" t="str">
        <f t="array" ref="H2382">IF(I2382="","",IFERROR(_xlfn.XLOOKUP(I2382,Base_Datos!$D$2:$D3876,Base_Datos!$C$2:$C3876),""))</f>
        <v>Serie Glory</v>
      </c>
      <c r="I2382" s="3" t="s">
        <v>1765</v>
      </c>
      <c r="J2382" s="3" t="str">
        <f>IF(I2382="","",IFERROR(VLOOKUP(I2382,Base_Datos!$D$2:$E$72,2,0),""))</f>
        <v>(1.5L)</v>
      </c>
      <c r="K2382" s="3"/>
      <c r="L2382" s="3"/>
      <c r="M2382" s="7">
        <v>22</v>
      </c>
      <c r="N2382" s="7">
        <v>13</v>
      </c>
    </row>
    <row r="2383" spans="1:14" ht="14.25" x14ac:dyDescent="0.2">
      <c r="A2383" s="3">
        <v>90622</v>
      </c>
      <c r="B2383" s="3" t="s">
        <v>4370</v>
      </c>
      <c r="C2383" s="3" t="s">
        <v>18</v>
      </c>
      <c r="D2383" s="6" t="s">
        <v>613</v>
      </c>
      <c r="E2383" s="6" t="s">
        <v>613</v>
      </c>
      <c r="F2383" s="3" t="str">
        <f>IFERROR( VLOOKUP(A2383,#REF!,2,0),"")</f>
        <v/>
      </c>
      <c r="G2383" s="3" t="str">
        <f t="array" ref="G2383">_xlfn.XLOOKUP(I2383,Base_Datos!D:D,Base_Datos!B:B,"")</f>
        <v>DFSK</v>
      </c>
      <c r="H2383" s="3" t="str">
        <f t="array" ref="H2383">IF(I2383="","",IFERROR(_xlfn.XLOOKUP(I2383,Base_Datos!$D$2:$D3876,Base_Datos!$C$2:$C3876),""))</f>
        <v>Serie D</v>
      </c>
      <c r="I2383" s="3" t="s">
        <v>145</v>
      </c>
      <c r="J2383" s="3" t="str">
        <f>IF(I2383="","",IFERROR(VLOOKUP(I2383,Base_Datos!$D$2:$E$72,2,0),""))</f>
        <v>(2.4L)</v>
      </c>
      <c r="K2383" s="3"/>
      <c r="L2383" s="3"/>
      <c r="M2383" s="7">
        <v>207</v>
      </c>
      <c r="N2383" s="7">
        <v>3</v>
      </c>
    </row>
    <row r="2384" spans="1:14" ht="14.25" x14ac:dyDescent="0.2">
      <c r="A2384" s="3">
        <v>90624</v>
      </c>
      <c r="B2384" s="3" t="s">
        <v>4371</v>
      </c>
      <c r="C2384" s="3" t="s">
        <v>2</v>
      </c>
      <c r="D2384" s="6" t="s">
        <v>4372</v>
      </c>
      <c r="E2384" s="6" t="s">
        <v>4372</v>
      </c>
      <c r="F2384" s="3" t="str">
        <f>IFERROR( VLOOKUP(A2384,#REF!,2,0),"")</f>
        <v/>
      </c>
      <c r="G2384" s="3" t="str">
        <f t="array" ref="G2384">_xlfn.XLOOKUP(I2384,Base_Datos!D:D,Base_Datos!B:B,"")</f>
        <v>DFSK</v>
      </c>
      <c r="H2384" s="3" t="str">
        <f t="array" ref="H2384">IF(I2384="","",IFERROR(_xlfn.XLOOKUP(I2384,Base_Datos!$D$2:$D3876,Base_Datos!$C$2:$C3876),""))</f>
        <v>Serie Glory</v>
      </c>
      <c r="I2384" s="3" t="s">
        <v>1765</v>
      </c>
      <c r="J2384" s="3" t="str">
        <f>IF(I2384="","",IFERROR(VLOOKUP(I2384,Base_Datos!$D$2:$E$72,2,0),""))</f>
        <v>(1.5L)</v>
      </c>
      <c r="K2384" s="3" t="s">
        <v>4373</v>
      </c>
      <c r="L2384" s="3"/>
      <c r="M2384" s="7">
        <v>34</v>
      </c>
      <c r="N2384" s="7">
        <v>0</v>
      </c>
    </row>
    <row r="2385" spans="1:14" ht="14.25" x14ac:dyDescent="0.2">
      <c r="A2385" s="3">
        <v>90625</v>
      </c>
      <c r="B2385" s="3" t="s">
        <v>1928</v>
      </c>
      <c r="C2385" s="3" t="s">
        <v>2</v>
      </c>
      <c r="D2385" s="6" t="s">
        <v>913</v>
      </c>
      <c r="E2385" s="6" t="s">
        <v>206</v>
      </c>
      <c r="F2385" s="3" t="str">
        <f>IFERROR( VLOOKUP(A2385,#REF!,2,0),"")</f>
        <v/>
      </c>
      <c r="G2385" s="3" t="str">
        <f t="array" ref="G2385">_xlfn.XLOOKUP(I2385,Base_Datos!D:D,Base_Datos!B:B,"")</f>
        <v>DFSK</v>
      </c>
      <c r="H2385" s="3" t="str">
        <f t="array" ref="H2385">IF(I2385="","",IFERROR(_xlfn.XLOOKUP(I2385,Base_Datos!$D$2:$D3876,Base_Datos!$C$2:$C3876),""))</f>
        <v>Serie C</v>
      </c>
      <c r="I2385" s="3" t="s">
        <v>332</v>
      </c>
      <c r="J2385" s="3" t="str">
        <f>IF(I2385="","",IFERROR(VLOOKUP(I2385,Base_Datos!$D$2:$E$72,2,0),""))</f>
        <v>(1.5L)</v>
      </c>
      <c r="K2385" s="3" t="s">
        <v>2439</v>
      </c>
      <c r="L2385" s="3"/>
      <c r="M2385" s="7">
        <v>0</v>
      </c>
      <c r="N2385" s="7">
        <v>0</v>
      </c>
    </row>
    <row r="2386" spans="1:14" ht="14.25" x14ac:dyDescent="0.2">
      <c r="A2386" s="3">
        <v>90626</v>
      </c>
      <c r="B2386" s="3" t="s">
        <v>4374</v>
      </c>
      <c r="C2386" s="3" t="s">
        <v>2</v>
      </c>
      <c r="D2386" s="6" t="s">
        <v>4374</v>
      </c>
      <c r="E2386" s="6" t="s">
        <v>4374</v>
      </c>
      <c r="F2386" s="3" t="str">
        <f>IFERROR( VLOOKUP(A2386,#REF!,2,0),"")</f>
        <v/>
      </c>
      <c r="G2386" s="3">
        <f t="array" ref="G2386">_xlfn.XLOOKUP(I2386,Base_Datos!D:D,Base_Datos!B:B,"")</f>
        <v>0</v>
      </c>
      <c r="H2386" s="3" t="str">
        <f t="array" ref="H2386">IF(I2386="","",IFERROR(_xlfn.XLOOKUP(I2386,Base_Datos!$D$2:$D3876,Base_Datos!$C$2:$C3876),""))</f>
        <v/>
      </c>
      <c r="I2386" s="3"/>
      <c r="J2386" s="3" t="str">
        <f>IF(I2386="","",IFERROR(VLOOKUP(I2386,Base_Datos!$D$2:$E$72,2,0),""))</f>
        <v/>
      </c>
      <c r="K2386" s="3"/>
      <c r="L2386" s="3"/>
      <c r="M2386" s="7">
        <v>0</v>
      </c>
      <c r="N2386" s="7">
        <v>0</v>
      </c>
    </row>
    <row r="2387" spans="1:14" ht="14.25" x14ac:dyDescent="0.2">
      <c r="A2387" s="3">
        <v>90627</v>
      </c>
      <c r="B2387" s="3" t="s">
        <v>4375</v>
      </c>
      <c r="C2387" s="3" t="s">
        <v>2</v>
      </c>
      <c r="D2387" s="6" t="s">
        <v>613</v>
      </c>
      <c r="E2387" s="6" t="s">
        <v>613</v>
      </c>
      <c r="F2387" s="3" t="str">
        <f>IFERROR( VLOOKUP(A2387,#REF!,2,0),"")</f>
        <v/>
      </c>
      <c r="G2387" s="3" t="str">
        <f t="array" ref="G2387">_xlfn.XLOOKUP(I2387,Base_Datos!D:D,Base_Datos!B:B,"")</f>
        <v>VALVOLINE</v>
      </c>
      <c r="H2387" s="3" t="str">
        <f t="array" ref="H2387">IF(I2387="","",IFERROR(_xlfn.XLOOKUP(I2387,Base_Datos!$D$2:$D3876,Base_Datos!$C$2:$C3876),""))</f>
        <v>MOTOR</v>
      </c>
      <c r="I2387" s="3" t="s">
        <v>4354</v>
      </c>
      <c r="J2387" s="3" t="str">
        <f>IF(I2387="","",IFERROR(VLOOKUP(I2387,Base_Datos!$D$2:$E$72,2,0),""))</f>
        <v>SINTETICO</v>
      </c>
      <c r="K2387" s="3"/>
      <c r="L2387" s="3"/>
      <c r="M2387" s="7">
        <v>288</v>
      </c>
      <c r="N2387" s="7">
        <v>0</v>
      </c>
    </row>
    <row r="2388" spans="1:14" ht="14.25" x14ac:dyDescent="0.2">
      <c r="A2388" s="3">
        <v>90628</v>
      </c>
      <c r="B2388" s="9" t="s">
        <v>4361</v>
      </c>
      <c r="C2388" s="3" t="s">
        <v>2</v>
      </c>
      <c r="D2388" s="6" t="s">
        <v>914</v>
      </c>
      <c r="E2388" s="6" t="s">
        <v>4376</v>
      </c>
      <c r="F2388" s="3" t="str">
        <f>IFERROR( VLOOKUP(A2388,#REF!,2,0),"")</f>
        <v/>
      </c>
      <c r="G2388" s="3">
        <f t="array" ref="G2388">_xlfn.XLOOKUP(I2388,Base_Datos!D:D,Base_Datos!B:B,"")</f>
        <v>0</v>
      </c>
      <c r="H2388" s="3" t="str">
        <f t="array" ref="H2388">IF(I2388="","",IFERROR(_xlfn.XLOOKUP(I2388,Base_Datos!$D$2:$D3876,Base_Datos!$C$2:$C3876),""))</f>
        <v/>
      </c>
      <c r="I2388" s="3"/>
      <c r="J2388" s="3" t="str">
        <f>IF(I2388="","",IFERROR(VLOOKUP(I2388,Base_Datos!$D$2:$E$72,2,0),""))</f>
        <v/>
      </c>
      <c r="K2388" s="3"/>
      <c r="L2388" s="3"/>
      <c r="M2388" s="7">
        <v>0</v>
      </c>
      <c r="N2388" s="7">
        <v>0</v>
      </c>
    </row>
    <row r="2389" spans="1:14" ht="14.25" x14ac:dyDescent="0.2">
      <c r="A2389" s="3">
        <v>90629</v>
      </c>
      <c r="B2389" s="8" t="s">
        <v>4377</v>
      </c>
      <c r="C2389" s="3" t="s">
        <v>2</v>
      </c>
      <c r="D2389" s="6" t="s">
        <v>1782</v>
      </c>
      <c r="E2389" s="6" t="s">
        <v>1782</v>
      </c>
      <c r="F2389" s="3" t="str">
        <f>IFERROR( VLOOKUP(A2389,#REF!,2,0),"")</f>
        <v/>
      </c>
      <c r="G2389" s="3" t="s">
        <v>4378</v>
      </c>
      <c r="H2389" s="3" t="str">
        <f t="array" ref="H2389">IF(I2389="","",IFERROR(_xlfn.XLOOKUP(I2389,Base_Datos!$D$2:$D3876,Base_Datos!$C$2:$C3876),""))</f>
        <v>MOTOR</v>
      </c>
      <c r="I2389" s="3" t="s">
        <v>4356</v>
      </c>
      <c r="J2389" s="3" t="str">
        <f>IF(I2389="","",IFERROR(VLOOKUP(I2389,Base_Datos!$D$2:$E$72,2,0),""))</f>
        <v>SINTETICO</v>
      </c>
      <c r="K2389" s="3"/>
      <c r="L2389" s="3"/>
      <c r="M2389" s="7">
        <v>0</v>
      </c>
      <c r="N2389" s="7">
        <v>0</v>
      </c>
    </row>
    <row r="2390" spans="1:14" ht="14.25" x14ac:dyDescent="0.2">
      <c r="A2390" s="3">
        <v>90632</v>
      </c>
      <c r="B2390" s="3" t="s">
        <v>4379</v>
      </c>
      <c r="C2390" s="3" t="s">
        <v>2</v>
      </c>
      <c r="D2390" s="6" t="s">
        <v>793</v>
      </c>
      <c r="E2390" s="6" t="s">
        <v>793</v>
      </c>
      <c r="F2390" s="3" t="str">
        <f>IFERROR( VLOOKUP(A2390,#REF!,2,0),"")</f>
        <v/>
      </c>
      <c r="G2390" s="3" t="str">
        <f t="array" ref="G2390">_xlfn.XLOOKUP(I2390,Base_Datos!D:D,Base_Datos!B:B,"")</f>
        <v>VALVOLINE</v>
      </c>
      <c r="H2390" s="3" t="str">
        <f t="array" ref="H2390">IF(I2390="","",IFERROR(_xlfn.XLOOKUP(I2390,Base_Datos!$D$2:$D3876,Base_Datos!$C$2:$C3876),""))</f>
        <v>MOTOR</v>
      </c>
      <c r="I2390" s="3" t="s">
        <v>4354</v>
      </c>
      <c r="J2390" s="3" t="str">
        <f>IF(I2390="","",IFERROR(VLOOKUP(I2390,Base_Datos!$D$2:$E$72,2,0),""))</f>
        <v>SINTETICO</v>
      </c>
      <c r="K2390" s="3"/>
      <c r="L2390" s="3"/>
      <c r="M2390" s="7">
        <v>506</v>
      </c>
      <c r="N2390" s="7">
        <v>0</v>
      </c>
    </row>
    <row r="2391" spans="1:14" ht="14.25" x14ac:dyDescent="0.2">
      <c r="A2391" s="3">
        <v>90633</v>
      </c>
      <c r="B2391" s="3" t="s">
        <v>4380</v>
      </c>
      <c r="C2391" s="3" t="s">
        <v>2</v>
      </c>
      <c r="D2391" s="6" t="s">
        <v>1782</v>
      </c>
      <c r="E2391" s="6" t="s">
        <v>1782</v>
      </c>
      <c r="F2391" s="3" t="str">
        <f>IFERROR( VLOOKUP(A2391,#REF!,2,0),"")</f>
        <v/>
      </c>
      <c r="G2391" s="3" t="str">
        <f t="array" ref="G2391">_xlfn.XLOOKUP(I2391,Base_Datos!D:D,Base_Datos!B:B,"")</f>
        <v>VALVOLINE</v>
      </c>
      <c r="H2391" s="3" t="str">
        <f t="array" ref="H2391">IF(I2391="","",IFERROR(_xlfn.XLOOKUP(I2391,Base_Datos!$D$2:$D3876,Base_Datos!$C$2:$C3876),""))</f>
        <v>MOTOR</v>
      </c>
      <c r="I2391" s="3" t="s">
        <v>4356</v>
      </c>
      <c r="J2391" s="3" t="str">
        <f>IF(I2391="","",IFERROR(VLOOKUP(I2391,Base_Datos!$D$2:$E$72,2,0),""))</f>
        <v>SINTETICO</v>
      </c>
      <c r="K2391" s="3"/>
      <c r="L2391" s="3"/>
      <c r="M2391" s="7">
        <v>182</v>
      </c>
      <c r="N2391" s="7">
        <v>0</v>
      </c>
    </row>
    <row r="2392" spans="1:14" ht="14.25" x14ac:dyDescent="0.2">
      <c r="A2392" s="3">
        <v>90634</v>
      </c>
      <c r="B2392" s="3" t="s">
        <v>4381</v>
      </c>
      <c r="C2392" s="3" t="s">
        <v>2</v>
      </c>
      <c r="D2392" s="6" t="s">
        <v>4381</v>
      </c>
      <c r="E2392" s="6" t="s">
        <v>4382</v>
      </c>
      <c r="F2392" s="3" t="str">
        <f>IFERROR( VLOOKUP(A2392,#REF!,2,0),"")</f>
        <v/>
      </c>
      <c r="G2392" s="3">
        <f t="array" ref="G2392">_xlfn.XLOOKUP(I2392,Base_Datos!D:D,Base_Datos!B:B,"")</f>
        <v>0</v>
      </c>
      <c r="H2392" s="3" t="str">
        <f t="array" ref="H2392">IF(I2392="","",IFERROR(_xlfn.XLOOKUP(I2392,Base_Datos!$D$2:$D3876,Base_Datos!$C$2:$C3876),""))</f>
        <v/>
      </c>
      <c r="I2392" s="3"/>
      <c r="J2392" s="3" t="str">
        <f>IF(I2392="","",IFERROR(VLOOKUP(I2392,Base_Datos!$D$2:$E$72,2,0),""))</f>
        <v/>
      </c>
      <c r="K2392" s="3"/>
      <c r="L2392" s="3"/>
      <c r="M2392" s="7">
        <v>0</v>
      </c>
      <c r="N2392" s="7">
        <v>0</v>
      </c>
    </row>
    <row r="2393" spans="1:14" ht="14.25" x14ac:dyDescent="0.2">
      <c r="A2393" s="3">
        <v>90635</v>
      </c>
      <c r="B2393" s="3" t="s">
        <v>4383</v>
      </c>
      <c r="C2393" s="3" t="s">
        <v>2</v>
      </c>
      <c r="D2393" s="6" t="s">
        <v>1782</v>
      </c>
      <c r="E2393" s="6" t="s">
        <v>1782</v>
      </c>
      <c r="F2393" s="3" t="str">
        <f>IFERROR( VLOOKUP(A2393,#REF!,2,0),"")</f>
        <v/>
      </c>
      <c r="G2393" s="3">
        <f t="array" ref="G2393">_xlfn.XLOOKUP(I2393,Base_Datos!D:D,Base_Datos!B:B,"")</f>
        <v>0</v>
      </c>
      <c r="H2393" s="3" t="str">
        <f t="array" ref="H2393">IF(I2393="","",IFERROR(_xlfn.XLOOKUP(I2393,Base_Datos!$D$2:$D3876,Base_Datos!$C$2:$C3876),""))</f>
        <v/>
      </c>
      <c r="I2393" s="3"/>
      <c r="J2393" s="3" t="str">
        <f>IF(I2393="","",IFERROR(VLOOKUP(I2393,Base_Datos!$D$2:$E$72,2,0),""))</f>
        <v/>
      </c>
      <c r="K2393" s="3"/>
      <c r="L2393" s="3"/>
      <c r="M2393" s="7">
        <v>0</v>
      </c>
      <c r="N2393" s="7">
        <v>0</v>
      </c>
    </row>
    <row r="2394" spans="1:14" ht="14.25" x14ac:dyDescent="0.2">
      <c r="A2394" s="3">
        <v>90636</v>
      </c>
      <c r="B2394" s="8" t="s">
        <v>4384</v>
      </c>
      <c r="C2394" s="3" t="s">
        <v>2</v>
      </c>
      <c r="D2394" s="6" t="s">
        <v>4384</v>
      </c>
      <c r="E2394" s="6" t="s">
        <v>4384</v>
      </c>
      <c r="F2394" s="3" t="str">
        <f>IFERROR( VLOOKUP(A2394,#REF!,2,0),"")</f>
        <v/>
      </c>
      <c r="G2394" s="3" t="str">
        <f t="array" ref="G2394">_xlfn.XLOOKUP(I2394,Base_Datos!D:D,Base_Datos!B:B,"")</f>
        <v>MOTUL</v>
      </c>
      <c r="H2394" s="3" t="str">
        <f t="array" ref="H2394">IF(I2394="","",IFERROR(_xlfn.XLOOKUP(I2394,Base_Datos!$D$2:$D3876,Base_Datos!$C$2:$C3876),""))</f>
        <v>TRASMISION</v>
      </c>
      <c r="I2394" s="3" t="s">
        <v>4385</v>
      </c>
      <c r="J2394" s="3">
        <f>IF(I2394="","",IFERROR(VLOOKUP(I2394,Base_Datos!$D$2:$E$72,2,0),""))</f>
        <v>0</v>
      </c>
      <c r="K2394" s="3"/>
      <c r="L2394" s="3"/>
      <c r="M2394" s="7">
        <v>1</v>
      </c>
      <c r="N2394" s="7">
        <v>0</v>
      </c>
    </row>
    <row r="2395" spans="1:14" ht="14.25" x14ac:dyDescent="0.2">
      <c r="A2395" s="3">
        <v>90640</v>
      </c>
      <c r="B2395" s="3" t="s">
        <v>4386</v>
      </c>
      <c r="C2395" s="3" t="s">
        <v>2</v>
      </c>
      <c r="D2395" s="6" t="s">
        <v>4387</v>
      </c>
      <c r="E2395" s="6" t="s">
        <v>4387</v>
      </c>
      <c r="F2395" s="3" t="str">
        <f>IFERROR( VLOOKUP(A2395,#REF!,2,0),"")</f>
        <v/>
      </c>
      <c r="G2395" s="3" t="str">
        <f t="array" ref="G2395">_xlfn.XLOOKUP(I2395,Base_Datos!D:D,Base_Datos!B:B,"")</f>
        <v>VALVOLINE</v>
      </c>
      <c r="H2395" s="3" t="str">
        <f t="array" ref="H2395">IF(I2395="","",IFERROR(_xlfn.XLOOKUP(I2395,Base_Datos!$D$2:$D3876,Base_Datos!$C$2:$C3876),""))</f>
        <v>MOTOR</v>
      </c>
      <c r="I2395" s="3" t="s">
        <v>4352</v>
      </c>
      <c r="J2395" s="3" t="str">
        <f>IF(I2395="","",IFERROR(VLOOKUP(I2395,Base_Datos!$D$2:$E$72,2,0),""))</f>
        <v>SINTETICO</v>
      </c>
      <c r="K2395" s="3"/>
      <c r="L2395" s="3"/>
      <c r="M2395" s="7">
        <v>108</v>
      </c>
      <c r="N2395" s="7">
        <v>0</v>
      </c>
    </row>
    <row r="2396" spans="1:14" ht="14.25" x14ac:dyDescent="0.2">
      <c r="A2396" s="3">
        <v>90641</v>
      </c>
      <c r="B2396" s="3" t="s">
        <v>4388</v>
      </c>
      <c r="C2396" s="3" t="s">
        <v>2</v>
      </c>
      <c r="D2396" s="6" t="s">
        <v>4387</v>
      </c>
      <c r="E2396" s="6" t="s">
        <v>4387</v>
      </c>
      <c r="F2396" s="3" t="str">
        <f>IFERROR( VLOOKUP(A2396,#REF!,2,0),"")</f>
        <v/>
      </c>
      <c r="G2396" s="3" t="str">
        <f t="array" ref="G2396">_xlfn.XLOOKUP(I2396,Base_Datos!D:D,Base_Datos!B:B,"")</f>
        <v>VALVOLINE</v>
      </c>
      <c r="H2396" s="3" t="str">
        <f t="array" ref="H2396">IF(I2396="","",IFERROR(_xlfn.XLOOKUP(I2396,Base_Datos!$D$2:$D3876,Base_Datos!$C$2:$C3876),""))</f>
        <v>MOTOR</v>
      </c>
      <c r="I2396" s="3" t="s">
        <v>4354</v>
      </c>
      <c r="J2396" s="3" t="str">
        <f>IF(I2396="","",IFERROR(VLOOKUP(I2396,Base_Datos!$D$2:$E$72,2,0),""))</f>
        <v>SINTETICO</v>
      </c>
      <c r="K2396" s="3"/>
      <c r="L2396" s="3"/>
      <c r="M2396" s="7">
        <v>6</v>
      </c>
      <c r="N2396" s="7">
        <v>0</v>
      </c>
    </row>
    <row r="2397" spans="1:14" ht="14.25" x14ac:dyDescent="0.2">
      <c r="A2397" s="3">
        <v>90690</v>
      </c>
      <c r="B2397" s="3" t="s">
        <v>4389</v>
      </c>
      <c r="C2397" s="3" t="s">
        <v>27</v>
      </c>
      <c r="D2397" s="6" t="s">
        <v>1782</v>
      </c>
      <c r="E2397" s="6" t="s">
        <v>1782</v>
      </c>
      <c r="F2397" s="3" t="str">
        <f>IFERROR( VLOOKUP(A2397,#REF!,2,0),"")</f>
        <v/>
      </c>
      <c r="G2397" s="3" t="str">
        <f t="array" ref="G2397">_xlfn.XLOOKUP(I2397,Base_Datos!D:D,Base_Datos!B:B,"")</f>
        <v>DFSK</v>
      </c>
      <c r="H2397" s="3" t="str">
        <f t="array" ref="H2397">IF(I2397="","",IFERROR(_xlfn.XLOOKUP(I2397,Base_Datos!$D$2:$D3876,Base_Datos!$C$2:$C3876),""))</f>
        <v>Serie D</v>
      </c>
      <c r="I2397" s="3" t="s">
        <v>973</v>
      </c>
      <c r="J2397" s="3" t="str">
        <f>IF(I2397="","",IFERROR(VLOOKUP(I2397,Base_Datos!$D$2:$E$72,2,0),""))</f>
        <v>(1.5L)</v>
      </c>
      <c r="K2397" s="3"/>
      <c r="L2397" s="3"/>
      <c r="M2397" s="7">
        <v>0</v>
      </c>
      <c r="N2397" s="7">
        <v>0</v>
      </c>
    </row>
    <row r="2398" spans="1:14" ht="14.25" x14ac:dyDescent="0.2">
      <c r="A2398" s="3">
        <v>90752</v>
      </c>
      <c r="B2398" s="3" t="s">
        <v>1928</v>
      </c>
      <c r="C2398" s="3" t="s">
        <v>2</v>
      </c>
      <c r="D2398" s="6" t="s">
        <v>915</v>
      </c>
      <c r="E2398" s="6" t="s">
        <v>4390</v>
      </c>
      <c r="F2398" s="3" t="str">
        <f>IFERROR( VLOOKUP(A2398,#REF!,2,0),"")</f>
        <v/>
      </c>
      <c r="G2398" s="3" t="str">
        <f t="array" ref="G2398">_xlfn.XLOOKUP(I2398,Base_Datos!D:D,Base_Datos!B:B,"")</f>
        <v>DFSK</v>
      </c>
      <c r="H2398" s="3" t="str">
        <f t="array" ref="H2398">IF(I2398="","",IFERROR(_xlfn.XLOOKUP(I2398,Base_Datos!$D$2:$D3876,Base_Datos!$C$2:$C3876),""))</f>
        <v>Serie C</v>
      </c>
      <c r="I2398" s="3" t="s">
        <v>265</v>
      </c>
      <c r="J2398" s="3" t="str">
        <f>IF(I2398="","",IFERROR(VLOOKUP(I2398,Base_Datos!$D$2:$E$72,2,0),""))</f>
        <v>(1.5L)</v>
      </c>
      <c r="K2398" s="3"/>
      <c r="L2398" s="3"/>
      <c r="M2398" s="7">
        <v>0</v>
      </c>
      <c r="N2398" s="7">
        <v>0</v>
      </c>
    </row>
    <row r="2399" spans="1:14" ht="14.25" x14ac:dyDescent="0.2">
      <c r="A2399" s="3">
        <v>90753</v>
      </c>
      <c r="B2399" s="3" t="s">
        <v>3701</v>
      </c>
      <c r="C2399" s="3" t="s">
        <v>2</v>
      </c>
      <c r="D2399" s="6" t="s">
        <v>4390</v>
      </c>
      <c r="E2399" s="6" t="s">
        <v>4390</v>
      </c>
      <c r="F2399" s="3" t="str">
        <f>IFERROR( VLOOKUP(A2399,#REF!,2,0),"")</f>
        <v/>
      </c>
      <c r="G2399" s="3" t="str">
        <f t="array" ref="G2399">_xlfn.XLOOKUP(I2399,Base_Datos!D:D,Base_Datos!B:B,"")</f>
        <v>DFSK</v>
      </c>
      <c r="H2399" s="3" t="str">
        <f t="array" ref="H2399">IF(I2399="","",IFERROR(_xlfn.XLOOKUP(I2399,Base_Datos!$D$2:$D3876,Base_Datos!$C$2:$C3876),""))</f>
        <v>Serie C</v>
      </c>
      <c r="I2399" s="3" t="s">
        <v>265</v>
      </c>
      <c r="J2399" s="3" t="str">
        <f>IF(I2399="","",IFERROR(VLOOKUP(I2399,Base_Datos!$D$2:$E$72,2,0),""))</f>
        <v>(1.5L)</v>
      </c>
      <c r="K2399" s="3"/>
      <c r="L2399" s="3"/>
      <c r="M2399" s="7">
        <v>0</v>
      </c>
      <c r="N2399" s="7">
        <v>0</v>
      </c>
    </row>
    <row r="2400" spans="1:14" ht="14.25" x14ac:dyDescent="0.2">
      <c r="A2400" s="3">
        <v>90754</v>
      </c>
      <c r="B2400" s="3" t="s">
        <v>4391</v>
      </c>
      <c r="C2400" s="3" t="s">
        <v>2</v>
      </c>
      <c r="D2400" s="6" t="s">
        <v>1782</v>
      </c>
      <c r="E2400" s="6" t="s">
        <v>1782</v>
      </c>
      <c r="F2400" s="3" t="str">
        <f>IFERROR( VLOOKUP(A2400,#REF!,2,0),"")</f>
        <v/>
      </c>
      <c r="G2400" s="3" t="str">
        <f t="array" ref="G2400">_xlfn.XLOOKUP(I2400,Base_Datos!D:D,Base_Datos!B:B,"")</f>
        <v>DFSK</v>
      </c>
      <c r="H2400" s="3" t="str">
        <f t="array" ref="H2400">IF(I2400="","",IFERROR(_xlfn.XLOOKUP(I2400,Base_Datos!$D$2:$D3876,Base_Datos!$C$2:$C3876),""))</f>
        <v>Serie D</v>
      </c>
      <c r="I2400" s="3" t="s">
        <v>145</v>
      </c>
      <c r="J2400" s="3" t="str">
        <f>IF(I2400="","",IFERROR(VLOOKUP(I2400,Base_Datos!$D$2:$E$72,2,0),""))</f>
        <v>(2.4L)</v>
      </c>
      <c r="K2400" s="3"/>
      <c r="L2400" s="3"/>
      <c r="M2400" s="7">
        <v>0</v>
      </c>
      <c r="N2400" s="7">
        <v>0</v>
      </c>
    </row>
    <row r="2401" spans="1:14" ht="14.25" x14ac:dyDescent="0.2">
      <c r="A2401" s="3">
        <v>90755</v>
      </c>
      <c r="B2401" s="3" t="s">
        <v>1856</v>
      </c>
      <c r="C2401" s="3" t="s">
        <v>2</v>
      </c>
      <c r="D2401" s="6" t="s">
        <v>1782</v>
      </c>
      <c r="E2401" s="6" t="s">
        <v>1782</v>
      </c>
      <c r="F2401" s="3" t="str">
        <f>IFERROR( VLOOKUP(A2401,#REF!,2,0),"")</f>
        <v/>
      </c>
      <c r="G2401" s="3" t="str">
        <f t="array" ref="G2401">_xlfn.XLOOKUP(I2401,Base_Datos!D:D,Base_Datos!B:B,"")</f>
        <v>DFSK</v>
      </c>
      <c r="H2401" s="3" t="str">
        <f t="array" ref="H2401">IF(I2401="","",IFERROR(_xlfn.XLOOKUP(I2401,Base_Datos!$D$2:$D3876,Base_Datos!$C$2:$C3876),""))</f>
        <v>Serie D</v>
      </c>
      <c r="I2401" s="3" t="s">
        <v>145</v>
      </c>
      <c r="J2401" s="3" t="str">
        <f>IF(I2401="","",IFERROR(VLOOKUP(I2401,Base_Datos!$D$2:$E$72,2,0),""))</f>
        <v>(2.4L)</v>
      </c>
      <c r="K2401" s="3"/>
      <c r="L2401" s="3"/>
      <c r="M2401" s="7">
        <v>0</v>
      </c>
      <c r="N2401" s="7">
        <v>0</v>
      </c>
    </row>
    <row r="2402" spans="1:14" ht="14.25" x14ac:dyDescent="0.2">
      <c r="A2402" s="3">
        <v>90756</v>
      </c>
      <c r="B2402" s="3" t="s">
        <v>1857</v>
      </c>
      <c r="C2402" s="3" t="s">
        <v>2</v>
      </c>
      <c r="D2402" s="6" t="s">
        <v>1782</v>
      </c>
      <c r="E2402" s="6" t="s">
        <v>1782</v>
      </c>
      <c r="F2402" s="3" t="str">
        <f>IFERROR( VLOOKUP(A2402,#REF!,2,0),"")</f>
        <v/>
      </c>
      <c r="G2402" s="3" t="str">
        <f t="array" ref="G2402">_xlfn.XLOOKUP(I2402,Base_Datos!D:D,Base_Datos!B:B,"")</f>
        <v>DFSK</v>
      </c>
      <c r="H2402" s="3" t="str">
        <f t="array" ref="H2402">IF(I2402="","",IFERROR(_xlfn.XLOOKUP(I2402,Base_Datos!$D$2:$D3876,Base_Datos!$C$2:$C3876),""))</f>
        <v>Serie D</v>
      </c>
      <c r="I2402" s="3" t="s">
        <v>145</v>
      </c>
      <c r="J2402" s="3" t="str">
        <f>IF(I2402="","",IFERROR(VLOOKUP(I2402,Base_Datos!$D$2:$E$72,2,0),""))</f>
        <v>(2.4L)</v>
      </c>
      <c r="K2402" s="3"/>
      <c r="L2402" s="3"/>
      <c r="M2402" s="7">
        <v>0</v>
      </c>
      <c r="N2402" s="7">
        <v>0</v>
      </c>
    </row>
    <row r="2403" spans="1:14" ht="14.25" x14ac:dyDescent="0.2">
      <c r="A2403" s="3">
        <v>90757</v>
      </c>
      <c r="B2403" s="3" t="s">
        <v>4392</v>
      </c>
      <c r="C2403" s="3" t="s">
        <v>2</v>
      </c>
      <c r="D2403" s="6" t="s">
        <v>1782</v>
      </c>
      <c r="E2403" s="6" t="s">
        <v>1782</v>
      </c>
      <c r="F2403" s="3" t="str">
        <f>IFERROR( VLOOKUP(A2403,#REF!,2,0),"")</f>
        <v/>
      </c>
      <c r="G2403" s="3" t="str">
        <f t="array" ref="G2403">_xlfn.XLOOKUP(I2403,Base_Datos!D:D,Base_Datos!B:B,"")</f>
        <v>DFSK</v>
      </c>
      <c r="H2403" s="3" t="str">
        <f t="array" ref="H2403">IF(I2403="","",IFERROR(_xlfn.XLOOKUP(I2403,Base_Datos!$D$2:$D3876,Base_Datos!$C$2:$C3876),""))</f>
        <v>Serie D</v>
      </c>
      <c r="I2403" s="3" t="s">
        <v>973</v>
      </c>
      <c r="J2403" s="3" t="str">
        <f>IF(I2403="","",IFERROR(VLOOKUP(I2403,Base_Datos!$D$2:$E$72,2,0),""))</f>
        <v>(1.5L)</v>
      </c>
      <c r="K2403" s="3"/>
      <c r="L2403" s="3"/>
      <c r="M2403" s="7">
        <v>0</v>
      </c>
      <c r="N2403" s="7">
        <v>0</v>
      </c>
    </row>
    <row r="2404" spans="1:14" ht="14.25" x14ac:dyDescent="0.2">
      <c r="A2404" s="3">
        <v>90758</v>
      </c>
      <c r="B2404" s="3" t="s">
        <v>1884</v>
      </c>
      <c r="C2404" s="3" t="s">
        <v>2</v>
      </c>
      <c r="D2404" s="6" t="s">
        <v>887</v>
      </c>
      <c r="E2404" s="6" t="s">
        <v>887</v>
      </c>
      <c r="F2404" s="3" t="str">
        <f>IFERROR( VLOOKUP(A2404,#REF!,2,0),"")</f>
        <v/>
      </c>
      <c r="G2404" s="3" t="str">
        <f t="array" ref="G2404">_xlfn.XLOOKUP(I2404,Base_Datos!D:D,Base_Datos!B:B,"")</f>
        <v>DFSK</v>
      </c>
      <c r="H2404" s="3" t="str">
        <f t="array" ref="H2404">IF(I2404="","",IFERROR(_xlfn.XLOOKUP(I2404,Base_Datos!$D$2:$D3876,Base_Datos!$C$2:$C3876),""))</f>
        <v>Serie Glory</v>
      </c>
      <c r="I2404" s="3" t="s">
        <v>404</v>
      </c>
      <c r="J2404" s="3" t="str">
        <f>IF(I2404="","",IFERROR(VLOOKUP(I2404,Base_Datos!$D$2:$E$72,2,0),""))</f>
        <v>(1.5L)</v>
      </c>
      <c r="K2404" s="3"/>
      <c r="L2404" s="3"/>
      <c r="M2404" s="7">
        <v>0</v>
      </c>
      <c r="N2404" s="7">
        <v>0</v>
      </c>
    </row>
    <row r="2405" spans="1:14" ht="14.25" x14ac:dyDescent="0.2">
      <c r="A2405" s="3">
        <v>90759</v>
      </c>
      <c r="B2405" s="3" t="s">
        <v>4393</v>
      </c>
      <c r="C2405" s="3" t="s">
        <v>2</v>
      </c>
      <c r="D2405" s="6" t="s">
        <v>916</v>
      </c>
      <c r="E2405" s="6" t="s">
        <v>916</v>
      </c>
      <c r="F2405" s="3" t="str">
        <f>IFERROR( VLOOKUP(A2405,#REF!,2,0),"")</f>
        <v/>
      </c>
      <c r="G2405" s="3" t="str">
        <f t="array" ref="G2405">_xlfn.XLOOKUP(I2405,Base_Datos!D:D,Base_Datos!B:B,"")</f>
        <v>DFSK</v>
      </c>
      <c r="H2405" s="3" t="str">
        <f t="array" ref="H2405">IF(I2405="","",IFERROR(_xlfn.XLOOKUP(I2405,Base_Datos!$D$2:$D3876,Base_Datos!$C$2:$C3876),""))</f>
        <v>Serie Glory</v>
      </c>
      <c r="I2405" s="3" t="s">
        <v>404</v>
      </c>
      <c r="J2405" s="3" t="str">
        <f>IF(I2405="","",IFERROR(VLOOKUP(I2405,Base_Datos!$D$2:$E$72,2,0),""))</f>
        <v>(1.5L)</v>
      </c>
      <c r="K2405" s="3"/>
      <c r="L2405" s="3"/>
      <c r="M2405" s="7">
        <v>0</v>
      </c>
      <c r="N2405" s="7">
        <v>0</v>
      </c>
    </row>
    <row r="2406" spans="1:14" ht="14.25" x14ac:dyDescent="0.2">
      <c r="A2406" s="3">
        <v>90760</v>
      </c>
      <c r="B2406" s="3" t="s">
        <v>2607</v>
      </c>
      <c r="C2406" s="3" t="s">
        <v>18</v>
      </c>
      <c r="D2406" s="6" t="s">
        <v>917</v>
      </c>
      <c r="E2406" s="6" t="s">
        <v>917</v>
      </c>
      <c r="F2406" s="3" t="str">
        <f>IFERROR( VLOOKUP(A2406,#REF!,2,0),"")</f>
        <v/>
      </c>
      <c r="G2406" s="3" t="str">
        <f t="array" ref="G2406">_xlfn.XLOOKUP(I2406,Base_Datos!D:D,Base_Datos!B:B,"")</f>
        <v>DFSK</v>
      </c>
      <c r="H2406" s="3" t="str">
        <f t="array" ref="H2406">IF(I2406="","",IFERROR(_xlfn.XLOOKUP(I2406,Base_Datos!$D$2:$D3876,Base_Datos!$C$2:$C3876),""))</f>
        <v>Serie K</v>
      </c>
      <c r="I2406" s="3" t="s">
        <v>475</v>
      </c>
      <c r="J2406" s="3" t="str">
        <f>IF(I2406="","",IFERROR(VLOOKUP(I2406,Base_Datos!$D$2:$E$72,2,0),""))</f>
        <v>(1.1L)</v>
      </c>
      <c r="K2406" s="3" t="s">
        <v>4322</v>
      </c>
      <c r="L2406" s="3"/>
      <c r="M2406" s="7">
        <v>0</v>
      </c>
      <c r="N2406" s="7">
        <v>0</v>
      </c>
    </row>
    <row r="2407" spans="1:14" ht="14.25" x14ac:dyDescent="0.2">
      <c r="A2407" s="3">
        <v>90761</v>
      </c>
      <c r="B2407" s="3" t="s">
        <v>2245</v>
      </c>
      <c r="C2407" s="3" t="s">
        <v>2</v>
      </c>
      <c r="D2407" s="6" t="s">
        <v>394</v>
      </c>
      <c r="E2407" s="6" t="s">
        <v>394</v>
      </c>
      <c r="F2407" s="3" t="str">
        <f>IFERROR( VLOOKUP(A2407,#REF!,2,0),"")</f>
        <v/>
      </c>
      <c r="G2407" s="3" t="str">
        <f t="array" ref="G2407">_xlfn.XLOOKUP(I2407,Base_Datos!D:D,Base_Datos!B:B,"")</f>
        <v>DFSK</v>
      </c>
      <c r="H2407" s="3" t="str">
        <f t="array" ref="H2407">IF(I2407="","",IFERROR(_xlfn.XLOOKUP(I2407,Base_Datos!$D$2:$D3876,Base_Datos!$C$2:$C3876),""))</f>
        <v>Serie C</v>
      </c>
      <c r="I2407" s="3" t="s">
        <v>339</v>
      </c>
      <c r="J2407" s="3" t="str">
        <f>IF(I2407="","",IFERROR(VLOOKUP(I2407,Base_Datos!$D$2:$E$72,2,0),""))</f>
        <v>(1.5L)</v>
      </c>
      <c r="K2407" s="3"/>
      <c r="L2407" s="3"/>
      <c r="M2407" s="7">
        <v>0</v>
      </c>
      <c r="N2407" s="7">
        <v>0</v>
      </c>
    </row>
    <row r="2408" spans="1:14" ht="14.25" x14ac:dyDescent="0.2">
      <c r="A2408" s="3">
        <v>90762</v>
      </c>
      <c r="B2408" s="3" t="s">
        <v>2245</v>
      </c>
      <c r="C2408" s="3" t="s">
        <v>2</v>
      </c>
      <c r="D2408" s="6" t="s">
        <v>918</v>
      </c>
      <c r="E2408" s="6" t="s">
        <v>918</v>
      </c>
      <c r="F2408" s="3" t="str">
        <f>IFERROR( VLOOKUP(A2408,#REF!,2,0),"")</f>
        <v/>
      </c>
      <c r="G2408" s="3">
        <f t="array" ref="G2408">_xlfn.XLOOKUP(I2408,Base_Datos!D:D,Base_Datos!B:B,"")</f>
        <v>0</v>
      </c>
      <c r="H2408" s="3" t="str">
        <f t="array" ref="H2408">IF(I2408="","",IFERROR(_xlfn.XLOOKUP(I2408,Base_Datos!$D$2:$D3876,Base_Datos!$C$2:$C3876),""))</f>
        <v/>
      </c>
      <c r="I2408" s="3"/>
      <c r="J2408" s="3" t="str">
        <f>IF(I2408="","",IFERROR(VLOOKUP(I2408,Base_Datos!$D$2:$E$72,2,0),""))</f>
        <v/>
      </c>
      <c r="K2408" s="3"/>
      <c r="L2408" s="3"/>
      <c r="M2408" s="7">
        <v>0</v>
      </c>
      <c r="N2408" s="7">
        <v>0</v>
      </c>
    </row>
    <row r="2409" spans="1:14" ht="14.25" x14ac:dyDescent="0.2">
      <c r="A2409" s="3">
        <v>90763</v>
      </c>
      <c r="B2409" s="3" t="s">
        <v>2507</v>
      </c>
      <c r="C2409" s="3" t="s">
        <v>2</v>
      </c>
      <c r="D2409" s="6" t="s">
        <v>919</v>
      </c>
      <c r="E2409" s="6" t="s">
        <v>919</v>
      </c>
      <c r="F2409" s="3" t="str">
        <f>IFERROR( VLOOKUP(A2409,#REF!,2,0),"")</f>
        <v/>
      </c>
      <c r="G2409" s="3" t="str">
        <f t="array" ref="G2409">_xlfn.XLOOKUP(I2409,Base_Datos!D:D,Base_Datos!B:B,"")</f>
        <v>DFSK</v>
      </c>
      <c r="H2409" s="3" t="str">
        <f t="array" ref="H2409">IF(I2409="","",IFERROR(_xlfn.XLOOKUP(I2409,Base_Datos!$D$2:$D3876,Base_Datos!$C$2:$C3876),""))</f>
        <v>Serie C</v>
      </c>
      <c r="I2409" s="3" t="s">
        <v>265</v>
      </c>
      <c r="J2409" s="3" t="str">
        <f>IF(I2409="","",IFERROR(VLOOKUP(I2409,Base_Datos!$D$2:$E$72,2,0),""))</f>
        <v>(1.5L)</v>
      </c>
      <c r="K2409" s="3"/>
      <c r="L2409" s="3"/>
      <c r="M2409" s="7">
        <v>0</v>
      </c>
      <c r="N2409" s="7">
        <v>0</v>
      </c>
    </row>
    <row r="2410" spans="1:14" ht="14.25" x14ac:dyDescent="0.2">
      <c r="A2410" s="3">
        <v>90764</v>
      </c>
      <c r="B2410" s="3" t="s">
        <v>4394</v>
      </c>
      <c r="C2410" s="3" t="s">
        <v>2</v>
      </c>
      <c r="D2410" s="6" t="s">
        <v>1782</v>
      </c>
      <c r="E2410" s="6" t="s">
        <v>1782</v>
      </c>
      <c r="F2410" s="3" t="str">
        <f>IFERROR( VLOOKUP(A2410,#REF!,2,0),"")</f>
        <v/>
      </c>
      <c r="G2410" s="3" t="str">
        <f t="array" ref="G2410">_xlfn.XLOOKUP(I2410,Base_Datos!D:D,Base_Datos!B:B,"")</f>
        <v>DFSK</v>
      </c>
      <c r="H2410" s="3" t="str">
        <f t="array" ref="H2410">IF(I2410="","",IFERROR(_xlfn.XLOOKUP(I2410,Base_Datos!$D$2:$D3876,Base_Datos!$C$2:$C3876),""))</f>
        <v>Serie Glory</v>
      </c>
      <c r="I2410" s="3" t="s">
        <v>1754</v>
      </c>
      <c r="J2410" s="3" t="str">
        <f>IF(I2410="","",IFERROR(VLOOKUP(I2410,Base_Datos!$D$2:$E$72,2,0),""))</f>
        <v>(1.5L)</v>
      </c>
      <c r="K2410" s="3"/>
      <c r="L2410" s="3"/>
      <c r="M2410" s="7">
        <v>0</v>
      </c>
      <c r="N2410" s="7">
        <v>0</v>
      </c>
    </row>
    <row r="2411" spans="1:14" ht="14.25" x14ac:dyDescent="0.2">
      <c r="A2411" s="3">
        <v>90765</v>
      </c>
      <c r="B2411" s="3" t="s">
        <v>4395</v>
      </c>
      <c r="C2411" s="3" t="s">
        <v>2</v>
      </c>
      <c r="D2411" s="6" t="s">
        <v>391</v>
      </c>
      <c r="E2411" s="6" t="s">
        <v>391</v>
      </c>
      <c r="F2411" s="3" t="str">
        <f>IFERROR( VLOOKUP(A2411,#REF!,2,0),"")</f>
        <v/>
      </c>
      <c r="G2411" s="3" t="str">
        <f t="array" ref="G2411">_xlfn.XLOOKUP(I2411,Base_Datos!D:D,Base_Datos!B:B,"")</f>
        <v>DFSK</v>
      </c>
      <c r="H2411" s="3" t="str">
        <f t="array" ref="H2411">IF(I2411="","",IFERROR(_xlfn.XLOOKUP(I2411,Base_Datos!$D$2:$D3876,Base_Datos!$C$2:$C3876),""))</f>
        <v>Serie C</v>
      </c>
      <c r="I2411" s="3" t="s">
        <v>332</v>
      </c>
      <c r="J2411" s="3" t="str">
        <f>IF(I2411="","",IFERROR(VLOOKUP(I2411,Base_Datos!$D$2:$E$72,2,0),""))</f>
        <v>(1.5L)</v>
      </c>
      <c r="K2411" s="3"/>
      <c r="L2411" s="3"/>
      <c r="M2411" s="7">
        <v>0</v>
      </c>
      <c r="N2411" s="7">
        <v>0</v>
      </c>
    </row>
    <row r="2412" spans="1:14" ht="14.25" x14ac:dyDescent="0.2">
      <c r="A2412" s="3">
        <v>90766</v>
      </c>
      <c r="B2412" s="3" t="s">
        <v>4396</v>
      </c>
      <c r="C2412" s="3" t="s">
        <v>18</v>
      </c>
      <c r="D2412" s="6" t="s">
        <v>390</v>
      </c>
      <c r="E2412" s="6" t="s">
        <v>390</v>
      </c>
      <c r="F2412" s="3" t="str">
        <f>IFERROR( VLOOKUP(A2412,#REF!,2,0),"")</f>
        <v/>
      </c>
      <c r="G2412" s="3" t="str">
        <f t="array" ref="G2412">_xlfn.XLOOKUP(I2412,Base_Datos!D:D,Base_Datos!B:B,"")</f>
        <v>DFSK</v>
      </c>
      <c r="H2412" s="3" t="str">
        <f t="array" ref="H2412">IF(I2412="","",IFERROR(_xlfn.XLOOKUP(I2412,Base_Datos!$D$2:$D3876,Base_Datos!$C$2:$C3876),""))</f>
        <v>Serie C</v>
      </c>
      <c r="I2412" s="3" t="s">
        <v>332</v>
      </c>
      <c r="J2412" s="3" t="str">
        <f>IF(I2412="","",IFERROR(VLOOKUP(I2412,Base_Datos!$D$2:$E$72,2,0),""))</f>
        <v>(1.5L)</v>
      </c>
      <c r="K2412" s="3"/>
      <c r="L2412" s="3"/>
      <c r="M2412" s="7">
        <v>0</v>
      </c>
      <c r="N2412" s="7">
        <v>0</v>
      </c>
    </row>
    <row r="2413" spans="1:14" ht="14.25" x14ac:dyDescent="0.2">
      <c r="A2413" s="3">
        <v>90767</v>
      </c>
      <c r="B2413" s="3" t="s">
        <v>3150</v>
      </c>
      <c r="C2413" s="3" t="s">
        <v>2</v>
      </c>
      <c r="D2413" s="6" t="s">
        <v>920</v>
      </c>
      <c r="E2413" s="6" t="s">
        <v>920</v>
      </c>
      <c r="F2413" s="3" t="str">
        <f>IFERROR( VLOOKUP(A2413,#REF!,2,0),"")</f>
        <v/>
      </c>
      <c r="G2413" s="3" t="str">
        <f t="array" ref="G2413">_xlfn.XLOOKUP(I2413,Base_Datos!D:D,Base_Datos!B:B,"")</f>
        <v>DFSK</v>
      </c>
      <c r="H2413" s="3" t="str">
        <f t="array" ref="H2413">IF(I2413="","",IFERROR(_xlfn.XLOOKUP(I2413,Base_Datos!$D$2:$D3876,Base_Datos!$C$2:$C3876),""))</f>
        <v>Serie C</v>
      </c>
      <c r="I2413" s="3" t="s">
        <v>332</v>
      </c>
      <c r="J2413" s="3" t="str">
        <f>IF(I2413="","",IFERROR(VLOOKUP(I2413,Base_Datos!$D$2:$E$72,2,0),""))</f>
        <v>(1.5L)</v>
      </c>
      <c r="K2413" s="3"/>
      <c r="L2413" s="3"/>
      <c r="M2413" s="7">
        <v>0</v>
      </c>
      <c r="N2413" s="7">
        <v>0</v>
      </c>
    </row>
    <row r="2414" spans="1:14" ht="14.25" x14ac:dyDescent="0.2">
      <c r="A2414" s="3">
        <v>90768</v>
      </c>
      <c r="B2414" s="3" t="s">
        <v>2609</v>
      </c>
      <c r="C2414" s="3" t="s">
        <v>18</v>
      </c>
      <c r="D2414" s="6" t="s">
        <v>921</v>
      </c>
      <c r="E2414" s="6" t="s">
        <v>921</v>
      </c>
      <c r="F2414" s="3" t="str">
        <f>IFERROR( VLOOKUP(A2414,#REF!,2,0),"")</f>
        <v/>
      </c>
      <c r="G2414" s="3" t="str">
        <f t="array" ref="G2414">_xlfn.XLOOKUP(I2414,Base_Datos!D:D,Base_Datos!B:B,"")</f>
        <v>DFSK</v>
      </c>
      <c r="H2414" s="3" t="str">
        <f t="array" ref="H2414">IF(I2414="","",IFERROR(_xlfn.XLOOKUP(I2414,Base_Datos!$D$2:$D3876,Base_Datos!$C$2:$C3876),""))</f>
        <v>Serie K</v>
      </c>
      <c r="I2414" s="3" t="s">
        <v>475</v>
      </c>
      <c r="J2414" s="3" t="str">
        <f>IF(I2414="","",IFERROR(VLOOKUP(I2414,Base_Datos!$D$2:$E$72,2,0),""))</f>
        <v>(1.1L)</v>
      </c>
      <c r="K2414" s="3" t="s">
        <v>4322</v>
      </c>
      <c r="L2414" s="3"/>
      <c r="M2414" s="7">
        <v>0</v>
      </c>
      <c r="N2414" s="7">
        <v>0</v>
      </c>
    </row>
    <row r="2415" spans="1:14" ht="14.25" x14ac:dyDescent="0.2">
      <c r="A2415" s="3">
        <v>90769</v>
      </c>
      <c r="B2415" s="3" t="s">
        <v>2654</v>
      </c>
      <c r="C2415" s="3" t="s">
        <v>2</v>
      </c>
      <c r="D2415" s="6" t="s">
        <v>922</v>
      </c>
      <c r="E2415" s="6" t="s">
        <v>922</v>
      </c>
      <c r="F2415" s="3" t="str">
        <f>IFERROR( VLOOKUP(A2415,#REF!,2,0),"")</f>
        <v/>
      </c>
      <c r="G2415" s="3">
        <f t="array" ref="G2415">_xlfn.XLOOKUP(I2415,Base_Datos!D:D,Base_Datos!B:B,"")</f>
        <v>0</v>
      </c>
      <c r="H2415" s="3" t="str">
        <f t="array" ref="H2415">IF(I2415="","",IFERROR(_xlfn.XLOOKUP(I2415,Base_Datos!$D$2:$D3876,Base_Datos!$C$2:$C3876),""))</f>
        <v/>
      </c>
      <c r="I2415" s="3"/>
      <c r="J2415" s="3" t="str">
        <f>IF(I2415="","",IFERROR(VLOOKUP(I2415,Base_Datos!$D$2:$E$72,2,0),""))</f>
        <v/>
      </c>
      <c r="K2415" s="3"/>
      <c r="L2415" s="3"/>
      <c r="M2415" s="7">
        <v>0</v>
      </c>
      <c r="N2415" s="7">
        <v>0</v>
      </c>
    </row>
    <row r="2416" spans="1:14" ht="14.25" x14ac:dyDescent="0.2">
      <c r="A2416" s="3">
        <v>90770</v>
      </c>
      <c r="B2416" s="3" t="s">
        <v>4397</v>
      </c>
      <c r="C2416" s="3" t="s">
        <v>18</v>
      </c>
      <c r="D2416" s="6" t="s">
        <v>923</v>
      </c>
      <c r="E2416" s="6" t="s">
        <v>923</v>
      </c>
      <c r="F2416" s="3" t="str">
        <f>IFERROR( VLOOKUP(A2416,#REF!,2,0),"")</f>
        <v/>
      </c>
      <c r="G2416" s="3" t="str">
        <f t="array" ref="G2416">_xlfn.XLOOKUP(I2416,Base_Datos!D:D,Base_Datos!B:B,"")</f>
        <v>DFSK</v>
      </c>
      <c r="H2416" s="3" t="str">
        <f t="array" ref="H2416">IF(I2416="","",IFERROR(_xlfn.XLOOKUP(I2416,Base_Datos!$D$2:$D3876,Base_Datos!$C$2:$C3876),""))</f>
        <v>Serie Glory</v>
      </c>
      <c r="I2416" s="3" t="s">
        <v>404</v>
      </c>
      <c r="J2416" s="3" t="str">
        <f>IF(I2416="","",IFERROR(VLOOKUP(I2416,Base_Datos!$D$2:$E$72,2,0),""))</f>
        <v>(1.5L)</v>
      </c>
      <c r="K2416" s="3"/>
      <c r="L2416" s="3"/>
      <c r="M2416" s="7">
        <v>0</v>
      </c>
      <c r="N2416" s="7">
        <v>0</v>
      </c>
    </row>
    <row r="2417" spans="1:14" ht="14.25" x14ac:dyDescent="0.2">
      <c r="A2417" s="3">
        <v>90771</v>
      </c>
      <c r="B2417" s="3" t="s">
        <v>4398</v>
      </c>
      <c r="C2417" s="3" t="s">
        <v>18</v>
      </c>
      <c r="D2417" s="6" t="s">
        <v>923</v>
      </c>
      <c r="E2417" s="6" t="s">
        <v>923</v>
      </c>
      <c r="F2417" s="3" t="str">
        <f>IFERROR( VLOOKUP(A2417,#REF!,2,0),"")</f>
        <v/>
      </c>
      <c r="G2417" s="3" t="str">
        <f t="array" ref="G2417">_xlfn.XLOOKUP(I2417,Base_Datos!D:D,Base_Datos!B:B,"")</f>
        <v>DFSK</v>
      </c>
      <c r="H2417" s="3" t="str">
        <f t="array" ref="H2417">IF(I2417="","",IFERROR(_xlfn.XLOOKUP(I2417,Base_Datos!$D$2:$D3876,Base_Datos!$C$2:$C3876),""))</f>
        <v>Serie Glory</v>
      </c>
      <c r="I2417" s="3" t="s">
        <v>404</v>
      </c>
      <c r="J2417" s="3" t="str">
        <f>IF(I2417="","",IFERROR(VLOOKUP(I2417,Base_Datos!$D$2:$E$72,2,0),""))</f>
        <v>(1.5L)</v>
      </c>
      <c r="K2417" s="3"/>
      <c r="L2417" s="3"/>
      <c r="M2417" s="7">
        <v>0</v>
      </c>
      <c r="N2417" s="7">
        <v>0</v>
      </c>
    </row>
    <row r="2418" spans="1:14" ht="14.25" x14ac:dyDescent="0.2">
      <c r="A2418" s="3">
        <v>90772</v>
      </c>
      <c r="B2418" s="3" t="s">
        <v>4399</v>
      </c>
      <c r="C2418" s="3" t="s">
        <v>2</v>
      </c>
      <c r="D2418" s="6" t="s">
        <v>924</v>
      </c>
      <c r="E2418" s="6" t="s">
        <v>924</v>
      </c>
      <c r="F2418" s="3" t="str">
        <f>IFERROR( VLOOKUP(A2418,#REF!,2,0),"")</f>
        <v/>
      </c>
      <c r="G2418" s="3" t="str">
        <f t="array" ref="G2418">_xlfn.XLOOKUP(I2418,Base_Datos!D:D,Base_Datos!B:B,"")</f>
        <v>DFSK</v>
      </c>
      <c r="H2418" s="3" t="str">
        <f t="array" ref="H2418">IF(I2418="","",IFERROR(_xlfn.XLOOKUP(I2418,Base_Datos!$D$2:$D3876,Base_Datos!$C$2:$C3876),""))</f>
        <v>Serie D</v>
      </c>
      <c r="I2418" s="3" t="s">
        <v>973</v>
      </c>
      <c r="J2418" s="3" t="str">
        <f>IF(I2418="","",IFERROR(VLOOKUP(I2418,Base_Datos!$D$2:$E$72,2,0),""))</f>
        <v>(1.5L)</v>
      </c>
      <c r="K2418" s="3"/>
      <c r="L2418" s="3"/>
      <c r="M2418" s="7">
        <v>0</v>
      </c>
      <c r="N2418" s="7">
        <v>0</v>
      </c>
    </row>
    <row r="2419" spans="1:14" ht="14.25" x14ac:dyDescent="0.2">
      <c r="A2419" s="3">
        <v>90773</v>
      </c>
      <c r="B2419" s="3" t="s">
        <v>4400</v>
      </c>
      <c r="C2419" s="3" t="s">
        <v>18</v>
      </c>
      <c r="D2419" s="6" t="s">
        <v>925</v>
      </c>
      <c r="E2419" s="6" t="s">
        <v>4387</v>
      </c>
      <c r="F2419" s="3" t="str">
        <f>IFERROR( VLOOKUP(A2419,#REF!,2,0),"")</f>
        <v/>
      </c>
      <c r="G2419" s="3">
        <f t="array" ref="G2419">_xlfn.XLOOKUP(I2419,Base_Datos!D:D,Base_Datos!B:B,"")</f>
        <v>0</v>
      </c>
      <c r="H2419" s="3" t="str">
        <f t="array" ref="H2419">IF(I2419="","",IFERROR(_xlfn.XLOOKUP(I2419,Base_Datos!$D$2:$D3876,Base_Datos!$C$2:$C3876),""))</f>
        <v/>
      </c>
      <c r="I2419" s="3"/>
      <c r="J2419" s="3" t="str">
        <f>IF(I2419="","",IFERROR(VLOOKUP(I2419,Base_Datos!$D$2:$E$72,2,0),""))</f>
        <v/>
      </c>
      <c r="K2419" s="3" t="s">
        <v>4401</v>
      </c>
      <c r="L2419" s="3"/>
      <c r="M2419" s="7">
        <v>430</v>
      </c>
      <c r="N2419" s="7">
        <v>1</v>
      </c>
    </row>
    <row r="2420" spans="1:14" ht="14.25" x14ac:dyDescent="0.2">
      <c r="A2420" s="3">
        <v>90774</v>
      </c>
      <c r="B2420" s="3" t="s">
        <v>1928</v>
      </c>
      <c r="C2420" s="3" t="s">
        <v>2</v>
      </c>
      <c r="D2420" s="6" t="s">
        <v>926</v>
      </c>
      <c r="E2420" s="6" t="s">
        <v>4228</v>
      </c>
      <c r="F2420" s="3" t="str">
        <f>IFERROR( VLOOKUP(A2420,#REF!,2,0),"")</f>
        <v/>
      </c>
      <c r="G2420" s="3" t="str">
        <f t="array" ref="G2420">_xlfn.XLOOKUP(I2420,Base_Datos!D:D,Base_Datos!B:B,"")</f>
        <v>DFSK</v>
      </c>
      <c r="H2420" s="3" t="str">
        <f t="array" ref="H2420">IF(I2420="","",IFERROR(_xlfn.XLOOKUP(I2420,Base_Datos!$D$2:$D3876,Base_Datos!$C$2:$C3876),""))</f>
        <v>Serie K</v>
      </c>
      <c r="I2420" s="3" t="s">
        <v>475</v>
      </c>
      <c r="J2420" s="3" t="str">
        <f>IF(I2420="","",IFERROR(VLOOKUP(I2420,Base_Datos!$D$2:$E$72,2,0),""))</f>
        <v>(1.1L)</v>
      </c>
      <c r="K2420" s="3" t="s">
        <v>4402</v>
      </c>
      <c r="L2420" s="3"/>
      <c r="M2420" s="7">
        <v>0</v>
      </c>
      <c r="N2420" s="7">
        <v>0</v>
      </c>
    </row>
    <row r="2421" spans="1:14" ht="14.25" x14ac:dyDescent="0.2">
      <c r="A2421" s="3">
        <v>90775</v>
      </c>
      <c r="B2421" s="3" t="s">
        <v>4403</v>
      </c>
      <c r="C2421" s="3" t="s">
        <v>2</v>
      </c>
      <c r="D2421" s="6" t="s">
        <v>4404</v>
      </c>
      <c r="E2421" s="6" t="s">
        <v>4404</v>
      </c>
      <c r="F2421" s="3" t="str">
        <f>IFERROR( VLOOKUP(A2421,#REF!,2,0),"")</f>
        <v/>
      </c>
      <c r="G2421" s="3" t="str">
        <f t="array" ref="G2421">_xlfn.XLOOKUP(I2421,Base_Datos!D:D,Base_Datos!B:B,"")</f>
        <v>DFSK</v>
      </c>
      <c r="H2421" s="3" t="str">
        <f t="array" ref="H2421">IF(I2421="","",IFERROR(_xlfn.XLOOKUP(I2421,Base_Datos!$D$2:$D3876,Base_Datos!$C$2:$C3876),""))</f>
        <v>Serie D</v>
      </c>
      <c r="I2421" s="3" t="s">
        <v>145</v>
      </c>
      <c r="J2421" s="3" t="str">
        <f>IF(I2421="","",IFERROR(VLOOKUP(I2421,Base_Datos!$D$2:$E$72,2,0),""))</f>
        <v>(2.4L)</v>
      </c>
      <c r="K2421" s="3" t="s">
        <v>2439</v>
      </c>
      <c r="L2421" s="3"/>
      <c r="M2421" s="7">
        <v>0</v>
      </c>
      <c r="N2421" s="7">
        <v>0</v>
      </c>
    </row>
    <row r="2422" spans="1:14" ht="14.25" x14ac:dyDescent="0.2">
      <c r="A2422" s="3">
        <v>90776</v>
      </c>
      <c r="B2422" s="3" t="s">
        <v>1840</v>
      </c>
      <c r="C2422" s="3" t="s">
        <v>2</v>
      </c>
      <c r="D2422" s="6" t="s">
        <v>927</v>
      </c>
      <c r="E2422" s="6" t="s">
        <v>927</v>
      </c>
      <c r="F2422" s="3" t="str">
        <f>IFERROR( VLOOKUP(A2422,#REF!,2,0),"")</f>
        <v/>
      </c>
      <c r="G2422" s="3" t="str">
        <f t="array" ref="G2422">_xlfn.XLOOKUP(I2422,Base_Datos!D:D,Base_Datos!B:B,"")</f>
        <v>DFSK</v>
      </c>
      <c r="H2422" s="3" t="str">
        <f t="array" ref="H2422">IF(I2422="","",IFERROR(_xlfn.XLOOKUP(I2422,Base_Datos!$D$2:$D3876,Base_Datos!$C$2:$C3876),""))</f>
        <v>Serie C</v>
      </c>
      <c r="I2422" s="3" t="s">
        <v>343</v>
      </c>
      <c r="J2422" s="3" t="str">
        <f>IF(I2422="","",IFERROR(VLOOKUP(I2422,Base_Datos!$D$2:$E$72,2,0),""))</f>
        <v>(1.5L)</v>
      </c>
      <c r="K2422" s="3" t="s">
        <v>2395</v>
      </c>
      <c r="L2422" s="3"/>
      <c r="M2422" s="7">
        <v>0</v>
      </c>
      <c r="N2422" s="7">
        <v>0</v>
      </c>
    </row>
    <row r="2423" spans="1:14" ht="14.25" x14ac:dyDescent="0.2">
      <c r="A2423" s="3">
        <v>90777</v>
      </c>
      <c r="B2423" s="3" t="s">
        <v>2417</v>
      </c>
      <c r="C2423" s="3" t="s">
        <v>2</v>
      </c>
      <c r="D2423" s="6" t="s">
        <v>928</v>
      </c>
      <c r="E2423" s="6" t="s">
        <v>1782</v>
      </c>
      <c r="F2423" s="3" t="str">
        <f>IFERROR( VLOOKUP(A2423,#REF!,2,0),"")</f>
        <v/>
      </c>
      <c r="G2423" s="3" t="str">
        <f t="array" ref="G2423">_xlfn.XLOOKUP(I2423,Base_Datos!D:D,Base_Datos!B:B,"")</f>
        <v>DFSK</v>
      </c>
      <c r="H2423" s="3" t="str">
        <f t="array" ref="H2423">IF(I2423="","",IFERROR(_xlfn.XLOOKUP(I2423,Base_Datos!$D$2:$D3876,Base_Datos!$C$2:$C3876),""))</f>
        <v>Serie C</v>
      </c>
      <c r="I2423" s="3" t="s">
        <v>343</v>
      </c>
      <c r="J2423" s="3" t="str">
        <f>IF(I2423="","",IFERROR(VLOOKUP(I2423,Base_Datos!$D$2:$E$72,2,0),""))</f>
        <v>(1.5L)</v>
      </c>
      <c r="K2423" s="3"/>
      <c r="L2423" s="3"/>
      <c r="M2423" s="7">
        <v>0</v>
      </c>
      <c r="N2423" s="7">
        <v>0</v>
      </c>
    </row>
    <row r="2424" spans="1:14" ht="14.25" x14ac:dyDescent="0.2">
      <c r="A2424" s="3">
        <v>90778</v>
      </c>
      <c r="B2424" s="3" t="s">
        <v>4405</v>
      </c>
      <c r="C2424" s="3" t="s">
        <v>18</v>
      </c>
      <c r="D2424" s="6" t="s">
        <v>929</v>
      </c>
      <c r="E2424" s="6" t="s">
        <v>929</v>
      </c>
      <c r="F2424" s="3" t="str">
        <f>IFERROR( VLOOKUP(A2424,#REF!,2,0),"")</f>
        <v/>
      </c>
      <c r="G2424" s="3" t="str">
        <f t="array" ref="G2424">_xlfn.XLOOKUP(I2424,Base_Datos!D:D,Base_Datos!B:B,"")</f>
        <v>DFSK</v>
      </c>
      <c r="H2424" s="3" t="str">
        <f t="array" ref="H2424">IF(I2424="","",IFERROR(_xlfn.XLOOKUP(I2424,Base_Datos!$D$2:$D3876,Base_Datos!$C$2:$C3876),""))</f>
        <v>Serie K</v>
      </c>
      <c r="I2424" s="3" t="s">
        <v>475</v>
      </c>
      <c r="J2424" s="3" t="str">
        <f>IF(I2424="","",IFERROR(VLOOKUP(I2424,Base_Datos!$D$2:$E$72,2,0),""))</f>
        <v>(1.1L)</v>
      </c>
      <c r="K2424" s="3" t="s">
        <v>4322</v>
      </c>
      <c r="L2424" s="3"/>
      <c r="M2424" s="7">
        <v>60</v>
      </c>
      <c r="N2424" s="7">
        <v>0</v>
      </c>
    </row>
    <row r="2425" spans="1:14" ht="14.25" x14ac:dyDescent="0.2">
      <c r="A2425" s="3">
        <v>97250</v>
      </c>
      <c r="B2425" s="3" t="s">
        <v>4406</v>
      </c>
      <c r="C2425" s="3" t="s">
        <v>27</v>
      </c>
      <c r="D2425" s="6" t="s">
        <v>1782</v>
      </c>
      <c r="E2425" s="6" t="s">
        <v>1782</v>
      </c>
      <c r="F2425" s="3" t="str">
        <f>IFERROR( VLOOKUP(A2425,#REF!,2,0),"")</f>
        <v/>
      </c>
      <c r="G2425" s="3" t="str">
        <f t="array" ref="G2425">_xlfn.XLOOKUP(I2425,Base_Datos!D:D,Base_Datos!B:B,"")</f>
        <v>GAC</v>
      </c>
      <c r="H2425" s="3" t="str">
        <f t="array" ref="H2425">IF(I2425="","",IFERROR(_xlfn.XLOOKUP(I2425,Base_Datos!$D$2:$D3876,Base_Datos!$C$2:$C3876),""))</f>
        <v>Serie Empow</v>
      </c>
      <c r="I2425" s="3" t="s">
        <v>1180</v>
      </c>
      <c r="J2425" s="3" t="str">
        <f>IF(I2425="","",IFERROR(VLOOKUP(I2425,Base_Datos!$D$2:$E$72,2,0),""))</f>
        <v>(1.5L)</v>
      </c>
      <c r="K2425" s="3"/>
      <c r="L2425" s="3"/>
      <c r="M2425" s="7">
        <v>0</v>
      </c>
      <c r="N2425" s="7">
        <v>0</v>
      </c>
    </row>
    <row r="2426" spans="1:14" ht="14.25" x14ac:dyDescent="0.2">
      <c r="A2426" s="3">
        <v>97500</v>
      </c>
      <c r="B2426" s="3" t="s">
        <v>4407</v>
      </c>
      <c r="C2426" s="3" t="s">
        <v>27</v>
      </c>
      <c r="D2426" s="6" t="s">
        <v>1782</v>
      </c>
      <c r="E2426" s="6" t="s">
        <v>1782</v>
      </c>
      <c r="F2426" s="3" t="str">
        <f>IFERROR( VLOOKUP(A2426,#REF!,2,0),"")</f>
        <v/>
      </c>
      <c r="G2426" s="3" t="str">
        <f t="array" ref="G2426">_xlfn.XLOOKUP(I2426,Base_Datos!D:D,Base_Datos!B:B,"")</f>
        <v>DFSK</v>
      </c>
      <c r="H2426" s="3" t="str">
        <f t="array" ref="H2426">IF(I2426="","",IFERROR(_xlfn.XLOOKUP(I2426,Base_Datos!$D$2:$D3876,Base_Datos!$C$2:$C3876),""))</f>
        <v>Serie C</v>
      </c>
      <c r="I2426" s="3" t="s">
        <v>339</v>
      </c>
      <c r="J2426" s="3" t="str">
        <f>IF(I2426="","",IFERROR(VLOOKUP(I2426,Base_Datos!$D$2:$E$72,2,0),""))</f>
        <v>(1.5L)</v>
      </c>
      <c r="K2426" s="3"/>
      <c r="L2426" s="3"/>
      <c r="M2426" s="7">
        <v>0</v>
      </c>
      <c r="N2426" s="7">
        <v>0</v>
      </c>
    </row>
    <row r="2427" spans="1:14" ht="14.25" x14ac:dyDescent="0.2">
      <c r="A2427" s="3">
        <v>97501</v>
      </c>
      <c r="B2427" s="3" t="s">
        <v>4408</v>
      </c>
      <c r="C2427" s="3" t="s">
        <v>27</v>
      </c>
      <c r="D2427" s="6" t="s">
        <v>1782</v>
      </c>
      <c r="E2427" s="6" t="s">
        <v>1782</v>
      </c>
      <c r="F2427" s="3" t="str">
        <f>IFERROR( VLOOKUP(A2427,#REF!,2,0),"")</f>
        <v/>
      </c>
      <c r="G2427" s="3">
        <f t="array" ref="G2427">_xlfn.XLOOKUP(I2427,Base_Datos!D:D,Base_Datos!B:B,"")</f>
        <v>0</v>
      </c>
      <c r="H2427" s="3" t="str">
        <f t="array" ref="H2427">IF(I2427="","",IFERROR(_xlfn.XLOOKUP(I2427,Base_Datos!$D$2:$D3876,Base_Datos!$C$2:$C3876),""))</f>
        <v/>
      </c>
      <c r="I2427" s="3"/>
      <c r="J2427" s="3" t="str">
        <f>IF(I2427="","",IFERROR(VLOOKUP(I2427,Base_Datos!$D$2:$E$72,2,0),""))</f>
        <v/>
      </c>
      <c r="K2427" s="3"/>
      <c r="L2427" s="3"/>
      <c r="M2427" s="7">
        <v>0</v>
      </c>
      <c r="N2427" s="7">
        <v>0</v>
      </c>
    </row>
    <row r="2428" spans="1:14" ht="14.25" x14ac:dyDescent="0.2">
      <c r="A2428" s="3">
        <v>97502</v>
      </c>
      <c r="B2428" s="3" t="s">
        <v>4409</v>
      </c>
      <c r="C2428" s="3" t="s">
        <v>27</v>
      </c>
      <c r="D2428" s="6" t="s">
        <v>1782</v>
      </c>
      <c r="E2428" s="6" t="s">
        <v>1782</v>
      </c>
      <c r="F2428" s="3" t="str">
        <f>IFERROR( VLOOKUP(A2428,#REF!,2,0),"")</f>
        <v/>
      </c>
      <c r="G2428" s="3" t="str">
        <f t="array" ref="G2428">_xlfn.XLOOKUP(I2428,Base_Datos!D:D,Base_Datos!B:B,"")</f>
        <v>DFSK</v>
      </c>
      <c r="H2428" s="3" t="str">
        <f t="array" ref="H2428">IF(I2428="","",IFERROR(_xlfn.XLOOKUP(I2428,Base_Datos!$D$2:$D3876,Base_Datos!$C$2:$C3876),""))</f>
        <v>Serie C</v>
      </c>
      <c r="I2428" s="3" t="s">
        <v>339</v>
      </c>
      <c r="J2428" s="3" t="str">
        <f>IF(I2428="","",IFERROR(VLOOKUP(I2428,Base_Datos!$D$2:$E$72,2,0),""))</f>
        <v>(1.5L)</v>
      </c>
      <c r="K2428" s="3"/>
      <c r="L2428" s="3"/>
      <c r="M2428" s="7">
        <v>0</v>
      </c>
      <c r="N2428" s="7">
        <v>0</v>
      </c>
    </row>
    <row r="2429" spans="1:14" ht="14.25" x14ac:dyDescent="0.2">
      <c r="A2429" s="3">
        <v>97503</v>
      </c>
      <c r="B2429" s="3" t="s">
        <v>4410</v>
      </c>
      <c r="C2429" s="3" t="s">
        <v>27</v>
      </c>
      <c r="D2429" s="6" t="s">
        <v>1782</v>
      </c>
      <c r="E2429" s="6" t="s">
        <v>1782</v>
      </c>
      <c r="F2429" s="3" t="str">
        <f>IFERROR( VLOOKUP(A2429,#REF!,2,0),"")</f>
        <v/>
      </c>
      <c r="G2429" s="3" t="str">
        <f t="array" ref="G2429">_xlfn.XLOOKUP(I2429,Base_Datos!D:D,Base_Datos!B:B,"")</f>
        <v>DFSK</v>
      </c>
      <c r="H2429" s="3" t="str">
        <f t="array" ref="H2429">IF(I2429="","",IFERROR(_xlfn.XLOOKUP(I2429,Base_Datos!$D$2:$D3876,Base_Datos!$C$2:$C3876),""))</f>
        <v>Serie C</v>
      </c>
      <c r="I2429" s="3" t="s">
        <v>339</v>
      </c>
      <c r="J2429" s="3" t="str">
        <f>IF(I2429="","",IFERROR(VLOOKUP(I2429,Base_Datos!$D$2:$E$72,2,0),""))</f>
        <v>(1.5L)</v>
      </c>
      <c r="K2429" s="3"/>
      <c r="L2429" s="3"/>
      <c r="M2429" s="7">
        <v>0</v>
      </c>
      <c r="N2429" s="7">
        <v>0</v>
      </c>
    </row>
    <row r="2430" spans="1:14" ht="14.25" x14ac:dyDescent="0.2">
      <c r="A2430" s="3">
        <v>97504</v>
      </c>
      <c r="B2430" s="3" t="s">
        <v>4411</v>
      </c>
      <c r="C2430" s="3" t="s">
        <v>27</v>
      </c>
      <c r="D2430" s="6" t="s">
        <v>1782</v>
      </c>
      <c r="E2430" s="6" t="s">
        <v>1782</v>
      </c>
      <c r="F2430" s="3" t="str">
        <f>IFERROR( VLOOKUP(A2430,#REF!,2,0),"")</f>
        <v/>
      </c>
      <c r="G2430" s="3" t="str">
        <f t="array" ref="G2430">_xlfn.XLOOKUP(I2430,Base_Datos!D:D,Base_Datos!B:B,"")</f>
        <v>DFSK</v>
      </c>
      <c r="H2430" s="3" t="str">
        <f t="array" ref="H2430">IF(I2430="","",IFERROR(_xlfn.XLOOKUP(I2430,Base_Datos!$D$2:$D3876,Base_Datos!$C$2:$C3876),""))</f>
        <v>Serie C</v>
      </c>
      <c r="I2430" s="3" t="s">
        <v>339</v>
      </c>
      <c r="J2430" s="3" t="str">
        <f>IF(I2430="","",IFERROR(VLOOKUP(I2430,Base_Datos!$D$2:$E$72,2,0),""))</f>
        <v>(1.5L)</v>
      </c>
      <c r="K2430" s="3"/>
      <c r="L2430" s="3"/>
      <c r="M2430" s="7">
        <v>0</v>
      </c>
      <c r="N2430" s="7">
        <v>0</v>
      </c>
    </row>
    <row r="2431" spans="1:14" ht="14.25" x14ac:dyDescent="0.2">
      <c r="A2431" s="3">
        <v>97505</v>
      </c>
      <c r="B2431" s="3" t="s">
        <v>4412</v>
      </c>
      <c r="C2431" s="3" t="s">
        <v>27</v>
      </c>
      <c r="D2431" s="6" t="s">
        <v>1782</v>
      </c>
      <c r="E2431" s="6" t="s">
        <v>1782</v>
      </c>
      <c r="F2431" s="3" t="str">
        <f>IFERROR( VLOOKUP(A2431,#REF!,2,0),"")</f>
        <v/>
      </c>
      <c r="G2431" s="3" t="str">
        <f t="array" ref="G2431">_xlfn.XLOOKUP(I2431,Base_Datos!D:D,Base_Datos!B:B,"")</f>
        <v>DFSK</v>
      </c>
      <c r="H2431" s="3" t="str">
        <f t="array" ref="H2431">IF(I2431="","",IFERROR(_xlfn.XLOOKUP(I2431,Base_Datos!$D$2:$D3876,Base_Datos!$C$2:$C3876),""))</f>
        <v>Serie C</v>
      </c>
      <c r="I2431" s="3" t="s">
        <v>339</v>
      </c>
      <c r="J2431" s="3" t="str">
        <f>IF(I2431="","",IFERROR(VLOOKUP(I2431,Base_Datos!$D$2:$E$72,2,0),""))</f>
        <v>(1.5L)</v>
      </c>
      <c r="K2431" s="3"/>
      <c r="L2431" s="3"/>
      <c r="M2431" s="7">
        <v>0</v>
      </c>
      <c r="N2431" s="7">
        <v>0</v>
      </c>
    </row>
    <row r="2432" spans="1:14" ht="14.25" x14ac:dyDescent="0.2">
      <c r="A2432" s="3">
        <v>97506</v>
      </c>
      <c r="B2432" s="3" t="s">
        <v>4413</v>
      </c>
      <c r="C2432" s="3" t="s">
        <v>27</v>
      </c>
      <c r="D2432" s="6" t="s">
        <v>1782</v>
      </c>
      <c r="E2432" s="6" t="s">
        <v>1782</v>
      </c>
      <c r="F2432" s="3" t="str">
        <f>IFERROR( VLOOKUP(A2432,#REF!,2,0),"")</f>
        <v/>
      </c>
      <c r="G2432" s="3" t="str">
        <f t="array" ref="G2432">_xlfn.XLOOKUP(I2432,Base_Datos!D:D,Base_Datos!B:B,"")</f>
        <v>DFSK</v>
      </c>
      <c r="H2432" s="3" t="str">
        <f t="array" ref="H2432">IF(I2432="","",IFERROR(_xlfn.XLOOKUP(I2432,Base_Datos!$D$2:$D3876,Base_Datos!$C$2:$C3876),""))</f>
        <v>Serie C</v>
      </c>
      <c r="I2432" s="3" t="s">
        <v>339</v>
      </c>
      <c r="J2432" s="3" t="str">
        <f>IF(I2432="","",IFERROR(VLOOKUP(I2432,Base_Datos!$D$2:$E$72,2,0),""))</f>
        <v>(1.5L)</v>
      </c>
      <c r="K2432" s="3"/>
      <c r="L2432" s="3"/>
      <c r="M2432" s="7">
        <v>0</v>
      </c>
      <c r="N2432" s="7">
        <v>0</v>
      </c>
    </row>
    <row r="2433" spans="1:14" ht="14.25" x14ac:dyDescent="0.2">
      <c r="A2433" s="3">
        <v>97507</v>
      </c>
      <c r="B2433" s="3" t="s">
        <v>4414</v>
      </c>
      <c r="C2433" s="3" t="s">
        <v>27</v>
      </c>
      <c r="D2433" s="6" t="s">
        <v>1782</v>
      </c>
      <c r="E2433" s="6" t="s">
        <v>1782</v>
      </c>
      <c r="F2433" s="3" t="str">
        <f>IFERROR( VLOOKUP(A2433,#REF!,2,0),"")</f>
        <v/>
      </c>
      <c r="G2433" s="3" t="str">
        <f t="array" ref="G2433">_xlfn.XLOOKUP(I2433,Base_Datos!D:D,Base_Datos!B:B,"")</f>
        <v>DFSK</v>
      </c>
      <c r="H2433" s="3" t="str">
        <f t="array" ref="H2433">IF(I2433="","",IFERROR(_xlfn.XLOOKUP(I2433,Base_Datos!$D$2:$D3876,Base_Datos!$C$2:$C3876),""))</f>
        <v>Serie Glory</v>
      </c>
      <c r="I2433" s="3" t="s">
        <v>1765</v>
      </c>
      <c r="J2433" s="3" t="str">
        <f>IF(I2433="","",IFERROR(VLOOKUP(I2433,Base_Datos!$D$2:$E$72,2,0),""))</f>
        <v>(1.5L)</v>
      </c>
      <c r="K2433" s="3"/>
      <c r="L2433" s="3"/>
      <c r="M2433" s="7">
        <v>0</v>
      </c>
      <c r="N2433" s="7">
        <v>0</v>
      </c>
    </row>
    <row r="2434" spans="1:14" ht="14.25" x14ac:dyDescent="0.2">
      <c r="A2434" s="3">
        <v>97508</v>
      </c>
      <c r="B2434" s="3" t="s">
        <v>3880</v>
      </c>
      <c r="C2434" s="3" t="s">
        <v>27</v>
      </c>
      <c r="D2434" s="6" t="s">
        <v>1782</v>
      </c>
      <c r="E2434" s="6" t="s">
        <v>1782</v>
      </c>
      <c r="F2434" s="3" t="str">
        <f>IFERROR( VLOOKUP(A2434,#REF!,2,0),"")</f>
        <v/>
      </c>
      <c r="G2434" s="3" t="str">
        <f t="array" ref="G2434">_xlfn.XLOOKUP(I2434,Base_Datos!D:D,Base_Datos!B:B,"")</f>
        <v>DFSK</v>
      </c>
      <c r="H2434" s="3" t="str">
        <f t="array" ref="H2434">IF(I2434="","",IFERROR(_xlfn.XLOOKUP(I2434,Base_Datos!$D$2:$D3876,Base_Datos!$C$2:$C3876),""))</f>
        <v>Serie Glory</v>
      </c>
      <c r="I2434" s="3" t="s">
        <v>1765</v>
      </c>
      <c r="J2434" s="3" t="str">
        <f>IF(I2434="","",IFERROR(VLOOKUP(I2434,Base_Datos!$D$2:$E$72,2,0),""))</f>
        <v>(1.5L)</v>
      </c>
      <c r="K2434" s="3"/>
      <c r="L2434" s="3"/>
      <c r="M2434" s="7">
        <v>0</v>
      </c>
      <c r="N2434" s="7">
        <v>0</v>
      </c>
    </row>
    <row r="2435" spans="1:14" ht="14.25" x14ac:dyDescent="0.2">
      <c r="A2435" s="3">
        <v>99101</v>
      </c>
      <c r="B2435" s="3" t="s">
        <v>4415</v>
      </c>
      <c r="C2435" s="3" t="s">
        <v>27</v>
      </c>
      <c r="D2435" s="6" t="s">
        <v>4416</v>
      </c>
      <c r="E2435" s="6" t="s">
        <v>4416</v>
      </c>
      <c r="F2435" s="3" t="str">
        <f>IFERROR( VLOOKUP(A2435,#REF!,2,0),"")</f>
        <v/>
      </c>
      <c r="G2435" s="3" t="str">
        <f t="array" ref="G2435">_xlfn.XLOOKUP(I2435,Base_Datos!D:D,Base_Datos!B:B,"")</f>
        <v>GAC</v>
      </c>
      <c r="H2435" s="3" t="str">
        <f t="array" ref="H2435">IF(I2435="","",IFERROR(_xlfn.XLOOKUP(I2435,Base_Datos!$D$2:$D3876,Base_Datos!$C$2:$C3876),""))</f>
        <v>Serie Emzoom</v>
      </c>
      <c r="I2435" s="3" t="s">
        <v>1203</v>
      </c>
      <c r="J2435" s="3" t="str">
        <f>IF(I2435="","",IFERROR(VLOOKUP(I2435,Base_Datos!$D$2:$E$72,2,0),""))</f>
        <v>(1.5L)</v>
      </c>
      <c r="K2435" s="3"/>
      <c r="L2435" s="3"/>
      <c r="M2435" s="7">
        <v>0</v>
      </c>
      <c r="N2435" s="7">
        <v>0</v>
      </c>
    </row>
    <row r="2436" spans="1:14" ht="14.25" x14ac:dyDescent="0.2">
      <c r="A2436" s="3">
        <v>99102</v>
      </c>
      <c r="B2436" s="3" t="s">
        <v>4417</v>
      </c>
      <c r="C2436" s="3" t="s">
        <v>2</v>
      </c>
      <c r="D2436" s="6" t="s">
        <v>1782</v>
      </c>
      <c r="E2436" s="6" t="s">
        <v>1782</v>
      </c>
      <c r="F2436" s="3" t="str">
        <f>IFERROR( VLOOKUP(A2436,#REF!,2,0),"")</f>
        <v/>
      </c>
      <c r="G2436" s="3">
        <f t="array" ref="G2436">_xlfn.XLOOKUP(I2436,Base_Datos!D:D,Base_Datos!B:B,"")</f>
        <v>0</v>
      </c>
      <c r="H2436" s="3" t="str">
        <f t="array" ref="H2436">IF(I2436="","",IFERROR(_xlfn.XLOOKUP(I2436,Base_Datos!$D$2:$D3876,Base_Datos!$C$2:$C3876),""))</f>
        <v/>
      </c>
      <c r="I2436" s="3"/>
      <c r="J2436" s="3" t="str">
        <f>IF(I2436="","",IFERROR(VLOOKUP(I2436,Base_Datos!$D$2:$E$72,2,0),""))</f>
        <v/>
      </c>
      <c r="K2436" s="3"/>
      <c r="L2436" s="3"/>
      <c r="M2436" s="7">
        <v>0</v>
      </c>
      <c r="N2436" s="7">
        <v>0</v>
      </c>
    </row>
    <row r="2437" spans="1:14" ht="14.25" x14ac:dyDescent="0.2">
      <c r="A2437" s="3">
        <v>99103</v>
      </c>
      <c r="B2437" s="3" t="s">
        <v>4418</v>
      </c>
      <c r="C2437" s="3" t="s">
        <v>2</v>
      </c>
      <c r="D2437" s="6" t="s">
        <v>1782</v>
      </c>
      <c r="E2437" s="6" t="s">
        <v>1782</v>
      </c>
      <c r="F2437" s="3" t="str">
        <f>IFERROR( VLOOKUP(A2437,#REF!,2,0),"")</f>
        <v/>
      </c>
      <c r="G2437" s="3">
        <f t="array" ref="G2437">_xlfn.XLOOKUP(I2437,Base_Datos!D:D,Base_Datos!B:B,"")</f>
        <v>0</v>
      </c>
      <c r="H2437" s="3" t="str">
        <f t="array" ref="H2437">IF(I2437="","",IFERROR(_xlfn.XLOOKUP(I2437,Base_Datos!$D$2:$D3876,Base_Datos!$C$2:$C3876),""))</f>
        <v/>
      </c>
      <c r="I2437" s="3"/>
      <c r="J2437" s="3" t="str">
        <f>IF(I2437="","",IFERROR(VLOOKUP(I2437,Base_Datos!$D$2:$E$72,2,0),""))</f>
        <v/>
      </c>
      <c r="K2437" s="3"/>
      <c r="L2437" s="3"/>
      <c r="M2437" s="7">
        <v>0</v>
      </c>
      <c r="N2437" s="7">
        <v>0</v>
      </c>
    </row>
    <row r="2438" spans="1:14" ht="14.25" x14ac:dyDescent="0.2">
      <c r="A2438" s="3">
        <v>99104</v>
      </c>
      <c r="B2438" s="3" t="s">
        <v>4419</v>
      </c>
      <c r="C2438" s="3" t="s">
        <v>27</v>
      </c>
      <c r="D2438" s="6" t="s">
        <v>4420</v>
      </c>
      <c r="E2438" s="6" t="s">
        <v>4420</v>
      </c>
      <c r="F2438" s="3" t="str">
        <f>IFERROR( VLOOKUP(A2438,#REF!,2,0),"")</f>
        <v/>
      </c>
      <c r="G2438" s="3" t="str">
        <f t="array" ref="G2438">_xlfn.XLOOKUP(I2438,Base_Datos!D:D,Base_Datos!B:B,"")</f>
        <v>DFSK</v>
      </c>
      <c r="H2438" s="3" t="str">
        <f t="array" ref="H2438">IF(I2438="","",IFERROR(_xlfn.XLOOKUP(I2438,Base_Datos!$D$2:$D3876,Base_Datos!$C$2:$C3876),""))</f>
        <v>Serie Glory</v>
      </c>
      <c r="I2438" s="3" t="s">
        <v>1765</v>
      </c>
      <c r="J2438" s="3" t="str">
        <f>IF(I2438="","",IFERROR(VLOOKUP(I2438,Base_Datos!$D$2:$E$72,2,0),""))</f>
        <v>(1.5L)</v>
      </c>
      <c r="K2438" s="3"/>
      <c r="L2438" s="3"/>
      <c r="M2438" s="7">
        <v>0</v>
      </c>
      <c r="N2438" s="7">
        <v>0</v>
      </c>
    </row>
    <row r="2439" spans="1:14" ht="14.25" x14ac:dyDescent="0.2">
      <c r="A2439" s="3">
        <v>99106</v>
      </c>
      <c r="B2439" s="3" t="s">
        <v>4421</v>
      </c>
      <c r="C2439" s="3" t="s">
        <v>27</v>
      </c>
      <c r="D2439" s="6" t="s">
        <v>4422</v>
      </c>
      <c r="E2439" s="6" t="s">
        <v>4422</v>
      </c>
      <c r="F2439" s="3" t="str">
        <f>IFERROR( VLOOKUP(A2439,#REF!,2,0),"")</f>
        <v/>
      </c>
      <c r="G2439" s="3" t="str">
        <f t="array" ref="G2439">_xlfn.XLOOKUP(I2439,Base_Datos!D:D,Base_Datos!B:B,"")</f>
        <v>GAC</v>
      </c>
      <c r="H2439" s="3" t="str">
        <f t="array" ref="H2439">IF(I2439="","",IFERROR(_xlfn.XLOOKUP(I2439,Base_Datos!$D$2:$D3876,Base_Datos!$C$2:$C3876),""))</f>
        <v>Serie Smilodon</v>
      </c>
      <c r="I2439" s="3" t="s">
        <v>1764</v>
      </c>
      <c r="J2439" s="3" t="str">
        <f>IF(I2439="","",IFERROR(VLOOKUP(I2439,Base_Datos!$D$2:$E$72,2,0),""))</f>
        <v>(2.4L)</v>
      </c>
      <c r="K2439" s="3"/>
      <c r="L2439" s="3"/>
      <c r="M2439" s="7">
        <v>0</v>
      </c>
      <c r="N2439" s="7">
        <v>0</v>
      </c>
    </row>
    <row r="2440" spans="1:14" ht="14.25" x14ac:dyDescent="0.2">
      <c r="A2440" s="3">
        <v>99107</v>
      </c>
      <c r="B2440" s="3" t="s">
        <v>2687</v>
      </c>
      <c r="C2440" s="3" t="s">
        <v>27</v>
      </c>
      <c r="D2440" s="6" t="s">
        <v>1782</v>
      </c>
      <c r="E2440" s="6" t="s">
        <v>1782</v>
      </c>
      <c r="F2440" s="3" t="str">
        <f>IFERROR( VLOOKUP(A2440,#REF!,2,0),"")</f>
        <v/>
      </c>
      <c r="G2440" s="3" t="str">
        <f t="array" ref="G2440">_xlfn.XLOOKUP(I2440,Base_Datos!D:D,Base_Datos!B:B,"")</f>
        <v>DFSK</v>
      </c>
      <c r="H2440" s="3" t="str">
        <f t="array" ref="H2440">IF(I2440="","",IFERROR(_xlfn.XLOOKUP(I2440,Base_Datos!$D$2:$D3876,Base_Datos!$C$2:$C3876),""))</f>
        <v>Serie Glory</v>
      </c>
      <c r="I2440" s="3" t="s">
        <v>1767</v>
      </c>
      <c r="J2440" s="3" t="str">
        <f>IF(I2440="","",IFERROR(VLOOKUP(I2440,Base_Datos!$D$2:$E$72,2,0),""))</f>
        <v>(1.5L)</v>
      </c>
      <c r="K2440" s="3"/>
      <c r="L2440" s="3"/>
      <c r="M2440" s="7">
        <v>0</v>
      </c>
      <c r="N2440" s="7">
        <v>0</v>
      </c>
    </row>
    <row r="2441" spans="1:14" ht="14.25" x14ac:dyDescent="0.2">
      <c r="A2441" s="3">
        <v>99108</v>
      </c>
      <c r="B2441" s="3" t="s">
        <v>4423</v>
      </c>
      <c r="C2441" s="3" t="s">
        <v>27</v>
      </c>
      <c r="D2441" s="6" t="s">
        <v>4422</v>
      </c>
      <c r="E2441" s="6" t="s">
        <v>4422</v>
      </c>
      <c r="F2441" s="3" t="str">
        <f>IFERROR( VLOOKUP(A2441,#REF!,2,0),"")</f>
        <v/>
      </c>
      <c r="G2441" s="3" t="str">
        <f t="array" ref="G2441">_xlfn.XLOOKUP(I2441,Base_Datos!D:D,Base_Datos!B:B,"")</f>
        <v>DFSK</v>
      </c>
      <c r="H2441" s="3" t="str">
        <f t="array" ref="H2441">IF(I2441="","",IFERROR(_xlfn.XLOOKUP(I2441,Base_Datos!$D$2:$D3876,Base_Datos!$C$2:$C3876),""))</f>
        <v>Serie Glory</v>
      </c>
      <c r="I2441" s="3" t="s">
        <v>1767</v>
      </c>
      <c r="J2441" s="3" t="str">
        <f>IF(I2441="","",IFERROR(VLOOKUP(I2441,Base_Datos!$D$2:$E$72,2,0),""))</f>
        <v>(1.5L)</v>
      </c>
      <c r="K2441" s="3"/>
      <c r="L2441" s="3"/>
      <c r="M2441" s="7">
        <v>0</v>
      </c>
      <c r="N2441" s="7">
        <v>0</v>
      </c>
    </row>
    <row r="2442" spans="1:14" ht="14.25" x14ac:dyDescent="0.2">
      <c r="A2442" s="3">
        <v>99109</v>
      </c>
      <c r="B2442" s="3" t="s">
        <v>4012</v>
      </c>
      <c r="C2442" s="3" t="s">
        <v>27</v>
      </c>
      <c r="D2442" s="6" t="s">
        <v>4422</v>
      </c>
      <c r="E2442" s="6" t="s">
        <v>4422</v>
      </c>
      <c r="F2442" s="3" t="str">
        <f>IFERROR( VLOOKUP(A2442,#REF!,2,0),"")</f>
        <v/>
      </c>
      <c r="G2442" s="3" t="str">
        <f t="array" ref="G2442">_xlfn.XLOOKUP(I2442,Base_Datos!D:D,Base_Datos!B:B,"")</f>
        <v>DFSK</v>
      </c>
      <c r="H2442" s="3" t="str">
        <f t="array" ref="H2442">IF(I2442="","",IFERROR(_xlfn.XLOOKUP(I2442,Base_Datos!$D$2:$D3876,Base_Datos!$C$2:$C3876),""))</f>
        <v>Serie Glory</v>
      </c>
      <c r="I2442" s="3" t="s">
        <v>1767</v>
      </c>
      <c r="J2442" s="3" t="str">
        <f>IF(I2442="","",IFERROR(VLOOKUP(I2442,Base_Datos!$D$2:$E$72,2,0),""))</f>
        <v>(1.5L)</v>
      </c>
      <c r="K2442" s="3"/>
      <c r="L2442" s="3"/>
      <c r="M2442" s="7">
        <v>0</v>
      </c>
      <c r="N2442" s="7">
        <v>0</v>
      </c>
    </row>
    <row r="2443" spans="1:14" ht="14.25" x14ac:dyDescent="0.2">
      <c r="A2443" s="3">
        <v>99110</v>
      </c>
      <c r="B2443" s="3" t="s">
        <v>4424</v>
      </c>
      <c r="C2443" s="3" t="s">
        <v>27</v>
      </c>
      <c r="D2443" s="6" t="s">
        <v>4422</v>
      </c>
      <c r="E2443" s="6" t="s">
        <v>4422</v>
      </c>
      <c r="F2443" s="3" t="str">
        <f>IFERROR( VLOOKUP(A2443,#REF!,2,0),"")</f>
        <v/>
      </c>
      <c r="G2443" s="3" t="str">
        <f t="array" ref="G2443">_xlfn.XLOOKUP(I2443,Base_Datos!D:D,Base_Datos!B:B,"")</f>
        <v>DFSK</v>
      </c>
      <c r="H2443" s="3" t="str">
        <f t="array" ref="H2443">IF(I2443="","",IFERROR(_xlfn.XLOOKUP(I2443,Base_Datos!$D$2:$D3876,Base_Datos!$C$2:$C3876),""))</f>
        <v>Serie Glory</v>
      </c>
      <c r="I2443" s="3" t="s">
        <v>1767</v>
      </c>
      <c r="J2443" s="3" t="str">
        <f>IF(I2443="","",IFERROR(VLOOKUP(I2443,Base_Datos!$D$2:$E$72,2,0),""))</f>
        <v>(1.5L)</v>
      </c>
      <c r="K2443" s="3"/>
      <c r="L2443" s="3"/>
      <c r="M2443" s="7">
        <v>0</v>
      </c>
      <c r="N2443" s="7">
        <v>0</v>
      </c>
    </row>
    <row r="2444" spans="1:14" ht="14.25" x14ac:dyDescent="0.2">
      <c r="A2444" s="3">
        <v>99111</v>
      </c>
      <c r="B2444" s="3" t="s">
        <v>4425</v>
      </c>
      <c r="C2444" s="3" t="s">
        <v>27</v>
      </c>
      <c r="D2444" s="6" t="s">
        <v>1782</v>
      </c>
      <c r="E2444" s="6" t="s">
        <v>1782</v>
      </c>
      <c r="F2444" s="3" t="str">
        <f>IFERROR( VLOOKUP(A2444,#REF!,2,0),"")</f>
        <v/>
      </c>
      <c r="G2444" s="3" t="str">
        <f t="array" ref="G2444">_xlfn.XLOOKUP(I2444,Base_Datos!D:D,Base_Datos!B:B,"")</f>
        <v>GAC</v>
      </c>
      <c r="H2444" s="3" t="str">
        <f t="array" ref="H2444">IF(I2444="","",IFERROR(_xlfn.XLOOKUP(I2444,Base_Datos!$D$2:$D3876,Base_Datos!$C$2:$C3876),""))</f>
        <v>Serie Smilodon</v>
      </c>
      <c r="I2444" s="3" t="s">
        <v>1764</v>
      </c>
      <c r="J2444" s="3" t="str">
        <f>IF(I2444="","",IFERROR(VLOOKUP(I2444,Base_Datos!$D$2:$E$72,2,0),""))</f>
        <v>(2.4L)</v>
      </c>
      <c r="K2444" s="3"/>
      <c r="L2444" s="3"/>
      <c r="M2444" s="7">
        <v>0</v>
      </c>
      <c r="N2444" s="7">
        <v>0</v>
      </c>
    </row>
    <row r="2445" spans="1:14" ht="14.25" x14ac:dyDescent="0.2">
      <c r="A2445" s="3">
        <v>99112</v>
      </c>
      <c r="B2445" s="3" t="s">
        <v>4426</v>
      </c>
      <c r="C2445" s="3" t="s">
        <v>27</v>
      </c>
      <c r="D2445" s="6" t="s">
        <v>1782</v>
      </c>
      <c r="E2445" s="6" t="s">
        <v>1782</v>
      </c>
      <c r="F2445" s="3" t="str">
        <f>IFERROR( VLOOKUP(A2445,#REF!,2,0),"")</f>
        <v/>
      </c>
      <c r="G2445" s="3" t="str">
        <f t="array" ref="G2445">_xlfn.XLOOKUP(I2445,Base_Datos!D:D,Base_Datos!B:B,"")</f>
        <v>DFSK</v>
      </c>
      <c r="H2445" s="3" t="str">
        <f t="array" ref="H2445">IF(I2445="","",IFERROR(_xlfn.XLOOKUP(I2445,Base_Datos!$D$2:$D3876,Base_Datos!$C$2:$C3876),""))</f>
        <v>Serie Glory</v>
      </c>
      <c r="I2445" s="3" t="s">
        <v>1765</v>
      </c>
      <c r="J2445" s="3" t="str">
        <f>IF(I2445="","",IFERROR(VLOOKUP(I2445,Base_Datos!$D$2:$E$72,2,0),""))</f>
        <v>(1.5L)</v>
      </c>
      <c r="K2445" s="3"/>
      <c r="L2445" s="3"/>
      <c r="M2445" s="7">
        <v>0</v>
      </c>
      <c r="N2445" s="7">
        <v>0</v>
      </c>
    </row>
    <row r="2446" spans="1:14" ht="14.25" x14ac:dyDescent="0.2">
      <c r="A2446" s="3">
        <v>99113</v>
      </c>
      <c r="B2446" s="3" t="s">
        <v>4427</v>
      </c>
      <c r="C2446" s="3" t="s">
        <v>27</v>
      </c>
      <c r="D2446" s="6" t="s">
        <v>4428</v>
      </c>
      <c r="E2446" s="6" t="s">
        <v>4428</v>
      </c>
      <c r="F2446" s="3" t="str">
        <f>IFERROR( VLOOKUP(A2446,#REF!,2,0),"")</f>
        <v/>
      </c>
      <c r="G2446" s="3" t="str">
        <f t="array" ref="G2446">_xlfn.XLOOKUP(I2446,Base_Datos!D:D,Base_Datos!B:B,"")</f>
        <v>GAC</v>
      </c>
      <c r="H2446" s="3" t="str">
        <f t="array" ref="H2446">IF(I2446="","",IFERROR(_xlfn.XLOOKUP(I2446,Base_Datos!$D$2:$D3876,Base_Datos!$C$2:$C3876),""))</f>
        <v>Serie Emzoom</v>
      </c>
      <c r="I2446" s="3" t="s">
        <v>1203</v>
      </c>
      <c r="J2446" s="3" t="str">
        <f>IF(I2446="","",IFERROR(VLOOKUP(I2446,Base_Datos!$D$2:$E$72,2,0),""))</f>
        <v>(1.5L)</v>
      </c>
      <c r="K2446" s="3"/>
      <c r="L2446" s="3"/>
      <c r="M2446" s="7">
        <v>0</v>
      </c>
      <c r="N2446" s="7">
        <v>0</v>
      </c>
    </row>
    <row r="2447" spans="1:14" ht="14.25" x14ac:dyDescent="0.2">
      <c r="A2447" s="3">
        <v>99114</v>
      </c>
      <c r="B2447" s="3" t="s">
        <v>1884</v>
      </c>
      <c r="C2447" s="3" t="s">
        <v>27</v>
      </c>
      <c r="D2447" s="6" t="s">
        <v>1782</v>
      </c>
      <c r="E2447" s="6" t="s">
        <v>1782</v>
      </c>
      <c r="F2447" s="3" t="str">
        <f>IFERROR( VLOOKUP(A2447,#REF!,2,0),"")</f>
        <v/>
      </c>
      <c r="G2447" s="3" t="str">
        <f t="array" ref="G2447">_xlfn.XLOOKUP(I2447,Base_Datos!D:D,Base_Datos!B:B,"")</f>
        <v>GAC</v>
      </c>
      <c r="H2447" s="3" t="str">
        <f t="array" ref="H2447">IF(I2447="","",IFERROR(_xlfn.XLOOKUP(I2447,Base_Datos!$D$2:$D3876,Base_Datos!$C$2:$C3876),""))</f>
        <v>Serie Smilodon</v>
      </c>
      <c r="I2447" s="3" t="s">
        <v>1764</v>
      </c>
      <c r="J2447" s="3" t="str">
        <f>IF(I2447="","",IFERROR(VLOOKUP(I2447,Base_Datos!$D$2:$E$72,2,0),""))</f>
        <v>(2.4L)</v>
      </c>
      <c r="K2447" s="3"/>
      <c r="L2447" s="3"/>
      <c r="M2447" s="7">
        <v>0</v>
      </c>
      <c r="N2447" s="7">
        <v>0</v>
      </c>
    </row>
    <row r="2448" spans="1:14" ht="14.25" x14ac:dyDescent="0.2">
      <c r="A2448" s="3">
        <v>99117</v>
      </c>
      <c r="B2448" s="3" t="s">
        <v>4429</v>
      </c>
      <c r="C2448" s="3" t="s">
        <v>27</v>
      </c>
      <c r="D2448" s="6" t="s">
        <v>1782</v>
      </c>
      <c r="E2448" s="6" t="s">
        <v>1782</v>
      </c>
      <c r="F2448" s="3" t="str">
        <f>IFERROR( VLOOKUP(A2448,#REF!,2,0),"")</f>
        <v/>
      </c>
      <c r="G2448" s="3" t="str">
        <f t="array" ref="G2448">_xlfn.XLOOKUP(I2448,Base_Datos!D:D,Base_Datos!B:B,"")</f>
        <v>DFSK</v>
      </c>
      <c r="H2448" s="3" t="str">
        <f t="array" ref="H2448">IF(I2448="","",IFERROR(_xlfn.XLOOKUP(I2448,Base_Datos!$D$2:$D3876,Base_Datos!$C$2:$C3876),""))</f>
        <v>Serie D</v>
      </c>
      <c r="I2448" s="3" t="s">
        <v>2785</v>
      </c>
      <c r="J2448" s="3" t="str">
        <f>IF(I2448="","",IFERROR(VLOOKUP(I2448,Base_Datos!$D$2:$E$72,2,0),""))</f>
        <v>(1.5L)</v>
      </c>
      <c r="K2448" s="3"/>
      <c r="L2448" s="3"/>
      <c r="M2448" s="7">
        <v>0</v>
      </c>
      <c r="N2448" s="7">
        <v>0</v>
      </c>
    </row>
    <row r="2449" spans="1:14" ht="14.25" x14ac:dyDescent="0.2">
      <c r="A2449" s="3">
        <v>99118</v>
      </c>
      <c r="B2449" s="3" t="s">
        <v>4430</v>
      </c>
      <c r="C2449" s="3" t="s">
        <v>27</v>
      </c>
      <c r="D2449" s="6" t="s">
        <v>1782</v>
      </c>
      <c r="E2449" s="6" t="s">
        <v>1782</v>
      </c>
      <c r="F2449" s="3" t="str">
        <f>IFERROR( VLOOKUP(A2449,#REF!,2,0),"")</f>
        <v/>
      </c>
      <c r="G2449" s="3" t="str">
        <f t="array" ref="G2449">_xlfn.XLOOKUP(I2449,Base_Datos!D:D,Base_Datos!B:B,"")</f>
        <v>DFSK</v>
      </c>
      <c r="H2449" s="3" t="str">
        <f t="array" ref="H2449">IF(I2449="","",IFERROR(_xlfn.XLOOKUP(I2449,Base_Datos!$D$2:$D3876,Base_Datos!$C$2:$C3876),""))</f>
        <v>Serie Glory</v>
      </c>
      <c r="I2449" s="3" t="s">
        <v>1765</v>
      </c>
      <c r="J2449" s="3" t="str">
        <f>IF(I2449="","",IFERROR(VLOOKUP(I2449,Base_Datos!$D$2:$E$72,2,0),""))</f>
        <v>(1.5L)</v>
      </c>
      <c r="K2449" s="3"/>
      <c r="L2449" s="3"/>
      <c r="M2449" s="7">
        <v>0</v>
      </c>
      <c r="N2449" s="7">
        <v>0</v>
      </c>
    </row>
    <row r="2450" spans="1:14" ht="14.25" x14ac:dyDescent="0.2">
      <c r="A2450" s="3">
        <v>99119</v>
      </c>
      <c r="B2450" s="3" t="s">
        <v>4431</v>
      </c>
      <c r="C2450" s="3" t="s">
        <v>27</v>
      </c>
      <c r="D2450" s="6" t="s">
        <v>1782</v>
      </c>
      <c r="E2450" s="6" t="s">
        <v>1782</v>
      </c>
      <c r="F2450" s="3" t="str">
        <f>IFERROR( VLOOKUP(A2450,#REF!,2,0),"")</f>
        <v/>
      </c>
      <c r="G2450" s="3" t="str">
        <f t="array" ref="G2450">_xlfn.XLOOKUP(I2450,Base_Datos!D:D,Base_Datos!B:B,"")</f>
        <v>DFSK</v>
      </c>
      <c r="H2450" s="3" t="str">
        <f t="array" ref="H2450">IF(I2450="","",IFERROR(_xlfn.XLOOKUP(I2450,Base_Datos!$D$2:$D3876,Base_Datos!$C$2:$C3876),""))</f>
        <v>Serie D</v>
      </c>
      <c r="I2450" s="3" t="s">
        <v>2785</v>
      </c>
      <c r="J2450" s="3" t="str">
        <f>IF(I2450="","",IFERROR(VLOOKUP(I2450,Base_Datos!$D$2:$E$72,2,0),""))</f>
        <v>(1.5L)</v>
      </c>
      <c r="K2450" s="3"/>
      <c r="L2450" s="3"/>
      <c r="M2450" s="7">
        <v>0</v>
      </c>
      <c r="N2450" s="7">
        <v>0</v>
      </c>
    </row>
    <row r="2451" spans="1:14" ht="14.25" x14ac:dyDescent="0.2">
      <c r="A2451" s="3">
        <v>99120</v>
      </c>
      <c r="B2451" s="3" t="s">
        <v>1787</v>
      </c>
      <c r="C2451" s="3" t="s">
        <v>27</v>
      </c>
      <c r="D2451" s="6" t="s">
        <v>1782</v>
      </c>
      <c r="E2451" s="6" t="s">
        <v>1782</v>
      </c>
      <c r="F2451" s="3" t="str">
        <f>IFERROR( VLOOKUP(A2451,#REF!,2,0),"")</f>
        <v/>
      </c>
      <c r="G2451" s="3" t="str">
        <f t="array" ref="G2451">_xlfn.XLOOKUP(I2451,Base_Datos!D:D,Base_Datos!B:B,"")</f>
        <v>DFSK</v>
      </c>
      <c r="H2451" s="3" t="str">
        <f t="array" ref="H2451">IF(I2451="","",IFERROR(_xlfn.XLOOKUP(I2451,Base_Datos!$D$2:$D3876,Base_Datos!$C$2:$C3876),""))</f>
        <v>Serie Glory</v>
      </c>
      <c r="I2451" s="3" t="s">
        <v>1754</v>
      </c>
      <c r="J2451" s="3" t="str">
        <f>IF(I2451="","",IFERROR(VLOOKUP(I2451,Base_Datos!$D$2:$E$72,2,0),""))</f>
        <v>(1.5L)</v>
      </c>
      <c r="K2451" s="3"/>
      <c r="L2451" s="3"/>
      <c r="M2451" s="7">
        <v>0</v>
      </c>
      <c r="N2451" s="7">
        <v>0</v>
      </c>
    </row>
    <row r="2452" spans="1:14" ht="14.25" x14ac:dyDescent="0.2">
      <c r="A2452" s="3">
        <v>99121</v>
      </c>
      <c r="B2452" s="3" t="s">
        <v>4432</v>
      </c>
      <c r="C2452" s="3" t="s">
        <v>27</v>
      </c>
      <c r="D2452" s="6" t="s">
        <v>4433</v>
      </c>
      <c r="E2452" s="6" t="s">
        <v>4433</v>
      </c>
      <c r="F2452" s="3" t="str">
        <f>IFERROR( VLOOKUP(A2452,#REF!,2,0),"")</f>
        <v/>
      </c>
      <c r="G2452" s="3" t="str">
        <f t="array" ref="G2452">_xlfn.XLOOKUP(I2452,Base_Datos!D:D,Base_Datos!B:B,"")</f>
        <v>DFSK</v>
      </c>
      <c r="H2452" s="3" t="str">
        <f t="array" ref="H2452">IF(I2452="","",IFERROR(_xlfn.XLOOKUP(I2452,Base_Datos!$D$2:$D3876,Base_Datos!$C$2:$C3876),""))</f>
        <v>Serie Glory</v>
      </c>
      <c r="I2452" s="3" t="s">
        <v>1754</v>
      </c>
      <c r="J2452" s="3" t="str">
        <f>IF(I2452="","",IFERROR(VLOOKUP(I2452,Base_Datos!$D$2:$E$72,2,0),""))</f>
        <v>(1.5L)</v>
      </c>
      <c r="K2452" s="3"/>
      <c r="L2452" s="3"/>
      <c r="M2452" s="7">
        <v>0</v>
      </c>
      <c r="N2452" s="7">
        <v>0</v>
      </c>
    </row>
    <row r="2453" spans="1:14" ht="14.25" x14ac:dyDescent="0.2">
      <c r="A2453" s="3">
        <v>99122</v>
      </c>
      <c r="B2453" s="3" t="s">
        <v>4094</v>
      </c>
      <c r="C2453" s="3" t="s">
        <v>2</v>
      </c>
      <c r="D2453" s="6" t="s">
        <v>4434</v>
      </c>
      <c r="E2453" s="6" t="s">
        <v>4434</v>
      </c>
      <c r="F2453" s="3" t="str">
        <f>IFERROR( VLOOKUP(A2453,#REF!,2,0),"")</f>
        <v/>
      </c>
      <c r="G2453" s="3" t="str">
        <f t="array" ref="G2453">_xlfn.XLOOKUP(I2453,Base_Datos!D:D,Base_Datos!B:B,"")</f>
        <v>GAC</v>
      </c>
      <c r="H2453" s="3" t="str">
        <f t="array" ref="H2453">IF(I2453="","",IFERROR(_xlfn.XLOOKUP(I2453,Base_Datos!$D$2:$D3876,Base_Datos!$C$2:$C3876),""))</f>
        <v>Serie Smilodon</v>
      </c>
      <c r="I2453" s="3" t="s">
        <v>1764</v>
      </c>
      <c r="J2453" s="3" t="str">
        <f>IF(I2453="","",IFERROR(VLOOKUP(I2453,Base_Datos!$D$2:$E$72,2,0),""))</f>
        <v>(2.4L)</v>
      </c>
      <c r="K2453" s="3"/>
      <c r="L2453" s="3"/>
      <c r="M2453" s="7">
        <v>12</v>
      </c>
      <c r="N2453" s="7">
        <v>0</v>
      </c>
    </row>
    <row r="2454" spans="1:14" ht="14.25" x14ac:dyDescent="0.2">
      <c r="A2454" s="3">
        <v>99123</v>
      </c>
      <c r="B2454" s="3" t="s">
        <v>4435</v>
      </c>
      <c r="C2454" s="3" t="s">
        <v>2</v>
      </c>
      <c r="D2454" s="6" t="s">
        <v>4436</v>
      </c>
      <c r="E2454" s="6" t="s">
        <v>4436</v>
      </c>
      <c r="F2454" s="3" t="str">
        <f>IFERROR( VLOOKUP(A2454,#REF!,2,0),"")</f>
        <v/>
      </c>
      <c r="G2454" s="3" t="str">
        <f t="array" ref="G2454">_xlfn.XLOOKUP(I2454,Base_Datos!D:D,Base_Datos!B:B,"")</f>
        <v>GAC</v>
      </c>
      <c r="H2454" s="3" t="str">
        <f t="array" ref="H2454">IF(I2454="","",IFERROR(_xlfn.XLOOKUP(I2454,Base_Datos!$D$2:$D3876,Base_Datos!$C$2:$C3876),""))</f>
        <v>Serie Smilodon</v>
      </c>
      <c r="I2454" s="3" t="s">
        <v>1764</v>
      </c>
      <c r="J2454" s="3" t="str">
        <f>IF(I2454="","",IFERROR(VLOOKUP(I2454,Base_Datos!$D$2:$E$72,2,0),""))</f>
        <v>(2.4L)</v>
      </c>
      <c r="K2454" s="3"/>
      <c r="L2454" s="3"/>
      <c r="M2454" s="7">
        <v>2</v>
      </c>
      <c r="N2454" s="7">
        <v>0</v>
      </c>
    </row>
    <row r="2455" spans="1:14" ht="14.25" x14ac:dyDescent="0.2">
      <c r="A2455" s="3">
        <v>99124</v>
      </c>
      <c r="B2455" s="3" t="s">
        <v>4437</v>
      </c>
      <c r="C2455" s="3" t="s">
        <v>27</v>
      </c>
      <c r="D2455" s="6" t="s">
        <v>4438</v>
      </c>
      <c r="E2455" s="6" t="s">
        <v>4438</v>
      </c>
      <c r="F2455" s="3" t="str">
        <f>IFERROR( VLOOKUP(A2455,#REF!,2,0),"")</f>
        <v/>
      </c>
      <c r="G2455" s="3" t="str">
        <f t="array" ref="G2455">_xlfn.XLOOKUP(I2455,Base_Datos!D:D,Base_Datos!B:B,"")</f>
        <v>DFSK</v>
      </c>
      <c r="H2455" s="3" t="str">
        <f t="array" ref="H2455">IF(I2455="","",IFERROR(_xlfn.XLOOKUP(I2455,Base_Datos!$D$2:$D3876,Base_Datos!$C$2:$C3876),""))</f>
        <v>Serie K</v>
      </c>
      <c r="I2455" s="3" t="s">
        <v>475</v>
      </c>
      <c r="J2455" s="3" t="str">
        <f>IF(I2455="","",IFERROR(VLOOKUP(I2455,Base_Datos!$D$2:$E$72,2,0),""))</f>
        <v>(1.1L)</v>
      </c>
      <c r="K2455" s="3"/>
      <c r="L2455" s="3"/>
      <c r="M2455" s="7">
        <v>0</v>
      </c>
      <c r="N2455" s="7">
        <v>0</v>
      </c>
    </row>
    <row r="2456" spans="1:14" ht="14.25" x14ac:dyDescent="0.2">
      <c r="A2456" s="3">
        <v>99125</v>
      </c>
      <c r="B2456" s="3" t="s">
        <v>4439</v>
      </c>
      <c r="C2456" s="3" t="s">
        <v>27</v>
      </c>
      <c r="D2456" s="6" t="s">
        <v>1782</v>
      </c>
      <c r="E2456" s="6" t="s">
        <v>1782</v>
      </c>
      <c r="F2456" s="3" t="str">
        <f>IFERROR( VLOOKUP(A2456,#REF!,2,0),"")</f>
        <v/>
      </c>
      <c r="G2456" s="3" t="str">
        <f t="array" ref="G2456">_xlfn.XLOOKUP(I2456,Base_Datos!D:D,Base_Datos!B:B,"")</f>
        <v>DFSK</v>
      </c>
      <c r="H2456" s="3" t="str">
        <f t="array" ref="H2456">IF(I2456="","",IFERROR(_xlfn.XLOOKUP(I2456,Base_Datos!$D$2:$D3876,Base_Datos!$C$2:$C3876),""))</f>
        <v>Serie Glory</v>
      </c>
      <c r="I2456" s="3" t="s">
        <v>1765</v>
      </c>
      <c r="J2456" s="3" t="str">
        <f>IF(I2456="","",IFERROR(VLOOKUP(I2456,Base_Datos!$D$2:$E$72,2,0),""))</f>
        <v>(1.5L)</v>
      </c>
      <c r="K2456" s="3"/>
      <c r="L2456" s="3"/>
      <c r="M2456" s="7">
        <v>0</v>
      </c>
      <c r="N2456" s="7">
        <v>0</v>
      </c>
    </row>
    <row r="2457" spans="1:14" ht="14.25" x14ac:dyDescent="0.2">
      <c r="A2457" s="3">
        <v>99126</v>
      </c>
      <c r="B2457" s="3" t="s">
        <v>4440</v>
      </c>
      <c r="C2457" s="3" t="s">
        <v>27</v>
      </c>
      <c r="D2457" s="6" t="s">
        <v>4441</v>
      </c>
      <c r="E2457" s="6" t="s">
        <v>4441</v>
      </c>
      <c r="F2457" s="3" t="str">
        <f>IFERROR( VLOOKUP(A2457,#REF!,2,0),"")</f>
        <v/>
      </c>
      <c r="G2457" s="3" t="str">
        <f t="array" ref="G2457">_xlfn.XLOOKUP(I2457,Base_Datos!D:D,Base_Datos!B:B,"")</f>
        <v>GAC</v>
      </c>
      <c r="H2457" s="3" t="str">
        <f t="array" ref="H2457">IF(I2457="","",IFERROR(_xlfn.XLOOKUP(I2457,Base_Datos!$D$2:$D3876,Base_Datos!$C$2:$C3876),""))</f>
        <v>Serie Emzoom</v>
      </c>
      <c r="I2457" s="3" t="s">
        <v>1203</v>
      </c>
      <c r="J2457" s="3" t="str">
        <f>IF(I2457="","",IFERROR(VLOOKUP(I2457,Base_Datos!$D$2:$E$72,2,0),""))</f>
        <v>(1.5L)</v>
      </c>
      <c r="K2457" s="3"/>
      <c r="L2457" s="3"/>
      <c r="M2457" s="7">
        <v>0</v>
      </c>
      <c r="N2457" s="7">
        <v>0</v>
      </c>
    </row>
    <row r="2458" spans="1:14" ht="14.25" x14ac:dyDescent="0.2">
      <c r="A2458" s="3">
        <v>99127</v>
      </c>
      <c r="B2458" s="3" t="s">
        <v>4442</v>
      </c>
      <c r="C2458" s="3" t="s">
        <v>27</v>
      </c>
      <c r="D2458" s="6" t="s">
        <v>4443</v>
      </c>
      <c r="E2458" s="6" t="s">
        <v>4443</v>
      </c>
      <c r="F2458" s="3" t="str">
        <f>IFERROR( VLOOKUP(A2458,#REF!,2,0),"")</f>
        <v/>
      </c>
      <c r="G2458" s="3" t="str">
        <f t="array" ref="G2458">_xlfn.XLOOKUP(I2458,Base_Datos!D:D,Base_Datos!B:B,"")</f>
        <v>GAC</v>
      </c>
      <c r="H2458" s="3" t="str">
        <f t="array" ref="H2458">IF(I2458="","",IFERROR(_xlfn.XLOOKUP(I2458,Base_Datos!$D$2:$D3876,Base_Datos!$C$2:$C3876),""))</f>
        <v>Serie Emzoom</v>
      </c>
      <c r="I2458" s="3" t="s">
        <v>1203</v>
      </c>
      <c r="J2458" s="3" t="str">
        <f>IF(I2458="","",IFERROR(VLOOKUP(I2458,Base_Datos!$D$2:$E$72,2,0),""))</f>
        <v>(1.5L)</v>
      </c>
      <c r="K2458" s="3"/>
      <c r="L2458" s="3"/>
      <c r="M2458" s="7">
        <v>0</v>
      </c>
      <c r="N2458" s="7">
        <v>0</v>
      </c>
    </row>
    <row r="2459" spans="1:14" ht="14.25" x14ac:dyDescent="0.2">
      <c r="A2459" s="3">
        <v>99128</v>
      </c>
      <c r="B2459" s="3" t="s">
        <v>4444</v>
      </c>
      <c r="C2459" s="3" t="s">
        <v>27</v>
      </c>
      <c r="D2459" s="6" t="s">
        <v>4445</v>
      </c>
      <c r="E2459" s="6" t="s">
        <v>4445</v>
      </c>
      <c r="F2459" s="3" t="str">
        <f>IFERROR( VLOOKUP(A2459,#REF!,2,0),"")</f>
        <v/>
      </c>
      <c r="G2459" s="3" t="str">
        <f t="array" ref="G2459">_xlfn.XLOOKUP(I2459,Base_Datos!D:D,Base_Datos!B:B,"")</f>
        <v>GAC</v>
      </c>
      <c r="H2459" s="3" t="str">
        <f t="array" ref="H2459">IF(I2459="","",IFERROR(_xlfn.XLOOKUP(I2459,Base_Datos!$D$2:$D3876,Base_Datos!$C$2:$C3876),""))</f>
        <v>Serie Emzoom</v>
      </c>
      <c r="I2459" s="3" t="s">
        <v>1203</v>
      </c>
      <c r="J2459" s="3" t="str">
        <f>IF(I2459="","",IFERROR(VLOOKUP(I2459,Base_Datos!$D$2:$E$72,2,0),""))</f>
        <v>(1.5L)</v>
      </c>
      <c r="K2459" s="3"/>
      <c r="L2459" s="3"/>
      <c r="M2459" s="7">
        <v>0</v>
      </c>
      <c r="N2459" s="7">
        <v>0</v>
      </c>
    </row>
    <row r="2460" spans="1:14" ht="14.25" x14ac:dyDescent="0.2">
      <c r="A2460" s="3">
        <v>99129</v>
      </c>
      <c r="B2460" s="3" t="s">
        <v>2152</v>
      </c>
      <c r="C2460" s="3" t="s">
        <v>27</v>
      </c>
      <c r="D2460" s="6" t="s">
        <v>1691</v>
      </c>
      <c r="E2460" s="6" t="s">
        <v>1691</v>
      </c>
      <c r="F2460" s="3" t="str">
        <f>IFERROR( VLOOKUP(A2460,#REF!,2,0),"")</f>
        <v/>
      </c>
      <c r="G2460" s="3" t="str">
        <f t="array" ref="G2460">_xlfn.XLOOKUP(I2460,Base_Datos!D:D,Base_Datos!B:B,"")</f>
        <v>GAC</v>
      </c>
      <c r="H2460" s="3" t="str">
        <f t="array" ref="H2460">IF(I2460="","",IFERROR(_xlfn.XLOOKUP(I2460,Base_Datos!$D$2:$D3876,Base_Datos!$C$2:$C3876),""))</f>
        <v>Serie GS</v>
      </c>
      <c r="I2460" s="3" t="s">
        <v>1487</v>
      </c>
      <c r="J2460" s="3" t="str">
        <f>IF(I2460="","",IFERROR(VLOOKUP(I2460,Base_Datos!$D$2:$E$72,2,0),""))</f>
        <v>(2.0L)</v>
      </c>
      <c r="K2460" s="3"/>
      <c r="L2460" s="3"/>
      <c r="M2460" s="7">
        <v>1</v>
      </c>
      <c r="N2460" s="7">
        <v>0</v>
      </c>
    </row>
    <row r="2461" spans="1:14" ht="14.25" x14ac:dyDescent="0.2">
      <c r="A2461" s="3">
        <v>99131</v>
      </c>
      <c r="B2461" s="3" t="s">
        <v>4446</v>
      </c>
      <c r="C2461" s="3" t="s">
        <v>27</v>
      </c>
      <c r="D2461" s="6" t="s">
        <v>1691</v>
      </c>
      <c r="E2461" s="6" t="s">
        <v>1691</v>
      </c>
      <c r="F2461" s="3" t="str">
        <f>IFERROR( VLOOKUP(A2461,#REF!,2,0),"")</f>
        <v/>
      </c>
      <c r="G2461" s="3" t="str">
        <f t="array" ref="G2461">_xlfn.XLOOKUP(I2461,Base_Datos!D:D,Base_Datos!B:B,"")</f>
        <v>GAC</v>
      </c>
      <c r="H2461" s="3" t="str">
        <f t="array" ref="H2461">IF(I2461="","",IFERROR(_xlfn.XLOOKUP(I2461,Base_Datos!$D$2:$D3876,Base_Datos!$C$2:$C3876),""))</f>
        <v>Serie GS</v>
      </c>
      <c r="I2461" s="3" t="s">
        <v>1487</v>
      </c>
      <c r="J2461" s="3" t="str">
        <f>IF(I2461="","",IFERROR(VLOOKUP(I2461,Base_Datos!$D$2:$E$72,2,0),""))</f>
        <v>(2.0L)</v>
      </c>
      <c r="K2461" s="3"/>
      <c r="L2461" s="3"/>
      <c r="M2461" s="7">
        <v>0</v>
      </c>
      <c r="N2461" s="7">
        <v>0</v>
      </c>
    </row>
    <row r="2462" spans="1:14" ht="14.25" x14ac:dyDescent="0.2">
      <c r="A2462" s="3">
        <v>99132</v>
      </c>
      <c r="B2462" s="3" t="s">
        <v>1928</v>
      </c>
      <c r="C2462" s="3" t="s">
        <v>2</v>
      </c>
      <c r="D2462" s="6" t="s">
        <v>1691</v>
      </c>
      <c r="E2462" s="6" t="s">
        <v>1691</v>
      </c>
      <c r="F2462" s="3" t="str">
        <f>IFERROR( VLOOKUP(A2462,#REF!,2,0),"")</f>
        <v/>
      </c>
      <c r="G2462" s="3" t="str">
        <f t="array" ref="G2462">_xlfn.XLOOKUP(I2462,Base_Datos!D:D,Base_Datos!B:B,"")</f>
        <v>DFSK</v>
      </c>
      <c r="H2462" s="3" t="str">
        <f t="array" ref="H2462">IF(I2462="","",IFERROR(_xlfn.XLOOKUP(I2462,Base_Datos!$D$2:$D3876,Base_Datos!$C$2:$C3876),""))</f>
        <v>Serie IX</v>
      </c>
      <c r="I2462" s="3" t="s">
        <v>1770</v>
      </c>
      <c r="J2462" s="3" t="str">
        <f>IF(I2462="","",IFERROR(VLOOKUP(I2462,Base_Datos!$D$2:$E$72,2,0),""))</f>
        <v>(1.5L)</v>
      </c>
      <c r="K2462" s="3" t="s">
        <v>4447</v>
      </c>
      <c r="L2462" s="3"/>
      <c r="M2462" s="7">
        <v>1</v>
      </c>
      <c r="N2462" s="7">
        <v>0</v>
      </c>
    </row>
    <row r="2463" spans="1:14" ht="14.25" x14ac:dyDescent="0.2">
      <c r="A2463" s="3">
        <v>99133</v>
      </c>
      <c r="B2463" s="3" t="s">
        <v>4448</v>
      </c>
      <c r="C2463" s="3" t="s">
        <v>27</v>
      </c>
      <c r="D2463" s="6" t="s">
        <v>3142</v>
      </c>
      <c r="E2463" s="6" t="s">
        <v>3142</v>
      </c>
      <c r="F2463" s="3" t="str">
        <f>IFERROR( VLOOKUP(A2463,#REF!,2,0),"")</f>
        <v/>
      </c>
      <c r="G2463" s="3" t="str">
        <f t="array" ref="G2463">_xlfn.XLOOKUP(I2463,Base_Datos!D:D,Base_Datos!B:B,"")</f>
        <v>DFSK</v>
      </c>
      <c r="H2463" s="3" t="str">
        <f t="array" ref="H2463">IF(I2463="","",IFERROR(_xlfn.XLOOKUP(I2463,Base_Datos!$D$2:$D3876,Base_Datos!$C$2:$C3876),""))</f>
        <v>Serie Glory</v>
      </c>
      <c r="I2463" s="3" t="s">
        <v>1767</v>
      </c>
      <c r="J2463" s="3" t="str">
        <f>IF(I2463="","",IFERROR(VLOOKUP(I2463,Base_Datos!$D$2:$E$72,2,0),""))</f>
        <v>(1.5L)</v>
      </c>
      <c r="K2463" s="3" t="s">
        <v>3562</v>
      </c>
      <c r="L2463" s="3"/>
      <c r="M2463" s="7">
        <v>1</v>
      </c>
      <c r="N2463" s="7">
        <v>0</v>
      </c>
    </row>
    <row r="2464" spans="1:14" ht="14.25" x14ac:dyDescent="0.2">
      <c r="A2464" s="3">
        <v>99134</v>
      </c>
      <c r="B2464" s="3" t="s">
        <v>4449</v>
      </c>
      <c r="C2464" s="3" t="s">
        <v>27</v>
      </c>
      <c r="D2464" s="6" t="s">
        <v>3142</v>
      </c>
      <c r="E2464" s="6" t="s">
        <v>3142</v>
      </c>
      <c r="F2464" s="3" t="str">
        <f>IFERROR( VLOOKUP(A2464,#REF!,2,0),"")</f>
        <v/>
      </c>
      <c r="G2464" s="3" t="str">
        <f t="array" ref="G2464">_xlfn.XLOOKUP(I2464,Base_Datos!D:D,Base_Datos!B:B,"")</f>
        <v>DFSK</v>
      </c>
      <c r="H2464" s="3" t="str">
        <f t="array" ref="H2464">IF(I2464="","",IFERROR(_xlfn.XLOOKUP(I2464,Base_Datos!$D$2:$D3876,Base_Datos!$C$2:$C3876),""))</f>
        <v>Serie K</v>
      </c>
      <c r="I2464" s="3" t="s">
        <v>475</v>
      </c>
      <c r="J2464" s="3" t="str">
        <f>IF(I2464="","",IFERROR(VLOOKUP(I2464,Base_Datos!$D$2:$E$72,2,0),""))</f>
        <v>(1.1L)</v>
      </c>
      <c r="K2464" s="3" t="s">
        <v>3562</v>
      </c>
      <c r="L2464" s="3"/>
      <c r="M2464" s="7">
        <v>0</v>
      </c>
      <c r="N2464" s="7">
        <v>0</v>
      </c>
    </row>
    <row r="2465" spans="1:14" ht="14.25" x14ac:dyDescent="0.2">
      <c r="A2465" s="3">
        <v>99135</v>
      </c>
      <c r="B2465" s="3" t="s">
        <v>4450</v>
      </c>
      <c r="C2465" s="3" t="s">
        <v>27</v>
      </c>
      <c r="D2465" s="6" t="s">
        <v>3142</v>
      </c>
      <c r="E2465" s="6" t="s">
        <v>3142</v>
      </c>
      <c r="F2465" s="3" t="str">
        <f>IFERROR( VLOOKUP(A2465,#REF!,2,0),"")</f>
        <v/>
      </c>
      <c r="G2465" s="3" t="str">
        <f t="array" ref="G2465">_xlfn.XLOOKUP(I2465,Base_Datos!D:D,Base_Datos!B:B,"")</f>
        <v>GAC</v>
      </c>
      <c r="H2465" s="3" t="str">
        <f t="array" ref="H2465">IF(I2465="","",IFERROR(_xlfn.XLOOKUP(I2465,Base_Datos!$D$2:$D3876,Base_Datos!$C$2:$C3876),""))</f>
        <v>Serie Emzoom</v>
      </c>
      <c r="I2465" s="3" t="s">
        <v>1203</v>
      </c>
      <c r="J2465" s="3" t="str">
        <f>IF(I2465="","",IFERROR(VLOOKUP(I2465,Base_Datos!$D$2:$E$72,2,0),""))</f>
        <v>(1.5L)</v>
      </c>
      <c r="K2465" s="3" t="s">
        <v>3562</v>
      </c>
      <c r="L2465" s="3"/>
      <c r="M2465" s="7">
        <v>0</v>
      </c>
      <c r="N2465" s="7">
        <v>0</v>
      </c>
    </row>
    <row r="2466" spans="1:14" ht="14.25" x14ac:dyDescent="0.2">
      <c r="A2466" s="3">
        <v>99136</v>
      </c>
      <c r="B2466" s="3" t="s">
        <v>4451</v>
      </c>
      <c r="C2466" s="3" t="s">
        <v>27</v>
      </c>
      <c r="D2466" s="6" t="s">
        <v>1402</v>
      </c>
      <c r="E2466" s="6" t="s">
        <v>1402</v>
      </c>
      <c r="F2466" s="3" t="str">
        <f>IFERROR( VLOOKUP(A2466,#REF!,2,0),"")</f>
        <v/>
      </c>
      <c r="G2466" s="3" t="str">
        <f t="array" ref="G2466">_xlfn.XLOOKUP(I2466,Base_Datos!D:D,Base_Datos!B:B,"")</f>
        <v>GAC</v>
      </c>
      <c r="H2466" s="3" t="str">
        <f t="array" ref="H2466">IF(I2466="","",IFERROR(_xlfn.XLOOKUP(I2466,Base_Datos!$D$2:$D3876,Base_Datos!$C$2:$C3876),""))</f>
        <v>Serie Emzoom</v>
      </c>
      <c r="I2466" s="3" t="s">
        <v>1203</v>
      </c>
      <c r="J2466" s="3" t="str">
        <f>IF(I2466="","",IFERROR(VLOOKUP(I2466,Base_Datos!$D$2:$E$72,2,0),""))</f>
        <v>(1.5L)</v>
      </c>
      <c r="K2466" s="3"/>
      <c r="L2466" s="3"/>
      <c r="M2466" s="7">
        <v>0</v>
      </c>
      <c r="N2466" s="7">
        <v>0</v>
      </c>
    </row>
    <row r="2467" spans="1:14" ht="14.25" x14ac:dyDescent="0.2">
      <c r="A2467" s="3">
        <v>99137</v>
      </c>
      <c r="B2467" s="3" t="s">
        <v>4452</v>
      </c>
      <c r="C2467" s="3" t="s">
        <v>27</v>
      </c>
      <c r="D2467" s="6" t="s">
        <v>4453</v>
      </c>
      <c r="E2467" s="6" t="s">
        <v>4453</v>
      </c>
      <c r="F2467" s="3" t="str">
        <f>IFERROR( VLOOKUP(A2467,#REF!,2,0),"")</f>
        <v/>
      </c>
      <c r="G2467" s="3" t="str">
        <f t="array" ref="G2467">_xlfn.XLOOKUP(I2467,Base_Datos!D:D,Base_Datos!B:B,"")</f>
        <v>GAC</v>
      </c>
      <c r="H2467" s="3" t="str">
        <f t="array" ref="H2467">IF(I2467="","",IFERROR(_xlfn.XLOOKUP(I2467,Base_Datos!$D$2:$D3876,Base_Datos!$C$2:$C3876),""))</f>
        <v>Serie Emzoom</v>
      </c>
      <c r="I2467" s="3" t="s">
        <v>1203</v>
      </c>
      <c r="J2467" s="3" t="str">
        <f>IF(I2467="","",IFERROR(VLOOKUP(I2467,Base_Datos!$D$2:$E$72,2,0),""))</f>
        <v>(1.5L)</v>
      </c>
      <c r="K2467" s="3"/>
      <c r="L2467" s="3"/>
      <c r="M2467" s="7">
        <v>0</v>
      </c>
      <c r="N2467" s="7">
        <v>0</v>
      </c>
    </row>
    <row r="2468" spans="1:14" ht="14.25" x14ac:dyDescent="0.2">
      <c r="A2468" s="3">
        <v>99138</v>
      </c>
      <c r="B2468" s="3" t="s">
        <v>4454</v>
      </c>
      <c r="C2468" s="3" t="s">
        <v>27</v>
      </c>
      <c r="D2468" s="6" t="s">
        <v>3142</v>
      </c>
      <c r="E2468" s="6" t="s">
        <v>3142</v>
      </c>
      <c r="F2468" s="3" t="str">
        <f>IFERROR( VLOOKUP(A2468,#REF!,2,0),"")</f>
        <v/>
      </c>
      <c r="G2468" s="3" t="str">
        <f t="array" ref="G2468">_xlfn.XLOOKUP(I2468,Base_Datos!D:D,Base_Datos!B:B,"")</f>
        <v>DFSK</v>
      </c>
      <c r="H2468" s="3" t="str">
        <f t="array" ref="H2468">IF(I2468="","",IFERROR(_xlfn.XLOOKUP(I2468,Base_Datos!$D$2:$D3876,Base_Datos!$C$2:$C3876),""))</f>
        <v>Serie C</v>
      </c>
      <c r="I2468" s="3" t="s">
        <v>339</v>
      </c>
      <c r="J2468" s="3" t="str">
        <f>IF(I2468="","",IFERROR(VLOOKUP(I2468,Base_Datos!$D$2:$E$72,2,0),""))</f>
        <v>(1.5L)</v>
      </c>
      <c r="K2468" s="3" t="s">
        <v>3562</v>
      </c>
      <c r="L2468" s="3"/>
      <c r="M2468" s="7">
        <v>0</v>
      </c>
      <c r="N2468" s="7">
        <v>0</v>
      </c>
    </row>
    <row r="2469" spans="1:14" ht="14.25" x14ac:dyDescent="0.2">
      <c r="A2469" s="3">
        <v>99139</v>
      </c>
      <c r="B2469" s="3" t="s">
        <v>4455</v>
      </c>
      <c r="C2469" s="3" t="s">
        <v>27</v>
      </c>
      <c r="D2469" s="6" t="s">
        <v>4456</v>
      </c>
      <c r="E2469" s="6" t="s">
        <v>4456</v>
      </c>
      <c r="F2469" s="3" t="str">
        <f>IFERROR( VLOOKUP(A2469,#REF!,2,0),"")</f>
        <v/>
      </c>
      <c r="G2469" s="3" t="str">
        <f t="array" ref="G2469">_xlfn.XLOOKUP(I2469,Base_Datos!D:D,Base_Datos!B:B,"")</f>
        <v>DFSK</v>
      </c>
      <c r="H2469" s="3" t="str">
        <f t="array" ref="H2469">IF(I2469="","",IFERROR(_xlfn.XLOOKUP(I2469,Base_Datos!$D$2:$D3876,Base_Datos!$C$2:$C3876),""))</f>
        <v>Serie C</v>
      </c>
      <c r="I2469" s="3" t="s">
        <v>339</v>
      </c>
      <c r="J2469" s="3" t="str">
        <f>IF(I2469="","",IFERROR(VLOOKUP(I2469,Base_Datos!$D$2:$E$72,2,0),""))</f>
        <v>(1.5L)</v>
      </c>
      <c r="K2469" s="3" t="s">
        <v>4447</v>
      </c>
      <c r="L2469" s="3"/>
      <c r="M2469" s="7">
        <v>0</v>
      </c>
      <c r="N2469" s="7">
        <v>0</v>
      </c>
    </row>
    <row r="2470" spans="1:14" ht="14.25" x14ac:dyDescent="0.2">
      <c r="A2470" s="3">
        <v>99140</v>
      </c>
      <c r="B2470" s="3" t="s">
        <v>4457</v>
      </c>
      <c r="C2470" s="3" t="s">
        <v>27</v>
      </c>
      <c r="D2470" s="6" t="s">
        <v>1782</v>
      </c>
      <c r="E2470" s="6" t="s">
        <v>1782</v>
      </c>
      <c r="F2470" s="3" t="str">
        <f>IFERROR( VLOOKUP(A2470,#REF!,2,0),"")</f>
        <v/>
      </c>
      <c r="G2470" s="3" t="str">
        <f t="array" ref="G2470">_xlfn.XLOOKUP(I2470,Base_Datos!D:D,Base_Datos!B:B,"")</f>
        <v>DFSK</v>
      </c>
      <c r="H2470" s="3" t="str">
        <f t="array" ref="H2470">IF(I2470="","",IFERROR(_xlfn.XLOOKUP(I2470,Base_Datos!$D$2:$D3876,Base_Datos!$C$2:$C3876),""))</f>
        <v>Serie K</v>
      </c>
      <c r="I2470" s="3" t="s">
        <v>475</v>
      </c>
      <c r="J2470" s="3" t="str">
        <f>IF(I2470="","",IFERROR(VLOOKUP(I2470,Base_Datos!$D$2:$E$72,2,0),""))</f>
        <v>(1.1L)</v>
      </c>
      <c r="K2470" s="3"/>
      <c r="L2470" s="3"/>
      <c r="M2470" s="7">
        <v>0</v>
      </c>
      <c r="N2470" s="7">
        <v>0</v>
      </c>
    </row>
    <row r="2471" spans="1:14" ht="14.25" x14ac:dyDescent="0.2">
      <c r="A2471" s="3">
        <v>99141</v>
      </c>
      <c r="B2471" s="3" t="s">
        <v>4458</v>
      </c>
      <c r="C2471" s="3" t="s">
        <v>27</v>
      </c>
      <c r="D2471" s="6" t="s">
        <v>825</v>
      </c>
      <c r="E2471" s="6" t="s">
        <v>825</v>
      </c>
      <c r="F2471" s="3" t="str">
        <f>IFERROR( VLOOKUP(A2471,#REF!,2,0),"")</f>
        <v/>
      </c>
      <c r="G2471" s="3" t="str">
        <f t="array" ref="G2471">_xlfn.XLOOKUP(I2471,Base_Datos!D:D,Base_Datos!B:B,"")</f>
        <v>DFSK</v>
      </c>
      <c r="H2471" s="3" t="str">
        <f t="array" ref="H2471">IF(I2471="","",IFERROR(_xlfn.XLOOKUP(I2471,Base_Datos!$D$2:$D3876,Base_Datos!$C$2:$C3876),""))</f>
        <v>Serie Glory</v>
      </c>
      <c r="I2471" s="3" t="s">
        <v>1767</v>
      </c>
      <c r="J2471" s="3" t="str">
        <f>IF(I2471="","",IFERROR(VLOOKUP(I2471,Base_Datos!$D$2:$E$72,2,0),""))</f>
        <v>(1.5L)</v>
      </c>
      <c r="K2471" s="3" t="s">
        <v>2060</v>
      </c>
      <c r="L2471" s="3"/>
      <c r="M2471" s="7">
        <v>0</v>
      </c>
      <c r="N2471" s="7">
        <v>0</v>
      </c>
    </row>
    <row r="2472" spans="1:14" ht="14.25" x14ac:dyDescent="0.2">
      <c r="A2472" s="3">
        <v>99142</v>
      </c>
      <c r="B2472" s="3" t="s">
        <v>4459</v>
      </c>
      <c r="C2472" s="3" t="s">
        <v>27</v>
      </c>
      <c r="D2472" s="6" t="s">
        <v>906</v>
      </c>
      <c r="E2472" s="6" t="s">
        <v>906</v>
      </c>
      <c r="F2472" s="3" t="str">
        <f>IFERROR( VLOOKUP(A2472,#REF!,2,0),"")</f>
        <v/>
      </c>
      <c r="G2472" s="3" t="str">
        <f t="array" ref="G2472">_xlfn.XLOOKUP(I2472,Base_Datos!D:D,Base_Datos!B:B,"")</f>
        <v>DFSK</v>
      </c>
      <c r="H2472" s="3" t="str">
        <f t="array" ref="H2472">IF(I2472="","",IFERROR(_xlfn.XLOOKUP(I2472,Base_Datos!$D$2:$D3876,Base_Datos!$C$2:$C3876),""))</f>
        <v>Serie C</v>
      </c>
      <c r="I2472" s="3" t="s">
        <v>339</v>
      </c>
      <c r="J2472" s="3" t="str">
        <f>IF(I2472="","",IFERROR(VLOOKUP(I2472,Base_Datos!$D$2:$E$72,2,0),""))</f>
        <v>(1.5L)</v>
      </c>
      <c r="K2472" s="3"/>
      <c r="L2472" s="3"/>
      <c r="M2472" s="7">
        <v>0</v>
      </c>
      <c r="N2472" s="7">
        <v>0</v>
      </c>
    </row>
    <row r="2473" spans="1:14" ht="14.25" x14ac:dyDescent="0.2">
      <c r="A2473" s="3">
        <v>99143</v>
      </c>
      <c r="B2473" s="3" t="s">
        <v>4460</v>
      </c>
      <c r="C2473" s="3" t="s">
        <v>27</v>
      </c>
      <c r="D2473" s="6" t="s">
        <v>1403</v>
      </c>
      <c r="E2473" s="6" t="s">
        <v>1403</v>
      </c>
      <c r="F2473" s="3" t="str">
        <f>IFERROR( VLOOKUP(A2473,#REF!,2,0),"")</f>
        <v/>
      </c>
      <c r="G2473" s="3" t="str">
        <f t="array" ref="G2473">_xlfn.XLOOKUP(I2473,Base_Datos!D:D,Base_Datos!B:B,"")</f>
        <v>GAC</v>
      </c>
      <c r="H2473" s="3" t="str">
        <f t="array" ref="H2473">IF(I2473="","",IFERROR(_xlfn.XLOOKUP(I2473,Base_Datos!$D$2:$D3876,Base_Datos!$C$2:$C3876),""))</f>
        <v>Serie Emzoom</v>
      </c>
      <c r="I2473" s="3" t="s">
        <v>1203</v>
      </c>
      <c r="J2473" s="3" t="str">
        <f>IF(I2473="","",IFERROR(VLOOKUP(I2473,Base_Datos!$D$2:$E$72,2,0),""))</f>
        <v>(1.5L)</v>
      </c>
      <c r="K2473" s="3"/>
      <c r="L2473" s="3"/>
      <c r="M2473" s="7">
        <v>0</v>
      </c>
      <c r="N2473" s="7">
        <v>0</v>
      </c>
    </row>
    <row r="2474" spans="1:14" ht="14.25" x14ac:dyDescent="0.2">
      <c r="A2474" s="3">
        <v>99144</v>
      </c>
      <c r="B2474" s="3" t="s">
        <v>4461</v>
      </c>
      <c r="C2474" s="3" t="s">
        <v>27</v>
      </c>
      <c r="D2474" s="6" t="s">
        <v>3770</v>
      </c>
      <c r="E2474" s="6" t="s">
        <v>3770</v>
      </c>
      <c r="F2474" s="3" t="str">
        <f>IFERROR( VLOOKUP(A2474,#REF!,2,0),"")</f>
        <v/>
      </c>
      <c r="G2474" s="3" t="str">
        <f t="array" ref="G2474">_xlfn.XLOOKUP(I2474,Base_Datos!D:D,Base_Datos!B:B,"")</f>
        <v>DFSK</v>
      </c>
      <c r="H2474" s="3" t="str">
        <f t="array" ref="H2474">IF(I2474="","",IFERROR(_xlfn.XLOOKUP(I2474,Base_Datos!$D$2:$D3876,Base_Datos!$C$2:$C3876),""))</f>
        <v>Serie Glory</v>
      </c>
      <c r="I2474" s="3" t="s">
        <v>1765</v>
      </c>
      <c r="J2474" s="3" t="str">
        <f>IF(I2474="","",IFERROR(VLOOKUP(I2474,Base_Datos!$D$2:$E$72,2,0),""))</f>
        <v>(1.5L)</v>
      </c>
      <c r="K2474" s="3"/>
      <c r="L2474" s="3"/>
      <c r="M2474" s="7">
        <v>0</v>
      </c>
      <c r="N2474" s="7">
        <v>0</v>
      </c>
    </row>
    <row r="2475" spans="1:14" ht="14.25" x14ac:dyDescent="0.2">
      <c r="A2475" s="3">
        <v>99145</v>
      </c>
      <c r="B2475" s="3" t="s">
        <v>4462</v>
      </c>
      <c r="C2475" s="3" t="s">
        <v>27</v>
      </c>
      <c r="D2475" s="6" t="s">
        <v>4463</v>
      </c>
      <c r="E2475" s="6" t="s">
        <v>906</v>
      </c>
      <c r="F2475" s="3" t="str">
        <f>IFERROR( VLOOKUP(A2475,#REF!,2,0),"")</f>
        <v/>
      </c>
      <c r="G2475" s="3" t="str">
        <f t="array" ref="G2475">_xlfn.XLOOKUP(I2475,Base_Datos!D:D,Base_Datos!B:B,"")</f>
        <v>GAC</v>
      </c>
      <c r="H2475" s="3" t="str">
        <f t="array" ref="H2475">IF(I2475="","",IFERROR(_xlfn.XLOOKUP(I2475,Base_Datos!$D$2:$D3876,Base_Datos!$C$2:$C3876),""))</f>
        <v>Serie Emzoom</v>
      </c>
      <c r="I2475" s="3" t="s">
        <v>1203</v>
      </c>
      <c r="J2475" s="3" t="str">
        <f>IF(I2475="","",IFERROR(VLOOKUP(I2475,Base_Datos!$D$2:$E$72,2,0),""))</f>
        <v>(1.5L)</v>
      </c>
      <c r="K2475" s="3" t="s">
        <v>4464</v>
      </c>
      <c r="L2475" s="3"/>
      <c r="M2475" s="7">
        <v>0</v>
      </c>
      <c r="N2475" s="7">
        <v>0</v>
      </c>
    </row>
    <row r="2476" spans="1:14" ht="14.25" x14ac:dyDescent="0.2">
      <c r="A2476" s="3">
        <v>99146</v>
      </c>
      <c r="B2476" s="3" t="s">
        <v>4465</v>
      </c>
      <c r="C2476" s="3" t="s">
        <v>27</v>
      </c>
      <c r="D2476" s="6" t="s">
        <v>774</v>
      </c>
      <c r="E2476" s="6" t="s">
        <v>774</v>
      </c>
      <c r="F2476" s="3" t="str">
        <f>IFERROR( VLOOKUP(A2476,#REF!,2,0),"")</f>
        <v/>
      </c>
      <c r="G2476" s="3">
        <f t="array" ref="G2476">_xlfn.XLOOKUP(I2476,Base_Datos!D:D,Base_Datos!B:B,"")</f>
        <v>0</v>
      </c>
      <c r="H2476" s="3" t="str">
        <f t="array" ref="H2476">IF(I2476="","",IFERROR(_xlfn.XLOOKUP(I2476,Base_Datos!$D$2:$D3876,Base_Datos!$C$2:$C3876),""))</f>
        <v/>
      </c>
      <c r="I2476" s="3"/>
      <c r="J2476" s="3" t="str">
        <f>IF(I2476="","",IFERROR(VLOOKUP(I2476,Base_Datos!$D$2:$E$72,2,0),""))</f>
        <v/>
      </c>
      <c r="K2476" s="3"/>
      <c r="L2476" s="3"/>
      <c r="M2476" s="7">
        <v>0</v>
      </c>
      <c r="N2476" s="7">
        <v>0</v>
      </c>
    </row>
    <row r="2477" spans="1:14" ht="14.25" x14ac:dyDescent="0.2">
      <c r="A2477" s="3">
        <v>99147</v>
      </c>
      <c r="B2477" s="3" t="s">
        <v>4466</v>
      </c>
      <c r="C2477" s="3" t="s">
        <v>2</v>
      </c>
      <c r="D2477" s="6" t="s">
        <v>4467</v>
      </c>
      <c r="E2477" s="6" t="s">
        <v>4467</v>
      </c>
      <c r="F2477" s="3" t="str">
        <f>IFERROR( VLOOKUP(A2477,#REF!,2,0),"")</f>
        <v/>
      </c>
      <c r="G2477" s="3" t="str">
        <f t="array" ref="G2477">_xlfn.XLOOKUP(I2477,Base_Datos!D:D,Base_Datos!B:B,"")</f>
        <v>DFSK</v>
      </c>
      <c r="H2477" s="3" t="str">
        <f t="array" ref="H2477">IF(I2477="","",IFERROR(_xlfn.XLOOKUP(I2477,Base_Datos!$D$2:$D3876,Base_Datos!$C$2:$C3876),""))</f>
        <v>Serie Glory</v>
      </c>
      <c r="I2477" s="3" t="s">
        <v>404</v>
      </c>
      <c r="J2477" s="3" t="str">
        <f>IF(I2477="","",IFERROR(VLOOKUP(I2477,Base_Datos!$D$2:$E$72,2,0),""))</f>
        <v>(1.5L)</v>
      </c>
      <c r="K2477" s="3"/>
      <c r="L2477" s="3"/>
      <c r="M2477" s="7">
        <v>1</v>
      </c>
      <c r="N2477" s="7">
        <v>0</v>
      </c>
    </row>
    <row r="2478" spans="1:14" ht="14.25" x14ac:dyDescent="0.2">
      <c r="A2478" s="3">
        <v>99148</v>
      </c>
      <c r="B2478" s="3" t="s">
        <v>4468</v>
      </c>
      <c r="C2478" s="3" t="s">
        <v>2</v>
      </c>
      <c r="D2478" s="6" t="s">
        <v>1767</v>
      </c>
      <c r="E2478" s="6" t="s">
        <v>4469</v>
      </c>
      <c r="F2478" s="3" t="str">
        <f>IFERROR( VLOOKUP(A2478,#REF!,2,0),"")</f>
        <v/>
      </c>
      <c r="G2478" s="3" t="str">
        <f t="array" ref="G2478">_xlfn.XLOOKUP(I2478,Base_Datos!D:D,Base_Datos!B:B,"")</f>
        <v>DFSK</v>
      </c>
      <c r="H2478" s="3" t="str">
        <f t="array" ref="H2478">IF(I2478="","",IFERROR(_xlfn.XLOOKUP(I2478,Base_Datos!$D$2:$D3876,Base_Datos!$C$2:$C3876),""))</f>
        <v>Serie Glory</v>
      </c>
      <c r="I2478" s="3" t="s">
        <v>1765</v>
      </c>
      <c r="J2478" s="3" t="str">
        <f>IF(I2478="","",IFERROR(VLOOKUP(I2478,Base_Datos!$D$2:$E$72,2,0),""))</f>
        <v>(1.5L)</v>
      </c>
      <c r="K2478" s="3" t="s">
        <v>4470</v>
      </c>
      <c r="L2478" s="3"/>
      <c r="M2478" s="7">
        <v>20</v>
      </c>
      <c r="N2478" s="7">
        <v>0</v>
      </c>
    </row>
    <row r="2479" spans="1:14" ht="14.25" x14ac:dyDescent="0.2">
      <c r="A2479" s="3">
        <v>99149</v>
      </c>
      <c r="B2479" s="3" t="s">
        <v>4471</v>
      </c>
      <c r="C2479" s="3" t="s">
        <v>2</v>
      </c>
      <c r="D2479" s="6" t="s">
        <v>1782</v>
      </c>
      <c r="E2479" s="6" t="s">
        <v>1782</v>
      </c>
      <c r="F2479" s="3" t="str">
        <f>IFERROR( VLOOKUP(A2479,#REF!,2,0),"")</f>
        <v/>
      </c>
      <c r="G2479" s="3">
        <f t="array" ref="G2479">_xlfn.XLOOKUP(I2479,Base_Datos!D:D,Base_Datos!B:B,"")</f>
        <v>0</v>
      </c>
      <c r="H2479" s="3" t="str">
        <f t="array" ref="H2479">IF(I2479="","",IFERROR(_xlfn.XLOOKUP(I2479,Base_Datos!$D$2:$D3876,Base_Datos!$C$2:$C3876),""))</f>
        <v/>
      </c>
      <c r="I2479" s="3"/>
      <c r="J2479" s="3" t="str">
        <f>IF(I2479="","",IFERROR(VLOOKUP(I2479,Base_Datos!$D$2:$E$72,2,0),""))</f>
        <v/>
      </c>
      <c r="K2479" s="3" t="s">
        <v>4447</v>
      </c>
      <c r="L2479" s="3"/>
      <c r="M2479" s="7">
        <v>0</v>
      </c>
      <c r="N2479" s="7">
        <v>0</v>
      </c>
    </row>
    <row r="2480" spans="1:14" ht="14.25" x14ac:dyDescent="0.2">
      <c r="A2480" s="3">
        <v>99150</v>
      </c>
      <c r="B2480" s="3" t="s">
        <v>4472</v>
      </c>
      <c r="C2480" s="3" t="s">
        <v>2</v>
      </c>
      <c r="D2480" s="6" t="s">
        <v>1782</v>
      </c>
      <c r="E2480" s="6" t="s">
        <v>1782</v>
      </c>
      <c r="F2480" s="3" t="str">
        <f>IFERROR( VLOOKUP(A2480,#REF!,2,0),"")</f>
        <v/>
      </c>
      <c r="G2480" s="3">
        <f t="array" ref="G2480">_xlfn.XLOOKUP(I2480,Base_Datos!D:D,Base_Datos!B:B,"")</f>
        <v>0</v>
      </c>
      <c r="H2480" s="3" t="str">
        <f t="array" ref="H2480">IF(I2480="","",IFERROR(_xlfn.XLOOKUP(I2480,Base_Datos!$D$2:$D3876,Base_Datos!$C$2:$C3876),""))</f>
        <v/>
      </c>
      <c r="I2480" s="3"/>
      <c r="J2480" s="3" t="str">
        <f>IF(I2480="","",IFERROR(VLOOKUP(I2480,Base_Datos!$D$2:$E$72,2,0),""))</f>
        <v/>
      </c>
      <c r="K2480" s="3"/>
      <c r="L2480" s="3"/>
      <c r="M2480" s="7">
        <v>4</v>
      </c>
      <c r="N2480" s="7">
        <v>0</v>
      </c>
    </row>
    <row r="2481" spans="1:14" ht="14.25" x14ac:dyDescent="0.2">
      <c r="A2481" s="3">
        <v>99151</v>
      </c>
      <c r="B2481" s="3" t="s">
        <v>1856</v>
      </c>
      <c r="C2481" s="3" t="s">
        <v>2</v>
      </c>
      <c r="D2481" s="6" t="s">
        <v>1782</v>
      </c>
      <c r="E2481" s="6" t="s">
        <v>1782</v>
      </c>
      <c r="F2481" s="3" t="str">
        <f>IFERROR( VLOOKUP(A2481,#REF!,2,0),"")</f>
        <v/>
      </c>
      <c r="G2481" s="3">
        <f t="array" ref="G2481">_xlfn.XLOOKUP(I2481,Base_Datos!D:D,Base_Datos!B:B,"")</f>
        <v>0</v>
      </c>
      <c r="H2481" s="3" t="str">
        <f t="array" ref="H2481">IF(I2481="","",IFERROR(_xlfn.XLOOKUP(I2481,Base_Datos!$D$2:$D3876,Base_Datos!$C$2:$C3876),""))</f>
        <v/>
      </c>
      <c r="I2481" s="3"/>
      <c r="J2481" s="3" t="str">
        <f>IF(I2481="","",IFERROR(VLOOKUP(I2481,Base_Datos!$D$2:$E$72,2,0),""))</f>
        <v/>
      </c>
      <c r="K2481" s="3"/>
      <c r="L2481" s="3"/>
      <c r="M2481" s="7">
        <v>3</v>
      </c>
      <c r="N2481" s="7">
        <v>0</v>
      </c>
    </row>
    <row r="2482" spans="1:14" ht="14.25" x14ac:dyDescent="0.2">
      <c r="A2482" s="3">
        <v>99152</v>
      </c>
      <c r="B2482" s="3" t="s">
        <v>2507</v>
      </c>
      <c r="C2482" s="3" t="s">
        <v>27</v>
      </c>
      <c r="D2482" s="6" t="s">
        <v>1782</v>
      </c>
      <c r="E2482" s="6" t="s">
        <v>1782</v>
      </c>
      <c r="F2482" s="3" t="str">
        <f>IFERROR( VLOOKUP(A2482,#REF!,2,0),"")</f>
        <v/>
      </c>
      <c r="G2482" s="3" t="str">
        <f t="array" ref="G2482">_xlfn.XLOOKUP(I2482,Base_Datos!D:D,Base_Datos!B:B,"")</f>
        <v>GAC</v>
      </c>
      <c r="H2482" s="3" t="str">
        <f t="array" ref="H2482">IF(I2482="","",IFERROR(_xlfn.XLOOKUP(I2482,Base_Datos!$D$2:$D3876,Base_Datos!$C$2:$C3876),""))</f>
        <v>Serie Smilodon</v>
      </c>
      <c r="I2482" s="3" t="s">
        <v>1764</v>
      </c>
      <c r="J2482" s="3" t="str">
        <f>IF(I2482="","",IFERROR(VLOOKUP(I2482,Base_Datos!$D$2:$E$72,2,0),""))</f>
        <v>(2.4L)</v>
      </c>
      <c r="K2482" s="3"/>
      <c r="L2482" s="3"/>
      <c r="M2482" s="7">
        <v>0</v>
      </c>
      <c r="N2482" s="7">
        <v>0</v>
      </c>
    </row>
    <row r="2483" spans="1:14" ht="14.25" x14ac:dyDescent="0.2">
      <c r="A2483" s="3">
        <v>99153</v>
      </c>
      <c r="B2483" s="3" t="s">
        <v>4473</v>
      </c>
      <c r="C2483" s="3" t="s">
        <v>27</v>
      </c>
      <c r="D2483" s="6" t="s">
        <v>1782</v>
      </c>
      <c r="E2483" s="6" t="s">
        <v>1782</v>
      </c>
      <c r="F2483" s="3" t="str">
        <f>IFERROR( VLOOKUP(A2483,#REF!,2,0),"")</f>
        <v/>
      </c>
      <c r="G2483" s="3" t="str">
        <f t="array" ref="G2483">_xlfn.XLOOKUP(I2483,Base_Datos!D:D,Base_Datos!B:B,"")</f>
        <v>GAC</v>
      </c>
      <c r="H2483" s="3" t="str">
        <f t="array" ref="H2483">IF(I2483="","",IFERROR(_xlfn.XLOOKUP(I2483,Base_Datos!$D$2:$D3876,Base_Datos!$C$2:$C3876),""))</f>
        <v>Serie Smilodon</v>
      </c>
      <c r="I2483" s="3" t="s">
        <v>1764</v>
      </c>
      <c r="J2483" s="3" t="str">
        <f>IF(I2483="","",IFERROR(VLOOKUP(I2483,Base_Datos!$D$2:$E$72,2,0),""))</f>
        <v>(2.4L)</v>
      </c>
      <c r="K2483" s="3"/>
      <c r="L2483" s="3"/>
      <c r="M2483" s="7">
        <v>0</v>
      </c>
      <c r="N2483" s="7">
        <v>0</v>
      </c>
    </row>
    <row r="2484" spans="1:14" ht="14.25" x14ac:dyDescent="0.2">
      <c r="A2484" s="3">
        <v>99154</v>
      </c>
      <c r="B2484" s="3" t="s">
        <v>4474</v>
      </c>
      <c r="C2484" s="3" t="s">
        <v>27</v>
      </c>
      <c r="D2484" s="6" t="s">
        <v>1782</v>
      </c>
      <c r="E2484" s="6" t="s">
        <v>1782</v>
      </c>
      <c r="F2484" s="3" t="str">
        <f>IFERROR( VLOOKUP(A2484,#REF!,2,0),"")</f>
        <v/>
      </c>
      <c r="G2484" s="3" t="str">
        <f t="array" ref="G2484">_xlfn.XLOOKUP(I2484,Base_Datos!D:D,Base_Datos!B:B,"")</f>
        <v>GAC</v>
      </c>
      <c r="H2484" s="3" t="str">
        <f t="array" ref="H2484">IF(I2484="","",IFERROR(_xlfn.XLOOKUP(I2484,Base_Datos!$D$2:$D3876,Base_Datos!$C$2:$C3876),""))</f>
        <v>Serie Smilodon</v>
      </c>
      <c r="I2484" s="3" t="s">
        <v>1764</v>
      </c>
      <c r="J2484" s="3" t="str">
        <f>IF(I2484="","",IFERROR(VLOOKUP(I2484,Base_Datos!$D$2:$E$72,2,0),""))</f>
        <v>(2.4L)</v>
      </c>
      <c r="K2484" s="3"/>
      <c r="L2484" s="3"/>
      <c r="M2484" s="7">
        <v>0</v>
      </c>
      <c r="N2484" s="7">
        <v>0</v>
      </c>
    </row>
    <row r="2485" spans="1:14" ht="14.25" x14ac:dyDescent="0.2">
      <c r="A2485" s="3">
        <v>99156</v>
      </c>
      <c r="B2485" s="3" t="s">
        <v>4475</v>
      </c>
      <c r="C2485" s="3" t="s">
        <v>27</v>
      </c>
      <c r="D2485" s="6" t="s">
        <v>1782</v>
      </c>
      <c r="E2485" s="6" t="s">
        <v>1782</v>
      </c>
      <c r="F2485" s="3" t="str">
        <f>IFERROR( VLOOKUP(A2485,#REF!,2,0),"")</f>
        <v/>
      </c>
      <c r="G2485" s="3" t="str">
        <f t="array" ref="G2485">_xlfn.XLOOKUP(I2485,Base_Datos!D:D,Base_Datos!B:B,"")</f>
        <v>GAC</v>
      </c>
      <c r="H2485" s="3" t="str">
        <f t="array" ref="H2485">IF(I2485="","",IFERROR(_xlfn.XLOOKUP(I2485,Base_Datos!$D$2:$D3876,Base_Datos!$C$2:$C3876),""))</f>
        <v>Serie GS</v>
      </c>
      <c r="I2485" s="3" t="s">
        <v>1487</v>
      </c>
      <c r="J2485" s="3" t="str">
        <f>IF(I2485="","",IFERROR(VLOOKUP(I2485,Base_Datos!$D$2:$E$72,2,0),""))</f>
        <v>(2.0L)</v>
      </c>
      <c r="K2485" s="3"/>
      <c r="L2485" s="3"/>
      <c r="M2485" s="7">
        <v>0</v>
      </c>
      <c r="N2485" s="7">
        <v>0</v>
      </c>
    </row>
    <row r="2486" spans="1:14" ht="14.25" x14ac:dyDescent="0.2">
      <c r="A2486" s="3">
        <v>99157</v>
      </c>
      <c r="B2486" s="3" t="s">
        <v>1950</v>
      </c>
      <c r="C2486" s="3" t="s">
        <v>27</v>
      </c>
      <c r="D2486" s="6" t="s">
        <v>1782</v>
      </c>
      <c r="E2486" s="6" t="s">
        <v>1782</v>
      </c>
      <c r="F2486" s="3" t="str">
        <f>IFERROR( VLOOKUP(A2486,#REF!,2,0),"")</f>
        <v/>
      </c>
      <c r="G2486" s="3" t="str">
        <f t="array" ref="G2486">_xlfn.XLOOKUP(I2486,Base_Datos!D:D,Base_Datos!B:B,"")</f>
        <v>GAC</v>
      </c>
      <c r="H2486" s="3" t="str">
        <f t="array" ref="H2486">IF(I2486="","",IFERROR(_xlfn.XLOOKUP(I2486,Base_Datos!$D$2:$D3876,Base_Datos!$C$2:$C3876),""))</f>
        <v>Serie Emzoom</v>
      </c>
      <c r="I2486" s="3" t="s">
        <v>1203</v>
      </c>
      <c r="J2486" s="3" t="str">
        <f>IF(I2486="","",IFERROR(VLOOKUP(I2486,Base_Datos!$D$2:$E$72,2,0),""))</f>
        <v>(1.5L)</v>
      </c>
      <c r="K2486" s="3"/>
      <c r="L2486" s="3"/>
      <c r="M2486" s="7">
        <v>0</v>
      </c>
      <c r="N2486" s="7">
        <v>0</v>
      </c>
    </row>
    <row r="2487" spans="1:14" ht="14.25" x14ac:dyDescent="0.2">
      <c r="A2487" s="3">
        <v>99158</v>
      </c>
      <c r="B2487" s="3" t="s">
        <v>2083</v>
      </c>
      <c r="C2487" s="3" t="s">
        <v>27</v>
      </c>
      <c r="D2487" s="6" t="s">
        <v>1782</v>
      </c>
      <c r="E2487" s="6" t="s">
        <v>1782</v>
      </c>
      <c r="F2487" s="3" t="str">
        <f>IFERROR( VLOOKUP(A2487,#REF!,2,0),"")</f>
        <v/>
      </c>
      <c r="G2487" s="3" t="str">
        <f t="array" ref="G2487">_xlfn.XLOOKUP(I2487,Base_Datos!D:D,Base_Datos!B:B,"")</f>
        <v>GAC</v>
      </c>
      <c r="H2487" s="3" t="str">
        <f t="array" ref="H2487">IF(I2487="","",IFERROR(_xlfn.XLOOKUP(I2487,Base_Datos!$D$2:$D3876,Base_Datos!$C$2:$C3876),""))</f>
        <v>Serie Emzoom</v>
      </c>
      <c r="I2487" s="3" t="s">
        <v>1203</v>
      </c>
      <c r="J2487" s="3" t="str">
        <f>IF(I2487="","",IFERROR(VLOOKUP(I2487,Base_Datos!$D$2:$E$72,2,0),""))</f>
        <v>(1.5L)</v>
      </c>
      <c r="K2487" s="3"/>
      <c r="L2487" s="3"/>
      <c r="M2487" s="7">
        <v>0</v>
      </c>
      <c r="N2487" s="7">
        <v>0</v>
      </c>
    </row>
    <row r="2488" spans="1:14" ht="14.25" x14ac:dyDescent="0.2">
      <c r="A2488" s="3">
        <v>99159</v>
      </c>
      <c r="B2488" s="3" t="s">
        <v>2162</v>
      </c>
      <c r="C2488" s="3" t="s">
        <v>27</v>
      </c>
      <c r="D2488" s="6" t="s">
        <v>1782</v>
      </c>
      <c r="E2488" s="6" t="s">
        <v>1782</v>
      </c>
      <c r="F2488" s="3" t="str">
        <f>IFERROR( VLOOKUP(A2488,#REF!,2,0),"")</f>
        <v/>
      </c>
      <c r="G2488" s="3" t="str">
        <f t="array" ref="G2488">_xlfn.XLOOKUP(I2488,Base_Datos!D:D,Base_Datos!B:B,"")</f>
        <v>GAC</v>
      </c>
      <c r="H2488" s="3" t="str">
        <f t="array" ref="H2488">IF(I2488="","",IFERROR(_xlfn.XLOOKUP(I2488,Base_Datos!$D$2:$D3876,Base_Datos!$C$2:$C3876),""))</f>
        <v>Serie Emzoom</v>
      </c>
      <c r="I2488" s="3" t="s">
        <v>1203</v>
      </c>
      <c r="J2488" s="3" t="str">
        <f>IF(I2488="","",IFERROR(VLOOKUP(I2488,Base_Datos!$D$2:$E$72,2,0),""))</f>
        <v>(1.5L)</v>
      </c>
      <c r="K2488" s="3"/>
      <c r="L2488" s="3"/>
      <c r="M2488" s="7">
        <v>0</v>
      </c>
      <c r="N2488" s="7">
        <v>0</v>
      </c>
    </row>
    <row r="2489" spans="1:14" ht="14.25" x14ac:dyDescent="0.2">
      <c r="A2489" s="3">
        <v>99160</v>
      </c>
      <c r="B2489" s="3" t="s">
        <v>4476</v>
      </c>
      <c r="C2489" s="3" t="s">
        <v>27</v>
      </c>
      <c r="D2489" s="6" t="s">
        <v>1782</v>
      </c>
      <c r="E2489" s="6" t="s">
        <v>1782</v>
      </c>
      <c r="F2489" s="3" t="str">
        <f>IFERROR( VLOOKUP(A2489,#REF!,2,0),"")</f>
        <v/>
      </c>
      <c r="G2489" s="3" t="str">
        <f t="array" ref="G2489">_xlfn.XLOOKUP(I2489,Base_Datos!D:D,Base_Datos!B:B,"")</f>
        <v>GAC</v>
      </c>
      <c r="H2489" s="3" t="str">
        <f t="array" ref="H2489">IF(I2489="","",IFERROR(_xlfn.XLOOKUP(I2489,Base_Datos!$D$2:$D3876,Base_Datos!$C$2:$C3876),""))</f>
        <v>Serie Empow</v>
      </c>
      <c r="I2489" s="3" t="s">
        <v>1180</v>
      </c>
      <c r="J2489" s="3" t="str">
        <f>IF(I2489="","",IFERROR(VLOOKUP(I2489,Base_Datos!$D$2:$E$72,2,0),""))</f>
        <v>(1.5L)</v>
      </c>
      <c r="K2489" s="3"/>
      <c r="L2489" s="3"/>
      <c r="M2489" s="7">
        <v>1</v>
      </c>
      <c r="N2489" s="7">
        <v>0</v>
      </c>
    </row>
    <row r="2490" spans="1:14" ht="14.25" x14ac:dyDescent="0.2">
      <c r="A2490" s="3">
        <v>99161</v>
      </c>
      <c r="B2490" s="3" t="s">
        <v>4477</v>
      </c>
      <c r="C2490" s="3" t="s">
        <v>27</v>
      </c>
      <c r="D2490" s="6" t="s">
        <v>1782</v>
      </c>
      <c r="E2490" s="6" t="s">
        <v>1782</v>
      </c>
      <c r="F2490" s="3" t="str">
        <f>IFERROR( VLOOKUP(A2490,#REF!,2,0),"")</f>
        <v/>
      </c>
      <c r="G2490" s="3">
        <f t="array" ref="G2490">_xlfn.XLOOKUP(I2490,Base_Datos!D:D,Base_Datos!B:B,"")</f>
        <v>0</v>
      </c>
      <c r="H2490" s="3" t="str">
        <f t="array" ref="H2490">IF(I2490="","",IFERROR(_xlfn.XLOOKUP(I2490,Base_Datos!$D$2:$D3876,Base_Datos!$C$2:$C3876),""))</f>
        <v/>
      </c>
      <c r="I2490" s="3"/>
      <c r="J2490" s="3" t="str">
        <f>IF(I2490="","",IFERROR(VLOOKUP(I2490,Base_Datos!$D$2:$E$72,2,0),""))</f>
        <v/>
      </c>
      <c r="K2490" s="3"/>
      <c r="L2490" s="3"/>
      <c r="M2490" s="7">
        <v>0</v>
      </c>
      <c r="N2490" s="7">
        <v>0</v>
      </c>
    </row>
    <row r="2491" spans="1:14" ht="14.25" x14ac:dyDescent="0.2">
      <c r="A2491" s="3">
        <v>99162</v>
      </c>
      <c r="B2491" s="3" t="s">
        <v>4478</v>
      </c>
      <c r="C2491" s="3" t="s">
        <v>27</v>
      </c>
      <c r="D2491" s="6" t="s">
        <v>997</v>
      </c>
      <c r="E2491" s="6" t="s">
        <v>997</v>
      </c>
      <c r="F2491" s="3" t="str">
        <f>IFERROR( VLOOKUP(A2491,#REF!,2,0),"")</f>
        <v/>
      </c>
      <c r="G2491" s="3" t="str">
        <f t="array" ref="G2491">_xlfn.XLOOKUP(I2491,Base_Datos!D:D,Base_Datos!B:B,"")</f>
        <v>GAC</v>
      </c>
      <c r="H2491" s="3" t="str">
        <f t="array" ref="H2491">IF(I2491="","",IFERROR(_xlfn.XLOOKUP(I2491,Base_Datos!$D$2:$D3876,Base_Datos!$C$2:$C3876),""))</f>
        <v>Serie Smilodon</v>
      </c>
      <c r="I2491" s="3" t="s">
        <v>1764</v>
      </c>
      <c r="J2491" s="3" t="str">
        <f>IF(I2491="","",IFERROR(VLOOKUP(I2491,Base_Datos!$D$2:$E$72,2,0),""))</f>
        <v>(2.4L)</v>
      </c>
      <c r="K2491" s="3" t="s">
        <v>3884</v>
      </c>
      <c r="L2491" s="3"/>
      <c r="M2491" s="7">
        <v>0</v>
      </c>
      <c r="N2491" s="7">
        <v>0</v>
      </c>
    </row>
    <row r="2492" spans="1:14" ht="14.25" x14ac:dyDescent="0.2">
      <c r="A2492" s="3">
        <v>99460</v>
      </c>
      <c r="B2492" s="3" t="s">
        <v>4479</v>
      </c>
      <c r="C2492" s="3" t="s">
        <v>2</v>
      </c>
      <c r="D2492" s="6" t="s">
        <v>1782</v>
      </c>
      <c r="E2492" s="6" t="s">
        <v>1782</v>
      </c>
      <c r="F2492" s="3" t="str">
        <f>IFERROR( VLOOKUP(A2492,#REF!,2,0),"")</f>
        <v/>
      </c>
      <c r="G2492" s="3">
        <f t="array" ref="G2492">_xlfn.XLOOKUP(I2492,Base_Datos!D:D,Base_Datos!B:B,"")</f>
        <v>0</v>
      </c>
      <c r="H2492" s="3" t="str">
        <f t="array" ref="H2492">IF(I2492="","",IFERROR(_xlfn.XLOOKUP(I2492,Base_Datos!$D$2:$D3876,Base_Datos!$C$2:$C3876),""))</f>
        <v/>
      </c>
      <c r="I2492" s="3"/>
      <c r="J2492" s="3" t="str">
        <f>IF(I2492="","",IFERROR(VLOOKUP(I2492,Base_Datos!$D$2:$E$72,2,0),""))</f>
        <v/>
      </c>
      <c r="K2492" s="3"/>
      <c r="L2492" s="3"/>
      <c r="M2492" s="7">
        <v>1</v>
      </c>
      <c r="N2492" s="7">
        <v>0</v>
      </c>
    </row>
    <row r="2493" spans="1:14" ht="14.25" x14ac:dyDescent="0.2">
      <c r="A2493" s="3">
        <v>99461</v>
      </c>
      <c r="B2493" s="3" t="s">
        <v>4480</v>
      </c>
      <c r="C2493" s="3" t="s">
        <v>2</v>
      </c>
      <c r="D2493" s="6" t="s">
        <v>1782</v>
      </c>
      <c r="E2493" s="6" t="s">
        <v>1782</v>
      </c>
      <c r="F2493" s="3" t="str">
        <f>IFERROR( VLOOKUP(A2493,#REF!,2,0),"")</f>
        <v/>
      </c>
      <c r="G2493" s="3">
        <f t="array" ref="G2493">_xlfn.XLOOKUP(I2493,Base_Datos!D:D,Base_Datos!B:B,"")</f>
        <v>0</v>
      </c>
      <c r="H2493" s="3" t="str">
        <f t="array" ref="H2493">IF(I2493="","",IFERROR(_xlfn.XLOOKUP(I2493,Base_Datos!$D$2:$D3876,Base_Datos!$C$2:$C3876),""))</f>
        <v/>
      </c>
      <c r="I2493" s="3"/>
      <c r="J2493" s="3" t="str">
        <f>IF(I2493="","",IFERROR(VLOOKUP(I2493,Base_Datos!$D$2:$E$72,2,0),""))</f>
        <v/>
      </c>
      <c r="K2493" s="3"/>
      <c r="L2493" s="3"/>
      <c r="M2493" s="7">
        <v>0</v>
      </c>
      <c r="N2493" s="7">
        <v>0</v>
      </c>
    </row>
    <row r="2494" spans="1:14" ht="14.25" x14ac:dyDescent="0.2">
      <c r="A2494" s="3">
        <v>99469</v>
      </c>
      <c r="B2494" s="3" t="s">
        <v>4481</v>
      </c>
      <c r="C2494" s="3" t="s">
        <v>2</v>
      </c>
      <c r="D2494" s="6" t="s">
        <v>1782</v>
      </c>
      <c r="E2494" s="6" t="s">
        <v>1782</v>
      </c>
      <c r="F2494" s="3" t="str">
        <f>IFERROR( VLOOKUP(A2494,#REF!,2,0),"")</f>
        <v/>
      </c>
      <c r="G2494" s="3">
        <f t="array" ref="G2494">_xlfn.XLOOKUP(I2494,Base_Datos!D:D,Base_Datos!B:B,"")</f>
        <v>0</v>
      </c>
      <c r="H2494" s="3" t="str">
        <f t="array" ref="H2494">IF(I2494="","",IFERROR(_xlfn.XLOOKUP(I2494,Base_Datos!$D$2:$D3876,Base_Datos!$C$2:$C3876),""))</f>
        <v/>
      </c>
      <c r="I2494" s="3"/>
      <c r="J2494" s="3" t="str">
        <f>IF(I2494="","",IFERROR(VLOOKUP(I2494,Base_Datos!$D$2:$E$72,2,0),""))</f>
        <v/>
      </c>
      <c r="K2494" s="3" t="s">
        <v>4447</v>
      </c>
      <c r="L2494" s="3"/>
      <c r="M2494" s="7">
        <v>0</v>
      </c>
      <c r="N2494" s="7">
        <v>0</v>
      </c>
    </row>
    <row r="2495" spans="1:14" ht="14.25" x14ac:dyDescent="0.2">
      <c r="A2495" s="3">
        <v>99470</v>
      </c>
      <c r="B2495" s="3" t="s">
        <v>4482</v>
      </c>
      <c r="C2495" s="3" t="s">
        <v>2</v>
      </c>
      <c r="D2495" s="6" t="s">
        <v>333</v>
      </c>
      <c r="E2495" s="6" t="s">
        <v>333</v>
      </c>
      <c r="F2495" s="3" t="str">
        <f>IFERROR( VLOOKUP(A2495,#REF!,2,0),"")</f>
        <v/>
      </c>
      <c r="G2495" s="3">
        <f t="array" ref="G2495">_xlfn.XLOOKUP(I2495,Base_Datos!D:D,Base_Datos!B:B,"")</f>
        <v>0</v>
      </c>
      <c r="H2495" s="3" t="str">
        <f t="array" ref="H2495">IF(I2495="","",IFERROR(_xlfn.XLOOKUP(I2495,Base_Datos!$D$2:$D3876,Base_Datos!$C$2:$C3876),""))</f>
        <v/>
      </c>
      <c r="I2495" s="3"/>
      <c r="J2495" s="3" t="str">
        <f>IF(I2495="","",IFERROR(VLOOKUP(I2495,Base_Datos!$D$2:$E$72,2,0),""))</f>
        <v/>
      </c>
      <c r="K2495" s="3"/>
      <c r="L2495" s="3"/>
      <c r="M2495" s="7">
        <v>1</v>
      </c>
      <c r="N2495" s="7">
        <v>0</v>
      </c>
    </row>
    <row r="2496" spans="1:14" ht="14.25" x14ac:dyDescent="0.2">
      <c r="A2496" s="3">
        <v>99471</v>
      </c>
      <c r="B2496" s="3" t="s">
        <v>4483</v>
      </c>
      <c r="C2496" s="3" t="s">
        <v>2</v>
      </c>
      <c r="D2496" s="6" t="s">
        <v>1782</v>
      </c>
      <c r="E2496" s="6" t="s">
        <v>1782</v>
      </c>
      <c r="F2496" s="3" t="str">
        <f>IFERROR( VLOOKUP(A2496,#REF!,2,0),"")</f>
        <v/>
      </c>
      <c r="G2496" s="3" t="str">
        <f t="array" ref="G2496">_xlfn.XLOOKUP(I2496,Base_Datos!D:D,Base_Datos!B:B,"")</f>
        <v>VALVOLINE</v>
      </c>
      <c r="H2496" s="3" t="str">
        <f t="array" ref="H2496">IF(I2496="","",IFERROR(_xlfn.XLOOKUP(I2496,Base_Datos!$D$2:$D3876,Base_Datos!$C$2:$C3876),""))</f>
        <v>MOTOR</v>
      </c>
      <c r="I2496" s="3" t="s">
        <v>4356</v>
      </c>
      <c r="J2496" s="3" t="str">
        <f>IF(I2496="","",IFERROR(VLOOKUP(I2496,Base_Datos!$D$2:$E$72,2,0),""))</f>
        <v>SINTETICO</v>
      </c>
      <c r="K2496" s="3"/>
      <c r="L2496" s="3"/>
      <c r="M2496" s="7">
        <v>0</v>
      </c>
      <c r="N2496" s="7">
        <v>0</v>
      </c>
    </row>
    <row r="2497" spans="1:14" ht="14.25" x14ac:dyDescent="0.2">
      <c r="A2497" s="3">
        <v>99472</v>
      </c>
      <c r="B2497" s="9" t="s">
        <v>4484</v>
      </c>
      <c r="C2497" s="3" t="s">
        <v>2</v>
      </c>
      <c r="D2497" s="6" t="s">
        <v>1782</v>
      </c>
      <c r="E2497" s="6" t="s">
        <v>1782</v>
      </c>
      <c r="F2497" s="3" t="str">
        <f>IFERROR( VLOOKUP(A2497,#REF!,2,0),"")</f>
        <v/>
      </c>
      <c r="G2497" s="3" t="str">
        <f t="array" ref="G2497">_xlfn.XLOOKUP(I2497,Base_Datos!D:D,Base_Datos!B:B,"")</f>
        <v>GAC</v>
      </c>
      <c r="H2497" s="3" t="str">
        <f t="array" ref="H2497">IF(I2497="","",IFERROR(_xlfn.XLOOKUP(I2497,Base_Datos!$D$2:$D3876,Base_Datos!$C$2:$C3876),""))</f>
        <v>Serie GS</v>
      </c>
      <c r="I2497" s="3" t="s">
        <v>4485</v>
      </c>
      <c r="J2497" s="3" t="str">
        <f>IF(I2497="","",IFERROR(VLOOKUP(I2497,Base_Datos!$D$2:$E$72,2,0),""))</f>
        <v>(1.5L)</v>
      </c>
      <c r="K2497" s="3"/>
      <c r="L2497" s="3"/>
      <c r="M2497" s="7">
        <v>1</v>
      </c>
      <c r="N2497" s="7">
        <v>0</v>
      </c>
    </row>
    <row r="2498" spans="1:14" ht="14.25" x14ac:dyDescent="0.2">
      <c r="A2498" s="3">
        <v>99473</v>
      </c>
      <c r="B2498" s="3" t="s">
        <v>3071</v>
      </c>
      <c r="C2498" s="3" t="s">
        <v>2</v>
      </c>
      <c r="D2498" s="6" t="s">
        <v>1782</v>
      </c>
      <c r="E2498" s="6" t="s">
        <v>1782</v>
      </c>
      <c r="F2498" s="3" t="str">
        <f>IFERROR( VLOOKUP(A2498,#REF!,2,0),"")</f>
        <v/>
      </c>
      <c r="G2498" s="3">
        <f t="array" ref="G2498">_xlfn.XLOOKUP(I2498,Base_Datos!D:D,Base_Datos!B:B,"")</f>
        <v>0</v>
      </c>
      <c r="H2498" s="3" t="str">
        <f t="array" ref="H2498">IF(I2498="","",IFERROR(_xlfn.XLOOKUP(I2498,Base_Datos!$D$2:$D3876,Base_Datos!$C$2:$C3876),""))</f>
        <v/>
      </c>
      <c r="I2498" s="3"/>
      <c r="J2498" s="3" t="str">
        <f>IF(I2498="","",IFERROR(VLOOKUP(I2498,Base_Datos!$D$2:$E$72,2,0),""))</f>
        <v/>
      </c>
      <c r="K2498" s="3"/>
      <c r="L2498" s="3"/>
      <c r="M2498" s="7">
        <v>0</v>
      </c>
      <c r="N2498" s="7">
        <v>0</v>
      </c>
    </row>
    <row r="2499" spans="1:14" ht="14.25" x14ac:dyDescent="0.2">
      <c r="A2499" s="3">
        <v>99474</v>
      </c>
      <c r="B2499" s="3" t="s">
        <v>4486</v>
      </c>
      <c r="C2499" s="3" t="s">
        <v>2</v>
      </c>
      <c r="D2499" s="6" t="s">
        <v>1782</v>
      </c>
      <c r="E2499" s="6" t="s">
        <v>1782</v>
      </c>
      <c r="F2499" s="3" t="str">
        <f>IFERROR( VLOOKUP(A2499,#REF!,2,0),"")</f>
        <v/>
      </c>
      <c r="G2499" s="3">
        <f t="array" ref="G2499">_xlfn.XLOOKUP(I2499,Base_Datos!D:D,Base_Datos!B:B,"")</f>
        <v>0</v>
      </c>
      <c r="H2499" s="3" t="str">
        <f t="array" ref="H2499">IF(I2499="","",IFERROR(_xlfn.XLOOKUP(I2499,Base_Datos!$D$2:$D3876,Base_Datos!$C$2:$C3876),""))</f>
        <v/>
      </c>
      <c r="I2499" s="3"/>
      <c r="J2499" s="3" t="str">
        <f>IF(I2499="","",IFERROR(VLOOKUP(I2499,Base_Datos!$D$2:$E$72,2,0),""))</f>
        <v/>
      </c>
      <c r="K2499" s="3"/>
      <c r="L2499" s="3"/>
      <c r="M2499" s="7">
        <v>0</v>
      </c>
      <c r="N2499" s="7">
        <v>0</v>
      </c>
    </row>
    <row r="2500" spans="1:14" ht="14.25" x14ac:dyDescent="0.2">
      <c r="A2500" s="3">
        <v>99475</v>
      </c>
      <c r="B2500" s="3" t="s">
        <v>4487</v>
      </c>
      <c r="C2500" s="3" t="s">
        <v>2</v>
      </c>
      <c r="D2500" s="6" t="s">
        <v>1782</v>
      </c>
      <c r="E2500" s="6" t="s">
        <v>1782</v>
      </c>
      <c r="F2500" s="3" t="str">
        <f>IFERROR( VLOOKUP(A2500,#REF!,2,0),"")</f>
        <v/>
      </c>
      <c r="G2500" s="3">
        <f t="array" ref="G2500">_xlfn.XLOOKUP(I2500,Base_Datos!D:D,Base_Datos!B:B,"")</f>
        <v>0</v>
      </c>
      <c r="H2500" s="3" t="str">
        <f t="array" ref="H2500">IF(I2500="","",IFERROR(_xlfn.XLOOKUP(I2500,Base_Datos!$D$2:$D3876,Base_Datos!$C$2:$C3876),""))</f>
        <v/>
      </c>
      <c r="I2500" s="3"/>
      <c r="J2500" s="3" t="str">
        <f>IF(I2500="","",IFERROR(VLOOKUP(I2500,Base_Datos!$D$2:$E$72,2,0),""))</f>
        <v/>
      </c>
      <c r="K2500" s="3"/>
      <c r="L2500" s="3"/>
      <c r="M2500" s="7">
        <v>0</v>
      </c>
      <c r="N2500" s="7">
        <v>0</v>
      </c>
    </row>
    <row r="2501" spans="1:14" ht="14.25" x14ac:dyDescent="0.2">
      <c r="A2501" s="3">
        <v>99476</v>
      </c>
      <c r="B2501" s="8" t="s">
        <v>4488</v>
      </c>
      <c r="C2501" s="3" t="s">
        <v>2</v>
      </c>
      <c r="D2501" s="6" t="s">
        <v>1782</v>
      </c>
      <c r="E2501" s="6" t="s">
        <v>1782</v>
      </c>
      <c r="F2501" s="3" t="str">
        <f>IFERROR( VLOOKUP(A2501,#REF!,2,0),"")</f>
        <v/>
      </c>
      <c r="G2501" s="3">
        <f t="array" ref="G2501">_xlfn.XLOOKUP(I2501,Base_Datos!D:D,Base_Datos!B:B,"")</f>
        <v>0</v>
      </c>
      <c r="H2501" s="3" t="str">
        <f t="array" ref="H2501">IF(I2501="","",IFERROR(_xlfn.XLOOKUP(I2501,Base_Datos!$D$2:$D3876,Base_Datos!$C$2:$C3876),""))</f>
        <v/>
      </c>
      <c r="I2501" s="3"/>
      <c r="J2501" s="3" t="str">
        <f>IF(I2501="","",IFERROR(VLOOKUP(I2501,Base_Datos!$D$2:$E$72,2,0),""))</f>
        <v/>
      </c>
      <c r="K2501" s="3"/>
      <c r="L2501" s="3"/>
      <c r="M2501" s="7">
        <v>1</v>
      </c>
      <c r="N2501" s="7">
        <v>0</v>
      </c>
    </row>
    <row r="2502" spans="1:14" ht="14.25" x14ac:dyDescent="0.2">
      <c r="A2502" s="3">
        <v>99477</v>
      </c>
      <c r="B2502" s="8" t="s">
        <v>4489</v>
      </c>
      <c r="C2502" s="3" t="s">
        <v>2</v>
      </c>
      <c r="D2502" s="6" t="s">
        <v>1782</v>
      </c>
      <c r="E2502" s="6" t="s">
        <v>1782</v>
      </c>
      <c r="F2502" s="3" t="str">
        <f>IFERROR( VLOOKUP(A2502,#REF!,2,0),"")</f>
        <v/>
      </c>
      <c r="G2502" s="3" t="str">
        <f t="array" ref="G2502">_xlfn.XLOOKUP(I2502,Base_Datos!D:D,Base_Datos!B:B,"")</f>
        <v>VALVOLINE</v>
      </c>
      <c r="H2502" s="3" t="str">
        <f t="array" ref="H2502">IF(I2502="","",IFERROR(_xlfn.XLOOKUP(I2502,Base_Datos!$D$2:$D3876,Base_Datos!$C$2:$C3876),""))</f>
        <v>MOTOR</v>
      </c>
      <c r="I2502" s="3" t="s">
        <v>4354</v>
      </c>
      <c r="J2502" s="3" t="str">
        <f>IF(I2502="","",IFERROR(VLOOKUP(I2502,Base_Datos!$D$2:$E$72,2,0),""))</f>
        <v>SINTETICO</v>
      </c>
      <c r="K2502" s="3"/>
      <c r="L2502" s="3"/>
      <c r="M2502" s="7">
        <v>4</v>
      </c>
      <c r="N2502" s="7">
        <v>0</v>
      </c>
    </row>
    <row r="2503" spans="1:14" ht="14.25" x14ac:dyDescent="0.2">
      <c r="A2503" s="3">
        <v>99478</v>
      </c>
      <c r="B2503" s="9" t="s">
        <v>4490</v>
      </c>
      <c r="C2503" s="3" t="s">
        <v>2</v>
      </c>
      <c r="D2503" s="6" t="s">
        <v>1782</v>
      </c>
      <c r="E2503" s="6" t="s">
        <v>1782</v>
      </c>
      <c r="F2503" s="3" t="str">
        <f>IFERROR( VLOOKUP(A2503,#REF!,2,0),"")</f>
        <v/>
      </c>
      <c r="G2503" s="3">
        <f t="array" ref="G2503">_xlfn.XLOOKUP(I2503,Base_Datos!D:D,Base_Datos!B:B,"")</f>
        <v>0</v>
      </c>
      <c r="H2503" s="3" t="str">
        <f t="array" ref="H2503">IF(I2503="","",IFERROR(_xlfn.XLOOKUP(I2503,Base_Datos!$D$2:$D3876,Base_Datos!$C$2:$C3876),""))</f>
        <v/>
      </c>
      <c r="I2503" s="3"/>
      <c r="J2503" s="3" t="str">
        <f>IF(I2503="","",IFERROR(VLOOKUP(I2503,Base_Datos!$D$2:$E$72,2,0),""))</f>
        <v/>
      </c>
      <c r="K2503" s="3"/>
      <c r="L2503" s="3"/>
      <c r="M2503" s="7">
        <v>0</v>
      </c>
      <c r="N2503" s="7">
        <v>0</v>
      </c>
    </row>
    <row r="2504" spans="1:14" ht="14.25" x14ac:dyDescent="0.2">
      <c r="A2504" s="3">
        <v>99479</v>
      </c>
      <c r="B2504" s="3" t="s">
        <v>4491</v>
      </c>
      <c r="C2504" s="3" t="s">
        <v>2</v>
      </c>
      <c r="D2504" s="6" t="s">
        <v>1782</v>
      </c>
      <c r="E2504" s="6" t="s">
        <v>1782</v>
      </c>
      <c r="F2504" s="3" t="str">
        <f>IFERROR( VLOOKUP(A2504,#REF!,2,0),"")</f>
        <v/>
      </c>
      <c r="G2504" s="3">
        <f t="array" ref="G2504">_xlfn.XLOOKUP(I2504,Base_Datos!D:D,Base_Datos!B:B,"")</f>
        <v>0</v>
      </c>
      <c r="H2504" s="3" t="str">
        <f t="array" ref="H2504">IF(I2504="","",IFERROR(_xlfn.XLOOKUP(I2504,Base_Datos!$D$2:$D3876,Base_Datos!$C$2:$C3876),""))</f>
        <v/>
      </c>
      <c r="I2504" s="3"/>
      <c r="J2504" s="3" t="str">
        <f>IF(I2504="","",IFERROR(VLOOKUP(I2504,Base_Datos!$D$2:$E$72,2,0),""))</f>
        <v/>
      </c>
      <c r="K2504" s="3"/>
      <c r="L2504" s="3"/>
      <c r="M2504" s="7">
        <v>0</v>
      </c>
      <c r="N2504" s="7">
        <v>0</v>
      </c>
    </row>
    <row r="2505" spans="1:14" ht="14.25" x14ac:dyDescent="0.2">
      <c r="A2505" s="3">
        <v>99480</v>
      </c>
      <c r="B2505" s="3" t="s">
        <v>4492</v>
      </c>
      <c r="C2505" s="3" t="s">
        <v>2</v>
      </c>
      <c r="D2505" s="6" t="s">
        <v>1782</v>
      </c>
      <c r="E2505" s="6" t="s">
        <v>1782</v>
      </c>
      <c r="F2505" s="3" t="str">
        <f>IFERROR( VLOOKUP(A2505,#REF!,2,0),"")</f>
        <v/>
      </c>
      <c r="G2505" s="3">
        <f t="array" ref="G2505">_xlfn.XLOOKUP(I2505,Base_Datos!D:D,Base_Datos!B:B,"")</f>
        <v>0</v>
      </c>
      <c r="H2505" s="3" t="str">
        <f t="array" ref="H2505">IF(I2505="","",IFERROR(_xlfn.XLOOKUP(I2505,Base_Datos!$D$2:$D3876,Base_Datos!$C$2:$C3876),""))</f>
        <v/>
      </c>
      <c r="I2505" s="3"/>
      <c r="J2505" s="3" t="str">
        <f>IF(I2505="","",IFERROR(VLOOKUP(I2505,Base_Datos!$D$2:$E$72,2,0),""))</f>
        <v/>
      </c>
      <c r="K2505" s="3"/>
      <c r="L2505" s="3"/>
      <c r="M2505" s="7">
        <v>0</v>
      </c>
      <c r="N2505" s="7">
        <v>0</v>
      </c>
    </row>
    <row r="2506" spans="1:14" ht="14.25" x14ac:dyDescent="0.2">
      <c r="A2506" s="3">
        <v>99482</v>
      </c>
      <c r="B2506" s="3" t="s">
        <v>4493</v>
      </c>
      <c r="C2506" s="3" t="s">
        <v>2</v>
      </c>
      <c r="D2506" s="6" t="s">
        <v>1782</v>
      </c>
      <c r="E2506" s="6" t="s">
        <v>1782</v>
      </c>
      <c r="F2506" s="3" t="str">
        <f>IFERROR( VLOOKUP(A2506,#REF!,2,0),"")</f>
        <v/>
      </c>
      <c r="G2506" s="3" t="str">
        <f t="array" ref="G2506">_xlfn.XLOOKUP(I2506,Base_Datos!D:D,Base_Datos!B:B,"")</f>
        <v>VALVOLINE</v>
      </c>
      <c r="H2506" s="3" t="str">
        <f t="array" ref="H2506">IF(I2506="","",IFERROR(_xlfn.XLOOKUP(I2506,Base_Datos!$D$2:$D3876,Base_Datos!$C$2:$C3876),""))</f>
        <v>MOTOR</v>
      </c>
      <c r="I2506" s="3" t="s">
        <v>4354</v>
      </c>
      <c r="J2506" s="3" t="str">
        <f>IF(I2506="","",IFERROR(VLOOKUP(I2506,Base_Datos!$D$2:$E$72,2,0),""))</f>
        <v>SINTETICO</v>
      </c>
      <c r="K2506" s="3"/>
      <c r="L2506" s="3"/>
      <c r="M2506" s="7">
        <v>161</v>
      </c>
      <c r="N2506" s="7">
        <v>0</v>
      </c>
    </row>
    <row r="2507" spans="1:14" ht="14.25" x14ac:dyDescent="0.2">
      <c r="A2507" s="3">
        <v>99483</v>
      </c>
      <c r="B2507" s="3" t="s">
        <v>4494</v>
      </c>
      <c r="C2507" s="3" t="s">
        <v>2</v>
      </c>
      <c r="D2507" s="6" t="s">
        <v>4456</v>
      </c>
      <c r="E2507" s="6" t="s">
        <v>4456</v>
      </c>
      <c r="F2507" s="3" t="str">
        <f>IFERROR( VLOOKUP(A2507,#REF!,2,0),"")</f>
        <v/>
      </c>
      <c r="G2507" s="3" t="str">
        <f t="array" ref="G2507">_xlfn.XLOOKUP(I2507,Base_Datos!D:D,Base_Datos!B:B,"")</f>
        <v>DFSK</v>
      </c>
      <c r="H2507" s="3" t="str">
        <f t="array" ref="H2507">IF(I2507="","",IFERROR(_xlfn.XLOOKUP(I2507,Base_Datos!$D$2:$D3876,Base_Datos!$C$2:$C3876),""))</f>
        <v>Serie D</v>
      </c>
      <c r="I2507" s="3" t="s">
        <v>145</v>
      </c>
      <c r="J2507" s="3" t="str">
        <f>IF(I2507="","",IFERROR(VLOOKUP(I2507,Base_Datos!$D$2:$E$72,2,0),""))</f>
        <v>(2.4L)</v>
      </c>
      <c r="K2507" s="3" t="s">
        <v>4447</v>
      </c>
      <c r="L2507" s="3"/>
      <c r="M2507" s="7">
        <v>0</v>
      </c>
      <c r="N2507" s="7">
        <v>0</v>
      </c>
    </row>
    <row r="2508" spans="1:14" ht="14.25" x14ac:dyDescent="0.2">
      <c r="A2508" s="3">
        <v>99484</v>
      </c>
      <c r="B2508" s="8" t="s">
        <v>4495</v>
      </c>
      <c r="C2508" s="3" t="s">
        <v>2</v>
      </c>
      <c r="D2508" s="6" t="s">
        <v>4456</v>
      </c>
      <c r="E2508" s="6" t="s">
        <v>4456</v>
      </c>
      <c r="F2508" s="3" t="str">
        <f>IFERROR( VLOOKUP(A2508,#REF!,2,0),"")</f>
        <v/>
      </c>
      <c r="G2508" s="3" t="str">
        <f t="array" ref="G2508">_xlfn.XLOOKUP(I2508,Base_Datos!D:D,Base_Datos!B:B,"")</f>
        <v>GAC</v>
      </c>
      <c r="H2508" s="3" t="str">
        <f t="array" ref="H2508">IF(I2508="","",IFERROR(_xlfn.XLOOKUP(I2508,Base_Datos!$D$2:$D3876,Base_Datos!$C$2:$C3876),""))</f>
        <v>Serie GS</v>
      </c>
      <c r="I2508" s="3" t="s">
        <v>1487</v>
      </c>
      <c r="J2508" s="3" t="str">
        <f>IF(I2508="","",IFERROR(VLOOKUP(I2508,Base_Datos!$D$2:$E$72,2,0),""))</f>
        <v>(2.0L)</v>
      </c>
      <c r="K2508" s="3"/>
      <c r="L2508" s="3"/>
      <c r="M2508" s="7">
        <v>57</v>
      </c>
      <c r="N2508" s="7">
        <v>0</v>
      </c>
    </row>
    <row r="2509" spans="1:14" ht="14.25" x14ac:dyDescent="0.2">
      <c r="A2509" s="3">
        <v>99485</v>
      </c>
      <c r="B2509" s="8" t="s">
        <v>1925</v>
      </c>
      <c r="C2509" s="3" t="s">
        <v>2</v>
      </c>
      <c r="D2509" s="6" t="s">
        <v>4496</v>
      </c>
      <c r="E2509" s="6" t="s">
        <v>4496</v>
      </c>
      <c r="F2509" s="3" t="str">
        <f>IFERROR( VLOOKUP(A2509,#REF!,2,0),"")</f>
        <v/>
      </c>
      <c r="G2509" s="3" t="str">
        <f t="array" ref="G2509">_xlfn.XLOOKUP(I2509,Base_Datos!D:D,Base_Datos!B:B,"")</f>
        <v>GAC</v>
      </c>
      <c r="H2509" s="3" t="str">
        <f t="array" ref="H2509">IF(I2509="","",IFERROR(_xlfn.XLOOKUP(I2509,Base_Datos!$D$2:$D3876,Base_Datos!$C$2:$C3876),""))</f>
        <v>Serie GS</v>
      </c>
      <c r="I2509" s="3" t="s">
        <v>4485</v>
      </c>
      <c r="J2509" s="3" t="str">
        <f>IF(I2509="","",IFERROR(VLOOKUP(I2509,Base_Datos!$D$2:$E$72,2,0),""))</f>
        <v>(1.5L)</v>
      </c>
      <c r="K2509" s="3" t="s">
        <v>4497</v>
      </c>
      <c r="L2509" s="3"/>
      <c r="M2509" s="7">
        <v>120</v>
      </c>
      <c r="N2509" s="7">
        <v>0</v>
      </c>
    </row>
    <row r="2510" spans="1:14" ht="14.25" x14ac:dyDescent="0.2">
      <c r="A2510" s="3">
        <v>99486</v>
      </c>
      <c r="B2510" s="9" t="s">
        <v>2275</v>
      </c>
      <c r="C2510" s="3" t="s">
        <v>2</v>
      </c>
      <c r="D2510" s="6" t="s">
        <v>4498</v>
      </c>
      <c r="E2510" s="6" t="s">
        <v>4498</v>
      </c>
      <c r="F2510" s="3" t="str">
        <f>IFERROR( VLOOKUP(A2510,#REF!,2,0),"")</f>
        <v/>
      </c>
      <c r="G2510" s="3" t="str">
        <f t="array" ref="G2510">_xlfn.XLOOKUP(I2510,Base_Datos!D:D,Base_Datos!B:B,"")</f>
        <v>DFSK</v>
      </c>
      <c r="H2510" s="3" t="str">
        <f t="array" ref="H2510">IF(I2510="","",IFERROR(_xlfn.XLOOKUP(I2510,Base_Datos!$D$2:$D3876,Base_Datos!$C$2:$C3876),""))</f>
        <v>Serie Glory</v>
      </c>
      <c r="I2510" s="3" t="s">
        <v>1754</v>
      </c>
      <c r="J2510" s="3" t="str">
        <f>IF(I2510="","",IFERROR(VLOOKUP(I2510,Base_Datos!$D$2:$E$72,2,0),""))</f>
        <v>(1.5L)</v>
      </c>
      <c r="K2510" s="3" t="s">
        <v>1805</v>
      </c>
      <c r="L2510" s="3"/>
      <c r="M2510" s="7">
        <v>0</v>
      </c>
      <c r="N2510" s="7">
        <v>0</v>
      </c>
    </row>
    <row r="2511" spans="1:14" ht="14.25" x14ac:dyDescent="0.2">
      <c r="A2511" s="3">
        <v>99487</v>
      </c>
      <c r="B2511" s="3" t="s">
        <v>4499</v>
      </c>
      <c r="C2511" s="3" t="s">
        <v>2</v>
      </c>
      <c r="D2511" s="6" t="s">
        <v>4498</v>
      </c>
      <c r="E2511" s="6" t="s">
        <v>4498</v>
      </c>
      <c r="F2511" s="3" t="str">
        <f>IFERROR( VLOOKUP(A2511,#REF!,2,0),"")</f>
        <v/>
      </c>
      <c r="G2511" s="3" t="str">
        <f t="array" ref="G2511">_xlfn.XLOOKUP(I2511,Base_Datos!D:D,Base_Datos!B:B,"")</f>
        <v>DFSK</v>
      </c>
      <c r="H2511" s="3" t="str">
        <f t="array" ref="H2511">IF(I2511="","",IFERROR(_xlfn.XLOOKUP(I2511,Base_Datos!$D$2:$D3876,Base_Datos!$C$2:$C3876),""))</f>
        <v>Serie D</v>
      </c>
      <c r="I2511" s="3" t="s">
        <v>145</v>
      </c>
      <c r="J2511" s="3" t="str">
        <f>IF(I2511="","",IFERROR(VLOOKUP(I2511,Base_Datos!$D$2:$E$72,2,0),""))</f>
        <v>(2.4L)</v>
      </c>
      <c r="K2511" s="3"/>
      <c r="L2511" s="3"/>
      <c r="M2511" s="7">
        <v>0</v>
      </c>
      <c r="N2511" s="7">
        <v>0</v>
      </c>
    </row>
    <row r="2512" spans="1:14" ht="14.25" x14ac:dyDescent="0.2">
      <c r="A2512" s="3">
        <v>99488</v>
      </c>
      <c r="B2512" s="8" t="s">
        <v>4500</v>
      </c>
      <c r="C2512" s="3" t="s">
        <v>2</v>
      </c>
      <c r="D2512" s="6" t="s">
        <v>672</v>
      </c>
      <c r="E2512" s="6" t="s">
        <v>672</v>
      </c>
      <c r="F2512" s="3" t="str">
        <f>IFERROR( VLOOKUP(A2512,#REF!,2,0),"")</f>
        <v/>
      </c>
      <c r="G2512" s="3" t="s">
        <v>4501</v>
      </c>
      <c r="H2512" s="3" t="str">
        <f t="array" ref="H2512">IF(I2512="","",IFERROR(_xlfn.XLOOKUP(I2512,Base_Datos!$D$2:$D3876,Base_Datos!$C$2:$C3876),""))</f>
        <v>MOTOR</v>
      </c>
      <c r="I2512" s="3" t="s">
        <v>4354</v>
      </c>
      <c r="J2512" s="3" t="str">
        <f>IF(I2512="","",IFERROR(VLOOKUP(I2512,Base_Datos!$D$2:$E$72,2,0),""))</f>
        <v>SINTETICO</v>
      </c>
      <c r="K2512" s="3" t="s">
        <v>2391</v>
      </c>
      <c r="L2512" s="3"/>
      <c r="M2512" s="7">
        <v>0</v>
      </c>
      <c r="N2512" s="7">
        <v>0</v>
      </c>
    </row>
    <row r="2513" spans="1:14" ht="14.25" x14ac:dyDescent="0.2">
      <c r="A2513" s="3">
        <v>99489</v>
      </c>
      <c r="B2513" s="3" t="s">
        <v>4502</v>
      </c>
      <c r="C2513" s="3" t="s">
        <v>27</v>
      </c>
      <c r="D2513" s="6" t="s">
        <v>672</v>
      </c>
      <c r="E2513" s="6" t="s">
        <v>672</v>
      </c>
      <c r="F2513" s="3" t="str">
        <f>IFERROR( VLOOKUP(A2513,#REF!,2,0),"")</f>
        <v/>
      </c>
      <c r="G2513" s="3" t="str">
        <f t="array" ref="G2513">_xlfn.XLOOKUP(I2513,Base_Datos!D:D,Base_Datos!B:B,"")</f>
        <v>DFSK</v>
      </c>
      <c r="H2513" s="3" t="str">
        <f t="array" ref="H2513">IF(I2513="","",IFERROR(_xlfn.XLOOKUP(I2513,Base_Datos!$D$2:$D3876,Base_Datos!$C$2:$C3876),""))</f>
        <v>Serie D</v>
      </c>
      <c r="I2513" s="3" t="s">
        <v>973</v>
      </c>
      <c r="J2513" s="3" t="str">
        <f>IF(I2513="","",IFERROR(VLOOKUP(I2513,Base_Datos!$D$2:$E$72,2,0),""))</f>
        <v>(1.5L)</v>
      </c>
      <c r="K2513" s="3" t="s">
        <v>2391</v>
      </c>
      <c r="L2513" s="3"/>
      <c r="M2513" s="7">
        <v>0</v>
      </c>
      <c r="N2513" s="7">
        <v>0</v>
      </c>
    </row>
    <row r="2514" spans="1:14" ht="14.25" x14ac:dyDescent="0.2">
      <c r="A2514" s="3">
        <v>99490</v>
      </c>
      <c r="B2514" s="3" t="s">
        <v>4503</v>
      </c>
      <c r="C2514" s="3" t="s">
        <v>2</v>
      </c>
      <c r="D2514" s="6" t="s">
        <v>391</v>
      </c>
      <c r="E2514" s="6" t="s">
        <v>391</v>
      </c>
      <c r="F2514" s="3" t="str">
        <f>IFERROR( VLOOKUP(A2514,#REF!,2,0),"")</f>
        <v/>
      </c>
      <c r="G2514" s="3">
        <f t="array" ref="G2514">_xlfn.XLOOKUP(I2514,Base_Datos!D:D,Base_Datos!B:B,"")</f>
        <v>0</v>
      </c>
      <c r="H2514" s="3" t="str">
        <f t="array" ref="H2514">IF(I2514="","",IFERROR(_xlfn.XLOOKUP(I2514,Base_Datos!$D$2:$D3876,Base_Datos!$C$2:$C3876),""))</f>
        <v/>
      </c>
      <c r="I2514" s="3"/>
      <c r="J2514" s="3" t="str">
        <f>IF(I2514="","",IFERROR(VLOOKUP(I2514,Base_Datos!$D$2:$E$72,2,0),""))</f>
        <v/>
      </c>
      <c r="K2514" s="3" t="s">
        <v>2435</v>
      </c>
      <c r="L2514" s="3"/>
      <c r="M2514" s="7">
        <v>0</v>
      </c>
      <c r="N2514" s="7">
        <v>0</v>
      </c>
    </row>
    <row r="2515" spans="1:14" ht="14.25" x14ac:dyDescent="0.2">
      <c r="A2515" s="3">
        <v>99491</v>
      </c>
      <c r="B2515" s="3" t="s">
        <v>4504</v>
      </c>
      <c r="C2515" s="3" t="s">
        <v>2</v>
      </c>
      <c r="D2515" s="6" t="s">
        <v>391</v>
      </c>
      <c r="E2515" s="6" t="s">
        <v>391</v>
      </c>
      <c r="F2515" s="3" t="str">
        <f>IFERROR( VLOOKUP(A2515,#REF!,2,0),"")</f>
        <v/>
      </c>
      <c r="G2515" s="3">
        <f t="array" ref="G2515">_xlfn.XLOOKUP(I2515,Base_Datos!D:D,Base_Datos!B:B,"")</f>
        <v>0</v>
      </c>
      <c r="H2515" s="3" t="str">
        <f t="array" ref="H2515">IF(I2515="","",IFERROR(_xlfn.XLOOKUP(I2515,Base_Datos!$D$2:$D3876,Base_Datos!$C$2:$C3876),""))</f>
        <v/>
      </c>
      <c r="I2515" s="3"/>
      <c r="J2515" s="3" t="str">
        <f>IF(I2515="","",IFERROR(VLOOKUP(I2515,Base_Datos!$D$2:$E$72,2,0),""))</f>
        <v/>
      </c>
      <c r="K2515" s="3" t="s">
        <v>2435</v>
      </c>
      <c r="L2515" s="3"/>
      <c r="M2515" s="7">
        <v>0</v>
      </c>
      <c r="N2515" s="7">
        <v>0</v>
      </c>
    </row>
    <row r="2516" spans="1:14" ht="14.25" x14ac:dyDescent="0.2">
      <c r="A2516" s="3">
        <v>99492</v>
      </c>
      <c r="B2516" s="3" t="s">
        <v>3071</v>
      </c>
      <c r="C2516" s="3" t="s">
        <v>2</v>
      </c>
      <c r="D2516" s="6" t="s">
        <v>391</v>
      </c>
      <c r="E2516" s="6" t="s">
        <v>391</v>
      </c>
      <c r="F2516" s="3" t="str">
        <f>IFERROR( VLOOKUP(A2516,#REF!,2,0),"")</f>
        <v/>
      </c>
      <c r="G2516" s="3" t="str">
        <f t="array" ref="G2516">_xlfn.XLOOKUP(I2516,Base_Datos!D:D,Base_Datos!B:B,"")</f>
        <v>DFSK</v>
      </c>
      <c r="H2516" s="3" t="str">
        <f t="array" ref="H2516">IF(I2516="","",IFERROR(_xlfn.XLOOKUP(I2516,Base_Datos!$D$2:$D3876,Base_Datos!$C$2:$C3876),""))</f>
        <v>Serie Glory</v>
      </c>
      <c r="I2516" s="3" t="s">
        <v>1766</v>
      </c>
      <c r="J2516" s="3" t="str">
        <f>IF(I2516="","",IFERROR(VLOOKUP(I2516,Base_Datos!$D$2:$E$72,2,0),""))</f>
        <v>(1.8L)</v>
      </c>
      <c r="K2516" s="3" t="s">
        <v>2435</v>
      </c>
      <c r="L2516" s="3"/>
      <c r="M2516" s="7">
        <v>0</v>
      </c>
      <c r="N2516" s="7">
        <v>0</v>
      </c>
    </row>
    <row r="2517" spans="1:14" ht="14.25" x14ac:dyDescent="0.2">
      <c r="A2517" s="3">
        <v>99493</v>
      </c>
      <c r="B2517" s="3" t="s">
        <v>4505</v>
      </c>
      <c r="C2517" s="3" t="s">
        <v>27</v>
      </c>
      <c r="D2517" s="6" t="s">
        <v>1782</v>
      </c>
      <c r="E2517" s="6" t="s">
        <v>1782</v>
      </c>
      <c r="F2517" s="3" t="str">
        <f>IFERROR( VLOOKUP(A2517,#REF!,2,0),"")</f>
        <v/>
      </c>
      <c r="G2517" s="3">
        <f t="array" ref="G2517">_xlfn.XLOOKUP(I2517,Base_Datos!D:D,Base_Datos!B:B,"")</f>
        <v>0</v>
      </c>
      <c r="H2517" s="3" t="str">
        <f t="array" ref="H2517">IF(I2517="","",IFERROR(_xlfn.XLOOKUP(I2517,Base_Datos!$D$2:$D3876,Base_Datos!$C$2:$C3876),""))</f>
        <v/>
      </c>
      <c r="I2517" s="3"/>
      <c r="J2517" s="3" t="str">
        <f>IF(I2517="","",IFERROR(VLOOKUP(I2517,Base_Datos!$D$2:$E$72,2,0),""))</f>
        <v/>
      </c>
      <c r="K2517" s="3" t="s">
        <v>4506</v>
      </c>
      <c r="L2517" s="3"/>
      <c r="M2517" s="7">
        <v>0</v>
      </c>
      <c r="N2517" s="7">
        <v>0</v>
      </c>
    </row>
    <row r="2518" spans="1:14" ht="14.25" x14ac:dyDescent="0.2">
      <c r="A2518" s="3">
        <v>99494</v>
      </c>
      <c r="B2518" s="8" t="s">
        <v>4507</v>
      </c>
      <c r="C2518" s="3" t="s">
        <v>2</v>
      </c>
      <c r="D2518" s="6" t="s">
        <v>391</v>
      </c>
      <c r="E2518" s="6" t="s">
        <v>391</v>
      </c>
      <c r="F2518" s="3" t="str">
        <f>IFERROR( VLOOKUP(A2518,#REF!,2,0),"")</f>
        <v/>
      </c>
      <c r="G2518" s="3" t="s">
        <v>4508</v>
      </c>
      <c r="H2518" s="3" t="str">
        <f t="array" ref="H2518">IF(I2518="","",IFERROR(_xlfn.XLOOKUP(I2518,Base_Datos!$D$2:$D3876,Base_Datos!$C$2:$C3876),""))</f>
        <v>TRASMISION</v>
      </c>
      <c r="I2518" s="3" t="s">
        <v>4366</v>
      </c>
      <c r="J2518" s="3">
        <f>IF(I2518="","",IFERROR(VLOOKUP(I2518,Base_Datos!$D$2:$E$72,2,0),""))</f>
        <v>0</v>
      </c>
      <c r="K2518" s="3" t="s">
        <v>2435</v>
      </c>
      <c r="L2518" s="3"/>
      <c r="M2518" s="7">
        <v>0</v>
      </c>
      <c r="N2518" s="7">
        <v>0</v>
      </c>
    </row>
    <row r="2519" spans="1:14" ht="14.25" x14ac:dyDescent="0.2">
      <c r="A2519" s="3">
        <v>99495</v>
      </c>
      <c r="B2519" s="3" t="s">
        <v>4509</v>
      </c>
      <c r="C2519" s="3" t="s">
        <v>27</v>
      </c>
      <c r="D2519" s="6" t="s">
        <v>808</v>
      </c>
      <c r="E2519" s="6" t="s">
        <v>808</v>
      </c>
      <c r="F2519" s="3" t="str">
        <f>IFERROR( VLOOKUP(A2519,#REF!,2,0),"")</f>
        <v/>
      </c>
      <c r="G2519" s="3" t="str">
        <f t="array" ref="G2519">_xlfn.XLOOKUP(I2519,Base_Datos!D:D,Base_Datos!B:B,"")</f>
        <v>DFSK</v>
      </c>
      <c r="H2519" s="3" t="str">
        <f t="array" ref="H2519">IF(I2519="","",IFERROR(_xlfn.XLOOKUP(I2519,Base_Datos!$D$2:$D3876,Base_Datos!$C$2:$C3876),""))</f>
        <v>Serie C</v>
      </c>
      <c r="I2519" s="3" t="s">
        <v>332</v>
      </c>
      <c r="J2519" s="3" t="str">
        <f>IF(I2519="","",IFERROR(VLOOKUP(I2519,Base_Datos!$D$2:$E$72,2,0),""))</f>
        <v>(1.5L)</v>
      </c>
      <c r="K2519" s="3" t="s">
        <v>1817</v>
      </c>
      <c r="L2519" s="3"/>
      <c r="M2519" s="7">
        <v>0</v>
      </c>
      <c r="N2519" s="7">
        <v>0</v>
      </c>
    </row>
    <row r="2520" spans="1:14" ht="14.25" x14ac:dyDescent="0.2">
      <c r="A2520" s="3">
        <v>99496</v>
      </c>
      <c r="B2520" s="8" t="s">
        <v>4510</v>
      </c>
      <c r="C2520" s="3" t="s">
        <v>2</v>
      </c>
      <c r="D2520" s="6" t="s">
        <v>4511</v>
      </c>
      <c r="E2520" s="6" t="s">
        <v>4511</v>
      </c>
      <c r="F2520" s="3" t="str">
        <f>IFERROR( VLOOKUP(A2520,#REF!,2,0),"")</f>
        <v/>
      </c>
      <c r="G2520" s="3" t="str">
        <f t="array" ref="G2520">_xlfn.XLOOKUP(I2520,Base_Datos!D:D,Base_Datos!B:B,"")</f>
        <v>VALVOLINE</v>
      </c>
      <c r="H2520" s="3" t="str">
        <f t="array" ref="H2520">IF(I2520="","",IFERROR(_xlfn.XLOOKUP(I2520,Base_Datos!$D$2:$D3876,Base_Datos!$C$2:$C3876),""))</f>
        <v>MOTOR</v>
      </c>
      <c r="I2520" s="3" t="s">
        <v>4354</v>
      </c>
      <c r="J2520" s="3" t="str">
        <f>IF(I2520="","",IFERROR(VLOOKUP(I2520,Base_Datos!$D$2:$E$72,2,0),""))</f>
        <v>SINTETICO</v>
      </c>
      <c r="K2520" s="3"/>
      <c r="L2520" s="3"/>
      <c r="M2520" s="7">
        <v>0</v>
      </c>
      <c r="N2520" s="7">
        <v>0</v>
      </c>
    </row>
    <row r="2521" spans="1:14" ht="14.25" x14ac:dyDescent="0.2">
      <c r="A2521" s="3">
        <v>99497</v>
      </c>
      <c r="B2521" s="8" t="s">
        <v>4512</v>
      </c>
      <c r="C2521" s="3" t="s">
        <v>2</v>
      </c>
      <c r="D2521" s="6" t="s">
        <v>808</v>
      </c>
      <c r="E2521" s="6" t="s">
        <v>808</v>
      </c>
      <c r="F2521" s="3" t="str">
        <f>IFERROR( VLOOKUP(A2521,#REF!,2,0),"")</f>
        <v/>
      </c>
      <c r="G2521" s="3" t="str">
        <f t="array" ref="G2521">_xlfn.XLOOKUP(I2521,Base_Datos!D:D,Base_Datos!B:B,"")</f>
        <v>VALVOLINE</v>
      </c>
      <c r="H2521" s="3" t="str">
        <f t="array" ref="H2521">IF(I2521="","",IFERROR(_xlfn.XLOOKUP(I2521,Base_Datos!$D$2:$D3876,Base_Datos!$C$2:$C3876),""))</f>
        <v>MOTOR</v>
      </c>
      <c r="I2521" s="3" t="s">
        <v>4354</v>
      </c>
      <c r="J2521" s="3" t="str">
        <f>IF(I2521="","",IFERROR(VLOOKUP(I2521,Base_Datos!$D$2:$E$72,2,0),""))</f>
        <v>SINTETICO</v>
      </c>
      <c r="K2521" s="3" t="s">
        <v>1817</v>
      </c>
      <c r="L2521" s="3"/>
      <c r="M2521" s="7">
        <v>4</v>
      </c>
      <c r="N2521" s="7">
        <v>0</v>
      </c>
    </row>
    <row r="2522" spans="1:14" ht="14.25" x14ac:dyDescent="0.2">
      <c r="A2522" s="3">
        <v>99499</v>
      </c>
      <c r="B2522" s="3" t="s">
        <v>4513</v>
      </c>
      <c r="C2522" s="3" t="s">
        <v>2</v>
      </c>
      <c r="D2522" s="6" t="s">
        <v>774</v>
      </c>
      <c r="E2522" s="6" t="s">
        <v>774</v>
      </c>
      <c r="F2522" s="3" t="str">
        <f>IFERROR( VLOOKUP(A2522,#REF!,2,0),"")</f>
        <v/>
      </c>
      <c r="G2522" s="3" t="str">
        <f t="array" ref="G2522">_xlfn.XLOOKUP(I2522,Base_Datos!D:D,Base_Datos!B:B,"")</f>
        <v>DFSK</v>
      </c>
      <c r="H2522" s="3" t="str">
        <f t="array" ref="H2522">IF(I2522="","",IFERROR(_xlfn.XLOOKUP(I2522,Base_Datos!$D$2:$D3876,Base_Datos!$C$2:$C3876),""))</f>
        <v>Serie K</v>
      </c>
      <c r="I2522" s="3" t="s">
        <v>475</v>
      </c>
      <c r="J2522" s="3" t="str">
        <f>IF(I2522="","",IFERROR(VLOOKUP(I2522,Base_Datos!$D$2:$E$72,2,0),""))</f>
        <v>(1.1L)</v>
      </c>
      <c r="K2522" s="3" t="s">
        <v>4514</v>
      </c>
      <c r="L2522" s="3"/>
      <c r="M2522" s="7">
        <v>3</v>
      </c>
      <c r="N2522" s="7">
        <v>0</v>
      </c>
    </row>
    <row r="2523" spans="1:14" ht="14.25" x14ac:dyDescent="0.2">
      <c r="A2523" s="3">
        <v>99591</v>
      </c>
      <c r="B2523" s="3" t="s">
        <v>4515</v>
      </c>
      <c r="C2523" s="3" t="s">
        <v>18</v>
      </c>
      <c r="D2523" s="6" t="s">
        <v>824</v>
      </c>
      <c r="E2523" s="6" t="s">
        <v>824</v>
      </c>
      <c r="F2523" s="3" t="str">
        <f>IFERROR( VLOOKUP(A2523,#REF!,2,0),"")</f>
        <v/>
      </c>
      <c r="G2523" s="3" t="str">
        <f t="array" ref="G2523">_xlfn.XLOOKUP(I2523,Base_Datos!D:D,Base_Datos!B:B,"")</f>
        <v>DFSK</v>
      </c>
      <c r="H2523" s="3" t="str">
        <f t="array" ref="H2523">IF(I2523="","",IFERROR(_xlfn.XLOOKUP(I2523,Base_Datos!$D$2:$D3876,Base_Datos!$C$2:$C3876),""))</f>
        <v>Serie K</v>
      </c>
      <c r="I2523" s="3" t="s">
        <v>475</v>
      </c>
      <c r="J2523" s="3" t="str">
        <f>IF(I2523="","",IFERROR(VLOOKUP(I2523,Base_Datos!$D$2:$E$72,2,0),""))</f>
        <v>(1.1L)</v>
      </c>
      <c r="K2523" s="3" t="s">
        <v>2060</v>
      </c>
      <c r="L2523" s="3"/>
      <c r="M2523" s="7">
        <v>0</v>
      </c>
      <c r="N2523" s="7">
        <v>0</v>
      </c>
    </row>
    <row r="2524" spans="1:14" ht="14.25" x14ac:dyDescent="0.2">
      <c r="A2524" s="3">
        <v>99593</v>
      </c>
      <c r="B2524" s="3" t="s">
        <v>3075</v>
      </c>
      <c r="C2524" s="3" t="s">
        <v>27</v>
      </c>
      <c r="D2524" s="6" t="s">
        <v>3382</v>
      </c>
      <c r="E2524" s="6" t="s">
        <v>3382</v>
      </c>
      <c r="F2524" s="3" t="str">
        <f>IFERROR( VLOOKUP(A2524,#REF!,2,0),"")</f>
        <v/>
      </c>
      <c r="G2524" s="3" t="str">
        <f t="array" ref="G2524">_xlfn.XLOOKUP(I2524,Base_Datos!D:D,Base_Datos!B:B,"")</f>
        <v>DFSK</v>
      </c>
      <c r="H2524" s="3" t="str">
        <f t="array" ref="H2524">IF(I2524="","",IFERROR(_xlfn.XLOOKUP(I2524,Base_Datos!$D$2:$D3876,Base_Datos!$C$2:$C3876),""))</f>
        <v>Serie Glory</v>
      </c>
      <c r="I2524" s="3" t="s">
        <v>1767</v>
      </c>
      <c r="J2524" s="3" t="str">
        <f>IF(I2524="","",IFERROR(VLOOKUP(I2524,Base_Datos!$D$2:$E$72,2,0),""))</f>
        <v>(1.5L)</v>
      </c>
      <c r="K2524" s="3"/>
      <c r="L2524" s="3"/>
      <c r="M2524" s="7">
        <v>0</v>
      </c>
      <c r="N2524" s="7">
        <v>0</v>
      </c>
    </row>
    <row r="2525" spans="1:14" ht="14.25" x14ac:dyDescent="0.2">
      <c r="A2525" s="3">
        <v>99594</v>
      </c>
      <c r="B2525" s="3" t="s">
        <v>4516</v>
      </c>
      <c r="C2525" s="3" t="s">
        <v>2</v>
      </c>
      <c r="D2525" s="6" t="s">
        <v>4517</v>
      </c>
      <c r="E2525" s="6" t="s">
        <v>4517</v>
      </c>
      <c r="F2525" s="3" t="str">
        <f>IFERROR( VLOOKUP(A2525,#REF!,2,0),"")</f>
        <v/>
      </c>
      <c r="G2525" s="3">
        <f t="array" ref="G2525">_xlfn.XLOOKUP(I2525,Base_Datos!D:D,Base_Datos!B:B,"")</f>
        <v>0</v>
      </c>
      <c r="H2525" s="3" t="str">
        <f t="array" ref="H2525">IF(I2525="","",IFERROR(_xlfn.XLOOKUP(I2525,Base_Datos!$D$2:$D3876,Base_Datos!$C$2:$C3876),""))</f>
        <v/>
      </c>
      <c r="I2525" s="3"/>
      <c r="J2525" s="3" t="str">
        <f>IF(I2525="","",IFERROR(VLOOKUP(I2525,Base_Datos!$D$2:$E$72,2,0),""))</f>
        <v/>
      </c>
      <c r="K2525" s="3"/>
      <c r="L2525" s="3"/>
      <c r="M2525" s="7">
        <v>13</v>
      </c>
      <c r="N2525" s="7">
        <v>0</v>
      </c>
    </row>
    <row r="2526" spans="1:14" ht="14.25" x14ac:dyDescent="0.2">
      <c r="A2526" s="3">
        <v>99595</v>
      </c>
      <c r="B2526" s="3" t="s">
        <v>4518</v>
      </c>
      <c r="C2526" s="3" t="s">
        <v>2</v>
      </c>
      <c r="D2526" s="6" t="s">
        <v>4519</v>
      </c>
      <c r="E2526" s="6" t="s">
        <v>4519</v>
      </c>
      <c r="F2526" s="3" t="str">
        <f>IFERROR( VLOOKUP(A2526,#REF!,2,0),"")</f>
        <v/>
      </c>
      <c r="G2526" s="3" t="str">
        <f t="array" ref="G2526">_xlfn.XLOOKUP(I2526,Base_Datos!D:D,Base_Datos!B:B,"")</f>
        <v>DFSK</v>
      </c>
      <c r="H2526" s="3" t="str">
        <f t="array" ref="H2526">IF(I2526="","",IFERROR(_xlfn.XLOOKUP(I2526,Base_Datos!$D$2:$D3876,Base_Datos!$C$2:$C3876),""))</f>
        <v>Serie D</v>
      </c>
      <c r="I2526" s="3" t="s">
        <v>145</v>
      </c>
      <c r="J2526" s="3" t="str">
        <f>IF(I2526="","",IFERROR(VLOOKUP(I2526,Base_Datos!$D$2:$E$72,2,0),""))</f>
        <v>(2.4L)</v>
      </c>
      <c r="K2526" s="3"/>
      <c r="L2526" s="3"/>
      <c r="M2526" s="7">
        <v>0</v>
      </c>
      <c r="N2526" s="7">
        <v>0</v>
      </c>
    </row>
    <row r="2527" spans="1:14" ht="14.25" x14ac:dyDescent="0.2">
      <c r="A2527" s="3">
        <v>99596</v>
      </c>
      <c r="B2527" s="3" t="s">
        <v>4520</v>
      </c>
      <c r="C2527" s="3" t="s">
        <v>2</v>
      </c>
      <c r="D2527" s="6" t="s">
        <v>4519</v>
      </c>
      <c r="E2527" s="6" t="s">
        <v>4519</v>
      </c>
      <c r="F2527" s="3" t="str">
        <f>IFERROR( VLOOKUP(A2527,#REF!,2,0),"")</f>
        <v/>
      </c>
      <c r="G2527" s="3" t="str">
        <f t="array" ref="G2527">_xlfn.XLOOKUP(I2527,Base_Datos!D:D,Base_Datos!B:B,"")</f>
        <v>DFSK</v>
      </c>
      <c r="H2527" s="3" t="str">
        <f t="array" ref="H2527">IF(I2527="","",IFERROR(_xlfn.XLOOKUP(I2527,Base_Datos!$D$2:$D3876,Base_Datos!$C$2:$C3876),""))</f>
        <v>Serie D</v>
      </c>
      <c r="I2527" s="3" t="s">
        <v>145</v>
      </c>
      <c r="J2527" s="3" t="str">
        <f>IF(I2527="","",IFERROR(VLOOKUP(I2527,Base_Datos!$D$2:$E$72,2,0),""))</f>
        <v>(2.4L)</v>
      </c>
      <c r="K2527" s="3"/>
      <c r="L2527" s="3"/>
      <c r="M2527" s="7">
        <v>0</v>
      </c>
      <c r="N2527" s="7">
        <v>0</v>
      </c>
    </row>
    <row r="2528" spans="1:14" ht="14.25" x14ac:dyDescent="0.2">
      <c r="A2528" s="3">
        <v>99597</v>
      </c>
      <c r="B2528" s="3" t="s">
        <v>2899</v>
      </c>
      <c r="C2528" s="3" t="s">
        <v>27</v>
      </c>
      <c r="D2528" s="6" t="s">
        <v>4519</v>
      </c>
      <c r="E2528" s="6" t="s">
        <v>4519</v>
      </c>
      <c r="F2528" s="3" t="str">
        <f>IFERROR( VLOOKUP(A2528,#REF!,2,0),"")</f>
        <v/>
      </c>
      <c r="G2528" s="3" t="str">
        <f t="array" ref="G2528">_xlfn.XLOOKUP(I2528,Base_Datos!D:D,Base_Datos!B:B,"")</f>
        <v>DFSK</v>
      </c>
      <c r="H2528" s="3" t="str">
        <f t="array" ref="H2528">IF(I2528="","",IFERROR(_xlfn.XLOOKUP(I2528,Base_Datos!$D$2:$D3876,Base_Datos!$C$2:$C3876),""))</f>
        <v>Serie D</v>
      </c>
      <c r="I2528" s="3" t="s">
        <v>145</v>
      </c>
      <c r="J2528" s="3" t="str">
        <f>IF(I2528="","",IFERROR(VLOOKUP(I2528,Base_Datos!$D$2:$E$72,2,0),""))</f>
        <v>(2.4L)</v>
      </c>
      <c r="K2528" s="3"/>
      <c r="L2528" s="3"/>
      <c r="M2528" s="7">
        <v>0</v>
      </c>
      <c r="N2528" s="7">
        <v>0</v>
      </c>
    </row>
    <row r="2529" spans="1:14" ht="14.25" x14ac:dyDescent="0.2">
      <c r="A2529" s="3">
        <v>99598</v>
      </c>
      <c r="B2529" s="3" t="s">
        <v>4521</v>
      </c>
      <c r="C2529" s="3" t="s">
        <v>2</v>
      </c>
      <c r="D2529" s="6" t="s">
        <v>4519</v>
      </c>
      <c r="E2529" s="6" t="s">
        <v>4519</v>
      </c>
      <c r="F2529" s="3" t="str">
        <f>IFERROR( VLOOKUP(A2529,#REF!,2,0),"")</f>
        <v/>
      </c>
      <c r="G2529" s="3">
        <f t="array" ref="G2529">_xlfn.XLOOKUP(I2529,Base_Datos!D:D,Base_Datos!B:B,"")</f>
        <v>0</v>
      </c>
      <c r="H2529" s="3" t="str">
        <f t="array" ref="H2529">IF(I2529="","",IFERROR(_xlfn.XLOOKUP(I2529,Base_Datos!$D$2:$D3876,Base_Datos!$C$2:$C3876),""))</f>
        <v/>
      </c>
      <c r="I2529" s="3"/>
      <c r="J2529" s="3" t="str">
        <f>IF(I2529="","",IFERROR(VLOOKUP(I2529,Base_Datos!$D$2:$E$72,2,0),""))</f>
        <v/>
      </c>
      <c r="K2529" s="3"/>
      <c r="L2529" s="3"/>
      <c r="M2529" s="7">
        <v>0</v>
      </c>
      <c r="N2529" s="7">
        <v>0</v>
      </c>
    </row>
    <row r="2530" spans="1:14" ht="14.25" x14ac:dyDescent="0.2">
      <c r="A2530" s="3">
        <v>99599</v>
      </c>
      <c r="B2530" s="3" t="s">
        <v>4522</v>
      </c>
      <c r="C2530" s="3" t="s">
        <v>2</v>
      </c>
      <c r="D2530" s="6" t="s">
        <v>4519</v>
      </c>
      <c r="E2530" s="6" t="s">
        <v>4519</v>
      </c>
      <c r="F2530" s="3" t="str">
        <f>IFERROR( VLOOKUP(A2530,#REF!,2,0),"")</f>
        <v/>
      </c>
      <c r="G2530" s="3">
        <f t="array" ref="G2530">_xlfn.XLOOKUP(I2530,Base_Datos!D:D,Base_Datos!B:B,"")</f>
        <v>0</v>
      </c>
      <c r="H2530" s="3" t="str">
        <f t="array" ref="H2530">IF(I2530="","",IFERROR(_xlfn.XLOOKUP(I2530,Base_Datos!$D$2:$D3876,Base_Datos!$C$2:$C3876),""))</f>
        <v/>
      </c>
      <c r="I2530" s="3"/>
      <c r="J2530" s="3" t="str">
        <f>IF(I2530="","",IFERROR(VLOOKUP(I2530,Base_Datos!$D$2:$E$72,2,0),""))</f>
        <v/>
      </c>
      <c r="K2530" s="3"/>
      <c r="L2530" s="3"/>
      <c r="M2530" s="7">
        <v>0</v>
      </c>
      <c r="N2530" s="7">
        <v>0</v>
      </c>
    </row>
    <row r="2531" spans="1:14" ht="14.25" x14ac:dyDescent="0.2">
      <c r="A2531" s="3">
        <v>99600</v>
      </c>
      <c r="B2531" s="3" t="s">
        <v>4523</v>
      </c>
      <c r="C2531" s="3" t="s">
        <v>2</v>
      </c>
      <c r="D2531" s="6" t="s">
        <v>4519</v>
      </c>
      <c r="E2531" s="6" t="s">
        <v>4519</v>
      </c>
      <c r="F2531" s="3" t="str">
        <f>IFERROR( VLOOKUP(A2531,#REF!,2,0),"")</f>
        <v/>
      </c>
      <c r="G2531" s="3">
        <f t="array" ref="G2531">_xlfn.XLOOKUP(I2531,Base_Datos!D:D,Base_Datos!B:B,"")</f>
        <v>0</v>
      </c>
      <c r="H2531" s="3" t="str">
        <f t="array" ref="H2531">IF(I2531="","",IFERROR(_xlfn.XLOOKUP(I2531,Base_Datos!$D$2:$D3876,Base_Datos!$C$2:$C3876),""))</f>
        <v/>
      </c>
      <c r="I2531" s="3"/>
      <c r="J2531" s="3" t="str">
        <f>IF(I2531="","",IFERROR(VLOOKUP(I2531,Base_Datos!$D$2:$E$72,2,0),""))</f>
        <v/>
      </c>
      <c r="K2531" s="3"/>
      <c r="L2531" s="3"/>
      <c r="M2531" s="7">
        <v>0</v>
      </c>
      <c r="N2531" s="7">
        <v>0</v>
      </c>
    </row>
    <row r="2532" spans="1:14" ht="14.25" x14ac:dyDescent="0.2">
      <c r="A2532" s="3">
        <v>99601</v>
      </c>
      <c r="B2532" s="3" t="s">
        <v>4524</v>
      </c>
      <c r="C2532" s="3" t="s">
        <v>2</v>
      </c>
      <c r="D2532" s="6" t="s">
        <v>4519</v>
      </c>
      <c r="E2532" s="6" t="s">
        <v>4519</v>
      </c>
      <c r="F2532" s="3" t="str">
        <f>IFERROR( VLOOKUP(A2532,#REF!,2,0),"")</f>
        <v/>
      </c>
      <c r="G2532" s="3">
        <f t="array" ref="G2532">_xlfn.XLOOKUP(I2532,Base_Datos!D:D,Base_Datos!B:B,"")</f>
        <v>0</v>
      </c>
      <c r="H2532" s="3" t="str">
        <f t="array" ref="H2532">IF(I2532="","",IFERROR(_xlfn.XLOOKUP(I2532,Base_Datos!$D$2:$D3876,Base_Datos!$C$2:$C3876),""))</f>
        <v/>
      </c>
      <c r="I2532" s="3"/>
      <c r="J2532" s="3" t="str">
        <f>IF(I2532="","",IFERROR(VLOOKUP(I2532,Base_Datos!$D$2:$E$72,2,0),""))</f>
        <v/>
      </c>
      <c r="K2532" s="3"/>
      <c r="L2532" s="3"/>
      <c r="M2532" s="7">
        <v>0</v>
      </c>
      <c r="N2532" s="7">
        <v>0</v>
      </c>
    </row>
    <row r="2533" spans="1:14" ht="14.25" x14ac:dyDescent="0.2">
      <c r="A2533" s="3">
        <v>99602</v>
      </c>
      <c r="B2533" s="3" t="s">
        <v>4525</v>
      </c>
      <c r="C2533" s="3" t="s">
        <v>2</v>
      </c>
      <c r="D2533" s="6" t="s">
        <v>4519</v>
      </c>
      <c r="E2533" s="6" t="s">
        <v>4519</v>
      </c>
      <c r="F2533" s="3" t="str">
        <f>IFERROR( VLOOKUP(A2533,#REF!,2,0),"")</f>
        <v/>
      </c>
      <c r="G2533" s="3">
        <f t="array" ref="G2533">_xlfn.XLOOKUP(I2533,Base_Datos!D:D,Base_Datos!B:B,"")</f>
        <v>0</v>
      </c>
      <c r="H2533" s="3" t="str">
        <f t="array" ref="H2533">IF(I2533="","",IFERROR(_xlfn.XLOOKUP(I2533,Base_Datos!$D$2:$D3876,Base_Datos!$C$2:$C3876),""))</f>
        <v/>
      </c>
      <c r="I2533" s="3"/>
      <c r="J2533" s="3" t="str">
        <f>IF(I2533="","",IFERROR(VLOOKUP(I2533,Base_Datos!$D$2:$E$72,2,0),""))</f>
        <v/>
      </c>
      <c r="K2533" s="3"/>
      <c r="L2533" s="3"/>
      <c r="M2533" s="7">
        <v>0</v>
      </c>
      <c r="N2533" s="7">
        <v>0</v>
      </c>
    </row>
    <row r="2534" spans="1:14" ht="14.25" x14ac:dyDescent="0.2">
      <c r="A2534" s="3">
        <v>99603</v>
      </c>
      <c r="B2534" s="3" t="s">
        <v>4526</v>
      </c>
      <c r="C2534" s="3" t="s">
        <v>2</v>
      </c>
      <c r="D2534" s="6" t="s">
        <v>4519</v>
      </c>
      <c r="E2534" s="6" t="s">
        <v>4519</v>
      </c>
      <c r="F2534" s="3" t="str">
        <f>IFERROR( VLOOKUP(A2534,#REF!,2,0),"")</f>
        <v/>
      </c>
      <c r="G2534" s="3">
        <f t="array" ref="G2534">_xlfn.XLOOKUP(I2534,Base_Datos!D:D,Base_Datos!B:B,"")</f>
        <v>0</v>
      </c>
      <c r="H2534" s="3" t="str">
        <f t="array" ref="H2534">IF(I2534="","",IFERROR(_xlfn.XLOOKUP(I2534,Base_Datos!$D$2:$D3876,Base_Datos!$C$2:$C3876),""))</f>
        <v/>
      </c>
      <c r="I2534" s="3"/>
      <c r="J2534" s="3" t="str">
        <f>IF(I2534="","",IFERROR(VLOOKUP(I2534,Base_Datos!$D$2:$E$72,2,0),""))</f>
        <v/>
      </c>
      <c r="K2534" s="3"/>
      <c r="L2534" s="3"/>
      <c r="M2534" s="7">
        <v>0</v>
      </c>
      <c r="N2534" s="7">
        <v>0</v>
      </c>
    </row>
    <row r="2535" spans="1:14" ht="14.25" x14ac:dyDescent="0.2">
      <c r="A2535" s="3">
        <v>99604</v>
      </c>
      <c r="B2535" s="3" t="s">
        <v>4527</v>
      </c>
      <c r="C2535" s="3" t="s">
        <v>2</v>
      </c>
      <c r="D2535" s="6" t="s">
        <v>1146</v>
      </c>
      <c r="E2535" s="6" t="s">
        <v>1146</v>
      </c>
      <c r="F2535" s="3" t="str">
        <f>IFERROR( VLOOKUP(A2535,#REF!,2,0),"")</f>
        <v/>
      </c>
      <c r="G2535" s="3" t="str">
        <f t="array" ref="G2535">_xlfn.XLOOKUP(I2535,Base_Datos!D:D,Base_Datos!B:B,"")</f>
        <v>DFSK</v>
      </c>
      <c r="H2535" s="3" t="str">
        <f t="array" ref="H2535">IF(I2535="","",IFERROR(_xlfn.XLOOKUP(I2535,Base_Datos!$D$2:$D3876,Base_Datos!$C$2:$C3876),""))</f>
        <v>Serie K</v>
      </c>
      <c r="I2535" s="3" t="s">
        <v>475</v>
      </c>
      <c r="J2535" s="3" t="str">
        <f>IF(I2535="","",IFERROR(VLOOKUP(I2535,Base_Datos!$D$2:$E$72,2,0),""))</f>
        <v>(1.1L)</v>
      </c>
      <c r="K2535" s="3" t="s">
        <v>2439</v>
      </c>
      <c r="L2535" s="3"/>
      <c r="M2535" s="7">
        <v>0</v>
      </c>
      <c r="N2535" s="7">
        <v>0</v>
      </c>
    </row>
    <row r="2536" spans="1:14" ht="14.25" x14ac:dyDescent="0.2">
      <c r="A2536" s="3">
        <v>99605</v>
      </c>
      <c r="B2536" s="3" t="s">
        <v>4311</v>
      </c>
      <c r="C2536" s="3" t="s">
        <v>2</v>
      </c>
      <c r="D2536" s="6" t="s">
        <v>1146</v>
      </c>
      <c r="E2536" s="6" t="s">
        <v>1146</v>
      </c>
      <c r="F2536" s="3" t="str">
        <f>IFERROR( VLOOKUP(A2536,#REF!,2,0),"")</f>
        <v/>
      </c>
      <c r="G2536" s="3" t="str">
        <f t="array" ref="G2536">_xlfn.XLOOKUP(I2536,Base_Datos!D:D,Base_Datos!B:B,"")</f>
        <v>DFSK</v>
      </c>
      <c r="H2536" s="3" t="str">
        <f t="array" ref="H2536">IF(I2536="","",IFERROR(_xlfn.XLOOKUP(I2536,Base_Datos!$D$2:$D3876,Base_Datos!$C$2:$C3876),""))</f>
        <v>Serie K</v>
      </c>
      <c r="I2536" s="3" t="s">
        <v>475</v>
      </c>
      <c r="J2536" s="3" t="str">
        <f>IF(I2536="","",IFERROR(VLOOKUP(I2536,Base_Datos!$D$2:$E$72,2,0),""))</f>
        <v>(1.1L)</v>
      </c>
      <c r="K2536" s="3" t="s">
        <v>2439</v>
      </c>
      <c r="L2536" s="3"/>
      <c r="M2536" s="7">
        <v>0</v>
      </c>
      <c r="N2536" s="7">
        <v>0</v>
      </c>
    </row>
    <row r="2537" spans="1:14" ht="14.25" x14ac:dyDescent="0.2">
      <c r="A2537" s="3">
        <v>99606</v>
      </c>
      <c r="B2537" s="3" t="s">
        <v>1861</v>
      </c>
      <c r="C2537" s="3" t="s">
        <v>2</v>
      </c>
      <c r="D2537" s="6" t="s">
        <v>1146</v>
      </c>
      <c r="E2537" s="6" t="s">
        <v>1146</v>
      </c>
      <c r="F2537" s="3" t="str">
        <f>IFERROR( VLOOKUP(A2537,#REF!,2,0),"")</f>
        <v/>
      </c>
      <c r="G2537" s="3" t="str">
        <f t="array" ref="G2537">_xlfn.XLOOKUP(I2537,Base_Datos!D:D,Base_Datos!B:B,"")</f>
        <v>DFSK</v>
      </c>
      <c r="H2537" s="3" t="str">
        <f t="array" ref="H2537">IF(I2537="","",IFERROR(_xlfn.XLOOKUP(I2537,Base_Datos!$D$2:$D3876,Base_Datos!$C$2:$C3876),""))</f>
        <v>Serie K</v>
      </c>
      <c r="I2537" s="3" t="s">
        <v>475</v>
      </c>
      <c r="J2537" s="3" t="str">
        <f>IF(I2537="","",IFERROR(VLOOKUP(I2537,Base_Datos!$D$2:$E$72,2,0),""))</f>
        <v>(1.1L)</v>
      </c>
      <c r="K2537" s="3" t="s">
        <v>2439</v>
      </c>
      <c r="L2537" s="3"/>
      <c r="M2537" s="7">
        <v>0</v>
      </c>
      <c r="N2537" s="7">
        <v>0</v>
      </c>
    </row>
    <row r="2538" spans="1:14" ht="14.25" x14ac:dyDescent="0.2">
      <c r="A2538" s="3">
        <v>99607</v>
      </c>
      <c r="B2538" s="3" t="s">
        <v>1787</v>
      </c>
      <c r="C2538" s="3" t="s">
        <v>2</v>
      </c>
      <c r="D2538" s="6" t="s">
        <v>1146</v>
      </c>
      <c r="E2538" s="6" t="s">
        <v>1146</v>
      </c>
      <c r="F2538" s="3" t="str">
        <f>IFERROR( VLOOKUP(A2538,#REF!,2,0),"")</f>
        <v/>
      </c>
      <c r="G2538" s="3" t="str">
        <f t="array" ref="G2538">_xlfn.XLOOKUP(I2538,Base_Datos!D:D,Base_Datos!B:B,"")</f>
        <v>DFSK</v>
      </c>
      <c r="H2538" s="3" t="str">
        <f t="array" ref="H2538">IF(I2538="","",IFERROR(_xlfn.XLOOKUP(I2538,Base_Datos!$D$2:$D3876,Base_Datos!$C$2:$C3876),""))</f>
        <v>Serie Glory</v>
      </c>
      <c r="I2538" s="3" t="s">
        <v>1765</v>
      </c>
      <c r="J2538" s="3" t="str">
        <f>IF(I2538="","",IFERROR(VLOOKUP(I2538,Base_Datos!$D$2:$E$72,2,0),""))</f>
        <v>(1.5L)</v>
      </c>
      <c r="K2538" s="3" t="s">
        <v>2439</v>
      </c>
      <c r="L2538" s="3"/>
      <c r="M2538" s="7">
        <v>1</v>
      </c>
      <c r="N2538" s="7">
        <v>0</v>
      </c>
    </row>
    <row r="2539" spans="1:14" ht="14.25" x14ac:dyDescent="0.2">
      <c r="A2539" s="3">
        <v>99608</v>
      </c>
      <c r="B2539" s="3" t="s">
        <v>4528</v>
      </c>
      <c r="C2539" s="3" t="s">
        <v>2</v>
      </c>
      <c r="D2539" s="6" t="s">
        <v>4529</v>
      </c>
      <c r="E2539" s="6" t="s">
        <v>4529</v>
      </c>
      <c r="F2539" s="3" t="str">
        <f>IFERROR( VLOOKUP(A2539,#REF!,2,0),"")</f>
        <v/>
      </c>
      <c r="G2539" s="3" t="str">
        <f t="array" ref="G2539">_xlfn.XLOOKUP(I2539,Base_Datos!D:D,Base_Datos!B:B,"")</f>
        <v>DFSK</v>
      </c>
      <c r="H2539" s="3" t="str">
        <f t="array" ref="H2539">IF(I2539="","",IFERROR(_xlfn.XLOOKUP(I2539,Base_Datos!$D$2:$D3876,Base_Datos!$C$2:$C3876),""))</f>
        <v>Serie C</v>
      </c>
      <c r="I2539" s="3" t="s">
        <v>343</v>
      </c>
      <c r="J2539" s="3" t="str">
        <f>IF(I2539="","",IFERROR(VLOOKUP(I2539,Base_Datos!$D$2:$E$72,2,0),""))</f>
        <v>(1.5L)</v>
      </c>
      <c r="K2539" s="3"/>
      <c r="L2539" s="3"/>
      <c r="M2539" s="7">
        <v>0</v>
      </c>
      <c r="N2539" s="7">
        <v>0</v>
      </c>
    </row>
    <row r="2540" spans="1:14" ht="14.25" x14ac:dyDescent="0.2">
      <c r="A2540" s="3">
        <v>99609</v>
      </c>
      <c r="B2540" s="3" t="s">
        <v>4530</v>
      </c>
      <c r="C2540" s="3" t="s">
        <v>27</v>
      </c>
      <c r="D2540" s="6" t="s">
        <v>4531</v>
      </c>
      <c r="E2540" s="6" t="s">
        <v>4531</v>
      </c>
      <c r="F2540" s="3" t="str">
        <f>IFERROR( VLOOKUP(A2540,#REF!,2,0),"")</f>
        <v/>
      </c>
      <c r="G2540" s="3" t="str">
        <f t="array" ref="G2540">_xlfn.XLOOKUP(I2540,Base_Datos!D:D,Base_Datos!B:B,"")</f>
        <v>DFSK</v>
      </c>
      <c r="H2540" s="3" t="str">
        <f t="array" ref="H2540">IF(I2540="","",IFERROR(_xlfn.XLOOKUP(I2540,Base_Datos!$D$2:$D3876,Base_Datos!$C$2:$C3876),""))</f>
        <v>Serie Glory</v>
      </c>
      <c r="I2540" s="3" t="s">
        <v>1765</v>
      </c>
      <c r="J2540" s="3" t="str">
        <f>IF(I2540="","",IFERROR(VLOOKUP(I2540,Base_Datos!$D$2:$E$72,2,0),""))</f>
        <v>(1.5L)</v>
      </c>
      <c r="K2540" s="3"/>
      <c r="L2540" s="3"/>
      <c r="M2540" s="7">
        <v>0</v>
      </c>
      <c r="N2540" s="7">
        <v>0</v>
      </c>
    </row>
    <row r="2541" spans="1:14" ht="14.25" x14ac:dyDescent="0.2">
      <c r="A2541" s="3">
        <v>99610</v>
      </c>
      <c r="B2541" s="3" t="s">
        <v>4492</v>
      </c>
      <c r="C2541" s="3" t="s">
        <v>2</v>
      </c>
      <c r="D2541" s="6" t="s">
        <v>4532</v>
      </c>
      <c r="E2541" s="6" t="s">
        <v>4532</v>
      </c>
      <c r="F2541" s="3" t="str">
        <f>IFERROR( VLOOKUP(A2541,#REF!,2,0),"")</f>
        <v/>
      </c>
      <c r="G2541" s="3">
        <f t="array" ref="G2541">_xlfn.XLOOKUP(I2541,Base_Datos!D:D,Base_Datos!B:B,"")</f>
        <v>0</v>
      </c>
      <c r="H2541" s="3" t="str">
        <f t="array" ref="H2541">IF(I2541="","",IFERROR(_xlfn.XLOOKUP(I2541,Base_Datos!$D$2:$D3876,Base_Datos!$C$2:$C3876),""))</f>
        <v/>
      </c>
      <c r="I2541" s="3"/>
      <c r="J2541" s="3" t="str">
        <f>IF(I2541="","",IFERROR(VLOOKUP(I2541,Base_Datos!$D$2:$E$72,2,0),""))</f>
        <v/>
      </c>
      <c r="K2541" s="3"/>
      <c r="L2541" s="3"/>
      <c r="M2541" s="7">
        <v>0</v>
      </c>
      <c r="N2541" s="7">
        <v>0</v>
      </c>
    </row>
    <row r="2542" spans="1:14" ht="14.25" x14ac:dyDescent="0.2">
      <c r="A2542" s="3">
        <v>99611</v>
      </c>
      <c r="B2542" s="3" t="s">
        <v>4533</v>
      </c>
      <c r="C2542" s="3" t="s">
        <v>27</v>
      </c>
      <c r="D2542" s="6" t="s">
        <v>4534</v>
      </c>
      <c r="E2542" s="6" t="s">
        <v>4534</v>
      </c>
      <c r="F2542" s="3" t="str">
        <f>IFERROR( VLOOKUP(A2542,#REF!,2,0),"")</f>
        <v/>
      </c>
      <c r="G2542" s="3" t="str">
        <f t="array" ref="G2542">_xlfn.XLOOKUP(I2542,Base_Datos!D:D,Base_Datos!B:B,"")</f>
        <v>DFSK</v>
      </c>
      <c r="H2542" s="3" t="str">
        <f t="array" ref="H2542">IF(I2542="","",IFERROR(_xlfn.XLOOKUP(I2542,Base_Datos!$D$2:$D3876,Base_Datos!$C$2:$C3876),""))</f>
        <v>Serie D</v>
      </c>
      <c r="I2542" s="3" t="s">
        <v>145</v>
      </c>
      <c r="J2542" s="3" t="str">
        <f>IF(I2542="","",IFERROR(VLOOKUP(I2542,Base_Datos!$D$2:$E$72,2,0),""))</f>
        <v>(2.4L)</v>
      </c>
      <c r="K2542" s="3"/>
      <c r="L2542" s="3"/>
      <c r="M2542" s="7">
        <v>0</v>
      </c>
      <c r="N2542" s="7">
        <v>0</v>
      </c>
    </row>
    <row r="2543" spans="1:14" ht="14.25" x14ac:dyDescent="0.2">
      <c r="A2543" s="3">
        <v>99612</v>
      </c>
      <c r="B2543" s="3" t="s">
        <v>1807</v>
      </c>
      <c r="C2543" s="3" t="s">
        <v>27</v>
      </c>
      <c r="D2543" s="6" t="s">
        <v>4535</v>
      </c>
      <c r="E2543" s="6" t="s">
        <v>4535</v>
      </c>
      <c r="F2543" s="3" t="str">
        <f>IFERROR( VLOOKUP(A2543,#REF!,2,0),"")</f>
        <v/>
      </c>
      <c r="G2543" s="3" t="str">
        <f t="array" ref="G2543">_xlfn.XLOOKUP(I2543,Base_Datos!D:D,Base_Datos!B:B,"")</f>
        <v>DFSK</v>
      </c>
      <c r="H2543" s="3" t="str">
        <f t="array" ref="H2543">IF(I2543="","",IFERROR(_xlfn.XLOOKUP(I2543,Base_Datos!$D$2:$D3876,Base_Datos!$C$2:$C3876),""))</f>
        <v>Serie C</v>
      </c>
      <c r="I2543" s="3" t="s">
        <v>265</v>
      </c>
      <c r="J2543" s="3" t="str">
        <f>IF(I2543="","",IFERROR(VLOOKUP(I2543,Base_Datos!$D$2:$E$72,2,0),""))</f>
        <v>(1.5L)</v>
      </c>
      <c r="K2543" s="3"/>
      <c r="L2543" s="3"/>
      <c r="M2543" s="7">
        <v>0</v>
      </c>
      <c r="N2543" s="7">
        <v>0</v>
      </c>
    </row>
    <row r="2544" spans="1:14" ht="14.25" x14ac:dyDescent="0.2">
      <c r="A2544" s="3">
        <v>99613</v>
      </c>
      <c r="B2544" s="3" t="s">
        <v>4536</v>
      </c>
      <c r="C2544" s="3" t="s">
        <v>27</v>
      </c>
      <c r="D2544" s="6" t="s">
        <v>1146</v>
      </c>
      <c r="E2544" s="6" t="s">
        <v>1146</v>
      </c>
      <c r="F2544" s="3" t="str">
        <f>IFERROR( VLOOKUP(A2544,#REF!,2,0),"")</f>
        <v/>
      </c>
      <c r="G2544" s="3">
        <f t="array" ref="G2544">_xlfn.XLOOKUP(I2544,Base_Datos!D:D,Base_Datos!B:B,"")</f>
        <v>0</v>
      </c>
      <c r="H2544" s="3" t="str">
        <f t="array" ref="H2544">IF(I2544="","",IFERROR(_xlfn.XLOOKUP(I2544,Base_Datos!$D$2:$D3876,Base_Datos!$C$2:$C3876),""))</f>
        <v/>
      </c>
      <c r="I2544" s="3"/>
      <c r="J2544" s="3" t="str">
        <f>IF(I2544="","",IFERROR(VLOOKUP(I2544,Base_Datos!$D$2:$E$72,2,0),""))</f>
        <v/>
      </c>
      <c r="K2544" s="3"/>
      <c r="L2544" s="3"/>
      <c r="M2544" s="7">
        <v>0</v>
      </c>
      <c r="N2544" s="7">
        <v>0</v>
      </c>
    </row>
    <row r="2545" spans="1:14" ht="14.25" x14ac:dyDescent="0.2">
      <c r="A2545" s="3">
        <v>99614</v>
      </c>
      <c r="B2545" s="8" t="s">
        <v>4537</v>
      </c>
      <c r="C2545" s="3" t="s">
        <v>2</v>
      </c>
      <c r="D2545" s="6" t="s">
        <v>1146</v>
      </c>
      <c r="E2545" s="6" t="s">
        <v>1146</v>
      </c>
      <c r="F2545" s="3" t="str">
        <f>IFERROR( VLOOKUP(A2545,#REF!,2,0),"")</f>
        <v/>
      </c>
      <c r="G2545" s="3" t="str">
        <f t="array" ref="G2545">_xlfn.XLOOKUP(I2545,Base_Datos!D:D,Base_Datos!B:B,"")</f>
        <v>MOTUL</v>
      </c>
      <c r="H2545" s="3" t="str">
        <f t="array" ref="H2545">IF(I2545="","",IFERROR(_xlfn.XLOOKUP(I2545,Base_Datos!$D$2:$D3876,Base_Datos!$C$2:$C3876),""))</f>
        <v>TRASMISION</v>
      </c>
      <c r="I2545" s="3" t="s">
        <v>4538</v>
      </c>
      <c r="J2545" s="3">
        <f>IF(I2545="","",IFERROR(VLOOKUP(I2545,Base_Datos!$D$2:$E$72,2,0),""))</f>
        <v>0</v>
      </c>
      <c r="K2545" s="3"/>
      <c r="L2545" s="3"/>
      <c r="M2545" s="7">
        <v>14</v>
      </c>
      <c r="N2545" s="7">
        <v>0</v>
      </c>
    </row>
    <row r="2546" spans="1:14" ht="14.25" x14ac:dyDescent="0.2">
      <c r="A2546" s="3">
        <v>99615</v>
      </c>
      <c r="B2546" s="3" t="s">
        <v>4539</v>
      </c>
      <c r="C2546" s="3" t="s">
        <v>27</v>
      </c>
      <c r="D2546" s="6" t="s">
        <v>1782</v>
      </c>
      <c r="E2546" s="6" t="s">
        <v>1782</v>
      </c>
      <c r="F2546" s="3" t="str">
        <f>IFERROR( VLOOKUP(A2546,#REF!,2,0),"")</f>
        <v/>
      </c>
      <c r="G2546" s="3" t="str">
        <f t="array" ref="G2546">_xlfn.XLOOKUP(I2546,Base_Datos!D:D,Base_Datos!B:B,"")</f>
        <v>DFSK</v>
      </c>
      <c r="H2546" s="3" t="str">
        <f t="array" ref="H2546">IF(I2546="","",IFERROR(_xlfn.XLOOKUP(I2546,Base_Datos!$D$2:$D3876,Base_Datos!$C$2:$C3876),""))</f>
        <v>Serie C</v>
      </c>
      <c r="I2546" s="3" t="s">
        <v>265</v>
      </c>
      <c r="J2546" s="3" t="str">
        <f>IF(I2546="","",IFERROR(VLOOKUP(I2546,Base_Datos!$D$2:$E$72,2,0),""))</f>
        <v>(1.5L)</v>
      </c>
      <c r="K2546" s="3"/>
      <c r="L2546" s="3"/>
      <c r="M2546" s="7">
        <v>0</v>
      </c>
      <c r="N2546" s="7">
        <v>0</v>
      </c>
    </row>
    <row r="2547" spans="1:14" ht="14.25" x14ac:dyDescent="0.2">
      <c r="A2547" s="3">
        <v>99616</v>
      </c>
      <c r="B2547" s="3" t="s">
        <v>2415</v>
      </c>
      <c r="C2547" s="3" t="s">
        <v>27</v>
      </c>
      <c r="D2547" s="6" t="s">
        <v>1782</v>
      </c>
      <c r="E2547" s="6" t="s">
        <v>1782</v>
      </c>
      <c r="F2547" s="3" t="str">
        <f>IFERROR( VLOOKUP(A2547,#REF!,2,0),"")</f>
        <v/>
      </c>
      <c r="G2547" s="3" t="str">
        <f t="array" ref="G2547">_xlfn.XLOOKUP(I2547,Base_Datos!D:D,Base_Datos!B:B,"")</f>
        <v>DFSK</v>
      </c>
      <c r="H2547" s="3" t="str">
        <f t="array" ref="H2547">IF(I2547="","",IFERROR(_xlfn.XLOOKUP(I2547,Base_Datos!$D$2:$D3876,Base_Datos!$C$2:$C3876),""))</f>
        <v>Serie Glory</v>
      </c>
      <c r="I2547" s="3" t="s">
        <v>1765</v>
      </c>
      <c r="J2547" s="3" t="str">
        <f>IF(I2547="","",IFERROR(VLOOKUP(I2547,Base_Datos!$D$2:$E$72,2,0),""))</f>
        <v>(1.5L)</v>
      </c>
      <c r="K2547" s="3"/>
      <c r="L2547" s="3"/>
      <c r="M2547" s="7">
        <v>0</v>
      </c>
      <c r="N2547" s="7">
        <v>0</v>
      </c>
    </row>
    <row r="2548" spans="1:14" ht="14.25" x14ac:dyDescent="0.2">
      <c r="A2548" s="3">
        <v>99617</v>
      </c>
      <c r="B2548" s="3" t="s">
        <v>2448</v>
      </c>
      <c r="C2548" s="3" t="s">
        <v>27</v>
      </c>
      <c r="D2548" s="6" t="s">
        <v>1782</v>
      </c>
      <c r="E2548" s="6" t="s">
        <v>1782</v>
      </c>
      <c r="F2548" s="3" t="str">
        <f>IFERROR( VLOOKUP(A2548,#REF!,2,0),"")</f>
        <v/>
      </c>
      <c r="G2548" s="3" t="str">
        <f t="array" ref="G2548">_xlfn.XLOOKUP(I2548,Base_Datos!D:D,Base_Datos!B:B,"")</f>
        <v>DFSK</v>
      </c>
      <c r="H2548" s="3" t="str">
        <f t="array" ref="H2548">IF(I2548="","",IFERROR(_xlfn.XLOOKUP(I2548,Base_Datos!$D$2:$D3876,Base_Datos!$C$2:$C3876),""))</f>
        <v>Serie D</v>
      </c>
      <c r="I2548" s="3" t="s">
        <v>2785</v>
      </c>
      <c r="J2548" s="3" t="str">
        <f>IF(I2548="","",IFERROR(VLOOKUP(I2548,Base_Datos!$D$2:$E$72,2,0),""))</f>
        <v>(1.5L)</v>
      </c>
      <c r="K2548" s="3"/>
      <c r="L2548" s="3"/>
      <c r="M2548" s="7">
        <v>0</v>
      </c>
      <c r="N2548" s="7">
        <v>0</v>
      </c>
    </row>
    <row r="2549" spans="1:14" ht="14.25" x14ac:dyDescent="0.2">
      <c r="A2549" s="3">
        <v>99618</v>
      </c>
      <c r="B2549" s="3" t="s">
        <v>2238</v>
      </c>
      <c r="C2549" s="3" t="s">
        <v>27</v>
      </c>
      <c r="D2549" s="6" t="s">
        <v>1782</v>
      </c>
      <c r="E2549" s="6" t="s">
        <v>1782</v>
      </c>
      <c r="F2549" s="3" t="str">
        <f>IFERROR( VLOOKUP(A2549,#REF!,2,0),"")</f>
        <v/>
      </c>
      <c r="G2549" s="3" t="str">
        <f t="array" ref="G2549">_xlfn.XLOOKUP(I2549,Base_Datos!D:D,Base_Datos!B:B,"")</f>
        <v>DFSK</v>
      </c>
      <c r="H2549" s="3" t="str">
        <f t="array" ref="H2549">IF(I2549="","",IFERROR(_xlfn.XLOOKUP(I2549,Base_Datos!$D$2:$D3876,Base_Datos!$C$2:$C3876),""))</f>
        <v>Serie C</v>
      </c>
      <c r="I2549" s="3" t="s">
        <v>339</v>
      </c>
      <c r="J2549" s="3" t="str">
        <f>IF(I2549="","",IFERROR(VLOOKUP(I2549,Base_Datos!$D$2:$E$72,2,0),""))</f>
        <v>(1.5L)</v>
      </c>
      <c r="K2549" s="3"/>
      <c r="L2549" s="3"/>
      <c r="M2549" s="7">
        <v>0</v>
      </c>
      <c r="N2549" s="7">
        <v>0</v>
      </c>
    </row>
    <row r="2550" spans="1:14" ht="14.25" x14ac:dyDescent="0.2">
      <c r="A2550" s="3">
        <v>99619</v>
      </c>
      <c r="B2550" s="3" t="s">
        <v>4540</v>
      </c>
      <c r="C2550" s="3" t="s">
        <v>27</v>
      </c>
      <c r="D2550" s="6" t="s">
        <v>1782</v>
      </c>
      <c r="E2550" s="6" t="s">
        <v>1782</v>
      </c>
      <c r="F2550" s="3" t="str">
        <f>IFERROR( VLOOKUP(A2550,#REF!,2,0),"")</f>
        <v/>
      </c>
      <c r="G2550" s="3" t="str">
        <f t="array" ref="G2550">_xlfn.XLOOKUP(I2550,Base_Datos!D:D,Base_Datos!B:B,"")</f>
        <v>DFSK</v>
      </c>
      <c r="H2550" s="3" t="str">
        <f t="array" ref="H2550">IF(I2550="","",IFERROR(_xlfn.XLOOKUP(I2550,Base_Datos!$D$2:$D3876,Base_Datos!$C$2:$C3876),""))</f>
        <v>Serie D</v>
      </c>
      <c r="I2550" s="3" t="s">
        <v>145</v>
      </c>
      <c r="J2550" s="3" t="str">
        <f>IF(I2550="","",IFERROR(VLOOKUP(I2550,Base_Datos!$D$2:$E$72,2,0),""))</f>
        <v>(2.4L)</v>
      </c>
      <c r="K2550" s="3"/>
      <c r="L2550" s="3"/>
      <c r="M2550" s="7">
        <v>0</v>
      </c>
      <c r="N2550" s="7">
        <v>0</v>
      </c>
    </row>
    <row r="2551" spans="1:14" ht="14.25" x14ac:dyDescent="0.2">
      <c r="A2551" s="3">
        <v>99620</v>
      </c>
      <c r="B2551" s="3" t="s">
        <v>4541</v>
      </c>
      <c r="C2551" s="3" t="s">
        <v>27</v>
      </c>
      <c r="D2551" s="6" t="s">
        <v>1782</v>
      </c>
      <c r="E2551" s="6" t="s">
        <v>1782</v>
      </c>
      <c r="F2551" s="3" t="str">
        <f>IFERROR( VLOOKUP(A2551,#REF!,2,0),"")</f>
        <v/>
      </c>
      <c r="G2551" s="3" t="str">
        <f t="array" ref="G2551">_xlfn.XLOOKUP(I2551,Base_Datos!D:D,Base_Datos!B:B,"")</f>
        <v>GAC</v>
      </c>
      <c r="H2551" s="3" t="str">
        <f t="array" ref="H2551">IF(I2551="","",IFERROR(_xlfn.XLOOKUP(I2551,Base_Datos!$D$2:$D3876,Base_Datos!$C$2:$C3876),""))</f>
        <v>Serie GS</v>
      </c>
      <c r="I2551" s="3" t="s">
        <v>1487</v>
      </c>
      <c r="J2551" s="3" t="str">
        <f>IF(I2551="","",IFERROR(VLOOKUP(I2551,Base_Datos!$D$2:$E$72,2,0),""))</f>
        <v>(2.0L)</v>
      </c>
      <c r="K2551" s="3"/>
      <c r="L2551" s="3"/>
      <c r="M2551" s="7">
        <v>0</v>
      </c>
      <c r="N2551" s="7">
        <v>0</v>
      </c>
    </row>
    <row r="2552" spans="1:14" ht="14.25" x14ac:dyDescent="0.2">
      <c r="A2552" s="3">
        <v>99621</v>
      </c>
      <c r="B2552" s="3" t="s">
        <v>4542</v>
      </c>
      <c r="C2552" s="3" t="s">
        <v>27</v>
      </c>
      <c r="D2552" s="6" t="s">
        <v>1782</v>
      </c>
      <c r="E2552" s="6" t="s">
        <v>1782</v>
      </c>
      <c r="F2552" s="3" t="str">
        <f>IFERROR( VLOOKUP(A2552,#REF!,2,0),"")</f>
        <v/>
      </c>
      <c r="G2552" s="3" t="str">
        <f t="array" ref="G2552">_xlfn.XLOOKUP(I2552,Base_Datos!D:D,Base_Datos!B:B,"")</f>
        <v>DFSK</v>
      </c>
      <c r="H2552" s="3" t="str">
        <f t="array" ref="H2552">IF(I2552="","",IFERROR(_xlfn.XLOOKUP(I2552,Base_Datos!$D$2:$D3876,Base_Datos!$C$2:$C3876),""))</f>
        <v>Serie K</v>
      </c>
      <c r="I2552" s="3" t="s">
        <v>475</v>
      </c>
      <c r="J2552" s="3" t="str">
        <f>IF(I2552="","",IFERROR(VLOOKUP(I2552,Base_Datos!$D$2:$E$72,2,0),""))</f>
        <v>(1.1L)</v>
      </c>
      <c r="K2552" s="3" t="s">
        <v>1817</v>
      </c>
      <c r="L2552" s="3"/>
      <c r="M2552" s="7">
        <v>0</v>
      </c>
      <c r="N2552" s="7">
        <v>0</v>
      </c>
    </row>
    <row r="2553" spans="1:14" ht="14.25" x14ac:dyDescent="0.2">
      <c r="A2553" s="3">
        <v>99622</v>
      </c>
      <c r="B2553" s="3" t="s">
        <v>4543</v>
      </c>
      <c r="C2553" s="3" t="s">
        <v>27</v>
      </c>
      <c r="D2553" s="6" t="s">
        <v>1782</v>
      </c>
      <c r="E2553" s="6" t="s">
        <v>1782</v>
      </c>
      <c r="F2553" s="3" t="str">
        <f>IFERROR( VLOOKUP(A2553,#REF!,2,0),"")</f>
        <v/>
      </c>
      <c r="G2553" s="3" t="str">
        <f t="array" ref="G2553">_xlfn.XLOOKUP(I2553,Base_Datos!D:D,Base_Datos!B:B,"")</f>
        <v>DFSK</v>
      </c>
      <c r="H2553" s="3" t="str">
        <f t="array" ref="H2553">IF(I2553="","",IFERROR(_xlfn.XLOOKUP(I2553,Base_Datos!$D$2:$D3876,Base_Datos!$C$2:$C3876),""))</f>
        <v>Serie Glory</v>
      </c>
      <c r="I2553" s="3" t="s">
        <v>404</v>
      </c>
      <c r="J2553" s="3" t="str">
        <f>IF(I2553="","",IFERROR(VLOOKUP(I2553,Base_Datos!$D$2:$E$72,2,0),""))</f>
        <v>(1.5L)</v>
      </c>
      <c r="K2553" s="3"/>
      <c r="L2553" s="3"/>
      <c r="M2553" s="7">
        <v>0</v>
      </c>
      <c r="N2553" s="7">
        <v>0</v>
      </c>
    </row>
    <row r="2554" spans="1:14" ht="14.25" x14ac:dyDescent="0.2">
      <c r="A2554" s="3">
        <v>99623</v>
      </c>
      <c r="B2554" s="3" t="s">
        <v>4544</v>
      </c>
      <c r="C2554" s="3" t="s">
        <v>27</v>
      </c>
      <c r="D2554" s="6" t="s">
        <v>1782</v>
      </c>
      <c r="E2554" s="6" t="s">
        <v>1782</v>
      </c>
      <c r="F2554" s="3" t="str">
        <f>IFERROR( VLOOKUP(A2554,#REF!,2,0),"")</f>
        <v/>
      </c>
      <c r="G2554" s="3" t="str">
        <f t="array" ref="G2554">_xlfn.XLOOKUP(I2554,Base_Datos!D:D,Base_Datos!B:B,"")</f>
        <v>DFSK</v>
      </c>
      <c r="H2554" s="3" t="str">
        <f t="array" ref="H2554">IF(I2554="","",IFERROR(_xlfn.XLOOKUP(I2554,Base_Datos!$D$2:$D3876,Base_Datos!$C$2:$C3876),""))</f>
        <v>Serie Glory</v>
      </c>
      <c r="I2554" s="3" t="s">
        <v>404</v>
      </c>
      <c r="J2554" s="3" t="str">
        <f>IF(I2554="","",IFERROR(VLOOKUP(I2554,Base_Datos!$D$2:$E$72,2,0),""))</f>
        <v>(1.5L)</v>
      </c>
      <c r="K2554" s="3"/>
      <c r="L2554" s="3"/>
      <c r="M2554" s="7">
        <v>0</v>
      </c>
      <c r="N2554" s="7">
        <v>0</v>
      </c>
    </row>
    <row r="2555" spans="1:14" ht="14.25" x14ac:dyDescent="0.2">
      <c r="A2555" s="3">
        <v>99624</v>
      </c>
      <c r="B2555" s="3" t="s">
        <v>4545</v>
      </c>
      <c r="C2555" s="3" t="s">
        <v>22</v>
      </c>
      <c r="D2555" s="6" t="s">
        <v>1782</v>
      </c>
      <c r="E2555" s="6" t="s">
        <v>1782</v>
      </c>
      <c r="F2555" s="3" t="str">
        <f>IFERROR( VLOOKUP(A2555,#REF!,2,0),"")</f>
        <v/>
      </c>
      <c r="G2555" s="3" t="str">
        <f t="array" ref="G2555">_xlfn.XLOOKUP(I2555,Base_Datos!D:D,Base_Datos!B:B,"")</f>
        <v>DFSK</v>
      </c>
      <c r="H2555" s="3" t="str">
        <f t="array" ref="H2555">IF(I2555="","",IFERROR(_xlfn.XLOOKUP(I2555,Base_Datos!$D$2:$D3876,Base_Datos!$C$2:$C3876),""))</f>
        <v>Serie Glory</v>
      </c>
      <c r="I2555" s="3" t="s">
        <v>1765</v>
      </c>
      <c r="J2555" s="3" t="str">
        <f>IF(I2555="","",IFERROR(VLOOKUP(I2555,Base_Datos!$D$2:$E$72,2,0),""))</f>
        <v>(1.5L)</v>
      </c>
      <c r="K2555" s="3"/>
      <c r="L2555" s="3"/>
      <c r="M2555" s="7">
        <v>0</v>
      </c>
      <c r="N2555" s="7">
        <v>0</v>
      </c>
    </row>
    <row r="2556" spans="1:14" ht="14.25" x14ac:dyDescent="0.2">
      <c r="A2556" s="3">
        <v>99625</v>
      </c>
      <c r="B2556" s="3" t="s">
        <v>4546</v>
      </c>
      <c r="C2556" s="3" t="s">
        <v>27</v>
      </c>
      <c r="D2556" s="6" t="s">
        <v>1782</v>
      </c>
      <c r="E2556" s="6" t="s">
        <v>1782</v>
      </c>
      <c r="F2556" s="3" t="str">
        <f>IFERROR( VLOOKUP(A2556,#REF!,2,0),"")</f>
        <v/>
      </c>
      <c r="G2556" s="3" t="str">
        <f t="array" ref="G2556">_xlfn.XLOOKUP(I2556,Base_Datos!D:D,Base_Datos!B:B,"")</f>
        <v>DFSK</v>
      </c>
      <c r="H2556" s="3" t="str">
        <f t="array" ref="H2556">IF(I2556="","",IFERROR(_xlfn.XLOOKUP(I2556,Base_Datos!$D$2:$D3876,Base_Datos!$C$2:$C3876),""))</f>
        <v>Serie D</v>
      </c>
      <c r="I2556" s="3" t="s">
        <v>973</v>
      </c>
      <c r="J2556" s="3" t="str">
        <f>IF(I2556="","",IFERROR(VLOOKUP(I2556,Base_Datos!$D$2:$E$72,2,0),""))</f>
        <v>(1.5L)</v>
      </c>
      <c r="K2556" s="3"/>
      <c r="L2556" s="3"/>
      <c r="M2556" s="7">
        <v>0</v>
      </c>
      <c r="N2556" s="7">
        <v>0</v>
      </c>
    </row>
    <row r="2557" spans="1:14" ht="14.25" x14ac:dyDescent="0.2">
      <c r="A2557" s="3">
        <v>99627</v>
      </c>
      <c r="B2557" s="3" t="s">
        <v>4547</v>
      </c>
      <c r="C2557" s="3" t="s">
        <v>27</v>
      </c>
      <c r="D2557" s="6" t="s">
        <v>1782</v>
      </c>
      <c r="E2557" s="6" t="s">
        <v>1782</v>
      </c>
      <c r="F2557" s="3" t="str">
        <f>IFERROR( VLOOKUP(A2557,#REF!,2,0),"")</f>
        <v/>
      </c>
      <c r="G2557" s="3" t="str">
        <f t="array" ref="G2557">_xlfn.XLOOKUP(I2557,Base_Datos!D:D,Base_Datos!B:B,"")</f>
        <v>DFSK</v>
      </c>
      <c r="H2557" s="3" t="str">
        <f t="array" ref="H2557">IF(I2557="","",IFERROR(_xlfn.XLOOKUP(I2557,Base_Datos!$D$2:$D3876,Base_Datos!$C$2:$C3876),""))</f>
        <v>Serie Glory</v>
      </c>
      <c r="I2557" s="3" t="s">
        <v>1765</v>
      </c>
      <c r="J2557" s="3" t="str">
        <f>IF(I2557="","",IFERROR(VLOOKUP(I2557,Base_Datos!$D$2:$E$72,2,0),""))</f>
        <v>(1.5L)</v>
      </c>
      <c r="K2557" s="3"/>
      <c r="L2557" s="3"/>
      <c r="M2557" s="7">
        <v>0</v>
      </c>
      <c r="N2557" s="7">
        <v>0</v>
      </c>
    </row>
    <row r="2558" spans="1:14" ht="14.25" x14ac:dyDescent="0.2">
      <c r="A2558" s="3">
        <v>99628</v>
      </c>
      <c r="B2558" s="3" t="s">
        <v>4548</v>
      </c>
      <c r="C2558" s="3" t="s">
        <v>27</v>
      </c>
      <c r="D2558" s="6" t="s">
        <v>744</v>
      </c>
      <c r="E2558" s="6" t="s">
        <v>744</v>
      </c>
      <c r="F2558" s="3" t="str">
        <f>IFERROR( VLOOKUP(A2558,#REF!,2,0),"")</f>
        <v/>
      </c>
      <c r="G2558" s="3" t="str">
        <f t="array" ref="G2558">_xlfn.XLOOKUP(I2558,Base_Datos!D:D,Base_Datos!B:B,"")</f>
        <v>GAC</v>
      </c>
      <c r="H2558" s="3" t="str">
        <f t="array" ref="H2558">IF(I2558="","",IFERROR(_xlfn.XLOOKUP(I2558,Base_Datos!$D$2:$D3876,Base_Datos!$C$2:$C3876),""))</f>
        <v>Serie GS</v>
      </c>
      <c r="I2558" s="3" t="s">
        <v>4485</v>
      </c>
      <c r="J2558" s="3" t="str">
        <f>IF(I2558="","",IFERROR(VLOOKUP(I2558,Base_Datos!$D$2:$E$72,2,0),""))</f>
        <v>(1.5L)</v>
      </c>
      <c r="K2558" s="3"/>
      <c r="L2558" s="3"/>
      <c r="M2558" s="7">
        <v>0</v>
      </c>
      <c r="N2558" s="7">
        <v>0</v>
      </c>
    </row>
    <row r="2559" spans="1:14" ht="14.25" x14ac:dyDescent="0.2">
      <c r="A2559" s="3">
        <v>99629</v>
      </c>
      <c r="B2559" s="3" t="s">
        <v>2614</v>
      </c>
      <c r="C2559" s="3" t="s">
        <v>27</v>
      </c>
      <c r="D2559" s="6" t="s">
        <v>744</v>
      </c>
      <c r="E2559" s="6" t="s">
        <v>744</v>
      </c>
      <c r="F2559" s="3" t="str">
        <f>IFERROR( VLOOKUP(A2559,#REF!,2,0),"")</f>
        <v/>
      </c>
      <c r="G2559" s="3" t="str">
        <f t="array" ref="G2559">_xlfn.XLOOKUP(I2559,Base_Datos!D:D,Base_Datos!B:B,"")</f>
        <v>GAC</v>
      </c>
      <c r="H2559" s="3" t="str">
        <f t="array" ref="H2559">IF(I2559="","",IFERROR(_xlfn.XLOOKUP(I2559,Base_Datos!$D$2:$D3876,Base_Datos!$C$2:$C3876),""))</f>
        <v>Serie GS</v>
      </c>
      <c r="I2559" s="3" t="s">
        <v>4485</v>
      </c>
      <c r="J2559" s="3" t="str">
        <f>IF(I2559="","",IFERROR(VLOOKUP(I2559,Base_Datos!$D$2:$E$72,2,0),""))</f>
        <v>(1.5L)</v>
      </c>
      <c r="K2559" s="3"/>
      <c r="L2559" s="3"/>
      <c r="M2559" s="7">
        <v>1</v>
      </c>
      <c r="N2559" s="7">
        <v>0</v>
      </c>
    </row>
    <row r="2560" spans="1:14" ht="14.25" x14ac:dyDescent="0.2">
      <c r="A2560" s="3">
        <v>99630</v>
      </c>
      <c r="B2560" s="3" t="s">
        <v>3443</v>
      </c>
      <c r="C2560" s="3" t="s">
        <v>27</v>
      </c>
      <c r="D2560" s="6" t="s">
        <v>744</v>
      </c>
      <c r="E2560" s="6" t="s">
        <v>744</v>
      </c>
      <c r="F2560" s="3" t="str">
        <f>IFERROR( VLOOKUP(A2560,#REF!,2,0),"")</f>
        <v/>
      </c>
      <c r="G2560" s="3" t="str">
        <f t="array" ref="G2560">_xlfn.XLOOKUP(I2560,Base_Datos!D:D,Base_Datos!B:B,"")</f>
        <v>DFSK</v>
      </c>
      <c r="H2560" s="3" t="str">
        <f t="array" ref="H2560">IF(I2560="","",IFERROR(_xlfn.XLOOKUP(I2560,Base_Datos!$D$2:$D3876,Base_Datos!$C$2:$C3876),""))</f>
        <v>Serie Glory</v>
      </c>
      <c r="I2560" s="3" t="s">
        <v>1765</v>
      </c>
      <c r="J2560" s="3" t="str">
        <f>IF(I2560="","",IFERROR(VLOOKUP(I2560,Base_Datos!$D$2:$E$72,2,0),""))</f>
        <v>(1.5L)</v>
      </c>
      <c r="K2560" s="3"/>
      <c r="L2560" s="3"/>
      <c r="M2560" s="7">
        <v>0</v>
      </c>
      <c r="N2560" s="7">
        <v>0</v>
      </c>
    </row>
    <row r="2561" spans="1:14" ht="14.25" x14ac:dyDescent="0.2">
      <c r="A2561" s="3">
        <v>99631</v>
      </c>
      <c r="B2561" s="3" t="s">
        <v>2775</v>
      </c>
      <c r="C2561" s="3" t="s">
        <v>2</v>
      </c>
      <c r="D2561" s="6" t="s">
        <v>744</v>
      </c>
      <c r="E2561" s="6" t="s">
        <v>744</v>
      </c>
      <c r="F2561" s="3" t="str">
        <f>IFERROR( VLOOKUP(A2561,#REF!,2,0),"")</f>
        <v/>
      </c>
      <c r="G2561" s="3" t="str">
        <f t="array" ref="G2561">_xlfn.XLOOKUP(I2561,Base_Datos!D:D,Base_Datos!B:B,"")</f>
        <v>DFSK</v>
      </c>
      <c r="H2561" s="3" t="str">
        <f t="array" ref="H2561">IF(I2561="","",IFERROR(_xlfn.XLOOKUP(I2561,Base_Datos!$D$2:$D3876,Base_Datos!$C$2:$C3876),""))</f>
        <v>Serie K</v>
      </c>
      <c r="I2561" s="3" t="s">
        <v>475</v>
      </c>
      <c r="J2561" s="3" t="str">
        <f>IF(I2561="","",IFERROR(VLOOKUP(I2561,Base_Datos!$D$2:$E$72,2,0),""))</f>
        <v>(1.1L)</v>
      </c>
      <c r="K2561" s="3" t="s">
        <v>1817</v>
      </c>
      <c r="L2561" s="3"/>
      <c r="M2561" s="7">
        <v>0</v>
      </c>
      <c r="N2561" s="7">
        <v>0</v>
      </c>
    </row>
    <row r="2562" spans="1:14" ht="14.25" x14ac:dyDescent="0.2">
      <c r="A2562" s="3">
        <v>99632</v>
      </c>
      <c r="B2562" s="3" t="s">
        <v>3156</v>
      </c>
      <c r="C2562" s="3" t="s">
        <v>27</v>
      </c>
      <c r="D2562" s="6" t="s">
        <v>744</v>
      </c>
      <c r="E2562" s="6" t="s">
        <v>744</v>
      </c>
      <c r="F2562" s="3" t="str">
        <f>IFERROR( VLOOKUP(A2562,#REF!,2,0),"")</f>
        <v/>
      </c>
      <c r="G2562" s="3" t="str">
        <f t="array" ref="G2562">_xlfn.XLOOKUP(I2562,Base_Datos!D:D,Base_Datos!B:B,"")</f>
        <v>DFSK</v>
      </c>
      <c r="H2562" s="3" t="str">
        <f t="array" ref="H2562">IF(I2562="","",IFERROR(_xlfn.XLOOKUP(I2562,Base_Datos!$D$2:$D3876,Base_Datos!$C$2:$C3876),""))</f>
        <v>Serie Glory</v>
      </c>
      <c r="I2562" s="3" t="s">
        <v>1765</v>
      </c>
      <c r="J2562" s="3" t="str">
        <f>IF(I2562="","",IFERROR(VLOOKUP(I2562,Base_Datos!$D$2:$E$72,2,0),""))</f>
        <v>(1.5L)</v>
      </c>
      <c r="K2562" s="3"/>
      <c r="L2562" s="3"/>
      <c r="M2562" s="7">
        <v>0</v>
      </c>
      <c r="N2562" s="7">
        <v>0</v>
      </c>
    </row>
    <row r="2563" spans="1:14" ht="14.25" x14ac:dyDescent="0.2">
      <c r="A2563" s="3">
        <v>99633</v>
      </c>
      <c r="B2563" s="3" t="s">
        <v>4549</v>
      </c>
      <c r="C2563" s="3" t="s">
        <v>2</v>
      </c>
      <c r="D2563" s="6" t="s">
        <v>744</v>
      </c>
      <c r="E2563" s="6" t="s">
        <v>744</v>
      </c>
      <c r="F2563" s="3" t="str">
        <f>IFERROR( VLOOKUP(A2563,#REF!,2,0),"")</f>
        <v/>
      </c>
      <c r="G2563" s="3" t="str">
        <f t="array" ref="G2563">_xlfn.XLOOKUP(I2563,Base_Datos!D:D,Base_Datos!B:B,"")</f>
        <v>DFSK</v>
      </c>
      <c r="H2563" s="3" t="str">
        <f t="array" ref="H2563">IF(I2563="","",IFERROR(_xlfn.XLOOKUP(I2563,Base_Datos!$D$2:$D3876,Base_Datos!$C$2:$C3876),""))</f>
        <v>Serie D</v>
      </c>
      <c r="I2563" s="3" t="s">
        <v>145</v>
      </c>
      <c r="J2563" s="3" t="str">
        <f>IF(I2563="","",IFERROR(VLOOKUP(I2563,Base_Datos!$D$2:$E$72,2,0),""))</f>
        <v>(2.4L)</v>
      </c>
      <c r="K2563" s="3" t="s">
        <v>2439</v>
      </c>
      <c r="L2563" s="3"/>
      <c r="M2563" s="7">
        <v>3</v>
      </c>
      <c r="N2563" s="7">
        <v>0</v>
      </c>
    </row>
    <row r="2564" spans="1:14" ht="14.25" x14ac:dyDescent="0.2">
      <c r="A2564" s="3">
        <v>99634</v>
      </c>
      <c r="B2564" s="3" t="s">
        <v>4550</v>
      </c>
      <c r="C2564" s="3" t="s">
        <v>2</v>
      </c>
      <c r="D2564" s="6" t="s">
        <v>744</v>
      </c>
      <c r="E2564" s="6" t="s">
        <v>744</v>
      </c>
      <c r="F2564" s="3" t="str">
        <f>IFERROR( VLOOKUP(A2564,#REF!,2,0),"")</f>
        <v/>
      </c>
      <c r="G2564" s="3" t="str">
        <f t="array" ref="G2564">_xlfn.XLOOKUP(I2564,Base_Datos!D:D,Base_Datos!B:B,"")</f>
        <v>DFSK</v>
      </c>
      <c r="H2564" s="3" t="str">
        <f t="array" ref="H2564">IF(I2564="","",IFERROR(_xlfn.XLOOKUP(I2564,Base_Datos!$D$2:$D3876,Base_Datos!$C$2:$C3876),""))</f>
        <v>Serie D</v>
      </c>
      <c r="I2564" s="3" t="s">
        <v>145</v>
      </c>
      <c r="J2564" s="3" t="str">
        <f>IF(I2564="","",IFERROR(VLOOKUP(I2564,Base_Datos!$D$2:$E$72,2,0),""))</f>
        <v>(2.4L)</v>
      </c>
      <c r="K2564" s="3" t="s">
        <v>2439</v>
      </c>
      <c r="L2564" s="3"/>
      <c r="M2564" s="7">
        <v>2</v>
      </c>
      <c r="N2564" s="7">
        <v>0</v>
      </c>
    </row>
    <row r="2565" spans="1:14" ht="14.25" x14ac:dyDescent="0.2">
      <c r="A2565" s="3">
        <v>99635</v>
      </c>
      <c r="B2565" s="3" t="s">
        <v>4551</v>
      </c>
      <c r="C2565" s="3" t="s">
        <v>27</v>
      </c>
      <c r="D2565" s="6" t="s">
        <v>744</v>
      </c>
      <c r="E2565" s="6" t="s">
        <v>744</v>
      </c>
      <c r="F2565" s="3" t="str">
        <f>IFERROR( VLOOKUP(A2565,#REF!,2,0),"")</f>
        <v/>
      </c>
      <c r="G2565" s="3" t="str">
        <f t="array" ref="G2565">_xlfn.XLOOKUP(I2565,Base_Datos!D:D,Base_Datos!B:B,"")</f>
        <v>DFSK</v>
      </c>
      <c r="H2565" s="3" t="str">
        <f t="array" ref="H2565">IF(I2565="","",IFERROR(_xlfn.XLOOKUP(I2565,Base_Datos!$D$2:$D3876,Base_Datos!$C$2:$C3876),""))</f>
        <v>Serie D</v>
      </c>
      <c r="I2565" s="3" t="s">
        <v>145</v>
      </c>
      <c r="J2565" s="3" t="str">
        <f>IF(I2565="","",IFERROR(VLOOKUP(I2565,Base_Datos!$D$2:$E$72,2,0),""))</f>
        <v>(2.4L)</v>
      </c>
      <c r="K2565" s="3"/>
      <c r="L2565" s="3"/>
      <c r="M2565" s="7">
        <v>0</v>
      </c>
      <c r="N2565" s="7">
        <v>0</v>
      </c>
    </row>
    <row r="2566" spans="1:14" ht="14.25" x14ac:dyDescent="0.2">
      <c r="A2566" s="3">
        <v>99636</v>
      </c>
      <c r="B2566" s="3" t="s">
        <v>4552</v>
      </c>
      <c r="C2566" s="3" t="s">
        <v>27</v>
      </c>
      <c r="D2566" s="6" t="s">
        <v>744</v>
      </c>
      <c r="E2566" s="6" t="s">
        <v>744</v>
      </c>
      <c r="F2566" s="3" t="str">
        <f>IFERROR( VLOOKUP(A2566,#REF!,2,0),"")</f>
        <v/>
      </c>
      <c r="G2566" s="3" t="str">
        <f t="array" ref="G2566">_xlfn.XLOOKUP(I2566,Base_Datos!D:D,Base_Datos!B:B,"")</f>
        <v>DFSK</v>
      </c>
      <c r="H2566" s="3" t="str">
        <f t="array" ref="H2566">IF(I2566="","",IFERROR(_xlfn.XLOOKUP(I2566,Base_Datos!$D$2:$D3876,Base_Datos!$C$2:$C3876),""))</f>
        <v>Serie D</v>
      </c>
      <c r="I2566" s="3" t="s">
        <v>973</v>
      </c>
      <c r="J2566" s="3" t="str">
        <f>IF(I2566="","",IFERROR(VLOOKUP(I2566,Base_Datos!$D$2:$E$72,2,0),""))</f>
        <v>(1.5L)</v>
      </c>
      <c r="K2566" s="3"/>
      <c r="L2566" s="3"/>
      <c r="M2566" s="7">
        <v>0</v>
      </c>
      <c r="N2566" s="7">
        <v>0</v>
      </c>
    </row>
    <row r="2567" spans="1:14" ht="14.25" x14ac:dyDescent="0.2">
      <c r="A2567" s="3">
        <v>99637</v>
      </c>
      <c r="B2567" s="3" t="s">
        <v>4553</v>
      </c>
      <c r="C2567" s="3" t="s">
        <v>27</v>
      </c>
      <c r="D2567" s="6" t="s">
        <v>744</v>
      </c>
      <c r="E2567" s="6" t="s">
        <v>744</v>
      </c>
      <c r="F2567" s="3" t="str">
        <f>IFERROR( VLOOKUP(A2567,#REF!,2,0),"")</f>
        <v/>
      </c>
      <c r="G2567" s="3" t="str">
        <f t="array" ref="G2567">_xlfn.XLOOKUP(I2567,Base_Datos!D:D,Base_Datos!B:B,"")</f>
        <v>DFSK</v>
      </c>
      <c r="H2567" s="3" t="str">
        <f t="array" ref="H2567">IF(I2567="","",IFERROR(_xlfn.XLOOKUP(I2567,Base_Datos!$D$2:$D3876,Base_Datos!$C$2:$C3876),""))</f>
        <v>Serie Glory</v>
      </c>
      <c r="I2567" s="3" t="s">
        <v>1765</v>
      </c>
      <c r="J2567" s="3" t="str">
        <f>IF(I2567="","",IFERROR(VLOOKUP(I2567,Base_Datos!$D$2:$E$72,2,0),""))</f>
        <v>(1.5L)</v>
      </c>
      <c r="K2567" s="3"/>
      <c r="L2567" s="3"/>
      <c r="M2567" s="7">
        <v>0</v>
      </c>
      <c r="N2567" s="7">
        <v>0</v>
      </c>
    </row>
    <row r="2568" spans="1:14" ht="14.25" x14ac:dyDescent="0.2">
      <c r="A2568" s="3">
        <v>99638</v>
      </c>
      <c r="B2568" s="3" t="s">
        <v>4554</v>
      </c>
      <c r="C2568" s="3" t="s">
        <v>27</v>
      </c>
      <c r="D2568" s="6" t="s">
        <v>744</v>
      </c>
      <c r="E2568" s="6" t="s">
        <v>744</v>
      </c>
      <c r="F2568" s="3" t="str">
        <f>IFERROR( VLOOKUP(A2568,#REF!,2,0),"")</f>
        <v/>
      </c>
      <c r="G2568" s="3" t="str">
        <f t="array" ref="G2568">_xlfn.XLOOKUP(I2568,Base_Datos!D:D,Base_Datos!B:B,"")</f>
        <v>DFSK</v>
      </c>
      <c r="H2568" s="3" t="str">
        <f t="array" ref="H2568">IF(I2568="","",IFERROR(_xlfn.XLOOKUP(I2568,Base_Datos!$D$2:$D3876,Base_Datos!$C$2:$C3876),""))</f>
        <v>Serie D</v>
      </c>
      <c r="I2568" s="3" t="s">
        <v>145</v>
      </c>
      <c r="J2568" s="3" t="str">
        <f>IF(I2568="","",IFERROR(VLOOKUP(I2568,Base_Datos!$D$2:$E$72,2,0),""))</f>
        <v>(2.4L)</v>
      </c>
      <c r="K2568" s="3"/>
      <c r="L2568" s="3"/>
      <c r="M2568" s="7">
        <v>0</v>
      </c>
      <c r="N2568" s="7">
        <v>0</v>
      </c>
    </row>
    <row r="2569" spans="1:14" ht="14.25" x14ac:dyDescent="0.2">
      <c r="A2569" s="3">
        <v>99639</v>
      </c>
      <c r="B2569" s="3" t="s">
        <v>4555</v>
      </c>
      <c r="C2569" s="3" t="s">
        <v>27</v>
      </c>
      <c r="D2569" s="6" t="s">
        <v>744</v>
      </c>
      <c r="E2569" s="6" t="s">
        <v>744</v>
      </c>
      <c r="F2569" s="3" t="str">
        <f>IFERROR( VLOOKUP(A2569,#REF!,2,0),"")</f>
        <v/>
      </c>
      <c r="G2569" s="3" t="str">
        <f t="array" ref="G2569">_xlfn.XLOOKUP(I2569,Base_Datos!D:D,Base_Datos!B:B,"")</f>
        <v>DFSK</v>
      </c>
      <c r="H2569" s="3" t="str">
        <f t="array" ref="H2569">IF(I2569="","",IFERROR(_xlfn.XLOOKUP(I2569,Base_Datos!$D$2:$D3876,Base_Datos!$C$2:$C3876),""))</f>
        <v>Serie D</v>
      </c>
      <c r="I2569" s="3" t="s">
        <v>145</v>
      </c>
      <c r="J2569" s="3" t="str">
        <f>IF(I2569="","",IFERROR(VLOOKUP(I2569,Base_Datos!$D$2:$E$72,2,0),""))</f>
        <v>(2.4L)</v>
      </c>
      <c r="K2569" s="3"/>
      <c r="L2569" s="3"/>
      <c r="M2569" s="7">
        <v>0</v>
      </c>
      <c r="N2569" s="7">
        <v>0</v>
      </c>
    </row>
    <row r="2570" spans="1:14" ht="14.25" x14ac:dyDescent="0.2">
      <c r="A2570" s="3">
        <v>99640</v>
      </c>
      <c r="B2570" s="3" t="s">
        <v>4556</v>
      </c>
      <c r="C2570" s="3" t="s">
        <v>27</v>
      </c>
      <c r="D2570" s="6" t="s">
        <v>1782</v>
      </c>
      <c r="E2570" s="6" t="s">
        <v>1782</v>
      </c>
      <c r="F2570" s="3" t="str">
        <f>IFERROR( VLOOKUP(A2570,#REF!,2,0),"")</f>
        <v/>
      </c>
      <c r="G2570" s="3" t="str">
        <f t="array" ref="G2570">_xlfn.XLOOKUP(I2570,Base_Datos!D:D,Base_Datos!B:B,"")</f>
        <v>DFSK</v>
      </c>
      <c r="H2570" s="3" t="str">
        <f t="array" ref="H2570">IF(I2570="","",IFERROR(_xlfn.XLOOKUP(I2570,Base_Datos!$D$2:$D3876,Base_Datos!$C$2:$C3876),""))</f>
        <v>Serie C</v>
      </c>
      <c r="I2570" s="3" t="s">
        <v>339</v>
      </c>
      <c r="J2570" s="3" t="str">
        <f>IF(I2570="","",IFERROR(VLOOKUP(I2570,Base_Datos!$D$2:$E$72,2,0),""))</f>
        <v>(1.5L)</v>
      </c>
      <c r="K2570" s="3" t="s">
        <v>2439</v>
      </c>
      <c r="L2570" s="3"/>
      <c r="M2570" s="7">
        <v>0</v>
      </c>
      <c r="N2570" s="7">
        <v>0</v>
      </c>
    </row>
    <row r="2571" spans="1:14" ht="14.25" x14ac:dyDescent="0.2">
      <c r="A2571" s="3">
        <v>99641</v>
      </c>
      <c r="B2571" s="3" t="s">
        <v>4557</v>
      </c>
      <c r="C2571" s="3" t="s">
        <v>27</v>
      </c>
      <c r="D2571" s="6" t="s">
        <v>1782</v>
      </c>
      <c r="E2571" s="6" t="s">
        <v>1782</v>
      </c>
      <c r="F2571" s="3" t="str">
        <f>IFERROR( VLOOKUP(A2571,#REF!,2,0),"")</f>
        <v/>
      </c>
      <c r="G2571" s="3" t="str">
        <f t="array" ref="G2571">_xlfn.XLOOKUP(I2571,Base_Datos!D:D,Base_Datos!B:B,"")</f>
        <v>DFSK</v>
      </c>
      <c r="H2571" s="3" t="str">
        <f t="array" ref="H2571">IF(I2571="","",IFERROR(_xlfn.XLOOKUP(I2571,Base_Datos!$D$2:$D3876,Base_Datos!$C$2:$C3876),""))</f>
        <v>Serie D</v>
      </c>
      <c r="I2571" s="3" t="s">
        <v>145</v>
      </c>
      <c r="J2571" s="3" t="str">
        <f>IF(I2571="","",IFERROR(VLOOKUP(I2571,Base_Datos!$D$2:$E$72,2,0),""))</f>
        <v>(2.4L)</v>
      </c>
      <c r="K2571" s="3" t="s">
        <v>2439</v>
      </c>
      <c r="L2571" s="3"/>
      <c r="M2571" s="7">
        <v>0</v>
      </c>
      <c r="N2571" s="7">
        <v>0</v>
      </c>
    </row>
    <row r="2572" spans="1:14" ht="14.25" x14ac:dyDescent="0.2">
      <c r="A2572" s="3">
        <v>99642</v>
      </c>
      <c r="B2572" s="3" t="s">
        <v>4558</v>
      </c>
      <c r="C2572" s="3" t="s">
        <v>27</v>
      </c>
      <c r="D2572" s="6" t="s">
        <v>1675</v>
      </c>
      <c r="E2572" s="6" t="s">
        <v>1675</v>
      </c>
      <c r="F2572" s="3" t="str">
        <f>IFERROR( VLOOKUP(A2572,#REF!,2,0),"")</f>
        <v/>
      </c>
      <c r="G2572" s="3" t="str">
        <f t="array" ref="G2572">_xlfn.XLOOKUP(I2572,Base_Datos!D:D,Base_Datos!B:B,"")</f>
        <v>GAC</v>
      </c>
      <c r="H2572" s="3" t="str">
        <f t="array" ref="H2572">IF(I2572="","",IFERROR(_xlfn.XLOOKUP(I2572,Base_Datos!$D$2:$D3876,Base_Datos!$C$2:$C3876),""))</f>
        <v>Serie GS</v>
      </c>
      <c r="I2572" s="3" t="s">
        <v>1487</v>
      </c>
      <c r="J2572" s="3" t="str">
        <f>IF(I2572="","",IFERROR(VLOOKUP(I2572,Base_Datos!$D$2:$E$72,2,0),""))</f>
        <v>(2.0L)</v>
      </c>
      <c r="K2572" s="3" t="s">
        <v>2292</v>
      </c>
      <c r="L2572" s="3"/>
      <c r="M2572" s="7">
        <v>0</v>
      </c>
      <c r="N2572" s="7">
        <v>0</v>
      </c>
    </row>
    <row r="2573" spans="1:14" ht="14.25" x14ac:dyDescent="0.2">
      <c r="A2573" s="3">
        <v>99643</v>
      </c>
      <c r="B2573" s="3" t="s">
        <v>4559</v>
      </c>
      <c r="C2573" s="3" t="s">
        <v>2</v>
      </c>
      <c r="D2573" s="6" t="s">
        <v>1782</v>
      </c>
      <c r="E2573" s="6" t="s">
        <v>1782</v>
      </c>
      <c r="F2573" s="3" t="str">
        <f>IFERROR( VLOOKUP(A2573,#REF!,2,0),"")</f>
        <v/>
      </c>
      <c r="G2573" s="3" t="str">
        <f t="array" ref="G2573">_xlfn.XLOOKUP(I2573,Base_Datos!D:D,Base_Datos!B:B,"")</f>
        <v>DFSK</v>
      </c>
      <c r="H2573" s="3" t="str">
        <f t="array" ref="H2573">IF(I2573="","",IFERROR(_xlfn.XLOOKUP(I2573,Base_Datos!$D$2:$D3876,Base_Datos!$C$2:$C3876),""))</f>
        <v>Serie D</v>
      </c>
      <c r="I2573" s="3" t="s">
        <v>2785</v>
      </c>
      <c r="J2573" s="3" t="str">
        <f>IF(I2573="","",IFERROR(VLOOKUP(I2573,Base_Datos!$D$2:$E$72,2,0),""))</f>
        <v>(1.5L)</v>
      </c>
      <c r="K2573" s="3"/>
      <c r="L2573" s="3"/>
      <c r="M2573" s="7">
        <v>36</v>
      </c>
      <c r="N2573" s="7">
        <v>0</v>
      </c>
    </row>
    <row r="2574" spans="1:14" ht="14.25" x14ac:dyDescent="0.2">
      <c r="A2574" s="3">
        <v>99644</v>
      </c>
      <c r="B2574" s="3" t="s">
        <v>4560</v>
      </c>
      <c r="C2574" s="3" t="s">
        <v>27</v>
      </c>
      <c r="D2574" s="6" t="s">
        <v>1033</v>
      </c>
      <c r="E2574" s="6" t="s">
        <v>1033</v>
      </c>
      <c r="F2574" s="3" t="str">
        <f>IFERROR( VLOOKUP(A2574,#REF!,2,0),"")</f>
        <v/>
      </c>
      <c r="G2574" s="3">
        <f t="array" ref="G2574">_xlfn.XLOOKUP(I2574,Base_Datos!D:D,Base_Datos!B:B,"")</f>
        <v>0</v>
      </c>
      <c r="H2574" s="3" t="str">
        <f t="array" ref="H2574">IF(I2574="","",IFERROR(_xlfn.XLOOKUP(I2574,Base_Datos!$D$2:$D3876,Base_Datos!$C$2:$C3876),""))</f>
        <v/>
      </c>
      <c r="I2574" s="3"/>
      <c r="J2574" s="3" t="str">
        <f>IF(I2574="","",IFERROR(VLOOKUP(I2574,Base_Datos!$D$2:$E$72,2,0),""))</f>
        <v/>
      </c>
      <c r="K2574" s="3"/>
      <c r="L2574" s="3"/>
      <c r="M2574" s="7">
        <v>0</v>
      </c>
      <c r="N2574" s="7">
        <v>0</v>
      </c>
    </row>
    <row r="2575" spans="1:14" ht="14.25" x14ac:dyDescent="0.2">
      <c r="A2575" s="3">
        <v>99645</v>
      </c>
      <c r="B2575" s="3" t="s">
        <v>4561</v>
      </c>
      <c r="C2575" s="3" t="s">
        <v>27</v>
      </c>
      <c r="D2575" s="6" t="s">
        <v>1033</v>
      </c>
      <c r="E2575" s="6" t="s">
        <v>1033</v>
      </c>
      <c r="F2575" s="3" t="str">
        <f>IFERROR( VLOOKUP(A2575,#REF!,2,0),"")</f>
        <v/>
      </c>
      <c r="G2575" s="3">
        <f t="array" ref="G2575">_xlfn.XLOOKUP(I2575,Base_Datos!D:D,Base_Datos!B:B,"")</f>
        <v>0</v>
      </c>
      <c r="H2575" s="3" t="str">
        <f t="array" ref="H2575">IF(I2575="","",IFERROR(_xlfn.XLOOKUP(I2575,Base_Datos!$D$2:$D3876,Base_Datos!$C$2:$C3876),""))</f>
        <v/>
      </c>
      <c r="I2575" s="3"/>
      <c r="J2575" s="3" t="str">
        <f>IF(I2575="","",IFERROR(VLOOKUP(I2575,Base_Datos!$D$2:$E$72,2,0),""))</f>
        <v/>
      </c>
      <c r="K2575" s="3"/>
      <c r="L2575" s="3"/>
      <c r="M2575" s="7">
        <v>0</v>
      </c>
      <c r="N2575" s="7">
        <v>0</v>
      </c>
    </row>
    <row r="2576" spans="1:14" ht="14.25" x14ac:dyDescent="0.2">
      <c r="A2576" s="3">
        <v>99646</v>
      </c>
      <c r="B2576" s="3" t="s">
        <v>4562</v>
      </c>
      <c r="C2576" s="3" t="s">
        <v>27</v>
      </c>
      <c r="D2576" s="6" t="s">
        <v>1033</v>
      </c>
      <c r="E2576" s="6" t="s">
        <v>1033</v>
      </c>
      <c r="F2576" s="3" t="str">
        <f>IFERROR( VLOOKUP(A2576,#REF!,2,0),"")</f>
        <v/>
      </c>
      <c r="G2576" s="3">
        <f t="array" ref="G2576">_xlfn.XLOOKUP(I2576,Base_Datos!D:D,Base_Datos!B:B,"")</f>
        <v>0</v>
      </c>
      <c r="H2576" s="3" t="str">
        <f t="array" ref="H2576">IF(I2576="","",IFERROR(_xlfn.XLOOKUP(I2576,Base_Datos!$D$2:$D3876,Base_Datos!$C$2:$C3876),""))</f>
        <v/>
      </c>
      <c r="I2576" s="3"/>
      <c r="J2576" s="3" t="str">
        <f>IF(I2576="","",IFERROR(VLOOKUP(I2576,Base_Datos!$D$2:$E$72,2,0),""))</f>
        <v/>
      </c>
      <c r="K2576" s="3"/>
      <c r="L2576" s="3"/>
      <c r="M2576" s="7">
        <v>0</v>
      </c>
      <c r="N2576" s="7">
        <v>0</v>
      </c>
    </row>
    <row r="2577" spans="1:14" ht="14.25" x14ac:dyDescent="0.2">
      <c r="A2577" s="3">
        <v>99647</v>
      </c>
      <c r="B2577" s="3" t="s">
        <v>4563</v>
      </c>
      <c r="C2577" s="3" t="s">
        <v>27</v>
      </c>
      <c r="D2577" s="6" t="s">
        <v>4051</v>
      </c>
      <c r="E2577" s="6" t="s">
        <v>4051</v>
      </c>
      <c r="F2577" s="3" t="str">
        <f>IFERROR( VLOOKUP(A2577,#REF!,2,0),"")</f>
        <v/>
      </c>
      <c r="G2577" s="3" t="str">
        <f t="array" ref="G2577">_xlfn.XLOOKUP(I2577,Base_Datos!D:D,Base_Datos!B:B,"")</f>
        <v>DFSK</v>
      </c>
      <c r="H2577" s="3" t="str">
        <f t="array" ref="H2577">IF(I2577="","",IFERROR(_xlfn.XLOOKUP(I2577,Base_Datos!$D$2:$D3876,Base_Datos!$C$2:$C3876),""))</f>
        <v>Serie Glory</v>
      </c>
      <c r="I2577" s="3" t="s">
        <v>1765</v>
      </c>
      <c r="J2577" s="3" t="str">
        <f>IF(I2577="","",IFERROR(VLOOKUP(I2577,Base_Datos!$D$2:$E$72,2,0),""))</f>
        <v>(1.5L)</v>
      </c>
      <c r="K2577" s="3"/>
      <c r="L2577" s="3"/>
      <c r="M2577" s="7">
        <v>0</v>
      </c>
      <c r="N2577" s="7">
        <v>0</v>
      </c>
    </row>
    <row r="2578" spans="1:14" ht="14.25" x14ac:dyDescent="0.2">
      <c r="A2578" s="3">
        <v>99648</v>
      </c>
      <c r="B2578" s="3" t="s">
        <v>4564</v>
      </c>
      <c r="C2578" s="3" t="s">
        <v>2</v>
      </c>
      <c r="D2578" s="6" t="s">
        <v>1782</v>
      </c>
      <c r="E2578" s="6" t="s">
        <v>1782</v>
      </c>
      <c r="F2578" s="3" t="str">
        <f>IFERROR( VLOOKUP(A2578,#REF!,2,0),"")</f>
        <v/>
      </c>
      <c r="G2578" s="3" t="str">
        <f t="array" ref="G2578">_xlfn.XLOOKUP(I2578,Base_Datos!D:D,Base_Datos!B:B,"")</f>
        <v>DFSK</v>
      </c>
      <c r="H2578" s="3" t="str">
        <f t="array" ref="H2578">IF(I2578="","",IFERROR(_xlfn.XLOOKUP(I2578,Base_Datos!$D$2:$D3876,Base_Datos!$C$2:$C3876),""))</f>
        <v>Serie K</v>
      </c>
      <c r="I2578" s="3" t="s">
        <v>475</v>
      </c>
      <c r="J2578" s="3" t="str">
        <f>IF(I2578="","",IFERROR(VLOOKUP(I2578,Base_Datos!$D$2:$E$72,2,0),""))</f>
        <v>(1.1L)</v>
      </c>
      <c r="K2578" s="3"/>
      <c r="L2578" s="3"/>
      <c r="M2578" s="7">
        <v>0</v>
      </c>
      <c r="N2578" s="7">
        <v>0</v>
      </c>
    </row>
    <row r="2579" spans="1:14" ht="14.25" x14ac:dyDescent="0.2">
      <c r="A2579" s="3">
        <v>99649</v>
      </c>
      <c r="B2579" s="3" t="s">
        <v>4311</v>
      </c>
      <c r="C2579" s="3" t="s">
        <v>2</v>
      </c>
      <c r="D2579" s="6" t="s">
        <v>152</v>
      </c>
      <c r="E2579" s="6" t="s">
        <v>152</v>
      </c>
      <c r="F2579" s="3" t="str">
        <f>IFERROR( VLOOKUP(A2579,#REF!,2,0),"")</f>
        <v/>
      </c>
      <c r="G2579" s="3" t="str">
        <f t="array" ref="G2579">_xlfn.XLOOKUP(I2579,Base_Datos!D:D,Base_Datos!B:B,"")</f>
        <v>DFSK</v>
      </c>
      <c r="H2579" s="3" t="str">
        <f t="array" ref="H2579">IF(I2579="","",IFERROR(_xlfn.XLOOKUP(I2579,Base_Datos!$D$2:$D3876,Base_Datos!$C$2:$C3876),""))</f>
        <v>Serie K</v>
      </c>
      <c r="I2579" s="3" t="s">
        <v>475</v>
      </c>
      <c r="J2579" s="3" t="str">
        <f>IF(I2579="","",IFERROR(VLOOKUP(I2579,Base_Datos!$D$2:$E$72,2,0),""))</f>
        <v>(1.1L)</v>
      </c>
      <c r="K2579" s="3"/>
      <c r="L2579" s="3"/>
      <c r="M2579" s="7">
        <v>0</v>
      </c>
      <c r="N2579" s="7">
        <v>0</v>
      </c>
    </row>
    <row r="2580" spans="1:14" ht="14.25" x14ac:dyDescent="0.2">
      <c r="A2580" s="3">
        <v>99650</v>
      </c>
      <c r="B2580" s="3" t="s">
        <v>4527</v>
      </c>
      <c r="C2580" s="3" t="s">
        <v>2</v>
      </c>
      <c r="D2580" s="6" t="s">
        <v>152</v>
      </c>
      <c r="E2580" s="6" t="s">
        <v>152</v>
      </c>
      <c r="F2580" s="3" t="str">
        <f>IFERROR( VLOOKUP(A2580,#REF!,2,0),"")</f>
        <v/>
      </c>
      <c r="G2580" s="3" t="str">
        <f t="array" ref="G2580">_xlfn.XLOOKUP(I2580,Base_Datos!D:D,Base_Datos!B:B,"")</f>
        <v>DFSK</v>
      </c>
      <c r="H2580" s="3" t="str">
        <f t="array" ref="H2580">IF(I2580="","",IFERROR(_xlfn.XLOOKUP(I2580,Base_Datos!$D$2:$D3876,Base_Datos!$C$2:$C3876),""))</f>
        <v>Serie K</v>
      </c>
      <c r="I2580" s="3" t="s">
        <v>475</v>
      </c>
      <c r="J2580" s="3" t="str">
        <f>IF(I2580="","",IFERROR(VLOOKUP(I2580,Base_Datos!$D$2:$E$72,2,0),""))</f>
        <v>(1.1L)</v>
      </c>
      <c r="K2580" s="3"/>
      <c r="L2580" s="3"/>
      <c r="M2580" s="7">
        <v>0</v>
      </c>
      <c r="N2580" s="7">
        <v>0</v>
      </c>
    </row>
    <row r="2581" spans="1:14" ht="14.25" x14ac:dyDescent="0.2">
      <c r="A2581" s="3">
        <v>99651</v>
      </c>
      <c r="B2581" s="8" t="s">
        <v>1925</v>
      </c>
      <c r="C2581" s="3" t="s">
        <v>2</v>
      </c>
      <c r="D2581" s="6" t="s">
        <v>878</v>
      </c>
      <c r="E2581" s="6" t="s">
        <v>878</v>
      </c>
      <c r="F2581" s="3" t="str">
        <f>IFERROR( VLOOKUP(A2581,#REF!,2,0),"")</f>
        <v/>
      </c>
      <c r="G2581" s="3" t="str">
        <f t="array" ref="G2581">_xlfn.XLOOKUP(I2581,Base_Datos!D:D,Base_Datos!B:B,"")</f>
        <v>DFSK</v>
      </c>
      <c r="H2581" s="3" t="str">
        <f t="array" ref="H2581">IF(I2581="","",IFERROR(_xlfn.XLOOKUP(I2581,Base_Datos!$D$2:$D3876,Base_Datos!$C$2:$C3876),""))</f>
        <v>Serie K</v>
      </c>
      <c r="I2581" s="3" t="s">
        <v>475</v>
      </c>
      <c r="J2581" s="3" t="str">
        <f>IF(I2581="","",IFERROR(VLOOKUP(I2581,Base_Datos!$D$2:$E$72,2,0),""))</f>
        <v>(1.1L)</v>
      </c>
      <c r="K2581" s="3" t="s">
        <v>1817</v>
      </c>
      <c r="L2581" s="3"/>
      <c r="M2581" s="7">
        <v>0</v>
      </c>
      <c r="N2581" s="7">
        <v>0</v>
      </c>
    </row>
    <row r="2582" spans="1:14" ht="14.25" x14ac:dyDescent="0.2">
      <c r="A2582" s="3">
        <v>99652</v>
      </c>
      <c r="B2582" s="3" t="s">
        <v>4565</v>
      </c>
      <c r="C2582" s="3" t="s">
        <v>2</v>
      </c>
      <c r="D2582" s="6" t="s">
        <v>4281</v>
      </c>
      <c r="E2582" s="6" t="s">
        <v>4281</v>
      </c>
      <c r="F2582" s="3" t="str">
        <f>IFERROR( VLOOKUP(A2582,#REF!,2,0),"")</f>
        <v/>
      </c>
      <c r="G2582" s="3" t="str">
        <f t="array" ref="G2582">_xlfn.XLOOKUP(I2582,Base_Datos!D:D,Base_Datos!B:B,"")</f>
        <v>DFSK</v>
      </c>
      <c r="H2582" s="3" t="str">
        <f t="array" ref="H2582">IF(I2582="","",IFERROR(_xlfn.XLOOKUP(I2582,Base_Datos!$D$2:$D3876,Base_Datos!$C$2:$C3876),""))</f>
        <v>Serie Glory</v>
      </c>
      <c r="I2582" s="3" t="s">
        <v>1767</v>
      </c>
      <c r="J2582" s="3" t="str">
        <f>IF(I2582="","",IFERROR(VLOOKUP(I2582,Base_Datos!$D$2:$E$72,2,0),""))</f>
        <v>(1.5L)</v>
      </c>
      <c r="K2582" s="3" t="s">
        <v>1817</v>
      </c>
      <c r="L2582" s="3"/>
      <c r="M2582" s="7">
        <v>0</v>
      </c>
      <c r="N2582" s="7">
        <v>0</v>
      </c>
    </row>
    <row r="2583" spans="1:14" ht="14.25" x14ac:dyDescent="0.2">
      <c r="A2583" s="3">
        <v>99653</v>
      </c>
      <c r="B2583" s="3" t="s">
        <v>3519</v>
      </c>
      <c r="C2583" s="3" t="s">
        <v>27</v>
      </c>
      <c r="D2583" s="6" t="s">
        <v>4281</v>
      </c>
      <c r="E2583" s="6" t="s">
        <v>4281</v>
      </c>
      <c r="F2583" s="3" t="str">
        <f>IFERROR( VLOOKUP(A2583,#REF!,2,0),"")</f>
        <v/>
      </c>
      <c r="G2583" s="3" t="str">
        <f t="array" ref="G2583">_xlfn.XLOOKUP(I2583,Base_Datos!D:D,Base_Datos!B:B,"")</f>
        <v>DFSK</v>
      </c>
      <c r="H2583" s="3" t="str">
        <f t="array" ref="H2583">IF(I2583="","",IFERROR(_xlfn.XLOOKUP(I2583,Base_Datos!$D$2:$D3876,Base_Datos!$C$2:$C3876),""))</f>
        <v>Serie Glory</v>
      </c>
      <c r="I2583" s="3" t="s">
        <v>1767</v>
      </c>
      <c r="J2583" s="3" t="str">
        <f>IF(I2583="","",IFERROR(VLOOKUP(I2583,Base_Datos!$D$2:$E$72,2,0),""))</f>
        <v>(1.5L)</v>
      </c>
      <c r="K2583" s="3" t="s">
        <v>1817</v>
      </c>
      <c r="L2583" s="3"/>
      <c r="M2583" s="7">
        <v>0</v>
      </c>
      <c r="N2583" s="7">
        <v>0</v>
      </c>
    </row>
    <row r="2584" spans="1:14" ht="14.25" x14ac:dyDescent="0.2">
      <c r="A2584" s="3">
        <v>99654</v>
      </c>
      <c r="B2584" s="3" t="s">
        <v>4566</v>
      </c>
      <c r="C2584" s="3" t="s">
        <v>27</v>
      </c>
      <c r="D2584" s="6" t="s">
        <v>4281</v>
      </c>
      <c r="E2584" s="6" t="s">
        <v>4281</v>
      </c>
      <c r="F2584" s="3" t="str">
        <f>IFERROR( VLOOKUP(A2584,#REF!,2,0),"")</f>
        <v/>
      </c>
      <c r="G2584" s="3" t="str">
        <f t="array" ref="G2584">_xlfn.XLOOKUP(I2584,Base_Datos!D:D,Base_Datos!B:B,"")</f>
        <v>DFSK</v>
      </c>
      <c r="H2584" s="3" t="str">
        <f t="array" ref="H2584">IF(I2584="","",IFERROR(_xlfn.XLOOKUP(I2584,Base_Datos!$D$2:$D3876,Base_Datos!$C$2:$C3876),""))</f>
        <v>Serie Glory</v>
      </c>
      <c r="I2584" s="3" t="s">
        <v>1765</v>
      </c>
      <c r="J2584" s="3" t="str">
        <f>IF(I2584="","",IFERROR(VLOOKUP(I2584,Base_Datos!$D$2:$E$72,2,0),""))</f>
        <v>(1.5L)</v>
      </c>
      <c r="K2584" s="3" t="s">
        <v>1817</v>
      </c>
      <c r="L2584" s="3"/>
      <c r="M2584" s="7">
        <v>0</v>
      </c>
      <c r="N2584" s="7">
        <v>0</v>
      </c>
    </row>
    <row r="2585" spans="1:14" ht="14.25" x14ac:dyDescent="0.2">
      <c r="A2585" s="3">
        <v>99655</v>
      </c>
      <c r="B2585" s="3" t="s">
        <v>4567</v>
      </c>
      <c r="C2585" s="3" t="s">
        <v>27</v>
      </c>
      <c r="D2585" s="6" t="s">
        <v>2414</v>
      </c>
      <c r="E2585" s="6" t="s">
        <v>2414</v>
      </c>
      <c r="F2585" s="3" t="str">
        <f>IFERROR( VLOOKUP(A2585,#REF!,2,0),"")</f>
        <v/>
      </c>
      <c r="G2585" s="3" t="str">
        <f t="array" ref="G2585">_xlfn.XLOOKUP(I2585,Base_Datos!D:D,Base_Datos!B:B,"")</f>
        <v>DFSK</v>
      </c>
      <c r="H2585" s="3" t="str">
        <f t="array" ref="H2585">IF(I2585="","",IFERROR(_xlfn.XLOOKUP(I2585,Base_Datos!$D$2:$D3876,Base_Datos!$C$2:$C3876),""))</f>
        <v>Serie Glory</v>
      </c>
      <c r="I2585" s="3" t="s">
        <v>1765</v>
      </c>
      <c r="J2585" s="3" t="str">
        <f>IF(I2585="","",IFERROR(VLOOKUP(I2585,Base_Datos!$D$2:$E$72,2,0),""))</f>
        <v>(1.5L)</v>
      </c>
      <c r="K2585" s="3"/>
      <c r="L2585" s="3"/>
      <c r="M2585" s="7">
        <v>0</v>
      </c>
      <c r="N2585" s="7">
        <v>0</v>
      </c>
    </row>
    <row r="2586" spans="1:14" ht="14.25" x14ac:dyDescent="0.2">
      <c r="A2586" s="3">
        <v>99656</v>
      </c>
      <c r="B2586" s="3" t="s">
        <v>4568</v>
      </c>
      <c r="C2586" s="3" t="s">
        <v>2</v>
      </c>
      <c r="D2586" s="6" t="s">
        <v>4208</v>
      </c>
      <c r="E2586" s="6" t="s">
        <v>4208</v>
      </c>
      <c r="F2586" s="3" t="str">
        <f>IFERROR( VLOOKUP(A2586,#REF!,2,0),"")</f>
        <v/>
      </c>
      <c r="G2586" s="3">
        <f t="array" ref="G2586">_xlfn.XLOOKUP(I2586,Base_Datos!D:D,Base_Datos!B:B,"")</f>
        <v>0</v>
      </c>
      <c r="H2586" s="3" t="str">
        <f t="array" ref="H2586">IF(I2586="","",IFERROR(_xlfn.XLOOKUP(I2586,Base_Datos!$D$2:$D3876,Base_Datos!$C$2:$C3876),""))</f>
        <v/>
      </c>
      <c r="I2586" s="3"/>
      <c r="J2586" s="3" t="str">
        <f>IF(I2586="","",IFERROR(VLOOKUP(I2586,Base_Datos!$D$2:$E$72,2,0),""))</f>
        <v/>
      </c>
      <c r="K2586" s="3"/>
      <c r="L2586" s="3"/>
      <c r="M2586" s="7">
        <v>5</v>
      </c>
      <c r="N2586" s="7">
        <v>0</v>
      </c>
    </row>
    <row r="2587" spans="1:14" ht="14.25" x14ac:dyDescent="0.2">
      <c r="A2587" s="3">
        <v>99657</v>
      </c>
      <c r="B2587" s="3" t="s">
        <v>4569</v>
      </c>
      <c r="C2587" s="3" t="s">
        <v>2</v>
      </c>
      <c r="D2587" s="6" t="s">
        <v>4208</v>
      </c>
      <c r="E2587" s="6" t="s">
        <v>4208</v>
      </c>
      <c r="F2587" s="3" t="str">
        <f>IFERROR( VLOOKUP(A2587,#REF!,2,0),"")</f>
        <v/>
      </c>
      <c r="G2587" s="3">
        <f t="array" ref="G2587">_xlfn.XLOOKUP(I2587,Base_Datos!D:D,Base_Datos!B:B,"")</f>
        <v>0</v>
      </c>
      <c r="H2587" s="3" t="str">
        <f t="array" ref="H2587">IF(I2587="","",IFERROR(_xlfn.XLOOKUP(I2587,Base_Datos!$D$2:$D3876,Base_Datos!$C$2:$C3876),""))</f>
        <v/>
      </c>
      <c r="I2587" s="3"/>
      <c r="J2587" s="3" t="str">
        <f>IF(I2587="","",IFERROR(VLOOKUP(I2587,Base_Datos!$D$2:$E$72,2,0),""))</f>
        <v/>
      </c>
      <c r="K2587" s="3"/>
      <c r="L2587" s="3"/>
      <c r="M2587" s="7">
        <v>6</v>
      </c>
      <c r="N2587" s="7">
        <v>0</v>
      </c>
    </row>
    <row r="2588" spans="1:14" ht="14.25" x14ac:dyDescent="0.2">
      <c r="A2588" s="3">
        <v>99658</v>
      </c>
      <c r="B2588" s="3" t="s">
        <v>4570</v>
      </c>
      <c r="C2588" s="3" t="s">
        <v>2</v>
      </c>
      <c r="D2588" s="6" t="s">
        <v>1782</v>
      </c>
      <c r="E2588" s="6" t="s">
        <v>1782</v>
      </c>
      <c r="F2588" s="3" t="str">
        <f>IFERROR( VLOOKUP(A2588,#REF!,2,0),"")</f>
        <v/>
      </c>
      <c r="G2588" s="3">
        <f t="array" ref="G2588">_xlfn.XLOOKUP(I2588,Base_Datos!D:D,Base_Datos!B:B,"")</f>
        <v>0</v>
      </c>
      <c r="H2588" s="3" t="str">
        <f t="array" ref="H2588">IF(I2588="","",IFERROR(_xlfn.XLOOKUP(I2588,Base_Datos!$D$2:$D3876,Base_Datos!$C$2:$C3876),""))</f>
        <v/>
      </c>
      <c r="I2588" s="3"/>
      <c r="J2588" s="3" t="str">
        <f>IF(I2588="","",IFERROR(VLOOKUP(I2588,Base_Datos!$D$2:$E$72,2,0),""))</f>
        <v/>
      </c>
      <c r="K2588" s="3"/>
      <c r="L2588" s="3"/>
      <c r="M2588" s="7">
        <v>1</v>
      </c>
      <c r="N2588" s="7">
        <v>0</v>
      </c>
    </row>
    <row r="2589" spans="1:14" ht="14.25" x14ac:dyDescent="0.2">
      <c r="A2589" s="3">
        <v>99659</v>
      </c>
      <c r="B2589" s="3" t="s">
        <v>4571</v>
      </c>
      <c r="C2589" s="3" t="s">
        <v>27</v>
      </c>
      <c r="D2589" s="6" t="s">
        <v>1782</v>
      </c>
      <c r="E2589" s="6" t="s">
        <v>1782</v>
      </c>
      <c r="F2589" s="3" t="str">
        <f>IFERROR( VLOOKUP(A2589,#REF!,2,0),"")</f>
        <v/>
      </c>
      <c r="G2589" s="3" t="str">
        <f t="array" ref="G2589">_xlfn.XLOOKUP(I2589,Base_Datos!D:D,Base_Datos!B:B,"")</f>
        <v>DFSK</v>
      </c>
      <c r="H2589" s="3" t="str">
        <f t="array" ref="H2589">IF(I2589="","",IFERROR(_xlfn.XLOOKUP(I2589,Base_Datos!$D$2:$D3876,Base_Datos!$C$2:$C3876),""))</f>
        <v>Serie D</v>
      </c>
      <c r="I2589" s="3" t="s">
        <v>145</v>
      </c>
      <c r="J2589" s="3" t="str">
        <f>IF(I2589="","",IFERROR(VLOOKUP(I2589,Base_Datos!$D$2:$E$72,2,0),""))</f>
        <v>(2.4L)</v>
      </c>
      <c r="K2589" s="3" t="s">
        <v>2439</v>
      </c>
      <c r="L2589" s="3"/>
      <c r="M2589" s="7">
        <v>0</v>
      </c>
      <c r="N2589" s="7">
        <v>0</v>
      </c>
    </row>
    <row r="2590" spans="1:14" ht="14.25" x14ac:dyDescent="0.2">
      <c r="A2590" s="3">
        <v>99660</v>
      </c>
      <c r="B2590" s="3" t="s">
        <v>4572</v>
      </c>
      <c r="C2590" s="3" t="s">
        <v>2</v>
      </c>
      <c r="D2590" s="6" t="s">
        <v>1782</v>
      </c>
      <c r="E2590" s="6" t="s">
        <v>1782</v>
      </c>
      <c r="F2590" s="3" t="str">
        <f>IFERROR( VLOOKUP(A2590,#REF!,2,0),"")</f>
        <v/>
      </c>
      <c r="G2590" s="3" t="str">
        <f t="array" ref="G2590">_xlfn.XLOOKUP(I2590,Base_Datos!D:D,Base_Datos!B:B,"")</f>
        <v>DFSK</v>
      </c>
      <c r="H2590" s="3" t="str">
        <f t="array" ref="H2590">IF(I2590="","",IFERROR(_xlfn.XLOOKUP(I2590,Base_Datos!$D$2:$D3876,Base_Datos!$C$2:$C3876),""))</f>
        <v>Serie K</v>
      </c>
      <c r="I2590" s="3" t="s">
        <v>475</v>
      </c>
      <c r="J2590" s="3" t="str">
        <f>IF(I2590="","",IFERROR(VLOOKUP(I2590,Base_Datos!$D$2:$E$72,2,0),""))</f>
        <v>(1.1L)</v>
      </c>
      <c r="K2590" s="3" t="s">
        <v>2439</v>
      </c>
      <c r="L2590" s="3"/>
      <c r="M2590" s="7">
        <v>4</v>
      </c>
      <c r="N2590" s="7">
        <v>0</v>
      </c>
    </row>
    <row r="2591" spans="1:14" ht="14.25" x14ac:dyDescent="0.2">
      <c r="A2591" s="3">
        <v>99661</v>
      </c>
      <c r="B2591" s="3" t="s">
        <v>4573</v>
      </c>
      <c r="C2591" s="3" t="s">
        <v>2</v>
      </c>
      <c r="D2591" s="6" t="s">
        <v>1782</v>
      </c>
      <c r="E2591" s="6" t="s">
        <v>1782</v>
      </c>
      <c r="F2591" s="3" t="str">
        <f>IFERROR( VLOOKUP(A2591,#REF!,2,0),"")</f>
        <v/>
      </c>
      <c r="G2591" s="3">
        <f t="array" ref="G2591">_xlfn.XLOOKUP(I2591,Base_Datos!D:D,Base_Datos!B:B,"")</f>
        <v>0</v>
      </c>
      <c r="H2591" s="3" t="str">
        <f t="array" ref="H2591">IF(I2591="","",IFERROR(_xlfn.XLOOKUP(I2591,Base_Datos!$D$2:$D3876,Base_Datos!$C$2:$C3876),""))</f>
        <v/>
      </c>
      <c r="I2591" s="3"/>
      <c r="J2591" s="3" t="str">
        <f>IF(I2591="","",IFERROR(VLOOKUP(I2591,Base_Datos!$D$2:$E$72,2,0),""))</f>
        <v/>
      </c>
      <c r="K2591" s="3" t="s">
        <v>2439</v>
      </c>
      <c r="L2591" s="3"/>
      <c r="M2591" s="7">
        <v>228</v>
      </c>
      <c r="N2591" s="7">
        <v>0</v>
      </c>
    </row>
    <row r="2592" spans="1:14" ht="14.25" x14ac:dyDescent="0.2">
      <c r="A2592" s="3">
        <v>99662</v>
      </c>
      <c r="B2592" s="3" t="s">
        <v>4574</v>
      </c>
      <c r="C2592" s="3" t="s">
        <v>2</v>
      </c>
      <c r="D2592" s="6" t="s">
        <v>1782</v>
      </c>
      <c r="E2592" s="6" t="s">
        <v>1782</v>
      </c>
      <c r="F2592" s="3" t="str">
        <f>IFERROR( VLOOKUP(A2592,#REF!,2,0),"")</f>
        <v/>
      </c>
      <c r="G2592" s="3" t="str">
        <f t="array" ref="G2592">_xlfn.XLOOKUP(I2592,Base_Datos!D:D,Base_Datos!B:B,"")</f>
        <v>DFSK</v>
      </c>
      <c r="H2592" s="3" t="str">
        <f t="array" ref="H2592">IF(I2592="","",IFERROR(_xlfn.XLOOKUP(I2592,Base_Datos!$D$2:$D3876,Base_Datos!$C$2:$C3876),""))</f>
        <v>Serie D</v>
      </c>
      <c r="I2592" s="3" t="s">
        <v>145</v>
      </c>
      <c r="J2592" s="3" t="str">
        <f>IF(I2592="","",IFERROR(VLOOKUP(I2592,Base_Datos!$D$2:$E$72,2,0),""))</f>
        <v>(2.4L)</v>
      </c>
      <c r="K2592" s="3" t="s">
        <v>2439</v>
      </c>
      <c r="L2592" s="3"/>
      <c r="M2592" s="7">
        <v>0</v>
      </c>
      <c r="N2592" s="7">
        <v>0</v>
      </c>
    </row>
    <row r="2593" spans="1:14" ht="14.25" x14ac:dyDescent="0.2">
      <c r="A2593" s="3">
        <v>99663</v>
      </c>
      <c r="B2593" s="3" t="s">
        <v>4575</v>
      </c>
      <c r="C2593" s="3" t="s">
        <v>27</v>
      </c>
      <c r="D2593" s="6" t="s">
        <v>1782</v>
      </c>
      <c r="E2593" s="6" t="s">
        <v>1782</v>
      </c>
      <c r="F2593" s="3" t="str">
        <f>IFERROR( VLOOKUP(A2593,#REF!,2,0),"")</f>
        <v/>
      </c>
      <c r="G2593" s="3" t="str">
        <f t="array" ref="G2593">_xlfn.XLOOKUP(I2593,Base_Datos!D:D,Base_Datos!B:B,"")</f>
        <v>DFSK</v>
      </c>
      <c r="H2593" s="3" t="str">
        <f t="array" ref="H2593">IF(I2593="","",IFERROR(_xlfn.XLOOKUP(I2593,Base_Datos!$D$2:$D3876,Base_Datos!$C$2:$C3876),""))</f>
        <v>Serie Glory</v>
      </c>
      <c r="I2593" s="3" t="s">
        <v>1766</v>
      </c>
      <c r="J2593" s="3" t="str">
        <f>IF(I2593="","",IFERROR(VLOOKUP(I2593,Base_Datos!$D$2:$E$72,2,0),""))</f>
        <v>(1.8L)</v>
      </c>
      <c r="K2593" s="3"/>
      <c r="L2593" s="3"/>
      <c r="M2593" s="7">
        <v>0</v>
      </c>
      <c r="N2593" s="7">
        <v>0</v>
      </c>
    </row>
    <row r="2594" spans="1:14" ht="14.25" x14ac:dyDescent="0.2">
      <c r="A2594" s="3">
        <v>99664</v>
      </c>
      <c r="B2594" s="9" t="s">
        <v>4576</v>
      </c>
      <c r="C2594" s="3" t="s">
        <v>2</v>
      </c>
      <c r="D2594" s="6" t="s">
        <v>1782</v>
      </c>
      <c r="E2594" s="6" t="s">
        <v>1782</v>
      </c>
      <c r="F2594" s="3" t="str">
        <f>IFERROR( VLOOKUP(A2594,#REF!,2,0),"")</f>
        <v/>
      </c>
      <c r="G2594" s="3" t="str">
        <f t="array" ref="G2594">_xlfn.XLOOKUP(I2594,Base_Datos!D:D,Base_Datos!B:B,"")</f>
        <v>DFSK</v>
      </c>
      <c r="H2594" s="3" t="str">
        <f t="array" ref="H2594">IF(I2594="","",IFERROR(_xlfn.XLOOKUP(I2594,Base_Datos!$D$2:$D3876,Base_Datos!$C$2:$C3876),""))</f>
        <v>Serie Glory</v>
      </c>
      <c r="I2594" s="3" t="s">
        <v>1766</v>
      </c>
      <c r="J2594" s="3" t="str">
        <f>IF(I2594="","",IFERROR(VLOOKUP(I2594,Base_Datos!$D$2:$E$72,2,0),""))</f>
        <v>(1.8L)</v>
      </c>
      <c r="K2594" s="3"/>
      <c r="L2594" s="3"/>
      <c r="M2594" s="7">
        <v>1</v>
      </c>
      <c r="N2594" s="7">
        <v>0</v>
      </c>
    </row>
    <row r="2595" spans="1:14" ht="14.25" x14ac:dyDescent="0.2">
      <c r="A2595" s="3">
        <v>99665</v>
      </c>
      <c r="B2595" s="3" t="s">
        <v>4577</v>
      </c>
      <c r="C2595" s="3" t="s">
        <v>2</v>
      </c>
      <c r="D2595" s="6" t="s">
        <v>1782</v>
      </c>
      <c r="E2595" s="6" t="s">
        <v>1782</v>
      </c>
      <c r="F2595" s="3" t="str">
        <f>IFERROR( VLOOKUP(A2595,#REF!,2,0),"")</f>
        <v/>
      </c>
      <c r="G2595" s="3" t="str">
        <f t="array" ref="G2595">_xlfn.XLOOKUP(I2595,Base_Datos!D:D,Base_Datos!B:B,"")</f>
        <v>DFSK</v>
      </c>
      <c r="H2595" s="3" t="str">
        <f t="array" ref="H2595">IF(I2595="","",IFERROR(_xlfn.XLOOKUP(I2595,Base_Datos!$D$2:$D3876,Base_Datos!$C$2:$C3876),""))</f>
        <v>Serie Glory</v>
      </c>
      <c r="I2595" s="3" t="s">
        <v>1765</v>
      </c>
      <c r="J2595" s="3" t="str">
        <f>IF(I2595="","",IFERROR(VLOOKUP(I2595,Base_Datos!$D$2:$E$72,2,0),""))</f>
        <v>(1.5L)</v>
      </c>
      <c r="K2595" s="3" t="s">
        <v>3562</v>
      </c>
      <c r="L2595" s="3"/>
      <c r="M2595" s="7">
        <v>0</v>
      </c>
      <c r="N2595" s="7">
        <v>0</v>
      </c>
    </row>
    <row r="2596" spans="1:14" ht="14.25" x14ac:dyDescent="0.2">
      <c r="A2596" s="3">
        <v>99670</v>
      </c>
      <c r="B2596" s="3" t="s">
        <v>2929</v>
      </c>
      <c r="C2596" s="3" t="s">
        <v>27</v>
      </c>
      <c r="D2596" s="6" t="s">
        <v>1782</v>
      </c>
      <c r="E2596" s="6" t="s">
        <v>1782</v>
      </c>
      <c r="F2596" s="3" t="str">
        <f>IFERROR( VLOOKUP(A2596,#REF!,2,0),"")</f>
        <v/>
      </c>
      <c r="G2596" s="3" t="str">
        <f t="array" ref="G2596">_xlfn.XLOOKUP(I2596,Base_Datos!D:D,Base_Datos!B:B,"")</f>
        <v>DFSK</v>
      </c>
      <c r="H2596" s="3" t="str">
        <f t="array" ref="H2596">IF(I2596="","",IFERROR(_xlfn.XLOOKUP(I2596,Base_Datos!$D$2:$D3876,Base_Datos!$C$2:$C3876),""))</f>
        <v>Serie D</v>
      </c>
      <c r="I2596" s="3" t="s">
        <v>2785</v>
      </c>
      <c r="J2596" s="3" t="str">
        <f>IF(I2596="","",IFERROR(VLOOKUP(I2596,Base_Datos!$D$2:$E$72,2,0),""))</f>
        <v>(1.5L)</v>
      </c>
      <c r="K2596" s="3" t="s">
        <v>1817</v>
      </c>
      <c r="L2596" s="3"/>
      <c r="M2596" s="7">
        <v>0</v>
      </c>
      <c r="N2596" s="7">
        <v>0</v>
      </c>
    </row>
    <row r="2597" spans="1:14" ht="14.25" x14ac:dyDescent="0.2">
      <c r="A2597" s="3">
        <v>99671</v>
      </c>
      <c r="B2597" s="3" t="s">
        <v>4578</v>
      </c>
      <c r="C2597" s="3" t="s">
        <v>27</v>
      </c>
      <c r="D2597" s="6" t="s">
        <v>1782</v>
      </c>
      <c r="E2597" s="6" t="s">
        <v>1782</v>
      </c>
      <c r="F2597" s="3" t="str">
        <f>IFERROR( VLOOKUP(A2597,#REF!,2,0),"")</f>
        <v/>
      </c>
      <c r="G2597" s="3" t="str">
        <f t="array" ref="G2597">_xlfn.XLOOKUP(I2597,Base_Datos!D:D,Base_Datos!B:B,"")</f>
        <v>DFSK</v>
      </c>
      <c r="H2597" s="3" t="str">
        <f t="array" ref="H2597">IF(I2597="","",IFERROR(_xlfn.XLOOKUP(I2597,Base_Datos!$D$2:$D3876,Base_Datos!$C$2:$C3876),""))</f>
        <v>Serie C</v>
      </c>
      <c r="I2597" s="3" t="s">
        <v>265</v>
      </c>
      <c r="J2597" s="3" t="str">
        <f>IF(I2597="","",IFERROR(VLOOKUP(I2597,Base_Datos!$D$2:$E$72,2,0),""))</f>
        <v>(1.5L)</v>
      </c>
      <c r="K2597" s="3"/>
      <c r="L2597" s="3"/>
      <c r="M2597" s="7">
        <v>0</v>
      </c>
      <c r="N2597" s="7">
        <v>0</v>
      </c>
    </row>
    <row r="2598" spans="1:14" ht="14.25" x14ac:dyDescent="0.2">
      <c r="A2598" s="3">
        <v>99676</v>
      </c>
      <c r="B2598" s="3" t="s">
        <v>4579</v>
      </c>
      <c r="C2598" s="3" t="s">
        <v>27</v>
      </c>
      <c r="D2598" s="6" t="s">
        <v>4580</v>
      </c>
      <c r="E2598" s="6" t="s">
        <v>4580</v>
      </c>
      <c r="F2598" s="3" t="str">
        <f>IFERROR( VLOOKUP(A2598,#REF!,2,0),"")</f>
        <v/>
      </c>
      <c r="G2598" s="3" t="str">
        <f t="array" ref="G2598">_xlfn.XLOOKUP(I2598,Base_Datos!D:D,Base_Datos!B:B,"")</f>
        <v>DFSK</v>
      </c>
      <c r="H2598" s="3" t="str">
        <f t="array" ref="H2598">IF(I2598="","",IFERROR(_xlfn.XLOOKUP(I2598,Base_Datos!$D$2:$D3876,Base_Datos!$C$2:$C3876),""))</f>
        <v>Serie Glory</v>
      </c>
      <c r="I2598" s="3" t="s">
        <v>1765</v>
      </c>
      <c r="J2598" s="3" t="str">
        <f>IF(I2598="","",IFERROR(VLOOKUP(I2598,Base_Datos!$D$2:$E$72,2,0),""))</f>
        <v>(1.5L)</v>
      </c>
      <c r="K2598" s="3" t="s">
        <v>1801</v>
      </c>
      <c r="L2598" s="3"/>
      <c r="M2598" s="7">
        <v>0</v>
      </c>
      <c r="N2598" s="7">
        <v>0</v>
      </c>
    </row>
    <row r="2599" spans="1:14" ht="14.25" x14ac:dyDescent="0.2">
      <c r="A2599" s="3">
        <v>99677</v>
      </c>
      <c r="B2599" s="3" t="s">
        <v>4581</v>
      </c>
      <c r="C2599" s="3" t="s">
        <v>27</v>
      </c>
      <c r="D2599" s="6" t="s">
        <v>4582</v>
      </c>
      <c r="E2599" s="6" t="s">
        <v>4582</v>
      </c>
      <c r="F2599" s="3" t="str">
        <f>IFERROR( VLOOKUP(A2599,#REF!,2,0),"")</f>
        <v/>
      </c>
      <c r="G2599" s="3" t="str">
        <f t="array" ref="G2599">_xlfn.XLOOKUP(I2599,Base_Datos!D:D,Base_Datos!B:B,"")</f>
        <v>DFSK</v>
      </c>
      <c r="H2599" s="3" t="str">
        <f t="array" ref="H2599">IF(I2599="","",IFERROR(_xlfn.XLOOKUP(I2599,Base_Datos!$D$2:$D3876,Base_Datos!$C$2:$C3876),""))</f>
        <v>Serie Glory</v>
      </c>
      <c r="I2599" s="3" t="s">
        <v>1765</v>
      </c>
      <c r="J2599" s="3" t="str">
        <f>IF(I2599="","",IFERROR(VLOOKUP(I2599,Base_Datos!$D$2:$E$72,2,0),""))</f>
        <v>(1.5L)</v>
      </c>
      <c r="K2599" s="3" t="s">
        <v>1801</v>
      </c>
      <c r="L2599" s="3"/>
      <c r="M2599" s="7">
        <v>0</v>
      </c>
      <c r="N2599" s="7">
        <v>0</v>
      </c>
    </row>
    <row r="2600" spans="1:14" ht="14.25" x14ac:dyDescent="0.2">
      <c r="A2600" s="3">
        <v>99678</v>
      </c>
      <c r="B2600" s="3" t="s">
        <v>1787</v>
      </c>
      <c r="C2600" s="3" t="s">
        <v>27</v>
      </c>
      <c r="D2600" s="6" t="s">
        <v>4583</v>
      </c>
      <c r="E2600" s="6" t="s">
        <v>4583</v>
      </c>
      <c r="F2600" s="3" t="str">
        <f>IFERROR( VLOOKUP(A2600,#REF!,2,0),"")</f>
        <v/>
      </c>
      <c r="G2600" s="3" t="str">
        <f t="array" ref="G2600">_xlfn.XLOOKUP(I2600,Base_Datos!D:D,Base_Datos!B:B,"")</f>
        <v>DFSK</v>
      </c>
      <c r="H2600" s="3" t="str">
        <f t="array" ref="H2600">IF(I2600="","",IFERROR(_xlfn.XLOOKUP(I2600,Base_Datos!$D$2:$D3876,Base_Datos!$C$2:$C3876),""))</f>
        <v>Serie Glory</v>
      </c>
      <c r="I2600" s="3" t="s">
        <v>1765</v>
      </c>
      <c r="J2600" s="3" t="str">
        <f>IF(I2600="","",IFERROR(VLOOKUP(I2600,Base_Datos!$D$2:$E$72,2,0),""))</f>
        <v>(1.5L)</v>
      </c>
      <c r="K2600" s="3" t="s">
        <v>4584</v>
      </c>
      <c r="L2600" s="3"/>
      <c r="M2600" s="7">
        <v>0</v>
      </c>
      <c r="N2600" s="7">
        <v>0</v>
      </c>
    </row>
    <row r="2601" spans="1:14" ht="14.25" x14ac:dyDescent="0.2">
      <c r="A2601" s="3">
        <v>99679</v>
      </c>
      <c r="B2601" s="3" t="s">
        <v>4585</v>
      </c>
      <c r="C2601" s="3" t="s">
        <v>27</v>
      </c>
      <c r="D2601" s="6" t="s">
        <v>4583</v>
      </c>
      <c r="E2601" s="6" t="s">
        <v>4583</v>
      </c>
      <c r="F2601" s="3" t="str">
        <f>IFERROR( VLOOKUP(A2601,#REF!,2,0),"")</f>
        <v/>
      </c>
      <c r="G2601" s="3" t="str">
        <f t="array" ref="G2601">_xlfn.XLOOKUP(I2601,Base_Datos!D:D,Base_Datos!B:B,"")</f>
        <v>DFSK</v>
      </c>
      <c r="H2601" s="3" t="str">
        <f t="array" ref="H2601">IF(I2601="","",IFERROR(_xlfn.XLOOKUP(I2601,Base_Datos!$D$2:$D3876,Base_Datos!$C$2:$C3876),""))</f>
        <v>Serie D</v>
      </c>
      <c r="I2601" s="3" t="s">
        <v>145</v>
      </c>
      <c r="J2601" s="3" t="str">
        <f>IF(I2601="","",IFERROR(VLOOKUP(I2601,Base_Datos!$D$2:$E$72,2,0),""))</f>
        <v>(2.4L)</v>
      </c>
      <c r="K2601" s="3" t="s">
        <v>1860</v>
      </c>
      <c r="L2601" s="3"/>
      <c r="M2601" s="7">
        <v>0</v>
      </c>
      <c r="N2601" s="7">
        <v>0</v>
      </c>
    </row>
    <row r="2602" spans="1:14" ht="14.25" x14ac:dyDescent="0.2">
      <c r="A2602" s="3">
        <v>99680</v>
      </c>
      <c r="B2602" s="3" t="s">
        <v>4586</v>
      </c>
      <c r="C2602" s="3" t="s">
        <v>2</v>
      </c>
      <c r="D2602" s="6" t="s">
        <v>904</v>
      </c>
      <c r="E2602" s="6" t="s">
        <v>904</v>
      </c>
      <c r="F2602" s="3" t="str">
        <f>IFERROR( VLOOKUP(A2602,#REF!,2,0),"")</f>
        <v/>
      </c>
      <c r="G2602" s="3">
        <f t="array" ref="G2602">_xlfn.XLOOKUP(I2602,Base_Datos!D:D,Base_Datos!B:B,"")</f>
        <v>0</v>
      </c>
      <c r="H2602" s="3" t="str">
        <f t="array" ref="H2602">IF(I2602="","",IFERROR(_xlfn.XLOOKUP(I2602,Base_Datos!$D$2:$D3876,Base_Datos!$C$2:$C3876),""))</f>
        <v/>
      </c>
      <c r="I2602" s="3"/>
      <c r="J2602" s="3" t="str">
        <f>IF(I2602="","",IFERROR(VLOOKUP(I2602,Base_Datos!$D$2:$E$72,2,0),""))</f>
        <v/>
      </c>
      <c r="K2602" s="3" t="s">
        <v>1817</v>
      </c>
      <c r="L2602" s="3"/>
      <c r="M2602" s="7">
        <v>20</v>
      </c>
      <c r="N2602" s="7">
        <v>0</v>
      </c>
    </row>
    <row r="2603" spans="1:14" ht="14.25" x14ac:dyDescent="0.2">
      <c r="A2603" s="3">
        <v>99681</v>
      </c>
      <c r="B2603" s="3" t="s">
        <v>4587</v>
      </c>
      <c r="C2603" s="3" t="s">
        <v>27</v>
      </c>
      <c r="D2603" s="6" t="s">
        <v>1097</v>
      </c>
      <c r="E2603" s="6" t="s">
        <v>1097</v>
      </c>
      <c r="F2603" s="3" t="str">
        <f>IFERROR( VLOOKUP(A2603,#REF!,2,0),"")</f>
        <v/>
      </c>
      <c r="G2603" s="3">
        <f t="array" ref="G2603">_xlfn.XLOOKUP(I2603,Base_Datos!D:D,Base_Datos!B:B,"")</f>
        <v>0</v>
      </c>
      <c r="H2603" s="3" t="str">
        <f t="array" ref="H2603">IF(I2603="","",IFERROR(_xlfn.XLOOKUP(I2603,Base_Datos!$D$2:$D3876,Base_Datos!$C$2:$C3876),""))</f>
        <v/>
      </c>
      <c r="I2603" s="3"/>
      <c r="J2603" s="3" t="str">
        <f>IF(I2603="","",IFERROR(VLOOKUP(I2603,Base_Datos!$D$2:$E$72,2,0),""))</f>
        <v/>
      </c>
      <c r="K2603" s="3"/>
      <c r="L2603" s="3"/>
      <c r="M2603" s="7">
        <v>0</v>
      </c>
      <c r="N2603" s="7">
        <v>0</v>
      </c>
    </row>
    <row r="2604" spans="1:14" ht="14.25" x14ac:dyDescent="0.2">
      <c r="A2604" s="3">
        <v>99682</v>
      </c>
      <c r="B2604" s="3" t="s">
        <v>1856</v>
      </c>
      <c r="C2604" s="3" t="s">
        <v>2</v>
      </c>
      <c r="D2604" s="6" t="s">
        <v>1146</v>
      </c>
      <c r="E2604" s="6" t="s">
        <v>1146</v>
      </c>
      <c r="F2604" s="3" t="str">
        <f>IFERROR( VLOOKUP(A2604,#REF!,2,0),"")</f>
        <v/>
      </c>
      <c r="G2604" s="3" t="str">
        <f t="array" ref="G2604">_xlfn.XLOOKUP(I2604,Base_Datos!D:D,Base_Datos!B:B,"")</f>
        <v>DFSK</v>
      </c>
      <c r="H2604" s="3" t="str">
        <f t="array" ref="H2604">IF(I2604="","",IFERROR(_xlfn.XLOOKUP(I2604,Base_Datos!$D$2:$D3876,Base_Datos!$C$2:$C3876),""))</f>
        <v>Serie D</v>
      </c>
      <c r="I2604" s="3" t="s">
        <v>145</v>
      </c>
      <c r="J2604" s="3" t="str">
        <f>IF(I2604="","",IFERROR(VLOOKUP(I2604,Base_Datos!$D$2:$E$72,2,0),""))</f>
        <v>(2.4L)</v>
      </c>
      <c r="K2604" s="3"/>
      <c r="L2604" s="3"/>
      <c r="M2604" s="7">
        <v>0</v>
      </c>
      <c r="N2604" s="7">
        <v>0</v>
      </c>
    </row>
    <row r="2605" spans="1:14" ht="14.25" x14ac:dyDescent="0.2">
      <c r="A2605" s="3">
        <v>99683</v>
      </c>
      <c r="B2605" s="3" t="s">
        <v>1857</v>
      </c>
      <c r="C2605" s="3" t="s">
        <v>2</v>
      </c>
      <c r="D2605" s="6" t="s">
        <v>1782</v>
      </c>
      <c r="E2605" s="6" t="s">
        <v>1782</v>
      </c>
      <c r="F2605" s="3" t="str">
        <f>IFERROR( VLOOKUP(A2605,#REF!,2,0),"")</f>
        <v/>
      </c>
      <c r="G2605" s="3" t="str">
        <f t="array" ref="G2605">_xlfn.XLOOKUP(I2605,Base_Datos!D:D,Base_Datos!B:B,"")</f>
        <v>DFSK</v>
      </c>
      <c r="H2605" s="3" t="str">
        <f t="array" ref="H2605">IF(I2605="","",IFERROR(_xlfn.XLOOKUP(I2605,Base_Datos!$D$2:$D3876,Base_Datos!$C$2:$C3876),""))</f>
        <v>Serie D</v>
      </c>
      <c r="I2605" s="3" t="s">
        <v>145</v>
      </c>
      <c r="J2605" s="3" t="str">
        <f>IF(I2605="","",IFERROR(VLOOKUP(I2605,Base_Datos!$D$2:$E$72,2,0),""))</f>
        <v>(2.4L)</v>
      </c>
      <c r="K2605" s="3"/>
      <c r="L2605" s="3"/>
      <c r="M2605" s="7">
        <v>0</v>
      </c>
      <c r="N2605" s="7">
        <v>0</v>
      </c>
    </row>
    <row r="2606" spans="1:14" ht="14.25" x14ac:dyDescent="0.2">
      <c r="A2606" s="3">
        <v>99684</v>
      </c>
      <c r="B2606" s="3" t="s">
        <v>4588</v>
      </c>
      <c r="C2606" s="3" t="s">
        <v>27</v>
      </c>
      <c r="D2606" s="6" t="s">
        <v>2657</v>
      </c>
      <c r="E2606" s="6" t="s">
        <v>2657</v>
      </c>
      <c r="F2606" s="3" t="str">
        <f>IFERROR( VLOOKUP(A2606,#REF!,2,0),"")</f>
        <v/>
      </c>
      <c r="G2606" s="3" t="str">
        <f t="array" ref="G2606">_xlfn.XLOOKUP(I2606,Base_Datos!D:D,Base_Datos!B:B,"")</f>
        <v>DFSK</v>
      </c>
      <c r="H2606" s="3" t="str">
        <f t="array" ref="H2606">IF(I2606="","",IFERROR(_xlfn.XLOOKUP(I2606,Base_Datos!$D$2:$D3876,Base_Datos!$C$2:$C3876),""))</f>
        <v>Serie K</v>
      </c>
      <c r="I2606" s="3" t="s">
        <v>475</v>
      </c>
      <c r="J2606" s="3" t="str">
        <f>IF(I2606="","",IFERROR(VLOOKUP(I2606,Base_Datos!$D$2:$E$72,2,0),""))</f>
        <v>(1.1L)</v>
      </c>
      <c r="K2606" s="3"/>
      <c r="L2606" s="3"/>
      <c r="M2606" s="7">
        <v>0</v>
      </c>
      <c r="N2606" s="7">
        <v>0</v>
      </c>
    </row>
    <row r="2607" spans="1:14" ht="14.25" x14ac:dyDescent="0.2">
      <c r="A2607" s="3">
        <v>99686</v>
      </c>
      <c r="B2607" s="3" t="s">
        <v>4589</v>
      </c>
      <c r="C2607" s="3" t="s">
        <v>2</v>
      </c>
      <c r="D2607" s="6" t="s">
        <v>1782</v>
      </c>
      <c r="E2607" s="6" t="s">
        <v>1782</v>
      </c>
      <c r="F2607" s="3" t="str">
        <f>IFERROR( VLOOKUP(A2607,#REF!,2,0),"")</f>
        <v/>
      </c>
      <c r="G2607" s="3" t="str">
        <f t="array" ref="G2607">_xlfn.XLOOKUP(I2607,Base_Datos!D:D,Base_Datos!B:B,"")</f>
        <v>DFSK</v>
      </c>
      <c r="H2607" s="3" t="str">
        <f t="array" ref="H2607">IF(I2607="","",IFERROR(_xlfn.XLOOKUP(I2607,Base_Datos!$D$2:$D3876,Base_Datos!$C$2:$C3876),""))</f>
        <v>Serie K</v>
      </c>
      <c r="I2607" s="3" t="s">
        <v>475</v>
      </c>
      <c r="J2607" s="3" t="str">
        <f>IF(I2607="","",IFERROR(VLOOKUP(I2607,Base_Datos!$D$2:$E$72,2,0),""))</f>
        <v>(1.1L)</v>
      </c>
      <c r="K2607" s="3"/>
      <c r="L2607" s="3"/>
      <c r="M2607" s="7">
        <v>0</v>
      </c>
      <c r="N2607" s="7">
        <v>0</v>
      </c>
    </row>
    <row r="2608" spans="1:14" ht="14.25" x14ac:dyDescent="0.2">
      <c r="A2608" s="3">
        <v>99687</v>
      </c>
      <c r="B2608" s="3" t="s">
        <v>2707</v>
      </c>
      <c r="C2608" s="3" t="s">
        <v>2</v>
      </c>
      <c r="D2608" s="6" t="s">
        <v>1782</v>
      </c>
      <c r="E2608" s="6" t="s">
        <v>1782</v>
      </c>
      <c r="F2608" s="3" t="str">
        <f>IFERROR( VLOOKUP(A2608,#REF!,2,0),"")</f>
        <v/>
      </c>
      <c r="G2608" s="3" t="str">
        <f t="array" ref="G2608">_xlfn.XLOOKUP(I2608,Base_Datos!D:D,Base_Datos!B:B,"")</f>
        <v>DFSK</v>
      </c>
      <c r="H2608" s="3" t="str">
        <f t="array" ref="H2608">IF(I2608="","",IFERROR(_xlfn.XLOOKUP(I2608,Base_Datos!$D$2:$D3876,Base_Datos!$C$2:$C3876),""))</f>
        <v>Serie K</v>
      </c>
      <c r="I2608" s="3" t="s">
        <v>475</v>
      </c>
      <c r="J2608" s="3" t="str">
        <f>IF(I2608="","",IFERROR(VLOOKUP(I2608,Base_Datos!$D$2:$E$72,2,0),""))</f>
        <v>(1.1L)</v>
      </c>
      <c r="K2608" s="3"/>
      <c r="L2608" s="3"/>
      <c r="M2608" s="7">
        <v>0</v>
      </c>
      <c r="N2608" s="7">
        <v>0</v>
      </c>
    </row>
    <row r="2609" spans="1:14" ht="14.25" x14ac:dyDescent="0.2">
      <c r="A2609" s="3">
        <v>99688</v>
      </c>
      <c r="B2609" s="3" t="s">
        <v>4590</v>
      </c>
      <c r="C2609" s="3" t="s">
        <v>2</v>
      </c>
      <c r="D2609" s="6" t="s">
        <v>1782</v>
      </c>
      <c r="E2609" s="6" t="s">
        <v>1782</v>
      </c>
      <c r="F2609" s="3" t="str">
        <f>IFERROR( VLOOKUP(A2609,#REF!,2,0),"")</f>
        <v/>
      </c>
      <c r="G2609" s="3" t="str">
        <f t="array" ref="G2609">_xlfn.XLOOKUP(I2609,Base_Datos!D:D,Base_Datos!B:B,"")</f>
        <v>DFSK</v>
      </c>
      <c r="H2609" s="3" t="str">
        <f t="array" ref="H2609">IF(I2609="","",IFERROR(_xlfn.XLOOKUP(I2609,Base_Datos!$D$2:$D3876,Base_Datos!$C$2:$C3876),""))</f>
        <v>Serie D</v>
      </c>
      <c r="I2609" s="3" t="s">
        <v>145</v>
      </c>
      <c r="J2609" s="3" t="str">
        <f>IF(I2609="","",IFERROR(VLOOKUP(I2609,Base_Datos!$D$2:$E$72,2,0),""))</f>
        <v>(2.4L)</v>
      </c>
      <c r="K2609" s="3"/>
      <c r="L2609" s="3"/>
      <c r="M2609" s="7">
        <v>0</v>
      </c>
      <c r="N2609" s="7">
        <v>0</v>
      </c>
    </row>
    <row r="2610" spans="1:14" ht="14.25" x14ac:dyDescent="0.2">
      <c r="A2610" s="3">
        <v>99689</v>
      </c>
      <c r="B2610" s="3" t="s">
        <v>4591</v>
      </c>
      <c r="C2610" s="3" t="s">
        <v>27</v>
      </c>
      <c r="D2610" s="6" t="s">
        <v>1782</v>
      </c>
      <c r="E2610" s="6" t="s">
        <v>1782</v>
      </c>
      <c r="F2610" s="3" t="str">
        <f>IFERROR( VLOOKUP(A2610,#REF!,2,0),"")</f>
        <v/>
      </c>
      <c r="G2610" s="3" t="str">
        <f t="array" ref="G2610">_xlfn.XLOOKUP(I2610,Base_Datos!D:D,Base_Datos!B:B,"")</f>
        <v>DFSK</v>
      </c>
      <c r="H2610" s="3" t="str">
        <f t="array" ref="H2610">IF(I2610="","",IFERROR(_xlfn.XLOOKUP(I2610,Base_Datos!$D$2:$D3876,Base_Datos!$C$2:$C3876),""))</f>
        <v>Serie D</v>
      </c>
      <c r="I2610" s="3" t="s">
        <v>145</v>
      </c>
      <c r="J2610" s="3" t="str">
        <f>IF(I2610="","",IFERROR(VLOOKUP(I2610,Base_Datos!$D$2:$E$72,2,0),""))</f>
        <v>(2.4L)</v>
      </c>
      <c r="K2610" s="3"/>
      <c r="L2610" s="3"/>
      <c r="M2610" s="7">
        <v>0</v>
      </c>
      <c r="N2610" s="7">
        <v>0</v>
      </c>
    </row>
    <row r="2611" spans="1:14" ht="14.25" x14ac:dyDescent="0.2">
      <c r="A2611" s="3">
        <v>99690</v>
      </c>
      <c r="B2611" s="3" t="s">
        <v>4592</v>
      </c>
      <c r="C2611" s="3" t="s">
        <v>2</v>
      </c>
      <c r="D2611" s="6" t="s">
        <v>4593</v>
      </c>
      <c r="E2611" s="6" t="s">
        <v>4593</v>
      </c>
      <c r="F2611" s="3" t="str">
        <f>IFERROR( VLOOKUP(A2611,#REF!,2,0),"")</f>
        <v/>
      </c>
      <c r="G2611" s="3">
        <f t="array" ref="G2611">_xlfn.XLOOKUP(I2611,Base_Datos!D:D,Base_Datos!B:B,"")</f>
        <v>0</v>
      </c>
      <c r="H2611" s="3" t="str">
        <f t="array" ref="H2611">IF(I2611="","",IFERROR(_xlfn.XLOOKUP(I2611,Base_Datos!$D$2:$D3876,Base_Datos!$C$2:$C3876),""))</f>
        <v/>
      </c>
      <c r="I2611" s="3"/>
      <c r="J2611" s="3" t="str">
        <f>IF(I2611="","",IFERROR(VLOOKUP(I2611,Base_Datos!$D$2:$E$72,2,0),""))</f>
        <v/>
      </c>
      <c r="K2611" s="3" t="s">
        <v>1805</v>
      </c>
      <c r="L2611" s="3"/>
      <c r="M2611" s="7">
        <v>37</v>
      </c>
      <c r="N2611" s="7">
        <v>0</v>
      </c>
    </row>
    <row r="2612" spans="1:14" ht="14.25" x14ac:dyDescent="0.2">
      <c r="A2612" s="3">
        <v>99691</v>
      </c>
      <c r="B2612" s="3" t="s">
        <v>1827</v>
      </c>
      <c r="C2612" s="3" t="s">
        <v>27</v>
      </c>
      <c r="D2612" s="6" t="s">
        <v>1782</v>
      </c>
      <c r="E2612" s="6" t="s">
        <v>1782</v>
      </c>
      <c r="F2612" s="3" t="str">
        <f>IFERROR( VLOOKUP(A2612,#REF!,2,0),"")</f>
        <v/>
      </c>
      <c r="G2612" s="3" t="str">
        <f t="array" ref="G2612">_xlfn.XLOOKUP(I2612,Base_Datos!D:D,Base_Datos!B:B,"")</f>
        <v>DFSK</v>
      </c>
      <c r="H2612" s="3" t="str">
        <f t="array" ref="H2612">IF(I2612="","",IFERROR(_xlfn.XLOOKUP(I2612,Base_Datos!$D$2:$D3876,Base_Datos!$C$2:$C3876),""))</f>
        <v>Serie K</v>
      </c>
      <c r="I2612" s="3" t="s">
        <v>475</v>
      </c>
      <c r="J2612" s="3" t="str">
        <f>IF(I2612="","",IFERROR(VLOOKUP(I2612,Base_Datos!$D$2:$E$72,2,0),""))</f>
        <v>(1.1L)</v>
      </c>
      <c r="K2612" s="3" t="s">
        <v>2439</v>
      </c>
      <c r="L2612" s="3"/>
      <c r="M2612" s="7">
        <v>0</v>
      </c>
      <c r="N2612" s="7">
        <v>0</v>
      </c>
    </row>
    <row r="2613" spans="1:14" ht="14.25" x14ac:dyDescent="0.2">
      <c r="A2613" s="3">
        <v>99692</v>
      </c>
      <c r="B2613" s="3" t="s">
        <v>2678</v>
      </c>
      <c r="C2613" s="3" t="s">
        <v>2</v>
      </c>
      <c r="D2613" s="6" t="s">
        <v>1782</v>
      </c>
      <c r="E2613" s="6" t="s">
        <v>1782</v>
      </c>
      <c r="F2613" s="3" t="str">
        <f>IFERROR( VLOOKUP(A2613,#REF!,2,0),"")</f>
        <v/>
      </c>
      <c r="G2613" s="3" t="str">
        <f t="array" ref="G2613">_xlfn.XLOOKUP(I2613,Base_Datos!D:D,Base_Datos!B:B,"")</f>
        <v>DFSK</v>
      </c>
      <c r="H2613" s="3" t="str">
        <f t="array" ref="H2613">IF(I2613="","",IFERROR(_xlfn.XLOOKUP(I2613,Base_Datos!$D$2:$D3876,Base_Datos!$C$2:$C3876),""))</f>
        <v>Serie D</v>
      </c>
      <c r="I2613" s="3" t="s">
        <v>145</v>
      </c>
      <c r="J2613" s="3" t="str">
        <f>IF(I2613="","",IFERROR(VLOOKUP(I2613,Base_Datos!$D$2:$E$72,2,0),""))</f>
        <v>(2.4L)</v>
      </c>
      <c r="K2613" s="3" t="s">
        <v>2439</v>
      </c>
      <c r="L2613" s="3"/>
      <c r="M2613" s="7">
        <v>0</v>
      </c>
      <c r="N2613" s="7">
        <v>0</v>
      </c>
    </row>
    <row r="2614" spans="1:14" ht="14.25" x14ac:dyDescent="0.2">
      <c r="A2614" s="3">
        <v>99693</v>
      </c>
      <c r="B2614" s="3" t="s">
        <v>1884</v>
      </c>
      <c r="C2614" s="3" t="s">
        <v>27</v>
      </c>
      <c r="D2614" s="6" t="s">
        <v>1782</v>
      </c>
      <c r="E2614" s="6" t="s">
        <v>1782</v>
      </c>
      <c r="F2614" s="3" t="str">
        <f>IFERROR( VLOOKUP(A2614,#REF!,2,0),"")</f>
        <v/>
      </c>
      <c r="G2614" s="3" t="str">
        <f t="array" ref="G2614">_xlfn.XLOOKUP(I2614,Base_Datos!D:D,Base_Datos!B:B,"")</f>
        <v>GAC</v>
      </c>
      <c r="H2614" s="3" t="str">
        <f t="array" ref="H2614">IF(I2614="","",IFERROR(_xlfn.XLOOKUP(I2614,Base_Datos!$D$2:$D3876,Base_Datos!$C$2:$C3876),""))</f>
        <v>Serie GS</v>
      </c>
      <c r="I2614" s="3" t="s">
        <v>1487</v>
      </c>
      <c r="J2614" s="3" t="str">
        <f>IF(I2614="","",IFERROR(VLOOKUP(I2614,Base_Datos!$D$2:$E$72,2,0),""))</f>
        <v>(2.0L)</v>
      </c>
      <c r="K2614" s="3"/>
      <c r="L2614" s="3"/>
      <c r="M2614" s="7">
        <v>0</v>
      </c>
      <c r="N2614" s="7">
        <v>0</v>
      </c>
    </row>
    <row r="2615" spans="1:14" ht="14.25" x14ac:dyDescent="0.2">
      <c r="A2615" s="3">
        <v>99694</v>
      </c>
      <c r="B2615" s="3" t="s">
        <v>4594</v>
      </c>
      <c r="C2615" s="3" t="s">
        <v>27</v>
      </c>
      <c r="D2615" s="6" t="s">
        <v>4595</v>
      </c>
      <c r="E2615" s="6" t="s">
        <v>4595</v>
      </c>
      <c r="F2615" s="3" t="str">
        <f>IFERROR( VLOOKUP(A2615,#REF!,2,0),"")</f>
        <v/>
      </c>
      <c r="G2615" s="3">
        <f t="array" ref="G2615">_xlfn.XLOOKUP(I2615,Base_Datos!D:D,Base_Datos!B:B,"")</f>
        <v>0</v>
      </c>
      <c r="H2615" s="3" t="str">
        <f t="array" ref="H2615">IF(I2615="","",IFERROR(_xlfn.XLOOKUP(I2615,Base_Datos!$D$2:$D3876,Base_Datos!$C$2:$C3876),""))</f>
        <v/>
      </c>
      <c r="I2615" s="3"/>
      <c r="J2615" s="3" t="str">
        <f>IF(I2615="","",IFERROR(VLOOKUP(I2615,Base_Datos!$D$2:$E$72,2,0),""))</f>
        <v/>
      </c>
      <c r="K2615" s="3"/>
      <c r="L2615" s="3"/>
      <c r="M2615" s="7">
        <v>0</v>
      </c>
      <c r="N2615" s="7">
        <v>0</v>
      </c>
    </row>
    <row r="2616" spans="1:14" ht="14.25" x14ac:dyDescent="0.2">
      <c r="A2616" s="3">
        <v>99695</v>
      </c>
      <c r="B2616" s="3" t="s">
        <v>2415</v>
      </c>
      <c r="C2616" s="3" t="s">
        <v>27</v>
      </c>
      <c r="D2616" s="6" t="s">
        <v>1782</v>
      </c>
      <c r="E2616" s="6" t="s">
        <v>1782</v>
      </c>
      <c r="F2616" s="3" t="str">
        <f>IFERROR( VLOOKUP(A2616,#REF!,2,0),"")</f>
        <v/>
      </c>
      <c r="G2616" s="3" t="str">
        <f t="array" ref="G2616">_xlfn.XLOOKUP(I2616,Base_Datos!D:D,Base_Datos!B:B,"")</f>
        <v>DFSK</v>
      </c>
      <c r="H2616" s="3" t="str">
        <f t="array" ref="H2616">IF(I2616="","",IFERROR(_xlfn.XLOOKUP(I2616,Base_Datos!$D$2:$D3876,Base_Datos!$C$2:$C3876),""))</f>
        <v>Serie D</v>
      </c>
      <c r="I2616" s="3" t="s">
        <v>145</v>
      </c>
      <c r="J2616" s="3" t="str">
        <f>IF(I2616="","",IFERROR(VLOOKUP(I2616,Base_Datos!$D$2:$E$72,2,0),""))</f>
        <v>(2.4L)</v>
      </c>
      <c r="K2616" s="3"/>
      <c r="L2616" s="3"/>
      <c r="M2616" s="7">
        <v>0</v>
      </c>
      <c r="N2616" s="7">
        <v>0</v>
      </c>
    </row>
    <row r="2617" spans="1:14" ht="14.25" x14ac:dyDescent="0.2">
      <c r="A2617" s="3">
        <v>99696</v>
      </c>
      <c r="B2617" s="9" t="s">
        <v>4596</v>
      </c>
      <c r="C2617" s="3" t="s">
        <v>28</v>
      </c>
      <c r="D2617" s="6" t="s">
        <v>4597</v>
      </c>
      <c r="E2617" s="6" t="s">
        <v>4511</v>
      </c>
      <c r="F2617" s="3" t="str">
        <f>IFERROR( VLOOKUP(A2617,#REF!,2,0),"")</f>
        <v/>
      </c>
      <c r="G2617" s="3">
        <f t="array" ref="G2617">_xlfn.XLOOKUP(I2617,Base_Datos!D:D,Base_Datos!B:B,"")</f>
        <v>0</v>
      </c>
      <c r="H2617" s="3" t="str">
        <f t="array" ref="H2617">IF(I2617="","",IFERROR(_xlfn.XLOOKUP(I2617,Base_Datos!$D$2:$D3876,Base_Datos!$C$2:$C3876),""))</f>
        <v/>
      </c>
      <c r="I2617" s="3"/>
      <c r="J2617" s="3" t="str">
        <f>IF(I2617="","",IFERROR(VLOOKUP(I2617,Base_Datos!$D$2:$E$72,2,0),""))</f>
        <v/>
      </c>
      <c r="K2617" s="3"/>
      <c r="L2617" s="3"/>
      <c r="M2617" s="7">
        <v>5</v>
      </c>
      <c r="N2617" s="7">
        <v>0</v>
      </c>
    </row>
    <row r="2618" spans="1:14" ht="14.25" x14ac:dyDescent="0.2">
      <c r="A2618" s="3">
        <v>99697</v>
      </c>
      <c r="B2618" s="3" t="s">
        <v>4598</v>
      </c>
      <c r="C2618" s="3" t="s">
        <v>28</v>
      </c>
      <c r="D2618" s="6" t="s">
        <v>4599</v>
      </c>
      <c r="E2618" s="6" t="s">
        <v>4599</v>
      </c>
      <c r="F2618" s="3" t="str">
        <f>IFERROR( VLOOKUP(A2618,#REF!,2,0),"")</f>
        <v/>
      </c>
      <c r="G2618" s="3">
        <f t="array" ref="G2618">_xlfn.XLOOKUP(I2618,Base_Datos!D:D,Base_Datos!B:B,"")</f>
        <v>0</v>
      </c>
      <c r="H2618" s="3" t="str">
        <f t="array" ref="H2618">IF(I2618="","",IFERROR(_xlfn.XLOOKUP(I2618,Base_Datos!$D$2:$D3876,Base_Datos!$C$2:$C3876),""))</f>
        <v/>
      </c>
      <c r="I2618" s="3"/>
      <c r="J2618" s="3" t="str">
        <f>IF(I2618="","",IFERROR(VLOOKUP(I2618,Base_Datos!$D$2:$E$72,2,0),""))</f>
        <v/>
      </c>
      <c r="K2618" s="3"/>
      <c r="L2618" s="3"/>
      <c r="M2618" s="7">
        <v>1</v>
      </c>
      <c r="N2618" s="7">
        <v>0</v>
      </c>
    </row>
    <row r="2619" spans="1:14" ht="14.25" x14ac:dyDescent="0.2">
      <c r="A2619" s="3">
        <v>99698</v>
      </c>
      <c r="B2619" s="3" t="s">
        <v>4600</v>
      </c>
      <c r="C2619" s="3" t="s">
        <v>28</v>
      </c>
      <c r="D2619" s="6" t="s">
        <v>4601</v>
      </c>
      <c r="E2619" s="6" t="s">
        <v>4601</v>
      </c>
      <c r="F2619" s="3" t="str">
        <f>IFERROR( VLOOKUP(A2619,#REF!,2,0),"")</f>
        <v/>
      </c>
      <c r="G2619" s="3">
        <f t="array" ref="G2619">_xlfn.XLOOKUP(I2619,Base_Datos!D:D,Base_Datos!B:B,"")</f>
        <v>0</v>
      </c>
      <c r="H2619" s="3" t="str">
        <f t="array" ref="H2619">IF(I2619="","",IFERROR(_xlfn.XLOOKUP(I2619,Base_Datos!$D$2:$D3876,Base_Datos!$C$2:$C3876),""))</f>
        <v/>
      </c>
      <c r="I2619" s="3"/>
      <c r="J2619" s="3" t="str">
        <f>IF(I2619="","",IFERROR(VLOOKUP(I2619,Base_Datos!$D$2:$E$72,2,0),""))</f>
        <v/>
      </c>
      <c r="K2619" s="3"/>
      <c r="L2619" s="3"/>
      <c r="M2619" s="7">
        <v>1</v>
      </c>
      <c r="N2619" s="7">
        <v>0</v>
      </c>
    </row>
    <row r="2620" spans="1:14" ht="14.25" x14ac:dyDescent="0.2">
      <c r="A2620" s="3">
        <v>99699</v>
      </c>
      <c r="B2620" s="3" t="s">
        <v>4602</v>
      </c>
      <c r="C2620" s="3" t="s">
        <v>28</v>
      </c>
      <c r="D2620" s="6" t="s">
        <v>4603</v>
      </c>
      <c r="E2620" s="6" t="s">
        <v>4603</v>
      </c>
      <c r="F2620" s="3" t="str">
        <f>IFERROR( VLOOKUP(A2620,#REF!,2,0),"")</f>
        <v/>
      </c>
      <c r="G2620" s="3">
        <f t="array" ref="G2620">_xlfn.XLOOKUP(I2620,Base_Datos!D:D,Base_Datos!B:B,"")</f>
        <v>0</v>
      </c>
      <c r="H2620" s="3" t="str">
        <f t="array" ref="H2620">IF(I2620="","",IFERROR(_xlfn.XLOOKUP(I2620,Base_Datos!$D$2:$D3876,Base_Datos!$C$2:$C3876),""))</f>
        <v/>
      </c>
      <c r="I2620" s="3"/>
      <c r="J2620" s="3" t="str">
        <f>IF(I2620="","",IFERROR(VLOOKUP(I2620,Base_Datos!$D$2:$E$72,2,0),""))</f>
        <v/>
      </c>
      <c r="K2620" s="3"/>
      <c r="L2620" s="3"/>
      <c r="M2620" s="7">
        <v>2</v>
      </c>
      <c r="N2620" s="7">
        <v>0</v>
      </c>
    </row>
    <row r="2621" spans="1:14" ht="14.25" x14ac:dyDescent="0.2">
      <c r="A2621" s="3">
        <v>99700</v>
      </c>
      <c r="B2621" s="3" t="s">
        <v>4604</v>
      </c>
      <c r="C2621" s="3" t="s">
        <v>28</v>
      </c>
      <c r="D2621" s="6" t="s">
        <v>4604</v>
      </c>
      <c r="E2621" s="6" t="s">
        <v>2459</v>
      </c>
      <c r="F2621" s="3" t="str">
        <f>IFERROR( VLOOKUP(A2621,#REF!,2,0),"")</f>
        <v/>
      </c>
      <c r="G2621" s="3">
        <f t="array" ref="G2621">_xlfn.XLOOKUP(I2621,Base_Datos!D:D,Base_Datos!B:B,"")</f>
        <v>0</v>
      </c>
      <c r="H2621" s="3" t="str">
        <f t="array" ref="H2621">IF(I2621="","",IFERROR(_xlfn.XLOOKUP(I2621,Base_Datos!$D$2:$D3876,Base_Datos!$C$2:$C3876),""))</f>
        <v/>
      </c>
      <c r="I2621" s="3"/>
      <c r="J2621" s="3" t="str">
        <f>IF(I2621="","",IFERROR(VLOOKUP(I2621,Base_Datos!$D$2:$E$72,2,0),""))</f>
        <v/>
      </c>
      <c r="K2621" s="3"/>
      <c r="L2621" s="3"/>
      <c r="M2621" s="7">
        <v>8</v>
      </c>
      <c r="N2621" s="7">
        <v>0</v>
      </c>
    </row>
    <row r="2622" spans="1:14" ht="14.25" x14ac:dyDescent="0.2">
      <c r="A2622" s="3">
        <v>99701</v>
      </c>
      <c r="B2622" s="3" t="s">
        <v>4605</v>
      </c>
      <c r="C2622" s="3" t="s">
        <v>2</v>
      </c>
      <c r="D2622" s="6" t="s">
        <v>930</v>
      </c>
      <c r="E2622" s="6" t="s">
        <v>1782</v>
      </c>
      <c r="F2622" s="3" t="str">
        <f>IFERROR( VLOOKUP(A2622,#REF!,2,0),"")</f>
        <v/>
      </c>
      <c r="G2622" s="3" t="str">
        <f t="array" ref="G2622">_xlfn.XLOOKUP(I2622,Base_Datos!D:D,Base_Datos!B:B,"")</f>
        <v>DFSK</v>
      </c>
      <c r="H2622" s="3" t="str">
        <f t="array" ref="H2622">IF(I2622="","",IFERROR(_xlfn.XLOOKUP(I2622,Base_Datos!$D$2:$D3876,Base_Datos!$C$2:$C3876),""))</f>
        <v>Serie D</v>
      </c>
      <c r="I2622" s="3" t="s">
        <v>145</v>
      </c>
      <c r="J2622" s="3" t="str">
        <f>IF(I2622="","",IFERROR(VLOOKUP(I2622,Base_Datos!$D$2:$E$72,2,0),""))</f>
        <v>(2.4L)</v>
      </c>
      <c r="K2622" s="3"/>
      <c r="L2622" s="3"/>
      <c r="M2622" s="7">
        <v>0</v>
      </c>
      <c r="N2622" s="7">
        <v>0</v>
      </c>
    </row>
    <row r="2623" spans="1:14" ht="14.25" x14ac:dyDescent="0.2">
      <c r="A2623" s="3">
        <v>99702</v>
      </c>
      <c r="B2623" s="3" t="s">
        <v>4606</v>
      </c>
      <c r="C2623" s="3" t="s">
        <v>27</v>
      </c>
      <c r="D2623" s="6" t="s">
        <v>931</v>
      </c>
      <c r="E2623" s="6" t="s">
        <v>929</v>
      </c>
      <c r="F2623" s="3" t="str">
        <f>IFERROR( VLOOKUP(A2623,#REF!,2,0),"")</f>
        <v/>
      </c>
      <c r="G2623" s="3" t="str">
        <f t="array" ref="G2623">_xlfn.XLOOKUP(I2623,Base_Datos!D:D,Base_Datos!B:B,"")</f>
        <v>DFSK</v>
      </c>
      <c r="H2623" s="3" t="str">
        <f t="array" ref="H2623">IF(I2623="","",IFERROR(_xlfn.XLOOKUP(I2623,Base_Datos!$D$2:$D3876,Base_Datos!$C$2:$C3876),""))</f>
        <v>Serie C</v>
      </c>
      <c r="I2623" s="3" t="s">
        <v>265</v>
      </c>
      <c r="J2623" s="3" t="str">
        <f>IF(I2623="","",IFERROR(VLOOKUP(I2623,Base_Datos!$D$2:$E$72,2,0),""))</f>
        <v>(1.5L)</v>
      </c>
      <c r="K2623" s="3" t="s">
        <v>3629</v>
      </c>
      <c r="L2623" s="3"/>
      <c r="M2623" s="7">
        <v>0</v>
      </c>
      <c r="N2623" s="7">
        <v>0</v>
      </c>
    </row>
    <row r="2624" spans="1:14" ht="14.25" x14ac:dyDescent="0.2">
      <c r="A2624" s="3">
        <v>99703</v>
      </c>
      <c r="B2624" s="3" t="s">
        <v>4607</v>
      </c>
      <c r="C2624" s="3" t="s">
        <v>2</v>
      </c>
      <c r="D2624" s="6" t="s">
        <v>333</v>
      </c>
      <c r="E2624" s="6" t="s">
        <v>333</v>
      </c>
      <c r="F2624" s="3" t="str">
        <f>IFERROR( VLOOKUP(A2624,#REF!,2,0),"")</f>
        <v/>
      </c>
      <c r="G2624" s="3">
        <f t="array" ref="G2624">_xlfn.XLOOKUP(I2624,Base_Datos!D:D,Base_Datos!B:B,"")</f>
        <v>0</v>
      </c>
      <c r="H2624" s="3" t="str">
        <f t="array" ref="H2624">IF(I2624="","",IFERROR(_xlfn.XLOOKUP(I2624,Base_Datos!$D$2:$D3876,Base_Datos!$C$2:$C3876),""))</f>
        <v/>
      </c>
      <c r="I2624" s="3"/>
      <c r="J2624" s="3" t="str">
        <f>IF(I2624="","",IFERROR(VLOOKUP(I2624,Base_Datos!$D$2:$E$72,2,0),""))</f>
        <v/>
      </c>
      <c r="K2624" s="3"/>
      <c r="L2624" s="3"/>
      <c r="M2624" s="7">
        <v>20</v>
      </c>
      <c r="N2624" s="7">
        <v>0</v>
      </c>
    </row>
    <row r="2625" spans="1:14" ht="14.25" x14ac:dyDescent="0.2">
      <c r="A2625" s="3">
        <v>99704</v>
      </c>
      <c r="B2625" s="3" t="s">
        <v>4608</v>
      </c>
      <c r="C2625" s="3" t="s">
        <v>2</v>
      </c>
      <c r="D2625" s="6" t="s">
        <v>333</v>
      </c>
      <c r="E2625" s="6" t="s">
        <v>333</v>
      </c>
      <c r="F2625" s="3" t="str">
        <f>IFERROR( VLOOKUP(A2625,#REF!,2,0),"")</f>
        <v/>
      </c>
      <c r="G2625" s="3">
        <f t="array" ref="G2625">_xlfn.XLOOKUP(I2625,Base_Datos!D:D,Base_Datos!B:B,"")</f>
        <v>0</v>
      </c>
      <c r="H2625" s="3" t="str">
        <f t="array" ref="H2625">IF(I2625="","",IFERROR(_xlfn.XLOOKUP(I2625,Base_Datos!$D$2:$D3876,Base_Datos!$C$2:$C3876),""))</f>
        <v/>
      </c>
      <c r="I2625" s="3"/>
      <c r="J2625" s="3" t="str">
        <f>IF(I2625="","",IFERROR(VLOOKUP(I2625,Base_Datos!$D$2:$E$72,2,0),""))</f>
        <v/>
      </c>
      <c r="K2625" s="3"/>
      <c r="L2625" s="3"/>
      <c r="M2625" s="7">
        <v>0</v>
      </c>
      <c r="N2625" s="7">
        <v>0</v>
      </c>
    </row>
    <row r="2626" spans="1:14" ht="14.25" x14ac:dyDescent="0.2">
      <c r="A2626" s="3">
        <v>99705</v>
      </c>
      <c r="B2626" s="3" t="s">
        <v>4609</v>
      </c>
      <c r="C2626" s="3" t="s">
        <v>27</v>
      </c>
      <c r="D2626" s="6" t="s">
        <v>1782</v>
      </c>
      <c r="E2626" s="6" t="s">
        <v>1782</v>
      </c>
      <c r="F2626" s="3" t="str">
        <f>IFERROR( VLOOKUP(A2626,#REF!,2,0),"")</f>
        <v/>
      </c>
      <c r="G2626" s="3" t="str">
        <f t="array" ref="G2626">_xlfn.XLOOKUP(I2626,Base_Datos!D:D,Base_Datos!B:B,"")</f>
        <v>DFSK</v>
      </c>
      <c r="H2626" s="3" t="str">
        <f t="array" ref="H2626">IF(I2626="","",IFERROR(_xlfn.XLOOKUP(I2626,Base_Datos!$D$2:$D3876,Base_Datos!$C$2:$C3876),""))</f>
        <v>Serie K</v>
      </c>
      <c r="I2626" s="3" t="s">
        <v>475</v>
      </c>
      <c r="J2626" s="3" t="str">
        <f>IF(I2626="","",IFERROR(VLOOKUP(I2626,Base_Datos!$D$2:$E$72,2,0),""))</f>
        <v>(1.1L)</v>
      </c>
      <c r="K2626" s="3"/>
      <c r="L2626" s="3"/>
      <c r="M2626" s="7">
        <v>0</v>
      </c>
      <c r="N2626" s="7">
        <v>0</v>
      </c>
    </row>
    <row r="2627" spans="1:14" ht="14.25" x14ac:dyDescent="0.2">
      <c r="A2627" s="3">
        <v>99706</v>
      </c>
      <c r="B2627" s="3" t="s">
        <v>2775</v>
      </c>
      <c r="C2627" s="3" t="s">
        <v>2</v>
      </c>
      <c r="D2627" s="6" t="s">
        <v>1178</v>
      </c>
      <c r="E2627" s="6" t="s">
        <v>1178</v>
      </c>
      <c r="F2627" s="3" t="str">
        <f>IFERROR( VLOOKUP(A2627,#REF!,2,0),"")</f>
        <v/>
      </c>
      <c r="G2627" s="3" t="str">
        <f t="array" ref="G2627">_xlfn.XLOOKUP(I2627,Base_Datos!D:D,Base_Datos!B:B,"")</f>
        <v>DFSK</v>
      </c>
      <c r="H2627" s="3" t="str">
        <f t="array" ref="H2627">IF(I2627="","",IFERROR(_xlfn.XLOOKUP(I2627,Base_Datos!$D$2:$D3876,Base_Datos!$C$2:$C3876),""))</f>
        <v>Serie K</v>
      </c>
      <c r="I2627" s="3" t="s">
        <v>475</v>
      </c>
      <c r="J2627" s="3" t="str">
        <f>IF(I2627="","",IFERROR(VLOOKUP(I2627,Base_Datos!$D$2:$E$72,2,0),""))</f>
        <v>(1.1L)</v>
      </c>
      <c r="K2627" s="3"/>
      <c r="L2627" s="3"/>
      <c r="M2627" s="7">
        <v>0</v>
      </c>
      <c r="N2627" s="7">
        <v>0</v>
      </c>
    </row>
    <row r="2628" spans="1:14" ht="14.25" x14ac:dyDescent="0.2">
      <c r="A2628" s="3">
        <v>99707</v>
      </c>
      <c r="B2628" s="3" t="s">
        <v>4610</v>
      </c>
      <c r="C2628" s="3" t="s">
        <v>27</v>
      </c>
      <c r="D2628" s="6" t="s">
        <v>1782</v>
      </c>
      <c r="E2628" s="6" t="s">
        <v>1782</v>
      </c>
      <c r="F2628" s="3" t="str">
        <f>IFERROR( VLOOKUP(A2628,#REF!,2,0),"")</f>
        <v/>
      </c>
      <c r="G2628" s="3" t="str">
        <f t="array" ref="G2628">_xlfn.XLOOKUP(I2628,Base_Datos!D:D,Base_Datos!B:B,"")</f>
        <v>DFSK</v>
      </c>
      <c r="H2628" s="3" t="str">
        <f t="array" ref="H2628">IF(I2628="","",IFERROR(_xlfn.XLOOKUP(I2628,Base_Datos!$D$2:$D3876,Base_Datos!$C$2:$C3876),""))</f>
        <v>Serie K</v>
      </c>
      <c r="I2628" s="3" t="s">
        <v>475</v>
      </c>
      <c r="J2628" s="3" t="str">
        <f>IF(I2628="","",IFERROR(VLOOKUP(I2628,Base_Datos!$D$2:$E$72,2,0),""))</f>
        <v>(1.1L)</v>
      </c>
      <c r="K2628" s="3"/>
      <c r="L2628" s="3"/>
      <c r="M2628" s="7">
        <v>0</v>
      </c>
      <c r="N2628" s="7">
        <v>0</v>
      </c>
    </row>
    <row r="2629" spans="1:14" ht="14.25" x14ac:dyDescent="0.2">
      <c r="A2629" s="3">
        <v>99708</v>
      </c>
      <c r="B2629" s="3" t="s">
        <v>4611</v>
      </c>
      <c r="C2629" s="3" t="s">
        <v>27</v>
      </c>
      <c r="D2629" s="6" t="s">
        <v>932</v>
      </c>
      <c r="E2629" s="6" t="s">
        <v>1782</v>
      </c>
      <c r="F2629" s="3" t="str">
        <f>IFERROR( VLOOKUP(A2629,#REF!,2,0),"")</f>
        <v/>
      </c>
      <c r="G2629" s="3" t="str">
        <f t="array" ref="G2629">_xlfn.XLOOKUP(I2629,Base_Datos!D:D,Base_Datos!B:B,"")</f>
        <v>DFSK</v>
      </c>
      <c r="H2629" s="3" t="str">
        <f t="array" ref="H2629">IF(I2629="","",IFERROR(_xlfn.XLOOKUP(I2629,Base_Datos!$D$2:$D3876,Base_Datos!$C$2:$C3876),""))</f>
        <v>Serie D</v>
      </c>
      <c r="I2629" s="3" t="s">
        <v>145</v>
      </c>
      <c r="J2629" s="3" t="str">
        <f>IF(I2629="","",IFERROR(VLOOKUP(I2629,Base_Datos!$D$2:$E$72,2,0),""))</f>
        <v>(2.4L)</v>
      </c>
      <c r="K2629" s="3" t="s">
        <v>2439</v>
      </c>
      <c r="L2629" s="3"/>
      <c r="M2629" s="7">
        <v>0</v>
      </c>
      <c r="N2629" s="7">
        <v>0</v>
      </c>
    </row>
    <row r="2630" spans="1:14" ht="14.25" x14ac:dyDescent="0.2">
      <c r="A2630" s="3">
        <v>99709</v>
      </c>
      <c r="B2630" s="3" t="s">
        <v>4612</v>
      </c>
      <c r="C2630" s="3" t="s">
        <v>2</v>
      </c>
      <c r="D2630" s="6" t="s">
        <v>706</v>
      </c>
      <c r="E2630" s="6" t="s">
        <v>706</v>
      </c>
      <c r="F2630" s="3" t="str">
        <f>IFERROR( VLOOKUP(A2630,#REF!,2,0),"")</f>
        <v/>
      </c>
      <c r="G2630" s="3" t="str">
        <f t="array" ref="G2630">_xlfn.XLOOKUP(I2630,Base_Datos!D:D,Base_Datos!B:B,"")</f>
        <v>DFSK</v>
      </c>
      <c r="H2630" s="3" t="str">
        <f t="array" ref="H2630">IF(I2630="","",IFERROR(_xlfn.XLOOKUP(I2630,Base_Datos!$D$2:$D3876,Base_Datos!$C$2:$C3876),""))</f>
        <v>Serie K</v>
      </c>
      <c r="I2630" s="3" t="s">
        <v>475</v>
      </c>
      <c r="J2630" s="3" t="str">
        <f>IF(I2630="","",IFERROR(VLOOKUP(I2630,Base_Datos!$D$2:$E$72,2,0),""))</f>
        <v>(1.1L)</v>
      </c>
      <c r="K2630" s="3"/>
      <c r="L2630" s="3"/>
      <c r="M2630" s="7">
        <v>2</v>
      </c>
      <c r="N2630" s="7">
        <v>0</v>
      </c>
    </row>
    <row r="2631" spans="1:14" ht="14.25" x14ac:dyDescent="0.2">
      <c r="A2631" s="3">
        <v>99710</v>
      </c>
      <c r="B2631" s="3" t="s">
        <v>4613</v>
      </c>
      <c r="C2631" s="3" t="s">
        <v>2</v>
      </c>
      <c r="D2631" s="6" t="s">
        <v>2653</v>
      </c>
      <c r="E2631" s="6" t="s">
        <v>2653</v>
      </c>
      <c r="F2631" s="3" t="str">
        <f>IFERROR( VLOOKUP(A2631,#REF!,2,0),"")</f>
        <v/>
      </c>
      <c r="G2631" s="3" t="str">
        <f t="array" ref="G2631">_xlfn.XLOOKUP(I2631,Base_Datos!D:D,Base_Datos!B:B,"")</f>
        <v>DFSK</v>
      </c>
      <c r="H2631" s="3" t="str">
        <f t="array" ref="H2631">IF(I2631="","",IFERROR(_xlfn.XLOOKUP(I2631,Base_Datos!$D$2:$D3876,Base_Datos!$C$2:$C3876),""))</f>
        <v>Serie K</v>
      </c>
      <c r="I2631" s="3" t="s">
        <v>475</v>
      </c>
      <c r="J2631" s="3" t="str">
        <f>IF(I2631="","",IFERROR(VLOOKUP(I2631,Base_Datos!$D$2:$E$72,2,0),""))</f>
        <v>(1.1L)</v>
      </c>
      <c r="K2631" s="3" t="s">
        <v>3642</v>
      </c>
      <c r="L2631" s="3"/>
      <c r="M2631" s="7">
        <v>2</v>
      </c>
      <c r="N2631" s="7">
        <v>0</v>
      </c>
    </row>
    <row r="2632" spans="1:14" ht="14.25" x14ac:dyDescent="0.2">
      <c r="A2632" s="3">
        <v>99711</v>
      </c>
      <c r="B2632" s="3" t="s">
        <v>4614</v>
      </c>
      <c r="C2632" s="3" t="s">
        <v>27</v>
      </c>
      <c r="D2632" s="6" t="s">
        <v>1782</v>
      </c>
      <c r="E2632" s="6" t="s">
        <v>1782</v>
      </c>
      <c r="F2632" s="3" t="str">
        <f>IFERROR( VLOOKUP(A2632,#REF!,2,0),"")</f>
        <v/>
      </c>
      <c r="G2632" s="3" t="str">
        <f t="array" ref="G2632">_xlfn.XLOOKUP(I2632,Base_Datos!D:D,Base_Datos!B:B,"")</f>
        <v>DFSK</v>
      </c>
      <c r="H2632" s="3" t="str">
        <f t="array" ref="H2632">IF(I2632="","",IFERROR(_xlfn.XLOOKUP(I2632,Base_Datos!$D$2:$D3876,Base_Datos!$C$2:$C3876),""))</f>
        <v>Serie C</v>
      </c>
      <c r="I2632" s="3" t="s">
        <v>265</v>
      </c>
      <c r="J2632" s="3" t="str">
        <f>IF(I2632="","",IFERROR(VLOOKUP(I2632,Base_Datos!$D$2:$E$72,2,0),""))</f>
        <v>(1.5L)</v>
      </c>
      <c r="K2632" s="3" t="s">
        <v>2435</v>
      </c>
      <c r="L2632" s="3"/>
      <c r="M2632" s="7">
        <v>0</v>
      </c>
      <c r="N2632" s="7">
        <v>0</v>
      </c>
    </row>
    <row r="2633" spans="1:14" ht="14.25" x14ac:dyDescent="0.2">
      <c r="A2633" s="3">
        <v>99712</v>
      </c>
      <c r="B2633" s="3" t="s">
        <v>3009</v>
      </c>
      <c r="C2633" s="3" t="s">
        <v>27</v>
      </c>
      <c r="D2633" s="6" t="s">
        <v>1782</v>
      </c>
      <c r="E2633" s="6" t="s">
        <v>1782</v>
      </c>
      <c r="F2633" s="3" t="str">
        <f>IFERROR( VLOOKUP(A2633,#REF!,2,0),"")</f>
        <v/>
      </c>
      <c r="G2633" s="3" t="str">
        <f t="array" ref="G2633">_xlfn.XLOOKUP(I2633,Base_Datos!D:D,Base_Datos!B:B,"")</f>
        <v>DFSK</v>
      </c>
      <c r="H2633" s="3" t="str">
        <f t="array" ref="H2633">IF(I2633="","",IFERROR(_xlfn.XLOOKUP(I2633,Base_Datos!$D$2:$D3876,Base_Datos!$C$2:$C3876),""))</f>
        <v>Serie D</v>
      </c>
      <c r="I2633" s="3" t="s">
        <v>145</v>
      </c>
      <c r="J2633" s="3" t="str">
        <f>IF(I2633="","",IFERROR(VLOOKUP(I2633,Base_Datos!$D$2:$E$72,2,0),""))</f>
        <v>(2.4L)</v>
      </c>
      <c r="K2633" s="3"/>
      <c r="L2633" s="3"/>
      <c r="M2633" s="7">
        <v>0</v>
      </c>
      <c r="N2633" s="7">
        <v>0</v>
      </c>
    </row>
    <row r="2634" spans="1:14" ht="14.25" x14ac:dyDescent="0.2">
      <c r="A2634" s="3">
        <v>99713</v>
      </c>
      <c r="B2634" s="3" t="s">
        <v>4615</v>
      </c>
      <c r="C2634" s="3" t="s">
        <v>27</v>
      </c>
      <c r="D2634" s="6" t="s">
        <v>1782</v>
      </c>
      <c r="E2634" s="6" t="s">
        <v>1782</v>
      </c>
      <c r="F2634" s="3" t="str">
        <f>IFERROR( VLOOKUP(A2634,#REF!,2,0),"")</f>
        <v/>
      </c>
      <c r="G2634" s="3" t="str">
        <f t="array" ref="G2634">_xlfn.XLOOKUP(I2634,Base_Datos!D:D,Base_Datos!B:B,"")</f>
        <v>DFSK</v>
      </c>
      <c r="H2634" s="3" t="str">
        <f t="array" ref="H2634">IF(I2634="","",IFERROR(_xlfn.XLOOKUP(I2634,Base_Datos!$D$2:$D3876,Base_Datos!$C$2:$C3876),""))</f>
        <v>Serie K</v>
      </c>
      <c r="I2634" s="3" t="s">
        <v>475</v>
      </c>
      <c r="J2634" s="3" t="str">
        <f>IF(I2634="","",IFERROR(VLOOKUP(I2634,Base_Datos!$D$2:$E$72,2,0),""))</f>
        <v>(1.1L)</v>
      </c>
      <c r="K2634" s="3"/>
      <c r="L2634" s="3"/>
      <c r="M2634" s="7">
        <v>0</v>
      </c>
      <c r="N2634" s="7">
        <v>0</v>
      </c>
    </row>
    <row r="2635" spans="1:14" ht="14.25" x14ac:dyDescent="0.2">
      <c r="A2635" s="3">
        <v>99714</v>
      </c>
      <c r="B2635" s="3" t="s">
        <v>4616</v>
      </c>
      <c r="C2635" s="3" t="s">
        <v>27</v>
      </c>
      <c r="D2635" s="6" t="s">
        <v>1782</v>
      </c>
      <c r="E2635" s="6" t="s">
        <v>1782</v>
      </c>
      <c r="F2635" s="3" t="str">
        <f>IFERROR( VLOOKUP(A2635,#REF!,2,0),"")</f>
        <v/>
      </c>
      <c r="G2635" s="3" t="str">
        <f t="array" ref="G2635">_xlfn.XLOOKUP(I2635,Base_Datos!D:D,Base_Datos!B:B,"")</f>
        <v>DFSK</v>
      </c>
      <c r="H2635" s="3" t="str">
        <f t="array" ref="H2635">IF(I2635="","",IFERROR(_xlfn.XLOOKUP(I2635,Base_Datos!$D$2:$D3876,Base_Datos!$C$2:$C3876),""))</f>
        <v>Serie K</v>
      </c>
      <c r="I2635" s="3" t="s">
        <v>475</v>
      </c>
      <c r="J2635" s="3" t="str">
        <f>IF(I2635="","",IFERROR(VLOOKUP(I2635,Base_Datos!$D$2:$E$72,2,0),""))</f>
        <v>(1.1L)</v>
      </c>
      <c r="K2635" s="3"/>
      <c r="L2635" s="3"/>
      <c r="M2635" s="7">
        <v>0</v>
      </c>
      <c r="N2635" s="7">
        <v>0</v>
      </c>
    </row>
    <row r="2636" spans="1:14" ht="14.25" x14ac:dyDescent="0.2">
      <c r="A2636" s="3">
        <v>99715</v>
      </c>
      <c r="B2636" s="3" t="s">
        <v>1781</v>
      </c>
      <c r="C2636" s="3" t="s">
        <v>27</v>
      </c>
      <c r="D2636" s="6" t="s">
        <v>1782</v>
      </c>
      <c r="E2636" s="6" t="s">
        <v>1782</v>
      </c>
      <c r="F2636" s="3" t="str">
        <f>IFERROR( VLOOKUP(A2636,#REF!,2,0),"")</f>
        <v/>
      </c>
      <c r="G2636" s="3" t="str">
        <f t="array" ref="G2636">_xlfn.XLOOKUP(I2636,Base_Datos!D:D,Base_Datos!B:B,"")</f>
        <v>DFSK</v>
      </c>
      <c r="H2636" s="3" t="str">
        <f t="array" ref="H2636">IF(I2636="","",IFERROR(_xlfn.XLOOKUP(I2636,Base_Datos!$D$2:$D3876,Base_Datos!$C$2:$C3876),""))</f>
        <v>Serie C</v>
      </c>
      <c r="I2636" s="3" t="s">
        <v>339</v>
      </c>
      <c r="J2636" s="3" t="str">
        <f>IF(I2636="","",IFERROR(VLOOKUP(I2636,Base_Datos!$D$2:$E$72,2,0),""))</f>
        <v>(1.5L)</v>
      </c>
      <c r="K2636" s="3" t="s">
        <v>3704</v>
      </c>
      <c r="L2636" s="3"/>
      <c r="M2636" s="7">
        <v>0</v>
      </c>
      <c r="N2636" s="7">
        <v>0</v>
      </c>
    </row>
    <row r="2637" spans="1:14" ht="14.25" x14ac:dyDescent="0.2">
      <c r="A2637" s="3">
        <v>99716</v>
      </c>
      <c r="B2637" s="3" t="s">
        <v>4617</v>
      </c>
      <c r="C2637" s="3" t="s">
        <v>27</v>
      </c>
      <c r="D2637" s="6" t="s">
        <v>1782</v>
      </c>
      <c r="E2637" s="6" t="s">
        <v>1782</v>
      </c>
      <c r="F2637" s="3" t="str">
        <f>IFERROR( VLOOKUP(A2637,#REF!,2,0),"")</f>
        <v/>
      </c>
      <c r="G2637" s="3" t="str">
        <f t="array" ref="G2637">_xlfn.XLOOKUP(I2637,Base_Datos!D:D,Base_Datos!B:B,"")</f>
        <v>DFSK</v>
      </c>
      <c r="H2637" s="3" t="str">
        <f t="array" ref="H2637">IF(I2637="","",IFERROR(_xlfn.XLOOKUP(I2637,Base_Datos!$D$2:$D3876,Base_Datos!$C$2:$C3876),""))</f>
        <v>Serie C</v>
      </c>
      <c r="I2637" s="3" t="s">
        <v>339</v>
      </c>
      <c r="J2637" s="3" t="str">
        <f>IF(I2637="","",IFERROR(VLOOKUP(I2637,Base_Datos!$D$2:$E$72,2,0),""))</f>
        <v>(1.5L)</v>
      </c>
      <c r="K2637" s="3" t="s">
        <v>3704</v>
      </c>
      <c r="L2637" s="3"/>
      <c r="M2637" s="7">
        <v>0</v>
      </c>
      <c r="N2637" s="7">
        <v>0</v>
      </c>
    </row>
    <row r="2638" spans="1:14" ht="14.25" x14ac:dyDescent="0.2">
      <c r="A2638" s="3">
        <v>99717</v>
      </c>
      <c r="B2638" s="3" t="s">
        <v>4618</v>
      </c>
      <c r="C2638" s="3" t="s">
        <v>27</v>
      </c>
      <c r="D2638" s="6" t="s">
        <v>1782</v>
      </c>
      <c r="E2638" s="6" t="s">
        <v>1782</v>
      </c>
      <c r="F2638" s="3" t="str">
        <f>IFERROR( VLOOKUP(A2638,#REF!,2,0),"")</f>
        <v/>
      </c>
      <c r="G2638" s="3" t="str">
        <f t="array" ref="G2638">_xlfn.XLOOKUP(I2638,Base_Datos!D:D,Base_Datos!B:B,"")</f>
        <v>DFSK</v>
      </c>
      <c r="H2638" s="3" t="str">
        <f t="array" ref="H2638">IF(I2638="","",IFERROR(_xlfn.XLOOKUP(I2638,Base_Datos!$D$2:$D3876,Base_Datos!$C$2:$C3876),""))</f>
        <v>Serie K</v>
      </c>
      <c r="I2638" s="3" t="s">
        <v>475</v>
      </c>
      <c r="J2638" s="3" t="str">
        <f>IF(I2638="","",IFERROR(VLOOKUP(I2638,Base_Datos!$D$2:$E$72,2,0),""))</f>
        <v>(1.1L)</v>
      </c>
      <c r="K2638" s="3" t="s">
        <v>3704</v>
      </c>
      <c r="L2638" s="3"/>
      <c r="M2638" s="7">
        <v>0</v>
      </c>
      <c r="N2638" s="7">
        <v>0</v>
      </c>
    </row>
    <row r="2639" spans="1:14" ht="14.25" x14ac:dyDescent="0.2">
      <c r="A2639" s="3">
        <v>99718</v>
      </c>
      <c r="B2639" s="3" t="s">
        <v>3809</v>
      </c>
      <c r="C2639" s="3" t="s">
        <v>27</v>
      </c>
      <c r="D2639" s="6" t="s">
        <v>1782</v>
      </c>
      <c r="E2639" s="6" t="s">
        <v>1782</v>
      </c>
      <c r="F2639" s="3" t="str">
        <f>IFERROR( VLOOKUP(A2639,#REF!,2,0),"")</f>
        <v/>
      </c>
      <c r="G2639" s="3" t="str">
        <f t="array" ref="G2639">_xlfn.XLOOKUP(I2639,Base_Datos!D:D,Base_Datos!B:B,"")</f>
        <v>DFSK</v>
      </c>
      <c r="H2639" s="3" t="str">
        <f t="array" ref="H2639">IF(I2639="","",IFERROR(_xlfn.XLOOKUP(I2639,Base_Datos!$D$2:$D3876,Base_Datos!$C$2:$C3876),""))</f>
        <v>Serie K</v>
      </c>
      <c r="I2639" s="3" t="s">
        <v>475</v>
      </c>
      <c r="J2639" s="3" t="str">
        <f>IF(I2639="","",IFERROR(VLOOKUP(I2639,Base_Datos!$D$2:$E$72,2,0),""))</f>
        <v>(1.1L)</v>
      </c>
      <c r="K2639" s="3"/>
      <c r="L2639" s="3"/>
      <c r="M2639" s="7">
        <v>0</v>
      </c>
      <c r="N2639" s="7">
        <v>0</v>
      </c>
    </row>
    <row r="2640" spans="1:14" ht="14.25" x14ac:dyDescent="0.2">
      <c r="A2640" s="3">
        <v>99719</v>
      </c>
      <c r="B2640" s="3" t="s">
        <v>3685</v>
      </c>
      <c r="C2640" s="3" t="s">
        <v>27</v>
      </c>
      <c r="D2640" s="6" t="s">
        <v>1782</v>
      </c>
      <c r="E2640" s="6" t="s">
        <v>1782</v>
      </c>
      <c r="F2640" s="3" t="str">
        <f>IFERROR( VLOOKUP(A2640,#REF!,2,0),"")</f>
        <v/>
      </c>
      <c r="G2640" s="3" t="str">
        <f t="array" ref="G2640">_xlfn.XLOOKUP(I2640,Base_Datos!D:D,Base_Datos!B:B,"")</f>
        <v>DFSK</v>
      </c>
      <c r="H2640" s="3" t="str">
        <f t="array" ref="H2640">IF(I2640="","",IFERROR(_xlfn.XLOOKUP(I2640,Base_Datos!$D$2:$D3876,Base_Datos!$C$2:$C3876),""))</f>
        <v>Serie C</v>
      </c>
      <c r="I2640" s="3" t="s">
        <v>339</v>
      </c>
      <c r="J2640" s="3" t="str">
        <f>IF(I2640="","",IFERROR(VLOOKUP(I2640,Base_Datos!$D$2:$E$72,2,0),""))</f>
        <v>(1.5L)</v>
      </c>
      <c r="K2640" s="3" t="s">
        <v>3704</v>
      </c>
      <c r="L2640" s="3"/>
      <c r="M2640" s="7">
        <v>0</v>
      </c>
      <c r="N2640" s="7">
        <v>0</v>
      </c>
    </row>
    <row r="2641" spans="1:14" ht="14.25" x14ac:dyDescent="0.2">
      <c r="A2641" s="3">
        <v>99720</v>
      </c>
      <c r="B2641" s="3" t="s">
        <v>4613</v>
      </c>
      <c r="C2641" s="3" t="s">
        <v>2</v>
      </c>
      <c r="D2641" s="6" t="s">
        <v>1782</v>
      </c>
      <c r="E2641" s="6" t="s">
        <v>1782</v>
      </c>
      <c r="F2641" s="3" t="str">
        <f>IFERROR( VLOOKUP(A2641,#REF!,2,0),"")</f>
        <v/>
      </c>
      <c r="G2641" s="3" t="str">
        <f t="array" ref="G2641">_xlfn.XLOOKUP(I2641,Base_Datos!D:D,Base_Datos!B:B,"")</f>
        <v>DFSK</v>
      </c>
      <c r="H2641" s="3" t="str">
        <f t="array" ref="H2641">IF(I2641="","",IFERROR(_xlfn.XLOOKUP(I2641,Base_Datos!$D$2:$D3876,Base_Datos!$C$2:$C3876),""))</f>
        <v>Serie K</v>
      </c>
      <c r="I2641" s="3" t="s">
        <v>475</v>
      </c>
      <c r="J2641" s="3" t="str">
        <f>IF(I2641="","",IFERROR(VLOOKUP(I2641,Base_Datos!$D$2:$E$72,2,0),""))</f>
        <v>(1.1L)</v>
      </c>
      <c r="K2641" s="3" t="s">
        <v>1817</v>
      </c>
      <c r="L2641" s="3"/>
      <c r="M2641" s="7">
        <v>9</v>
      </c>
      <c r="N2641" s="7">
        <v>0</v>
      </c>
    </row>
    <row r="2642" spans="1:14" ht="14.25" x14ac:dyDescent="0.2">
      <c r="A2642" s="3">
        <v>99721</v>
      </c>
      <c r="B2642" s="3" t="s">
        <v>1822</v>
      </c>
      <c r="C2642" s="3" t="s">
        <v>27</v>
      </c>
      <c r="D2642" s="6" t="s">
        <v>1782</v>
      </c>
      <c r="E2642" s="6" t="s">
        <v>1782</v>
      </c>
      <c r="F2642" s="3" t="str">
        <f>IFERROR( VLOOKUP(A2642,#REF!,2,0),"")</f>
        <v/>
      </c>
      <c r="G2642" s="3" t="str">
        <f t="array" ref="G2642">_xlfn.XLOOKUP(I2642,Base_Datos!D:D,Base_Datos!B:B,"")</f>
        <v>DFSK</v>
      </c>
      <c r="H2642" s="3" t="str">
        <f t="array" ref="H2642">IF(I2642="","",IFERROR(_xlfn.XLOOKUP(I2642,Base_Datos!$D$2:$D3876,Base_Datos!$C$2:$C3876),""))</f>
        <v>Serie D</v>
      </c>
      <c r="I2642" s="3" t="s">
        <v>145</v>
      </c>
      <c r="J2642" s="3" t="str">
        <f>IF(I2642="","",IFERROR(VLOOKUP(I2642,Base_Datos!$D$2:$E$72,2,0),""))</f>
        <v>(2.4L)</v>
      </c>
      <c r="K2642" s="3"/>
      <c r="L2642" s="3"/>
      <c r="M2642" s="7">
        <v>0</v>
      </c>
      <c r="N2642" s="7">
        <v>0</v>
      </c>
    </row>
    <row r="2643" spans="1:14" ht="14.25" x14ac:dyDescent="0.2">
      <c r="A2643" s="3">
        <v>99722</v>
      </c>
      <c r="B2643" s="3" t="s">
        <v>3579</v>
      </c>
      <c r="C2643" s="3" t="s">
        <v>27</v>
      </c>
      <c r="D2643" s="6" t="s">
        <v>1782</v>
      </c>
      <c r="E2643" s="6" t="s">
        <v>1782</v>
      </c>
      <c r="F2643" s="3" t="str">
        <f>IFERROR( VLOOKUP(A2643,#REF!,2,0),"")</f>
        <v/>
      </c>
      <c r="G2643" s="3" t="str">
        <f t="array" ref="G2643">_xlfn.XLOOKUP(I2643,Base_Datos!D:D,Base_Datos!B:B,"")</f>
        <v>DFSK</v>
      </c>
      <c r="H2643" s="3" t="str">
        <f t="array" ref="H2643">IF(I2643="","",IFERROR(_xlfn.XLOOKUP(I2643,Base_Datos!$D$2:$D3876,Base_Datos!$C$2:$C3876),""))</f>
        <v>Serie Glory</v>
      </c>
      <c r="I2643" s="3" t="s">
        <v>1754</v>
      </c>
      <c r="J2643" s="3" t="str">
        <f>IF(I2643="","",IFERROR(VLOOKUP(I2643,Base_Datos!$D$2:$E$72,2,0),""))</f>
        <v>(1.5L)</v>
      </c>
      <c r="K2643" s="3" t="s">
        <v>1860</v>
      </c>
      <c r="L2643" s="3"/>
      <c r="M2643" s="7">
        <v>0</v>
      </c>
      <c r="N2643" s="7">
        <v>0</v>
      </c>
    </row>
    <row r="2644" spans="1:14" ht="14.25" x14ac:dyDescent="0.2">
      <c r="A2644" s="3">
        <v>99723</v>
      </c>
      <c r="B2644" s="3" t="s">
        <v>4619</v>
      </c>
      <c r="C2644" s="3" t="s">
        <v>2</v>
      </c>
      <c r="D2644" s="6" t="s">
        <v>1782</v>
      </c>
      <c r="E2644" s="6" t="s">
        <v>1782</v>
      </c>
      <c r="F2644" s="3" t="str">
        <f>IFERROR( VLOOKUP(A2644,#REF!,2,0),"")</f>
        <v/>
      </c>
      <c r="G2644" s="3">
        <f t="array" ref="G2644">_xlfn.XLOOKUP(I2644,Base_Datos!D:D,Base_Datos!B:B,"")</f>
        <v>0</v>
      </c>
      <c r="H2644" s="3" t="str">
        <f t="array" ref="H2644">IF(I2644="","",IFERROR(_xlfn.XLOOKUP(I2644,Base_Datos!$D$2:$D3876,Base_Datos!$C$2:$C3876),""))</f>
        <v/>
      </c>
      <c r="I2644" s="3"/>
      <c r="J2644" s="3" t="str">
        <f>IF(I2644="","",IFERROR(VLOOKUP(I2644,Base_Datos!$D$2:$E$72,2,0),""))</f>
        <v/>
      </c>
      <c r="K2644" s="3"/>
      <c r="L2644" s="3"/>
      <c r="M2644" s="7">
        <v>17</v>
      </c>
      <c r="N2644" s="7">
        <v>0</v>
      </c>
    </row>
    <row r="2645" spans="1:14" ht="14.25" x14ac:dyDescent="0.2">
      <c r="A2645" s="3">
        <v>99724</v>
      </c>
      <c r="B2645" s="3" t="s">
        <v>1811</v>
      </c>
      <c r="C2645" s="3" t="s">
        <v>27</v>
      </c>
      <c r="D2645" s="6" t="s">
        <v>1782</v>
      </c>
      <c r="E2645" s="6" t="s">
        <v>1782</v>
      </c>
      <c r="F2645" s="3" t="str">
        <f>IFERROR( VLOOKUP(A2645,#REF!,2,0),"")</f>
        <v/>
      </c>
      <c r="G2645" s="3" t="str">
        <f t="array" ref="G2645">_xlfn.XLOOKUP(I2645,Base_Datos!D:D,Base_Datos!B:B,"")</f>
        <v>DFSK</v>
      </c>
      <c r="H2645" s="3" t="str">
        <f t="array" ref="H2645">IF(I2645="","",IFERROR(_xlfn.XLOOKUP(I2645,Base_Datos!$D$2:$D3876,Base_Datos!$C$2:$C3876),""))</f>
        <v>Serie C</v>
      </c>
      <c r="I2645" s="3" t="s">
        <v>339</v>
      </c>
      <c r="J2645" s="3" t="str">
        <f>IF(I2645="","",IFERROR(VLOOKUP(I2645,Base_Datos!$D$2:$E$72,2,0),""))</f>
        <v>(1.5L)</v>
      </c>
      <c r="K2645" s="3" t="s">
        <v>3704</v>
      </c>
      <c r="L2645" s="3"/>
      <c r="M2645" s="7">
        <v>0</v>
      </c>
      <c r="N2645" s="7">
        <v>0</v>
      </c>
    </row>
    <row r="2646" spans="1:14" ht="14.25" x14ac:dyDescent="0.2">
      <c r="A2646" s="3">
        <v>99725</v>
      </c>
      <c r="B2646" s="3" t="s">
        <v>4620</v>
      </c>
      <c r="C2646" s="3" t="s">
        <v>27</v>
      </c>
      <c r="D2646" s="6" t="s">
        <v>1782</v>
      </c>
      <c r="E2646" s="6" t="s">
        <v>1782</v>
      </c>
      <c r="F2646" s="3" t="str">
        <f>IFERROR( VLOOKUP(A2646,#REF!,2,0),"")</f>
        <v/>
      </c>
      <c r="G2646" s="3" t="str">
        <f t="array" ref="G2646">_xlfn.XLOOKUP(I2646,Base_Datos!D:D,Base_Datos!B:B,"")</f>
        <v>DFSK</v>
      </c>
      <c r="H2646" s="3" t="str">
        <f t="array" ref="H2646">IF(I2646="","",IFERROR(_xlfn.XLOOKUP(I2646,Base_Datos!$D$2:$D3876,Base_Datos!$C$2:$C3876),""))</f>
        <v>Serie D</v>
      </c>
      <c r="I2646" s="3" t="s">
        <v>145</v>
      </c>
      <c r="J2646" s="3" t="str">
        <f>IF(I2646="","",IFERROR(VLOOKUP(I2646,Base_Datos!$D$2:$E$72,2,0),""))</f>
        <v>(2.4L)</v>
      </c>
      <c r="K2646" s="3" t="s">
        <v>2439</v>
      </c>
      <c r="L2646" s="3"/>
      <c r="M2646" s="7">
        <v>0</v>
      </c>
      <c r="N2646" s="7">
        <v>0</v>
      </c>
    </row>
    <row r="2647" spans="1:14" ht="14.25" x14ac:dyDescent="0.2">
      <c r="A2647" s="3">
        <v>99726</v>
      </c>
      <c r="B2647" s="3" t="s">
        <v>4621</v>
      </c>
      <c r="C2647" s="3" t="s">
        <v>27</v>
      </c>
      <c r="D2647" s="6" t="s">
        <v>1782</v>
      </c>
      <c r="E2647" s="6" t="s">
        <v>1782</v>
      </c>
      <c r="F2647" s="3" t="str">
        <f>IFERROR( VLOOKUP(A2647,#REF!,2,0),"")</f>
        <v/>
      </c>
      <c r="G2647" s="3" t="str">
        <f t="array" ref="G2647">_xlfn.XLOOKUP(I2647,Base_Datos!D:D,Base_Datos!B:B,"")</f>
        <v>DFSK</v>
      </c>
      <c r="H2647" s="3" t="str">
        <f t="array" ref="H2647">IF(I2647="","",IFERROR(_xlfn.XLOOKUP(I2647,Base_Datos!$D$2:$D3876,Base_Datos!$C$2:$C3876),""))</f>
        <v>Serie D</v>
      </c>
      <c r="I2647" s="3" t="s">
        <v>145</v>
      </c>
      <c r="J2647" s="3" t="str">
        <f>IF(I2647="","",IFERROR(VLOOKUP(I2647,Base_Datos!$D$2:$E$72,2,0),""))</f>
        <v>(2.4L)</v>
      </c>
      <c r="K2647" s="3" t="s">
        <v>2439</v>
      </c>
      <c r="L2647" s="3"/>
      <c r="M2647" s="7">
        <v>0</v>
      </c>
      <c r="N2647" s="7">
        <v>0</v>
      </c>
    </row>
    <row r="2648" spans="1:14" ht="14.25" x14ac:dyDescent="0.2">
      <c r="A2648" s="3">
        <v>99727</v>
      </c>
      <c r="B2648" s="3" t="s">
        <v>2494</v>
      </c>
      <c r="C2648" s="3" t="s">
        <v>27</v>
      </c>
      <c r="D2648" s="6" t="s">
        <v>1782</v>
      </c>
      <c r="E2648" s="6" t="s">
        <v>1782</v>
      </c>
      <c r="F2648" s="3" t="str">
        <f>IFERROR( VLOOKUP(A2648,#REF!,2,0),"")</f>
        <v/>
      </c>
      <c r="G2648" s="3" t="str">
        <f t="array" ref="G2648">_xlfn.XLOOKUP(I2648,Base_Datos!D:D,Base_Datos!B:B,"")</f>
        <v>DFSK</v>
      </c>
      <c r="H2648" s="3" t="str">
        <f t="array" ref="H2648">IF(I2648="","",IFERROR(_xlfn.XLOOKUP(I2648,Base_Datos!$D$2:$D3876,Base_Datos!$C$2:$C3876),""))</f>
        <v>Serie D</v>
      </c>
      <c r="I2648" s="3" t="s">
        <v>145</v>
      </c>
      <c r="J2648" s="3" t="str">
        <f>IF(I2648="","",IFERROR(VLOOKUP(I2648,Base_Datos!$D$2:$E$72,2,0),""))</f>
        <v>(2.4L)</v>
      </c>
      <c r="K2648" s="3" t="s">
        <v>2439</v>
      </c>
      <c r="L2648" s="3"/>
      <c r="M2648" s="7">
        <v>0</v>
      </c>
      <c r="N2648" s="7">
        <v>0</v>
      </c>
    </row>
    <row r="2649" spans="1:14" ht="14.25" x14ac:dyDescent="0.2">
      <c r="A2649" s="3">
        <v>99728</v>
      </c>
      <c r="B2649" s="3" t="s">
        <v>4622</v>
      </c>
      <c r="C2649" s="3" t="s">
        <v>27</v>
      </c>
      <c r="D2649" s="6" t="s">
        <v>1782</v>
      </c>
      <c r="E2649" s="6" t="s">
        <v>1782</v>
      </c>
      <c r="F2649" s="3" t="str">
        <f>IFERROR( VLOOKUP(A2649,#REF!,2,0),"")</f>
        <v/>
      </c>
      <c r="G2649" s="3" t="str">
        <f t="array" ref="G2649">_xlfn.XLOOKUP(I2649,Base_Datos!D:D,Base_Datos!B:B,"")</f>
        <v>DFSK</v>
      </c>
      <c r="H2649" s="3" t="str">
        <f t="array" ref="H2649">IF(I2649="","",IFERROR(_xlfn.XLOOKUP(I2649,Base_Datos!$D$2:$D3876,Base_Datos!$C$2:$C3876),""))</f>
        <v>Serie D</v>
      </c>
      <c r="I2649" s="3" t="s">
        <v>145</v>
      </c>
      <c r="J2649" s="3" t="str">
        <f>IF(I2649="","",IFERROR(VLOOKUP(I2649,Base_Datos!$D$2:$E$72,2,0),""))</f>
        <v>(2.4L)</v>
      </c>
      <c r="K2649" s="3" t="s">
        <v>2439</v>
      </c>
      <c r="L2649" s="3"/>
      <c r="M2649" s="7">
        <v>0</v>
      </c>
      <c r="N2649" s="7">
        <v>0</v>
      </c>
    </row>
    <row r="2650" spans="1:14" ht="14.25" x14ac:dyDescent="0.2">
      <c r="A2650" s="3">
        <v>99729</v>
      </c>
      <c r="B2650" s="3" t="s">
        <v>3598</v>
      </c>
      <c r="C2650" s="3" t="s">
        <v>27</v>
      </c>
      <c r="D2650" s="6" t="s">
        <v>1782</v>
      </c>
      <c r="E2650" s="6" t="s">
        <v>1782</v>
      </c>
      <c r="F2650" s="3" t="str">
        <f>IFERROR( VLOOKUP(A2650,#REF!,2,0),"")</f>
        <v/>
      </c>
      <c r="G2650" s="3" t="str">
        <f t="array" ref="G2650">_xlfn.XLOOKUP(I2650,Base_Datos!D:D,Base_Datos!B:B,"")</f>
        <v>DFSK</v>
      </c>
      <c r="H2650" s="3" t="str">
        <f t="array" ref="H2650">IF(I2650="","",IFERROR(_xlfn.XLOOKUP(I2650,Base_Datos!$D$2:$D3876,Base_Datos!$C$2:$C3876),""))</f>
        <v>Serie D</v>
      </c>
      <c r="I2650" s="3" t="s">
        <v>973</v>
      </c>
      <c r="J2650" s="3" t="str">
        <f>IF(I2650="","",IFERROR(VLOOKUP(I2650,Base_Datos!$D$2:$E$72,2,0),""))</f>
        <v>(1.5L)</v>
      </c>
      <c r="K2650" s="3" t="s">
        <v>3562</v>
      </c>
      <c r="L2650" s="3"/>
      <c r="M2650" s="7">
        <v>0</v>
      </c>
      <c r="N2650" s="7">
        <v>0</v>
      </c>
    </row>
    <row r="2651" spans="1:14" ht="14.25" x14ac:dyDescent="0.2">
      <c r="A2651" s="3">
        <v>99730</v>
      </c>
      <c r="B2651" s="3" t="s">
        <v>4623</v>
      </c>
      <c r="C2651" s="3" t="s">
        <v>27</v>
      </c>
      <c r="D2651" s="6" t="s">
        <v>1782</v>
      </c>
      <c r="E2651" s="6" t="s">
        <v>1782</v>
      </c>
      <c r="F2651" s="3" t="str">
        <f>IFERROR( VLOOKUP(A2651,#REF!,2,0),"")</f>
        <v/>
      </c>
      <c r="G2651" s="3" t="str">
        <f t="array" ref="G2651">_xlfn.XLOOKUP(I2651,Base_Datos!D:D,Base_Datos!B:B,"")</f>
        <v>DFSK</v>
      </c>
      <c r="H2651" s="3" t="str">
        <f t="array" ref="H2651">IF(I2651="","",IFERROR(_xlfn.XLOOKUP(I2651,Base_Datos!$D$2:$D3876,Base_Datos!$C$2:$C3876),""))</f>
        <v>Serie C</v>
      </c>
      <c r="I2651" s="3" t="s">
        <v>339</v>
      </c>
      <c r="J2651" s="3" t="str">
        <f>IF(I2651="","",IFERROR(VLOOKUP(I2651,Base_Datos!$D$2:$E$72,2,0),""))</f>
        <v>(1.5L)</v>
      </c>
      <c r="K2651" s="3" t="s">
        <v>3704</v>
      </c>
      <c r="L2651" s="3"/>
      <c r="M2651" s="7">
        <v>0</v>
      </c>
      <c r="N2651" s="7">
        <v>0</v>
      </c>
    </row>
    <row r="2652" spans="1:14" ht="14.25" x14ac:dyDescent="0.2">
      <c r="A2652" s="3">
        <v>99731</v>
      </c>
      <c r="B2652" s="3" t="s">
        <v>4624</v>
      </c>
      <c r="C2652" s="3" t="s">
        <v>27</v>
      </c>
      <c r="D2652" s="6" t="s">
        <v>1782</v>
      </c>
      <c r="E2652" s="6" t="s">
        <v>1782</v>
      </c>
      <c r="F2652" s="3" t="str">
        <f>IFERROR( VLOOKUP(A2652,#REF!,2,0),"")</f>
        <v/>
      </c>
      <c r="G2652" s="3" t="str">
        <f t="array" ref="G2652">_xlfn.XLOOKUP(I2652,Base_Datos!D:D,Base_Datos!B:B,"")</f>
        <v>DFSK</v>
      </c>
      <c r="H2652" s="3" t="str">
        <f t="array" ref="H2652">IF(I2652="","",IFERROR(_xlfn.XLOOKUP(I2652,Base_Datos!$D$2:$D3876,Base_Datos!$C$2:$C3876),""))</f>
        <v>Serie C</v>
      </c>
      <c r="I2652" s="3" t="s">
        <v>339</v>
      </c>
      <c r="J2652" s="3" t="str">
        <f>IF(I2652="","",IFERROR(VLOOKUP(I2652,Base_Datos!$D$2:$E$72,2,0),""))</f>
        <v>(1.5L)</v>
      </c>
      <c r="K2652" s="3" t="s">
        <v>3704</v>
      </c>
      <c r="L2652" s="3"/>
      <c r="M2652" s="7">
        <v>0</v>
      </c>
      <c r="N2652" s="7">
        <v>0</v>
      </c>
    </row>
    <row r="2653" spans="1:14" ht="14.25" x14ac:dyDescent="0.2">
      <c r="A2653" s="3">
        <v>99732</v>
      </c>
      <c r="B2653" s="3" t="s">
        <v>4625</v>
      </c>
      <c r="C2653" s="3" t="s">
        <v>2</v>
      </c>
      <c r="D2653" s="6" t="s">
        <v>1782</v>
      </c>
      <c r="E2653" s="6" t="s">
        <v>1782</v>
      </c>
      <c r="F2653" s="3" t="str">
        <f>IFERROR( VLOOKUP(A2653,#REF!,2,0),"")</f>
        <v/>
      </c>
      <c r="G2653" s="3" t="str">
        <f t="array" ref="G2653">_xlfn.XLOOKUP(I2653,Base_Datos!D:D,Base_Datos!B:B,"")</f>
        <v>DFSK</v>
      </c>
      <c r="H2653" s="3" t="str">
        <f t="array" ref="H2653">IF(I2653="","",IFERROR(_xlfn.XLOOKUP(I2653,Base_Datos!$D$2:$D3876,Base_Datos!$C$2:$C3876),""))</f>
        <v>Serie D</v>
      </c>
      <c r="I2653" s="3" t="s">
        <v>145</v>
      </c>
      <c r="J2653" s="3" t="str">
        <f>IF(I2653="","",IFERROR(VLOOKUP(I2653,Base_Datos!$D$2:$E$72,2,0),""))</f>
        <v>(2.4L)</v>
      </c>
      <c r="K2653" s="3" t="s">
        <v>2439</v>
      </c>
      <c r="L2653" s="3"/>
      <c r="M2653" s="7">
        <v>1</v>
      </c>
      <c r="N2653" s="7">
        <v>0</v>
      </c>
    </row>
    <row r="2654" spans="1:14" ht="14.25" x14ac:dyDescent="0.2">
      <c r="A2654" s="3">
        <v>99733</v>
      </c>
      <c r="B2654" s="3" t="s">
        <v>4626</v>
      </c>
      <c r="C2654" s="3" t="s">
        <v>2</v>
      </c>
      <c r="D2654" s="6" t="s">
        <v>4627</v>
      </c>
      <c r="E2654" s="6" t="s">
        <v>4627</v>
      </c>
      <c r="F2654" s="3" t="str">
        <f>IFERROR( VLOOKUP(A2654,#REF!,2,0),"")</f>
        <v/>
      </c>
      <c r="G2654" s="3">
        <f t="array" ref="G2654">_xlfn.XLOOKUP(I2654,Base_Datos!D:D,Base_Datos!B:B,"")</f>
        <v>0</v>
      </c>
      <c r="H2654" s="3" t="str">
        <f t="array" ref="H2654">IF(I2654="","",IFERROR(_xlfn.XLOOKUP(I2654,Base_Datos!$D$2:$D3876,Base_Datos!$C$2:$C3876),""))</f>
        <v/>
      </c>
      <c r="I2654" s="3"/>
      <c r="J2654" s="3" t="str">
        <f>IF(I2654="","",IFERROR(VLOOKUP(I2654,Base_Datos!$D$2:$E$72,2,0),""))</f>
        <v/>
      </c>
      <c r="K2654" s="3" t="s">
        <v>2060</v>
      </c>
      <c r="L2654" s="3"/>
      <c r="M2654" s="7">
        <v>3</v>
      </c>
      <c r="N2654" s="7">
        <v>0</v>
      </c>
    </row>
    <row r="2655" spans="1:14" ht="14.25" x14ac:dyDescent="0.2">
      <c r="A2655" s="3">
        <v>99734</v>
      </c>
      <c r="B2655" s="3" t="s">
        <v>4628</v>
      </c>
      <c r="C2655" s="3" t="s">
        <v>2</v>
      </c>
      <c r="D2655" s="6" t="s">
        <v>933</v>
      </c>
      <c r="E2655" s="6" t="s">
        <v>933</v>
      </c>
      <c r="F2655" s="3" t="str">
        <f>IFERROR( VLOOKUP(A2655,#REF!,2,0),"")</f>
        <v/>
      </c>
      <c r="G2655" s="3">
        <f t="array" ref="G2655">_xlfn.XLOOKUP(I2655,Base_Datos!D:D,Base_Datos!B:B,"")</f>
        <v>0</v>
      </c>
      <c r="H2655" s="3" t="str">
        <f t="array" ref="H2655">IF(I2655="","",IFERROR(_xlfn.XLOOKUP(I2655,Base_Datos!$D$2:$D3876,Base_Datos!$C$2:$C3876),""))</f>
        <v/>
      </c>
      <c r="I2655" s="3"/>
      <c r="J2655" s="3" t="str">
        <f>IF(I2655="","",IFERROR(VLOOKUP(I2655,Base_Datos!$D$2:$E$72,2,0),""))</f>
        <v/>
      </c>
      <c r="K2655" s="3" t="s">
        <v>4629</v>
      </c>
      <c r="L2655" s="3"/>
      <c r="M2655" s="7">
        <v>1</v>
      </c>
      <c r="N2655" s="7">
        <v>0</v>
      </c>
    </row>
    <row r="2656" spans="1:14" ht="14.25" x14ac:dyDescent="0.2">
      <c r="A2656" s="3">
        <v>99735</v>
      </c>
      <c r="B2656" s="3" t="s">
        <v>4630</v>
      </c>
      <c r="C2656" s="3" t="s">
        <v>27</v>
      </c>
      <c r="D2656" s="6" t="s">
        <v>1782</v>
      </c>
      <c r="E2656" s="6" t="s">
        <v>1782</v>
      </c>
      <c r="F2656" s="3" t="str">
        <f>IFERROR( VLOOKUP(A2656,#REF!,2,0),"")</f>
        <v/>
      </c>
      <c r="G2656" s="3">
        <f t="array" ref="G2656">_xlfn.XLOOKUP(I2656,Base_Datos!D:D,Base_Datos!B:B,"")</f>
        <v>0</v>
      </c>
      <c r="H2656" s="3" t="str">
        <f t="array" ref="H2656">IF(I2656="","",IFERROR(_xlfn.XLOOKUP(I2656,Base_Datos!$D$2:$D3876,Base_Datos!$C$2:$C3876),""))</f>
        <v/>
      </c>
      <c r="I2656" s="3"/>
      <c r="J2656" s="3" t="str">
        <f>IF(I2656="","",IFERROR(VLOOKUP(I2656,Base_Datos!$D$2:$E$72,2,0),""))</f>
        <v/>
      </c>
      <c r="K2656" s="3" t="s">
        <v>1817</v>
      </c>
      <c r="L2656" s="3"/>
      <c r="M2656" s="7">
        <v>0</v>
      </c>
      <c r="N2656" s="7">
        <v>0</v>
      </c>
    </row>
    <row r="2657" spans="1:14" ht="14.25" x14ac:dyDescent="0.2">
      <c r="A2657" s="3">
        <v>99736</v>
      </c>
      <c r="B2657" s="3" t="s">
        <v>2507</v>
      </c>
      <c r="C2657" s="3" t="s">
        <v>27</v>
      </c>
      <c r="D2657" s="6" t="s">
        <v>1782</v>
      </c>
      <c r="E2657" s="6" t="s">
        <v>1782</v>
      </c>
      <c r="F2657" s="3" t="str">
        <f>IFERROR( VLOOKUP(A2657,#REF!,2,0),"")</f>
        <v/>
      </c>
      <c r="G2657" s="3" t="str">
        <f t="array" ref="G2657">_xlfn.XLOOKUP(I2657,Base_Datos!D:D,Base_Datos!B:B,"")</f>
        <v>DFSK</v>
      </c>
      <c r="H2657" s="3" t="str">
        <f t="array" ref="H2657">IF(I2657="","",IFERROR(_xlfn.XLOOKUP(I2657,Base_Datos!$D$2:$D3876,Base_Datos!$C$2:$C3876),""))</f>
        <v>Serie C</v>
      </c>
      <c r="I2657" s="3" t="s">
        <v>265</v>
      </c>
      <c r="J2657" s="3" t="str">
        <f>IF(I2657="","",IFERROR(VLOOKUP(I2657,Base_Datos!$D$2:$E$72,2,0),""))</f>
        <v>(1.5L)</v>
      </c>
      <c r="K2657" s="3" t="s">
        <v>2435</v>
      </c>
      <c r="L2657" s="3"/>
      <c r="M2657" s="7">
        <v>0</v>
      </c>
      <c r="N2657" s="7">
        <v>0</v>
      </c>
    </row>
    <row r="2658" spans="1:14" ht="14.25" x14ac:dyDescent="0.2">
      <c r="A2658" s="3">
        <v>99737</v>
      </c>
      <c r="B2658" s="3" t="s">
        <v>2855</v>
      </c>
      <c r="C2658" s="3" t="s">
        <v>27</v>
      </c>
      <c r="D2658" s="6" t="s">
        <v>1782</v>
      </c>
      <c r="E2658" s="6" t="s">
        <v>1782</v>
      </c>
      <c r="F2658" s="3" t="str">
        <f>IFERROR( VLOOKUP(A2658,#REF!,2,0),"")</f>
        <v/>
      </c>
      <c r="G2658" s="3" t="str">
        <f t="array" ref="G2658">_xlfn.XLOOKUP(I2658,Base_Datos!D:D,Base_Datos!B:B,"")</f>
        <v>DFSK</v>
      </c>
      <c r="H2658" s="3" t="str">
        <f t="array" ref="H2658">IF(I2658="","",IFERROR(_xlfn.XLOOKUP(I2658,Base_Datos!$D$2:$D3876,Base_Datos!$C$2:$C3876),""))</f>
        <v>Serie C</v>
      </c>
      <c r="I2658" s="3" t="s">
        <v>339</v>
      </c>
      <c r="J2658" s="3" t="str">
        <f>IF(I2658="","",IFERROR(VLOOKUP(I2658,Base_Datos!$D$2:$E$72,2,0),""))</f>
        <v>(1.5L)</v>
      </c>
      <c r="K2658" s="3"/>
      <c r="L2658" s="3"/>
      <c r="M2658" s="7">
        <v>0</v>
      </c>
      <c r="N2658" s="7">
        <v>0</v>
      </c>
    </row>
    <row r="2659" spans="1:14" ht="14.25" x14ac:dyDescent="0.2">
      <c r="A2659" s="3">
        <v>99738</v>
      </c>
      <c r="B2659" s="3" t="s">
        <v>2525</v>
      </c>
      <c r="C2659" s="3" t="s">
        <v>18</v>
      </c>
      <c r="D2659" s="6" t="s">
        <v>934</v>
      </c>
      <c r="E2659" s="6" t="s">
        <v>934</v>
      </c>
      <c r="F2659" s="3" t="str">
        <f>IFERROR( VLOOKUP(A2659,#REF!,2,0),"")</f>
        <v/>
      </c>
      <c r="G2659" s="3" t="str">
        <f t="array" ref="G2659">_xlfn.XLOOKUP(I2659,Base_Datos!D:D,Base_Datos!B:B,"")</f>
        <v>DFSK</v>
      </c>
      <c r="H2659" s="3" t="str">
        <f t="array" ref="H2659">IF(I2659="","",IFERROR(_xlfn.XLOOKUP(I2659,Base_Datos!$D$2:$D3876,Base_Datos!$C$2:$C3876),""))</f>
        <v>Serie C</v>
      </c>
      <c r="I2659" s="3" t="s">
        <v>265</v>
      </c>
      <c r="J2659" s="3" t="str">
        <f>IF(I2659="","",IFERROR(VLOOKUP(I2659,Base_Datos!$D$2:$E$72,2,0),""))</f>
        <v>(1.5L)</v>
      </c>
      <c r="K2659" s="3" t="s">
        <v>4631</v>
      </c>
      <c r="L2659" s="3"/>
      <c r="M2659" s="7">
        <v>0</v>
      </c>
      <c r="N2659" s="7">
        <v>0</v>
      </c>
    </row>
    <row r="2660" spans="1:14" ht="14.25" x14ac:dyDescent="0.2">
      <c r="A2660" s="3">
        <v>99739</v>
      </c>
      <c r="B2660" s="3" t="s">
        <v>4632</v>
      </c>
      <c r="C2660" s="3" t="s">
        <v>27</v>
      </c>
      <c r="D2660" s="6" t="s">
        <v>848</v>
      </c>
      <c r="E2660" s="6" t="s">
        <v>848</v>
      </c>
      <c r="F2660" s="3" t="str">
        <f>IFERROR( VLOOKUP(A2660,#REF!,2,0),"")</f>
        <v/>
      </c>
      <c r="G2660" s="3">
        <f t="array" ref="G2660">_xlfn.XLOOKUP(I2660,Base_Datos!D:D,Base_Datos!B:B,"")</f>
        <v>0</v>
      </c>
      <c r="H2660" s="3" t="str">
        <f t="array" ref="H2660">IF(I2660="","",IFERROR(_xlfn.XLOOKUP(I2660,Base_Datos!$D$2:$D3876,Base_Datos!$C$2:$C3876),""))</f>
        <v/>
      </c>
      <c r="I2660" s="3"/>
      <c r="J2660" s="3" t="str">
        <f>IF(I2660="","",IFERROR(VLOOKUP(I2660,Base_Datos!$D$2:$E$72,2,0),""))</f>
        <v/>
      </c>
      <c r="K2660" s="3" t="s">
        <v>4402</v>
      </c>
      <c r="L2660" s="3"/>
      <c r="M2660" s="7">
        <v>0</v>
      </c>
      <c r="N2660" s="7">
        <v>0</v>
      </c>
    </row>
    <row r="2661" spans="1:14" ht="14.25" x14ac:dyDescent="0.2">
      <c r="A2661" s="3">
        <v>99740</v>
      </c>
      <c r="B2661" s="3" t="s">
        <v>4633</v>
      </c>
      <c r="C2661" s="3" t="s">
        <v>2</v>
      </c>
      <c r="D2661" s="6" t="s">
        <v>935</v>
      </c>
      <c r="E2661" s="6" t="s">
        <v>935</v>
      </c>
      <c r="F2661" s="3" t="str">
        <f>IFERROR( VLOOKUP(A2661,#REF!,2,0),"")</f>
        <v/>
      </c>
      <c r="G2661" s="3" t="str">
        <f t="array" ref="G2661">_xlfn.XLOOKUP(I2661,Base_Datos!D:D,Base_Datos!B:B,"")</f>
        <v>DFSK</v>
      </c>
      <c r="H2661" s="3" t="str">
        <f t="array" ref="H2661">IF(I2661="","",IFERROR(_xlfn.XLOOKUP(I2661,Base_Datos!$D$2:$D3876,Base_Datos!$C$2:$C3876),""))</f>
        <v>Serie K</v>
      </c>
      <c r="I2661" s="3" t="s">
        <v>475</v>
      </c>
      <c r="J2661" s="3" t="str">
        <f>IF(I2661="","",IFERROR(VLOOKUP(I2661,Base_Datos!$D$2:$E$72,2,0),""))</f>
        <v>(1.1L)</v>
      </c>
      <c r="K2661" s="3" t="s">
        <v>1817</v>
      </c>
      <c r="L2661" s="3"/>
      <c r="M2661" s="7">
        <v>0</v>
      </c>
      <c r="N2661" s="7">
        <v>0</v>
      </c>
    </row>
    <row r="2662" spans="1:14" ht="14.25" x14ac:dyDescent="0.2">
      <c r="A2662" s="3">
        <v>99741</v>
      </c>
      <c r="B2662" s="3" t="s">
        <v>3150</v>
      </c>
      <c r="C2662" s="3" t="s">
        <v>2</v>
      </c>
      <c r="D2662" s="6" t="s">
        <v>935</v>
      </c>
      <c r="E2662" s="6" t="s">
        <v>935</v>
      </c>
      <c r="F2662" s="3" t="str">
        <f>IFERROR( VLOOKUP(A2662,#REF!,2,0),"")</f>
        <v/>
      </c>
      <c r="G2662" s="3" t="str">
        <f t="array" ref="G2662">_xlfn.XLOOKUP(I2662,Base_Datos!D:D,Base_Datos!B:B,"")</f>
        <v>DFSK</v>
      </c>
      <c r="H2662" s="3" t="str">
        <f t="array" ref="H2662">IF(I2662="","",IFERROR(_xlfn.XLOOKUP(I2662,Base_Datos!$D$2:$D3876,Base_Datos!$C$2:$C3876),""))</f>
        <v>Serie Glory</v>
      </c>
      <c r="I2662" s="3" t="s">
        <v>1765</v>
      </c>
      <c r="J2662" s="3" t="str">
        <f>IF(I2662="","",IFERROR(VLOOKUP(I2662,Base_Datos!$D$2:$E$72,2,0),""))</f>
        <v>(1.5L)</v>
      </c>
      <c r="K2662" s="3" t="s">
        <v>1801</v>
      </c>
      <c r="L2662" s="3"/>
      <c r="M2662" s="7">
        <v>0</v>
      </c>
      <c r="N2662" s="7">
        <v>0</v>
      </c>
    </row>
    <row r="2663" spans="1:14" ht="14.25" x14ac:dyDescent="0.2">
      <c r="A2663" s="3">
        <v>99742</v>
      </c>
      <c r="B2663" s="3" t="s">
        <v>1884</v>
      </c>
      <c r="C2663" s="3" t="s">
        <v>27</v>
      </c>
      <c r="D2663" s="6" t="s">
        <v>1178</v>
      </c>
      <c r="E2663" s="6" t="s">
        <v>1178</v>
      </c>
      <c r="F2663" s="3" t="str">
        <f>IFERROR( VLOOKUP(A2663,#REF!,2,0),"")</f>
        <v/>
      </c>
      <c r="G2663" s="3" t="str">
        <f t="array" ref="G2663">_xlfn.XLOOKUP(I2663,Base_Datos!D:D,Base_Datos!B:B,"")</f>
        <v>DFSK</v>
      </c>
      <c r="H2663" s="3" t="str">
        <f t="array" ref="H2663">IF(I2663="","",IFERROR(_xlfn.XLOOKUP(I2663,Base_Datos!$D$2:$D3876,Base_Datos!$C$2:$C3876),""))</f>
        <v>Serie C</v>
      </c>
      <c r="I2663" s="3" t="s">
        <v>339</v>
      </c>
      <c r="J2663" s="3" t="str">
        <f>IF(I2663="","",IFERROR(VLOOKUP(I2663,Base_Datos!$D$2:$E$72,2,0),""))</f>
        <v>(1.5L)</v>
      </c>
      <c r="K2663" s="3" t="s">
        <v>4634</v>
      </c>
      <c r="L2663" s="3"/>
      <c r="M2663" s="7">
        <v>0</v>
      </c>
      <c r="N2663" s="7">
        <v>0</v>
      </c>
    </row>
    <row r="2664" spans="1:14" ht="14.25" x14ac:dyDescent="0.2">
      <c r="A2664" s="3">
        <v>99743</v>
      </c>
      <c r="B2664" s="3" t="s">
        <v>4635</v>
      </c>
      <c r="C2664" s="3" t="s">
        <v>27</v>
      </c>
      <c r="D2664" s="6" t="s">
        <v>1178</v>
      </c>
      <c r="E2664" s="6" t="s">
        <v>1178</v>
      </c>
      <c r="F2664" s="3" t="str">
        <f>IFERROR( VLOOKUP(A2664,#REF!,2,0),"")</f>
        <v/>
      </c>
      <c r="G2664" s="3" t="str">
        <f t="array" ref="G2664">_xlfn.XLOOKUP(I2664,Base_Datos!D:D,Base_Datos!B:B,"")</f>
        <v>DFSK</v>
      </c>
      <c r="H2664" s="3" t="str">
        <f t="array" ref="H2664">IF(I2664="","",IFERROR(_xlfn.XLOOKUP(I2664,Base_Datos!$D$2:$D3876,Base_Datos!$C$2:$C3876),""))</f>
        <v>Serie Glory</v>
      </c>
      <c r="I2664" s="3" t="s">
        <v>1765</v>
      </c>
      <c r="J2664" s="3" t="str">
        <f>IF(I2664="","",IFERROR(VLOOKUP(I2664,Base_Datos!$D$2:$E$72,2,0),""))</f>
        <v>(1.5L)</v>
      </c>
      <c r="K2664" s="3" t="s">
        <v>1801</v>
      </c>
      <c r="L2664" s="3"/>
      <c r="M2664" s="7">
        <v>0</v>
      </c>
      <c r="N2664" s="7">
        <v>0</v>
      </c>
    </row>
    <row r="2665" spans="1:14" ht="14.25" x14ac:dyDescent="0.2">
      <c r="A2665" s="3">
        <v>99744</v>
      </c>
      <c r="B2665" s="3" t="s">
        <v>4636</v>
      </c>
      <c r="C2665" s="3" t="s">
        <v>27</v>
      </c>
      <c r="D2665" s="6" t="s">
        <v>1178</v>
      </c>
      <c r="E2665" s="6" t="s">
        <v>1178</v>
      </c>
      <c r="F2665" s="3" t="str">
        <f>IFERROR( VLOOKUP(A2665,#REF!,2,0),"")</f>
        <v/>
      </c>
      <c r="G2665" s="3" t="str">
        <f t="array" ref="G2665">_xlfn.XLOOKUP(I2665,Base_Datos!D:D,Base_Datos!B:B,"")</f>
        <v>DFSK</v>
      </c>
      <c r="H2665" s="3" t="str">
        <f t="array" ref="H2665">IF(I2665="","",IFERROR(_xlfn.XLOOKUP(I2665,Base_Datos!$D$2:$D3876,Base_Datos!$C$2:$C3876),""))</f>
        <v>Serie Glory</v>
      </c>
      <c r="I2665" s="3" t="s">
        <v>1765</v>
      </c>
      <c r="J2665" s="3" t="str">
        <f>IF(I2665="","",IFERROR(VLOOKUP(I2665,Base_Datos!$D$2:$E$72,2,0),""))</f>
        <v>(1.5L)</v>
      </c>
      <c r="K2665" s="3" t="s">
        <v>1801</v>
      </c>
      <c r="L2665" s="3"/>
      <c r="M2665" s="7">
        <v>0</v>
      </c>
      <c r="N2665" s="7">
        <v>0</v>
      </c>
    </row>
    <row r="2666" spans="1:14" ht="14.25" x14ac:dyDescent="0.2">
      <c r="A2666" s="3">
        <v>99745</v>
      </c>
      <c r="B2666" s="3" t="s">
        <v>4637</v>
      </c>
      <c r="C2666" s="3" t="s">
        <v>27</v>
      </c>
      <c r="D2666" s="6" t="s">
        <v>1178</v>
      </c>
      <c r="E2666" s="6" t="s">
        <v>1178</v>
      </c>
      <c r="F2666" s="3" t="str">
        <f>IFERROR( VLOOKUP(A2666,#REF!,2,0),"")</f>
        <v/>
      </c>
      <c r="G2666" s="3" t="str">
        <f t="array" ref="G2666">_xlfn.XLOOKUP(I2666,Base_Datos!D:D,Base_Datos!B:B,"")</f>
        <v>DFSK</v>
      </c>
      <c r="H2666" s="3" t="str">
        <f t="array" ref="H2666">IF(I2666="","",IFERROR(_xlfn.XLOOKUP(I2666,Base_Datos!$D$2:$D3876,Base_Datos!$C$2:$C3876),""))</f>
        <v>Serie Glory</v>
      </c>
      <c r="I2666" s="3" t="s">
        <v>1765</v>
      </c>
      <c r="J2666" s="3" t="str">
        <f>IF(I2666="","",IFERROR(VLOOKUP(I2666,Base_Datos!$D$2:$E$72,2,0),""))</f>
        <v>(1.5L)</v>
      </c>
      <c r="K2666" s="3" t="s">
        <v>1801</v>
      </c>
      <c r="L2666" s="3"/>
      <c r="M2666" s="7">
        <v>0</v>
      </c>
      <c r="N2666" s="7">
        <v>0</v>
      </c>
    </row>
    <row r="2667" spans="1:14" ht="14.25" x14ac:dyDescent="0.2">
      <c r="A2667" s="3">
        <v>99746</v>
      </c>
      <c r="B2667" s="3" t="s">
        <v>4638</v>
      </c>
      <c r="C2667" s="3" t="s">
        <v>27</v>
      </c>
      <c r="D2667" s="6" t="s">
        <v>1178</v>
      </c>
      <c r="E2667" s="6" t="s">
        <v>1178</v>
      </c>
      <c r="F2667" s="3" t="str">
        <f>IFERROR( VLOOKUP(A2667,#REF!,2,0),"")</f>
        <v/>
      </c>
      <c r="G2667" s="3" t="str">
        <f t="array" ref="G2667">_xlfn.XLOOKUP(I2667,Base_Datos!D:D,Base_Datos!B:B,"")</f>
        <v>DFSK</v>
      </c>
      <c r="H2667" s="3" t="str">
        <f t="array" ref="H2667">IF(I2667="","",IFERROR(_xlfn.XLOOKUP(I2667,Base_Datos!$D$2:$D3876,Base_Datos!$C$2:$C3876),""))</f>
        <v>Serie D</v>
      </c>
      <c r="I2667" s="3" t="s">
        <v>145</v>
      </c>
      <c r="J2667" s="3" t="str">
        <f>IF(I2667="","",IFERROR(VLOOKUP(I2667,Base_Datos!$D$2:$E$72,2,0),""))</f>
        <v>(2.4L)</v>
      </c>
      <c r="K2667" s="3" t="s">
        <v>2439</v>
      </c>
      <c r="L2667" s="3"/>
      <c r="M2667" s="7">
        <v>0</v>
      </c>
      <c r="N2667" s="7">
        <v>0</v>
      </c>
    </row>
    <row r="2668" spans="1:14" ht="14.25" x14ac:dyDescent="0.2">
      <c r="A2668" s="3">
        <v>99747</v>
      </c>
      <c r="B2668" s="3" t="s">
        <v>4639</v>
      </c>
      <c r="C2668" s="3" t="s">
        <v>27</v>
      </c>
      <c r="D2668" s="6" t="s">
        <v>1178</v>
      </c>
      <c r="E2668" s="6" t="s">
        <v>1178</v>
      </c>
      <c r="F2668" s="3" t="str">
        <f>IFERROR( VLOOKUP(A2668,#REF!,2,0),"")</f>
        <v/>
      </c>
      <c r="G2668" s="3" t="str">
        <f t="array" ref="G2668">_xlfn.XLOOKUP(I2668,Base_Datos!D:D,Base_Datos!B:B,"")</f>
        <v>DFSK</v>
      </c>
      <c r="H2668" s="3" t="str">
        <f t="array" ref="H2668">IF(I2668="","",IFERROR(_xlfn.XLOOKUP(I2668,Base_Datos!$D$2:$D3876,Base_Datos!$C$2:$C3876),""))</f>
        <v>Serie K</v>
      </c>
      <c r="I2668" s="3" t="s">
        <v>475</v>
      </c>
      <c r="J2668" s="3" t="str">
        <f>IF(I2668="","",IFERROR(VLOOKUP(I2668,Base_Datos!$D$2:$E$72,2,0),""))</f>
        <v>(1.1L)</v>
      </c>
      <c r="K2668" s="3" t="s">
        <v>1817</v>
      </c>
      <c r="L2668" s="3"/>
      <c r="M2668" s="7">
        <v>0</v>
      </c>
      <c r="N2668" s="7">
        <v>0</v>
      </c>
    </row>
    <row r="2669" spans="1:14" ht="14.25" x14ac:dyDescent="0.2">
      <c r="A2669" s="3">
        <v>99748</v>
      </c>
      <c r="B2669" s="3" t="s">
        <v>4640</v>
      </c>
      <c r="C2669" s="3" t="s">
        <v>27</v>
      </c>
      <c r="D2669" s="6" t="s">
        <v>4641</v>
      </c>
      <c r="E2669" s="6" t="s">
        <v>4641</v>
      </c>
      <c r="F2669" s="3" t="str">
        <f>IFERROR( VLOOKUP(A2669,#REF!,2,0),"")</f>
        <v/>
      </c>
      <c r="G2669" s="3" t="str">
        <f t="array" ref="G2669">_xlfn.XLOOKUP(I2669,Base_Datos!D:D,Base_Datos!B:B,"")</f>
        <v>DFSK</v>
      </c>
      <c r="H2669" s="3" t="str">
        <f t="array" ref="H2669">IF(I2669="","",IFERROR(_xlfn.XLOOKUP(I2669,Base_Datos!$D$2:$D3876,Base_Datos!$C$2:$C3876),""))</f>
        <v>Serie K</v>
      </c>
      <c r="I2669" s="3" t="s">
        <v>475</v>
      </c>
      <c r="J2669" s="3" t="str">
        <f>IF(I2669="","",IFERROR(VLOOKUP(I2669,Base_Datos!$D$2:$E$72,2,0),""))</f>
        <v>(1.1L)</v>
      </c>
      <c r="K2669" s="3" t="s">
        <v>1817</v>
      </c>
      <c r="L2669" s="3"/>
      <c r="M2669" s="7">
        <v>0</v>
      </c>
      <c r="N2669" s="7">
        <v>0</v>
      </c>
    </row>
    <row r="2670" spans="1:14" ht="14.25" x14ac:dyDescent="0.2">
      <c r="A2670" s="3">
        <v>99749</v>
      </c>
      <c r="B2670" s="3" t="s">
        <v>4642</v>
      </c>
      <c r="C2670" s="3" t="s">
        <v>27</v>
      </c>
      <c r="D2670" s="6" t="s">
        <v>4641</v>
      </c>
      <c r="E2670" s="6" t="s">
        <v>4641</v>
      </c>
      <c r="F2670" s="3" t="str">
        <f>IFERROR( VLOOKUP(A2670,#REF!,2,0),"")</f>
        <v/>
      </c>
      <c r="G2670" s="3" t="str">
        <f t="array" ref="G2670">_xlfn.XLOOKUP(I2670,Base_Datos!D:D,Base_Datos!B:B,"")</f>
        <v>DFSK</v>
      </c>
      <c r="H2670" s="3" t="str">
        <f t="array" ref="H2670">IF(I2670="","",IFERROR(_xlfn.XLOOKUP(I2670,Base_Datos!$D$2:$D3876,Base_Datos!$C$2:$C3876),""))</f>
        <v>Serie K</v>
      </c>
      <c r="I2670" s="3" t="s">
        <v>475</v>
      </c>
      <c r="J2670" s="3" t="str">
        <f>IF(I2670="","",IFERROR(VLOOKUP(I2670,Base_Datos!$D$2:$E$72,2,0),""))</f>
        <v>(1.1L)</v>
      </c>
      <c r="K2670" s="3" t="s">
        <v>1817</v>
      </c>
      <c r="L2670" s="3"/>
      <c r="M2670" s="7">
        <v>0</v>
      </c>
      <c r="N2670" s="7">
        <v>0</v>
      </c>
    </row>
    <row r="2671" spans="1:14" ht="14.25" x14ac:dyDescent="0.2">
      <c r="A2671" s="3">
        <v>99750</v>
      </c>
      <c r="B2671" s="3" t="s">
        <v>4643</v>
      </c>
      <c r="C2671" s="3" t="s">
        <v>27</v>
      </c>
      <c r="D2671" s="6" t="s">
        <v>2657</v>
      </c>
      <c r="E2671" s="6" t="s">
        <v>2657</v>
      </c>
      <c r="F2671" s="3" t="str">
        <f>IFERROR( VLOOKUP(A2671,#REF!,2,0),"")</f>
        <v/>
      </c>
      <c r="G2671" s="3" t="str">
        <f t="array" ref="G2671">_xlfn.XLOOKUP(I2671,Base_Datos!D:D,Base_Datos!B:B,"")</f>
        <v>DFSK</v>
      </c>
      <c r="H2671" s="3" t="str">
        <f t="array" ref="H2671">IF(I2671="","",IFERROR(_xlfn.XLOOKUP(I2671,Base_Datos!$D$2:$D3876,Base_Datos!$C$2:$C3876),""))</f>
        <v>Serie K</v>
      </c>
      <c r="I2671" s="3" t="s">
        <v>475</v>
      </c>
      <c r="J2671" s="3" t="str">
        <f>IF(I2671="","",IFERROR(VLOOKUP(I2671,Base_Datos!$D$2:$E$72,2,0),""))</f>
        <v>(1.1L)</v>
      </c>
      <c r="K2671" s="3" t="s">
        <v>1817</v>
      </c>
      <c r="L2671" s="3"/>
      <c r="M2671" s="7">
        <v>0</v>
      </c>
      <c r="N2671" s="7">
        <v>0</v>
      </c>
    </row>
    <row r="2672" spans="1:14" ht="14.25" x14ac:dyDescent="0.2">
      <c r="A2672" s="3">
        <v>99751</v>
      </c>
      <c r="B2672" s="3" t="s">
        <v>2590</v>
      </c>
      <c r="C2672" s="3" t="s">
        <v>27</v>
      </c>
      <c r="D2672" s="6" t="s">
        <v>1178</v>
      </c>
      <c r="E2672" s="6" t="s">
        <v>1178</v>
      </c>
      <c r="F2672" s="3" t="str">
        <f>IFERROR( VLOOKUP(A2672,#REF!,2,0),"")</f>
        <v/>
      </c>
      <c r="G2672" s="3" t="str">
        <f t="array" ref="G2672">_xlfn.XLOOKUP(I2672,Base_Datos!D:D,Base_Datos!B:B,"")</f>
        <v>DFSK</v>
      </c>
      <c r="H2672" s="3" t="str">
        <f t="array" ref="H2672">IF(I2672="","",IFERROR(_xlfn.XLOOKUP(I2672,Base_Datos!$D$2:$D3876,Base_Datos!$C$2:$C3876),""))</f>
        <v>Serie K</v>
      </c>
      <c r="I2672" s="3" t="s">
        <v>475</v>
      </c>
      <c r="J2672" s="3" t="str">
        <f>IF(I2672="","",IFERROR(VLOOKUP(I2672,Base_Datos!$D$2:$E$72,2,0),""))</f>
        <v>(1.1L)</v>
      </c>
      <c r="K2672" s="3" t="s">
        <v>1817</v>
      </c>
      <c r="L2672" s="3"/>
      <c r="M2672" s="7">
        <v>0</v>
      </c>
      <c r="N2672" s="7">
        <v>0</v>
      </c>
    </row>
    <row r="2673" spans="1:14" ht="14.25" x14ac:dyDescent="0.2">
      <c r="A2673" s="3">
        <v>99752</v>
      </c>
      <c r="B2673" s="3" t="s">
        <v>4395</v>
      </c>
      <c r="C2673" s="3" t="s">
        <v>27</v>
      </c>
      <c r="D2673" s="6" t="s">
        <v>1178</v>
      </c>
      <c r="E2673" s="6" t="s">
        <v>1178</v>
      </c>
      <c r="F2673" s="3" t="str">
        <f>IFERROR( VLOOKUP(A2673,#REF!,2,0),"")</f>
        <v/>
      </c>
      <c r="G2673" s="3" t="str">
        <f t="array" ref="G2673">_xlfn.XLOOKUP(I2673,Base_Datos!D:D,Base_Datos!B:B,"")</f>
        <v>DFSK</v>
      </c>
      <c r="H2673" s="3" t="str">
        <f t="array" ref="H2673">IF(I2673="","",IFERROR(_xlfn.XLOOKUP(I2673,Base_Datos!$D$2:$D3876,Base_Datos!$C$2:$C3876),""))</f>
        <v>Serie K</v>
      </c>
      <c r="I2673" s="3" t="s">
        <v>475</v>
      </c>
      <c r="J2673" s="3" t="str">
        <f>IF(I2673="","",IFERROR(VLOOKUP(I2673,Base_Datos!$D$2:$E$72,2,0),""))</f>
        <v>(1.1L)</v>
      </c>
      <c r="K2673" s="3" t="s">
        <v>1817</v>
      </c>
      <c r="L2673" s="3"/>
      <c r="M2673" s="7">
        <v>0</v>
      </c>
      <c r="N2673" s="7">
        <v>0</v>
      </c>
    </row>
    <row r="2674" spans="1:14" ht="14.25" x14ac:dyDescent="0.2">
      <c r="A2674" s="3">
        <v>99753</v>
      </c>
      <c r="B2674" s="3" t="s">
        <v>4644</v>
      </c>
      <c r="C2674" s="3" t="s">
        <v>27</v>
      </c>
      <c r="D2674" s="6" t="s">
        <v>1782</v>
      </c>
      <c r="E2674" s="6" t="s">
        <v>1782</v>
      </c>
      <c r="F2674" s="3" t="str">
        <f>IFERROR( VLOOKUP(A2674,#REF!,2,0),"")</f>
        <v/>
      </c>
      <c r="G2674" s="3" t="str">
        <f t="array" ref="G2674">_xlfn.XLOOKUP(I2674,Base_Datos!D:D,Base_Datos!B:B,"")</f>
        <v>DFSK</v>
      </c>
      <c r="H2674" s="3" t="str">
        <f t="array" ref="H2674">IF(I2674="","",IFERROR(_xlfn.XLOOKUP(I2674,Base_Datos!$D$2:$D3876,Base_Datos!$C$2:$C3876),""))</f>
        <v>Serie Glory</v>
      </c>
      <c r="I2674" s="3" t="s">
        <v>1765</v>
      </c>
      <c r="J2674" s="3" t="str">
        <f>IF(I2674="","",IFERROR(VLOOKUP(I2674,Base_Datos!$D$2:$E$72,2,0),""))</f>
        <v>(1.5L)</v>
      </c>
      <c r="K2674" s="3"/>
      <c r="L2674" s="3"/>
      <c r="M2674" s="7">
        <v>0</v>
      </c>
      <c r="N2674" s="7">
        <v>0</v>
      </c>
    </row>
    <row r="2675" spans="1:14" ht="14.25" x14ac:dyDescent="0.2">
      <c r="A2675" s="3">
        <v>99754</v>
      </c>
      <c r="B2675" s="3" t="s">
        <v>2629</v>
      </c>
      <c r="C2675" s="3" t="s">
        <v>18</v>
      </c>
      <c r="D2675" s="6" t="s">
        <v>2630</v>
      </c>
      <c r="E2675" s="6" t="s">
        <v>2630</v>
      </c>
      <c r="F2675" s="3" t="str">
        <f>IFERROR( VLOOKUP(A2675,#REF!,2,0),"")</f>
        <v/>
      </c>
      <c r="G2675" s="3" t="str">
        <f t="array" ref="G2675">_xlfn.XLOOKUP(I2675,Base_Datos!D:D,Base_Datos!B:B,"")</f>
        <v>DFSK</v>
      </c>
      <c r="H2675" s="3" t="str">
        <f t="array" ref="H2675">IF(I2675="","",IFERROR(_xlfn.XLOOKUP(I2675,Base_Datos!$D$2:$D3876,Base_Datos!$C$2:$C3876),""))</f>
        <v>Serie D</v>
      </c>
      <c r="I2675" s="3" t="s">
        <v>973</v>
      </c>
      <c r="J2675" s="3" t="str">
        <f>IF(I2675="","",IFERROR(VLOOKUP(I2675,Base_Datos!$D$2:$E$72,2,0),""))</f>
        <v>(1.5L)</v>
      </c>
      <c r="K2675" s="3"/>
      <c r="L2675" s="3"/>
      <c r="M2675" s="7">
        <v>0</v>
      </c>
      <c r="N2675" s="7">
        <v>0</v>
      </c>
    </row>
    <row r="2676" spans="1:14" ht="14.25" x14ac:dyDescent="0.2">
      <c r="A2676" s="3">
        <v>99755</v>
      </c>
      <c r="B2676" s="3" t="s">
        <v>4645</v>
      </c>
      <c r="C2676" s="3" t="s">
        <v>27</v>
      </c>
      <c r="D2676" s="6" t="s">
        <v>1178</v>
      </c>
      <c r="E2676" s="6" t="s">
        <v>1178</v>
      </c>
      <c r="F2676" s="3" t="str">
        <f>IFERROR( VLOOKUP(A2676,#REF!,2,0),"")</f>
        <v/>
      </c>
      <c r="G2676" s="3" t="str">
        <f t="array" ref="G2676">_xlfn.XLOOKUP(I2676,Base_Datos!D:D,Base_Datos!B:B,"")</f>
        <v>DFSK</v>
      </c>
      <c r="H2676" s="3" t="str">
        <f t="array" ref="H2676">IF(I2676="","",IFERROR(_xlfn.XLOOKUP(I2676,Base_Datos!$D$2:$D3876,Base_Datos!$C$2:$C3876),""))</f>
        <v>Serie Glory</v>
      </c>
      <c r="I2676" s="3" t="s">
        <v>1765</v>
      </c>
      <c r="J2676" s="3" t="str">
        <f>IF(I2676="","",IFERROR(VLOOKUP(I2676,Base_Datos!$D$2:$E$72,2,0),""))</f>
        <v>(1.5L)</v>
      </c>
      <c r="K2676" s="3" t="s">
        <v>1801</v>
      </c>
      <c r="L2676" s="3"/>
      <c r="M2676" s="7">
        <v>0</v>
      </c>
      <c r="N2676" s="7">
        <v>0</v>
      </c>
    </row>
    <row r="2677" spans="1:14" ht="14.25" x14ac:dyDescent="0.2">
      <c r="A2677" s="3">
        <v>99756</v>
      </c>
      <c r="B2677" s="3" t="s">
        <v>4646</v>
      </c>
      <c r="C2677" s="3" t="s">
        <v>27</v>
      </c>
      <c r="D2677" s="6" t="s">
        <v>1782</v>
      </c>
      <c r="E2677" s="6" t="s">
        <v>1782</v>
      </c>
      <c r="F2677" s="3" t="str">
        <f>IFERROR( VLOOKUP(A2677,#REF!,2,0),"")</f>
        <v/>
      </c>
      <c r="G2677" s="3" t="str">
        <f t="array" ref="G2677">_xlfn.XLOOKUP(I2677,Base_Datos!D:D,Base_Datos!B:B,"")</f>
        <v>DFSK</v>
      </c>
      <c r="H2677" s="3" t="str">
        <f t="array" ref="H2677">IF(I2677="","",IFERROR(_xlfn.XLOOKUP(I2677,Base_Datos!$D$2:$D3876,Base_Datos!$C$2:$C3876),""))</f>
        <v>Serie Glory</v>
      </c>
      <c r="I2677" s="3" t="s">
        <v>1765</v>
      </c>
      <c r="J2677" s="3" t="str">
        <f>IF(I2677="","",IFERROR(VLOOKUP(I2677,Base_Datos!$D$2:$E$72,2,0),""))</f>
        <v>(1.5L)</v>
      </c>
      <c r="K2677" s="3"/>
      <c r="L2677" s="3"/>
      <c r="M2677" s="7">
        <v>0</v>
      </c>
      <c r="N2677" s="7">
        <v>0</v>
      </c>
    </row>
    <row r="2678" spans="1:14" ht="14.25" x14ac:dyDescent="0.2">
      <c r="A2678" s="3">
        <v>99757</v>
      </c>
      <c r="B2678" s="3" t="s">
        <v>4647</v>
      </c>
      <c r="C2678" s="3" t="s">
        <v>27</v>
      </c>
      <c r="D2678" s="6" t="s">
        <v>1782</v>
      </c>
      <c r="E2678" s="6" t="s">
        <v>1782</v>
      </c>
      <c r="F2678" s="3" t="str">
        <f>IFERROR( VLOOKUP(A2678,#REF!,2,0),"")</f>
        <v/>
      </c>
      <c r="G2678" s="3" t="str">
        <f t="array" ref="G2678">_xlfn.XLOOKUP(I2678,Base_Datos!D:D,Base_Datos!B:B,"")</f>
        <v>DFSK</v>
      </c>
      <c r="H2678" s="3" t="str">
        <f t="array" ref="H2678">IF(I2678="","",IFERROR(_xlfn.XLOOKUP(I2678,Base_Datos!$D$2:$D3876,Base_Datos!$C$2:$C3876),""))</f>
        <v>Serie Glory</v>
      </c>
      <c r="I2678" s="3" t="s">
        <v>1765</v>
      </c>
      <c r="J2678" s="3" t="str">
        <f>IF(I2678="","",IFERROR(VLOOKUP(I2678,Base_Datos!$D$2:$E$72,2,0),""))</f>
        <v>(1.5L)</v>
      </c>
      <c r="K2678" s="3"/>
      <c r="L2678" s="3"/>
      <c r="M2678" s="7">
        <v>0</v>
      </c>
      <c r="N2678" s="7">
        <v>0</v>
      </c>
    </row>
    <row r="2679" spans="1:14" ht="14.25" x14ac:dyDescent="0.2">
      <c r="A2679" s="3">
        <v>99758</v>
      </c>
      <c r="B2679" s="3" t="s">
        <v>4648</v>
      </c>
      <c r="C2679" s="3" t="s">
        <v>27</v>
      </c>
      <c r="D2679" s="6" t="s">
        <v>1782</v>
      </c>
      <c r="E2679" s="6" t="s">
        <v>1782</v>
      </c>
      <c r="F2679" s="3" t="str">
        <f>IFERROR( VLOOKUP(A2679,#REF!,2,0),"")</f>
        <v/>
      </c>
      <c r="G2679" s="3" t="str">
        <f t="array" ref="G2679">_xlfn.XLOOKUP(I2679,Base_Datos!D:D,Base_Datos!B:B,"")</f>
        <v>DFSK</v>
      </c>
      <c r="H2679" s="3" t="str">
        <f t="array" ref="H2679">IF(I2679="","",IFERROR(_xlfn.XLOOKUP(I2679,Base_Datos!$D$2:$D3876,Base_Datos!$C$2:$C3876),""))</f>
        <v>Serie Glory</v>
      </c>
      <c r="I2679" s="3" t="s">
        <v>1765</v>
      </c>
      <c r="J2679" s="3" t="str">
        <f>IF(I2679="","",IFERROR(VLOOKUP(I2679,Base_Datos!$D$2:$E$72,2,0),""))</f>
        <v>(1.5L)</v>
      </c>
      <c r="K2679" s="3"/>
      <c r="L2679" s="3"/>
      <c r="M2679" s="7">
        <v>0</v>
      </c>
      <c r="N2679" s="7">
        <v>0</v>
      </c>
    </row>
    <row r="2680" spans="1:14" ht="14.25" x14ac:dyDescent="0.2">
      <c r="A2680" s="3">
        <v>99759</v>
      </c>
      <c r="B2680" s="3" t="s">
        <v>4649</v>
      </c>
      <c r="C2680" s="3" t="s">
        <v>27</v>
      </c>
      <c r="D2680" s="6" t="s">
        <v>936</v>
      </c>
      <c r="E2680" s="6" t="s">
        <v>936</v>
      </c>
      <c r="F2680" s="3" t="str">
        <f>IFERROR( VLOOKUP(A2680,#REF!,2,0),"")</f>
        <v/>
      </c>
      <c r="G2680" s="3" t="str">
        <f t="array" ref="G2680">_xlfn.XLOOKUP(I2680,Base_Datos!D:D,Base_Datos!B:B,"")</f>
        <v>DFSK</v>
      </c>
      <c r="H2680" s="3" t="str">
        <f t="array" ref="H2680">IF(I2680="","",IFERROR(_xlfn.XLOOKUP(I2680,Base_Datos!$D$2:$D3876,Base_Datos!$C$2:$C3876),""))</f>
        <v>Serie C</v>
      </c>
      <c r="I2680" s="3" t="s">
        <v>332</v>
      </c>
      <c r="J2680" s="3" t="str">
        <f>IF(I2680="","",IFERROR(VLOOKUP(I2680,Base_Datos!$D$2:$E$72,2,0),""))</f>
        <v>(1.5L)</v>
      </c>
      <c r="K2680" s="3"/>
      <c r="L2680" s="3"/>
      <c r="M2680" s="7">
        <v>0</v>
      </c>
      <c r="N2680" s="7">
        <v>0</v>
      </c>
    </row>
    <row r="2681" spans="1:14" ht="14.25" x14ac:dyDescent="0.2">
      <c r="A2681" s="3">
        <v>99760</v>
      </c>
      <c r="B2681" s="3" t="s">
        <v>4650</v>
      </c>
      <c r="C2681" s="3" t="s">
        <v>27</v>
      </c>
      <c r="D2681" s="6" t="s">
        <v>937</v>
      </c>
      <c r="E2681" s="6" t="s">
        <v>937</v>
      </c>
      <c r="F2681" s="3" t="str">
        <f>IFERROR( VLOOKUP(A2681,#REF!,2,0),"")</f>
        <v/>
      </c>
      <c r="G2681" s="3" t="str">
        <f t="array" ref="G2681">_xlfn.XLOOKUP(I2681,Base_Datos!D:D,Base_Datos!B:B,"")</f>
        <v>DFSK</v>
      </c>
      <c r="H2681" s="3" t="str">
        <f t="array" ref="H2681">IF(I2681="","",IFERROR(_xlfn.XLOOKUP(I2681,Base_Datos!$D$2:$D3876,Base_Datos!$C$2:$C3876),""))</f>
        <v>Serie Glory</v>
      </c>
      <c r="I2681" s="3" t="s">
        <v>1765</v>
      </c>
      <c r="J2681" s="3" t="str">
        <f>IF(I2681="","",IFERROR(VLOOKUP(I2681,Base_Datos!$D$2:$E$72,2,0),""))</f>
        <v>(1.5L)</v>
      </c>
      <c r="K2681" s="3" t="s">
        <v>1801</v>
      </c>
      <c r="L2681" s="3"/>
      <c r="M2681" s="7">
        <v>0</v>
      </c>
      <c r="N2681" s="7">
        <v>0</v>
      </c>
    </row>
    <row r="2682" spans="1:14" ht="14.25" x14ac:dyDescent="0.2">
      <c r="A2682" s="3">
        <v>99761</v>
      </c>
      <c r="B2682" s="3" t="s">
        <v>4651</v>
      </c>
      <c r="C2682" s="3" t="s">
        <v>27</v>
      </c>
      <c r="D2682" s="6" t="s">
        <v>1782</v>
      </c>
      <c r="E2682" s="6" t="s">
        <v>1782</v>
      </c>
      <c r="F2682" s="3" t="str">
        <f>IFERROR( VLOOKUP(A2682,#REF!,2,0),"")</f>
        <v/>
      </c>
      <c r="G2682" s="3" t="str">
        <f t="array" ref="G2682">_xlfn.XLOOKUP(I2682,Base_Datos!D:D,Base_Datos!B:B,"")</f>
        <v>DFSK</v>
      </c>
      <c r="H2682" s="3" t="str">
        <f t="array" ref="H2682">IF(I2682="","",IFERROR(_xlfn.XLOOKUP(I2682,Base_Datos!$D$2:$D3876,Base_Datos!$C$2:$C3876),""))</f>
        <v>Serie D</v>
      </c>
      <c r="I2682" s="3" t="s">
        <v>145</v>
      </c>
      <c r="J2682" s="3" t="str">
        <f>IF(I2682="","",IFERROR(VLOOKUP(I2682,Base_Datos!$D$2:$E$72,2,0),""))</f>
        <v>(2.4L)</v>
      </c>
      <c r="K2682" s="3"/>
      <c r="L2682" s="3"/>
      <c r="M2682" s="7">
        <v>0</v>
      </c>
      <c r="N2682" s="7">
        <v>0</v>
      </c>
    </row>
    <row r="2683" spans="1:14" ht="14.25" x14ac:dyDescent="0.2">
      <c r="A2683" s="3">
        <v>99762</v>
      </c>
      <c r="B2683" s="3" t="s">
        <v>4609</v>
      </c>
      <c r="C2683" s="3" t="s">
        <v>27</v>
      </c>
      <c r="D2683" s="6" t="s">
        <v>1782</v>
      </c>
      <c r="E2683" s="6" t="s">
        <v>1782</v>
      </c>
      <c r="F2683" s="3" t="str">
        <f>IFERROR( VLOOKUP(A2683,#REF!,2,0),"")</f>
        <v/>
      </c>
      <c r="G2683" s="3" t="str">
        <f t="array" ref="G2683">_xlfn.XLOOKUP(I2683,Base_Datos!D:D,Base_Datos!B:B,"")</f>
        <v>DFSK</v>
      </c>
      <c r="H2683" s="3" t="str">
        <f t="array" ref="H2683">IF(I2683="","",IFERROR(_xlfn.XLOOKUP(I2683,Base_Datos!$D$2:$D3876,Base_Datos!$C$2:$C3876),""))</f>
        <v>Serie D</v>
      </c>
      <c r="I2683" s="3" t="s">
        <v>145</v>
      </c>
      <c r="J2683" s="3" t="str">
        <f>IF(I2683="","",IFERROR(VLOOKUP(I2683,Base_Datos!$D$2:$E$72,2,0),""))</f>
        <v>(2.4L)</v>
      </c>
      <c r="K2683" s="3"/>
      <c r="L2683" s="3"/>
      <c r="M2683" s="7">
        <v>0</v>
      </c>
      <c r="N2683" s="7">
        <v>0</v>
      </c>
    </row>
    <row r="2684" spans="1:14" ht="14.25" x14ac:dyDescent="0.2">
      <c r="A2684" s="3">
        <v>99763</v>
      </c>
      <c r="B2684" s="3" t="s">
        <v>4652</v>
      </c>
      <c r="C2684" s="3" t="s">
        <v>27</v>
      </c>
      <c r="D2684" s="6" t="s">
        <v>1782</v>
      </c>
      <c r="E2684" s="6" t="s">
        <v>1782</v>
      </c>
      <c r="F2684" s="3" t="str">
        <f>IFERROR( VLOOKUP(A2684,#REF!,2,0),"")</f>
        <v/>
      </c>
      <c r="G2684" s="3" t="str">
        <f t="array" ref="G2684">_xlfn.XLOOKUP(I2684,Base_Datos!D:D,Base_Datos!B:B,"")</f>
        <v>DFSK</v>
      </c>
      <c r="H2684" s="3" t="str">
        <f t="array" ref="H2684">IF(I2684="","",IFERROR(_xlfn.XLOOKUP(I2684,Base_Datos!$D$2:$D3876,Base_Datos!$C$2:$C3876),""))</f>
        <v>Serie D</v>
      </c>
      <c r="I2684" s="3" t="s">
        <v>145</v>
      </c>
      <c r="J2684" s="3" t="str">
        <f>IF(I2684="","",IFERROR(VLOOKUP(I2684,Base_Datos!$D$2:$E$72,2,0),""))</f>
        <v>(2.4L)</v>
      </c>
      <c r="K2684" s="3"/>
      <c r="L2684" s="3"/>
      <c r="M2684" s="7">
        <v>0</v>
      </c>
      <c r="N2684" s="7">
        <v>0</v>
      </c>
    </row>
    <row r="2685" spans="1:14" ht="14.25" x14ac:dyDescent="0.2">
      <c r="A2685" s="3">
        <v>99764</v>
      </c>
      <c r="B2685" s="3" t="s">
        <v>4653</v>
      </c>
      <c r="C2685" s="3" t="s">
        <v>27</v>
      </c>
      <c r="D2685" s="6" t="s">
        <v>1782</v>
      </c>
      <c r="E2685" s="6" t="s">
        <v>1782</v>
      </c>
      <c r="F2685" s="3" t="str">
        <f>IFERROR( VLOOKUP(A2685,#REF!,2,0),"")</f>
        <v/>
      </c>
      <c r="G2685" s="3" t="str">
        <f t="array" ref="G2685">_xlfn.XLOOKUP(I2685,Base_Datos!D:D,Base_Datos!B:B,"")</f>
        <v>DFSK</v>
      </c>
      <c r="H2685" s="3" t="str">
        <f t="array" ref="H2685">IF(I2685="","",IFERROR(_xlfn.XLOOKUP(I2685,Base_Datos!$D$2:$D3876,Base_Datos!$C$2:$C3876),""))</f>
        <v>Serie D</v>
      </c>
      <c r="I2685" s="3" t="s">
        <v>145</v>
      </c>
      <c r="J2685" s="3" t="str">
        <f>IF(I2685="","",IFERROR(VLOOKUP(I2685,Base_Datos!$D$2:$E$72,2,0),""))</f>
        <v>(2.4L)</v>
      </c>
      <c r="K2685" s="3"/>
      <c r="L2685" s="3"/>
      <c r="M2685" s="7">
        <v>0</v>
      </c>
      <c r="N2685" s="7">
        <v>0</v>
      </c>
    </row>
    <row r="2686" spans="1:14" ht="14.25" x14ac:dyDescent="0.2">
      <c r="A2686" s="3">
        <v>99765</v>
      </c>
      <c r="B2686" s="3" t="s">
        <v>4654</v>
      </c>
      <c r="C2686" s="3" t="s">
        <v>27</v>
      </c>
      <c r="D2686" s="6" t="s">
        <v>1782</v>
      </c>
      <c r="E2686" s="6" t="s">
        <v>1782</v>
      </c>
      <c r="F2686" s="3" t="str">
        <f>IFERROR( VLOOKUP(A2686,#REF!,2,0),"")</f>
        <v/>
      </c>
      <c r="G2686" s="3" t="str">
        <f t="array" ref="G2686">_xlfn.XLOOKUP(I2686,Base_Datos!D:D,Base_Datos!B:B,"")</f>
        <v>DFSK</v>
      </c>
      <c r="H2686" s="3" t="str">
        <f t="array" ref="H2686">IF(I2686="","",IFERROR(_xlfn.XLOOKUP(I2686,Base_Datos!$D$2:$D3876,Base_Datos!$C$2:$C3876),""))</f>
        <v>Serie D</v>
      </c>
      <c r="I2686" s="3" t="s">
        <v>145</v>
      </c>
      <c r="J2686" s="3" t="str">
        <f>IF(I2686="","",IFERROR(VLOOKUP(I2686,Base_Datos!$D$2:$E$72,2,0),""))</f>
        <v>(2.4L)</v>
      </c>
      <c r="K2686" s="3"/>
      <c r="L2686" s="3"/>
      <c r="M2686" s="7">
        <v>0</v>
      </c>
      <c r="N2686" s="7">
        <v>0</v>
      </c>
    </row>
    <row r="2687" spans="1:14" ht="14.25" x14ac:dyDescent="0.2">
      <c r="A2687" s="3">
        <v>99766</v>
      </c>
      <c r="B2687" s="3" t="s">
        <v>1870</v>
      </c>
      <c r="C2687" s="3" t="s">
        <v>27</v>
      </c>
      <c r="D2687" s="6" t="s">
        <v>1782</v>
      </c>
      <c r="E2687" s="6" t="s">
        <v>1782</v>
      </c>
      <c r="F2687" s="3" t="str">
        <f>IFERROR( VLOOKUP(A2687,#REF!,2,0),"")</f>
        <v/>
      </c>
      <c r="G2687" s="3" t="str">
        <f t="array" ref="G2687">_xlfn.XLOOKUP(I2687,Base_Datos!D:D,Base_Datos!B:B,"")</f>
        <v>DFSK</v>
      </c>
      <c r="H2687" s="3" t="str">
        <f t="array" ref="H2687">IF(I2687="","",IFERROR(_xlfn.XLOOKUP(I2687,Base_Datos!$D$2:$D3876,Base_Datos!$C$2:$C3876),""))</f>
        <v>Serie D</v>
      </c>
      <c r="I2687" s="3" t="s">
        <v>145</v>
      </c>
      <c r="J2687" s="3" t="str">
        <f>IF(I2687="","",IFERROR(VLOOKUP(I2687,Base_Datos!$D$2:$E$72,2,0),""))</f>
        <v>(2.4L)</v>
      </c>
      <c r="K2687" s="3"/>
      <c r="L2687" s="3"/>
      <c r="M2687" s="7">
        <v>0</v>
      </c>
      <c r="N2687" s="7">
        <v>0</v>
      </c>
    </row>
    <row r="2688" spans="1:14" ht="14.25" x14ac:dyDescent="0.2">
      <c r="A2688" s="3">
        <v>99767</v>
      </c>
      <c r="B2688" s="3" t="s">
        <v>3148</v>
      </c>
      <c r="C2688" s="3" t="s">
        <v>27</v>
      </c>
      <c r="D2688" s="6" t="s">
        <v>1782</v>
      </c>
      <c r="E2688" s="6" t="s">
        <v>1782</v>
      </c>
      <c r="F2688" s="3" t="str">
        <f>IFERROR( VLOOKUP(A2688,#REF!,2,0),"")</f>
        <v/>
      </c>
      <c r="G2688" s="3" t="str">
        <f t="array" ref="G2688">_xlfn.XLOOKUP(I2688,Base_Datos!D:D,Base_Datos!B:B,"")</f>
        <v>DFSK</v>
      </c>
      <c r="H2688" s="3" t="str">
        <f t="array" ref="H2688">IF(I2688="","",IFERROR(_xlfn.XLOOKUP(I2688,Base_Datos!$D$2:$D3876,Base_Datos!$C$2:$C3876),""))</f>
        <v>Serie D</v>
      </c>
      <c r="I2688" s="3" t="s">
        <v>145</v>
      </c>
      <c r="J2688" s="3" t="str">
        <f>IF(I2688="","",IFERROR(VLOOKUP(I2688,Base_Datos!$D$2:$E$72,2,0),""))</f>
        <v>(2.4L)</v>
      </c>
      <c r="K2688" s="3"/>
      <c r="L2688" s="3"/>
      <c r="M2688" s="7">
        <v>0</v>
      </c>
      <c r="N2688" s="7">
        <v>0</v>
      </c>
    </row>
    <row r="2689" spans="1:14" ht="14.25" x14ac:dyDescent="0.2">
      <c r="A2689" s="3">
        <v>99768</v>
      </c>
      <c r="B2689" s="3" t="s">
        <v>4655</v>
      </c>
      <c r="C2689" s="3" t="s">
        <v>27</v>
      </c>
      <c r="D2689" s="6" t="s">
        <v>1782</v>
      </c>
      <c r="E2689" s="6" t="s">
        <v>1782</v>
      </c>
      <c r="F2689" s="3" t="str">
        <f>IFERROR( VLOOKUP(A2689,#REF!,2,0),"")</f>
        <v/>
      </c>
      <c r="G2689" s="3" t="str">
        <f t="array" ref="G2689">_xlfn.XLOOKUP(I2689,Base_Datos!D:D,Base_Datos!B:B,"")</f>
        <v>DFSK</v>
      </c>
      <c r="H2689" s="3" t="str">
        <f t="array" ref="H2689">IF(I2689="","",IFERROR(_xlfn.XLOOKUP(I2689,Base_Datos!$D$2:$D3876,Base_Datos!$C$2:$C3876),""))</f>
        <v>Serie D</v>
      </c>
      <c r="I2689" s="3" t="s">
        <v>145</v>
      </c>
      <c r="J2689" s="3" t="str">
        <f>IF(I2689="","",IFERROR(VLOOKUP(I2689,Base_Datos!$D$2:$E$72,2,0),""))</f>
        <v>(2.4L)</v>
      </c>
      <c r="K2689" s="3"/>
      <c r="L2689" s="3"/>
      <c r="M2689" s="7">
        <v>0</v>
      </c>
      <c r="N2689" s="7">
        <v>0</v>
      </c>
    </row>
    <row r="2690" spans="1:14" ht="14.25" x14ac:dyDescent="0.2">
      <c r="A2690" s="3">
        <v>99769</v>
      </c>
      <c r="B2690" s="3" t="s">
        <v>4656</v>
      </c>
      <c r="C2690" s="3" t="s">
        <v>27</v>
      </c>
      <c r="D2690" s="6" t="s">
        <v>1782</v>
      </c>
      <c r="E2690" s="6" t="s">
        <v>1782</v>
      </c>
      <c r="F2690" s="3" t="str">
        <f>IFERROR( VLOOKUP(A2690,#REF!,2,0),"")</f>
        <v/>
      </c>
      <c r="G2690" s="3" t="str">
        <f t="array" ref="G2690">_xlfn.XLOOKUP(I2690,Base_Datos!D:D,Base_Datos!B:B,"")</f>
        <v>DFSK</v>
      </c>
      <c r="H2690" s="3" t="str">
        <f t="array" ref="H2690">IF(I2690="","",IFERROR(_xlfn.XLOOKUP(I2690,Base_Datos!$D$2:$D3876,Base_Datos!$C$2:$C3876),""))</f>
        <v>Serie D</v>
      </c>
      <c r="I2690" s="3" t="s">
        <v>145</v>
      </c>
      <c r="J2690" s="3" t="str">
        <f>IF(I2690="","",IFERROR(VLOOKUP(I2690,Base_Datos!$D$2:$E$72,2,0),""))</f>
        <v>(2.4L)</v>
      </c>
      <c r="K2690" s="3"/>
      <c r="L2690" s="3"/>
      <c r="M2690" s="7">
        <v>0</v>
      </c>
      <c r="N2690" s="7">
        <v>0</v>
      </c>
    </row>
    <row r="2691" spans="1:14" ht="14.25" x14ac:dyDescent="0.2">
      <c r="A2691" s="3">
        <v>99770</v>
      </c>
      <c r="B2691" s="3" t="s">
        <v>4657</v>
      </c>
      <c r="C2691" s="3" t="s">
        <v>27</v>
      </c>
      <c r="D2691" s="6" t="s">
        <v>1782</v>
      </c>
      <c r="E2691" s="6" t="s">
        <v>1782</v>
      </c>
      <c r="F2691" s="3" t="str">
        <f>IFERROR( VLOOKUP(A2691,#REF!,2,0),"")</f>
        <v/>
      </c>
      <c r="G2691" s="3" t="str">
        <f t="array" ref="G2691">_xlfn.XLOOKUP(I2691,Base_Datos!D:D,Base_Datos!B:B,"")</f>
        <v>DFSK</v>
      </c>
      <c r="H2691" s="3" t="str">
        <f t="array" ref="H2691">IF(I2691="","",IFERROR(_xlfn.XLOOKUP(I2691,Base_Datos!$D$2:$D3876,Base_Datos!$C$2:$C3876),""))</f>
        <v>Serie D</v>
      </c>
      <c r="I2691" s="3" t="s">
        <v>145</v>
      </c>
      <c r="J2691" s="3" t="str">
        <f>IF(I2691="","",IFERROR(VLOOKUP(I2691,Base_Datos!$D$2:$E$72,2,0),""))</f>
        <v>(2.4L)</v>
      </c>
      <c r="K2691" s="3"/>
      <c r="L2691" s="3"/>
      <c r="M2691" s="7">
        <v>0</v>
      </c>
      <c r="N2691" s="7">
        <v>0</v>
      </c>
    </row>
    <row r="2692" spans="1:14" ht="14.25" x14ac:dyDescent="0.2">
      <c r="A2692" s="3">
        <v>99771</v>
      </c>
      <c r="B2692" s="3" t="s">
        <v>4658</v>
      </c>
      <c r="C2692" s="3" t="s">
        <v>27</v>
      </c>
      <c r="D2692" s="6" t="s">
        <v>1782</v>
      </c>
      <c r="E2692" s="6" t="s">
        <v>1782</v>
      </c>
      <c r="F2692" s="3" t="str">
        <f>IFERROR( VLOOKUP(A2692,#REF!,2,0),"")</f>
        <v/>
      </c>
      <c r="G2692" s="3" t="str">
        <f t="array" ref="G2692">_xlfn.XLOOKUP(I2692,Base_Datos!D:D,Base_Datos!B:B,"")</f>
        <v>DFSK</v>
      </c>
      <c r="H2692" s="3" t="str">
        <f t="array" ref="H2692">IF(I2692="","",IFERROR(_xlfn.XLOOKUP(I2692,Base_Datos!$D$2:$D3876,Base_Datos!$C$2:$C3876),""))</f>
        <v>Serie D</v>
      </c>
      <c r="I2692" s="3" t="s">
        <v>145</v>
      </c>
      <c r="J2692" s="3" t="str">
        <f>IF(I2692="","",IFERROR(VLOOKUP(I2692,Base_Datos!$D$2:$E$72,2,0),""))</f>
        <v>(2.4L)</v>
      </c>
      <c r="K2692" s="3"/>
      <c r="L2692" s="3"/>
      <c r="M2692" s="7">
        <v>0</v>
      </c>
      <c r="N2692" s="7">
        <v>0</v>
      </c>
    </row>
    <row r="2693" spans="1:14" ht="14.25" x14ac:dyDescent="0.2">
      <c r="A2693" s="3">
        <v>99772</v>
      </c>
      <c r="B2693" s="3" t="s">
        <v>4659</v>
      </c>
      <c r="C2693" s="3" t="s">
        <v>27</v>
      </c>
      <c r="D2693" s="6" t="s">
        <v>1782</v>
      </c>
      <c r="E2693" s="6" t="s">
        <v>1782</v>
      </c>
      <c r="F2693" s="3" t="str">
        <f>IFERROR( VLOOKUP(A2693,#REF!,2,0),"")</f>
        <v/>
      </c>
      <c r="G2693" s="3" t="str">
        <f t="array" ref="G2693">_xlfn.XLOOKUP(I2693,Base_Datos!D:D,Base_Datos!B:B,"")</f>
        <v>DFSK</v>
      </c>
      <c r="H2693" s="3" t="str">
        <f t="array" ref="H2693">IF(I2693="","",IFERROR(_xlfn.XLOOKUP(I2693,Base_Datos!$D$2:$D3876,Base_Datos!$C$2:$C3876),""))</f>
        <v>Serie D</v>
      </c>
      <c r="I2693" s="3" t="s">
        <v>145</v>
      </c>
      <c r="J2693" s="3" t="str">
        <f>IF(I2693="","",IFERROR(VLOOKUP(I2693,Base_Datos!$D$2:$E$72,2,0),""))</f>
        <v>(2.4L)</v>
      </c>
      <c r="K2693" s="3"/>
      <c r="L2693" s="3"/>
      <c r="M2693" s="7">
        <v>0</v>
      </c>
      <c r="N2693" s="7">
        <v>0</v>
      </c>
    </row>
    <row r="2694" spans="1:14" ht="14.25" x14ac:dyDescent="0.2">
      <c r="A2694" s="3">
        <v>99773</v>
      </c>
      <c r="B2694" s="3" t="s">
        <v>4660</v>
      </c>
      <c r="C2694" s="3" t="s">
        <v>27</v>
      </c>
      <c r="D2694" s="6" t="s">
        <v>1782</v>
      </c>
      <c r="E2694" s="6" t="s">
        <v>1782</v>
      </c>
      <c r="F2694" s="3" t="str">
        <f>IFERROR( VLOOKUP(A2694,#REF!,2,0),"")</f>
        <v/>
      </c>
      <c r="G2694" s="3" t="str">
        <f t="array" ref="G2694">_xlfn.XLOOKUP(I2694,Base_Datos!D:D,Base_Datos!B:B,"")</f>
        <v>DFSK</v>
      </c>
      <c r="H2694" s="3" t="str">
        <f t="array" ref="H2694">IF(I2694="","",IFERROR(_xlfn.XLOOKUP(I2694,Base_Datos!$D$2:$D3876,Base_Datos!$C$2:$C3876),""))</f>
        <v>Serie D</v>
      </c>
      <c r="I2694" s="3" t="s">
        <v>145</v>
      </c>
      <c r="J2694" s="3" t="str">
        <f>IF(I2694="","",IFERROR(VLOOKUP(I2694,Base_Datos!$D$2:$E$72,2,0),""))</f>
        <v>(2.4L)</v>
      </c>
      <c r="K2694" s="3"/>
      <c r="L2694" s="3"/>
      <c r="M2694" s="7">
        <v>0</v>
      </c>
      <c r="N2694" s="7">
        <v>0</v>
      </c>
    </row>
    <row r="2695" spans="1:14" ht="14.25" x14ac:dyDescent="0.2">
      <c r="A2695" s="3">
        <v>99774</v>
      </c>
      <c r="B2695" s="3" t="s">
        <v>4661</v>
      </c>
      <c r="C2695" s="3" t="s">
        <v>27</v>
      </c>
      <c r="D2695" s="6" t="s">
        <v>1782</v>
      </c>
      <c r="E2695" s="6" t="s">
        <v>1782</v>
      </c>
      <c r="F2695" s="3" t="str">
        <f>IFERROR( VLOOKUP(A2695,#REF!,2,0),"")</f>
        <v/>
      </c>
      <c r="G2695" s="3" t="str">
        <f t="array" ref="G2695">_xlfn.XLOOKUP(I2695,Base_Datos!D:D,Base_Datos!B:B,"")</f>
        <v>DFSK</v>
      </c>
      <c r="H2695" s="3" t="str">
        <f t="array" ref="H2695">IF(I2695="","",IFERROR(_xlfn.XLOOKUP(I2695,Base_Datos!$D$2:$D3876,Base_Datos!$C$2:$C3876),""))</f>
        <v>Serie D</v>
      </c>
      <c r="I2695" s="3" t="s">
        <v>145</v>
      </c>
      <c r="J2695" s="3" t="str">
        <f>IF(I2695="","",IFERROR(VLOOKUP(I2695,Base_Datos!$D$2:$E$72,2,0),""))</f>
        <v>(2.4L)</v>
      </c>
      <c r="K2695" s="3"/>
      <c r="L2695" s="3"/>
      <c r="M2695" s="7">
        <v>0</v>
      </c>
      <c r="N2695" s="7">
        <v>0</v>
      </c>
    </row>
    <row r="2696" spans="1:14" ht="14.25" x14ac:dyDescent="0.2">
      <c r="A2696" s="3">
        <v>99775</v>
      </c>
      <c r="B2696" s="3" t="s">
        <v>4662</v>
      </c>
      <c r="C2696" s="3" t="s">
        <v>27</v>
      </c>
      <c r="D2696" s="6" t="s">
        <v>1782</v>
      </c>
      <c r="E2696" s="6" t="s">
        <v>1782</v>
      </c>
      <c r="F2696" s="3" t="str">
        <f>IFERROR( VLOOKUP(A2696,#REF!,2,0),"")</f>
        <v/>
      </c>
      <c r="G2696" s="3" t="str">
        <f t="array" ref="G2696">_xlfn.XLOOKUP(I2696,Base_Datos!D:D,Base_Datos!B:B,"")</f>
        <v>DFSK</v>
      </c>
      <c r="H2696" s="3" t="str">
        <f t="array" ref="H2696">IF(I2696="","",IFERROR(_xlfn.XLOOKUP(I2696,Base_Datos!$D$2:$D3876,Base_Datos!$C$2:$C3876),""))</f>
        <v>Serie D</v>
      </c>
      <c r="I2696" s="3" t="s">
        <v>145</v>
      </c>
      <c r="J2696" s="3" t="str">
        <f>IF(I2696="","",IFERROR(VLOOKUP(I2696,Base_Datos!$D$2:$E$72,2,0),""))</f>
        <v>(2.4L)</v>
      </c>
      <c r="K2696" s="3"/>
      <c r="L2696" s="3"/>
      <c r="M2696" s="7">
        <v>0</v>
      </c>
      <c r="N2696" s="7">
        <v>0</v>
      </c>
    </row>
    <row r="2697" spans="1:14" ht="14.25" x14ac:dyDescent="0.2">
      <c r="A2697" s="3">
        <v>99776</v>
      </c>
      <c r="B2697" s="3" t="s">
        <v>4663</v>
      </c>
      <c r="C2697" s="3" t="s">
        <v>27</v>
      </c>
      <c r="D2697" s="6" t="s">
        <v>1782</v>
      </c>
      <c r="E2697" s="6" t="s">
        <v>1782</v>
      </c>
      <c r="F2697" s="3" t="str">
        <f>IFERROR( VLOOKUP(A2697,#REF!,2,0),"")</f>
        <v/>
      </c>
      <c r="G2697" s="3" t="str">
        <f t="array" ref="G2697">_xlfn.XLOOKUP(I2697,Base_Datos!D:D,Base_Datos!B:B,"")</f>
        <v>DFSK</v>
      </c>
      <c r="H2697" s="3" t="str">
        <f t="array" ref="H2697">IF(I2697="","",IFERROR(_xlfn.XLOOKUP(I2697,Base_Datos!$D$2:$D3876,Base_Datos!$C$2:$C3876),""))</f>
        <v>Serie D</v>
      </c>
      <c r="I2697" s="3" t="s">
        <v>145</v>
      </c>
      <c r="J2697" s="3" t="str">
        <f>IF(I2697="","",IFERROR(VLOOKUP(I2697,Base_Datos!$D$2:$E$72,2,0),""))</f>
        <v>(2.4L)</v>
      </c>
      <c r="K2697" s="3"/>
      <c r="L2697" s="3"/>
      <c r="M2697" s="7">
        <v>0</v>
      </c>
      <c r="N2697" s="7">
        <v>0</v>
      </c>
    </row>
    <row r="2698" spans="1:14" ht="14.25" x14ac:dyDescent="0.2">
      <c r="A2698" s="3">
        <v>99777</v>
      </c>
      <c r="B2698" s="3" t="s">
        <v>2507</v>
      </c>
      <c r="C2698" s="3" t="s">
        <v>27</v>
      </c>
      <c r="D2698" s="6" t="s">
        <v>1782</v>
      </c>
      <c r="E2698" s="6" t="s">
        <v>1782</v>
      </c>
      <c r="F2698" s="3" t="str">
        <f>IFERROR( VLOOKUP(A2698,#REF!,2,0),"")</f>
        <v/>
      </c>
      <c r="G2698" s="3" t="str">
        <f t="array" ref="G2698">_xlfn.XLOOKUP(I2698,Base_Datos!D:D,Base_Datos!B:B,"")</f>
        <v>DFSK</v>
      </c>
      <c r="H2698" s="3" t="str">
        <f t="array" ref="H2698">IF(I2698="","",IFERROR(_xlfn.XLOOKUP(I2698,Base_Datos!$D$2:$D3876,Base_Datos!$C$2:$C3876),""))</f>
        <v>Serie Glory</v>
      </c>
      <c r="I2698" s="3" t="s">
        <v>1765</v>
      </c>
      <c r="J2698" s="3" t="str">
        <f>IF(I2698="","",IFERROR(VLOOKUP(I2698,Base_Datos!$D$2:$E$72,2,0),""))</f>
        <v>(1.5L)</v>
      </c>
      <c r="K2698" s="3"/>
      <c r="L2698" s="3"/>
      <c r="M2698" s="7">
        <v>0</v>
      </c>
      <c r="N2698" s="7">
        <v>0</v>
      </c>
    </row>
    <row r="2699" spans="1:14" ht="14.25" x14ac:dyDescent="0.2">
      <c r="A2699" s="3">
        <v>99778</v>
      </c>
      <c r="B2699" s="3" t="s">
        <v>4664</v>
      </c>
      <c r="C2699" s="3" t="s">
        <v>27</v>
      </c>
      <c r="D2699" s="6" t="s">
        <v>1782</v>
      </c>
      <c r="E2699" s="6" t="s">
        <v>1782</v>
      </c>
      <c r="F2699" s="3" t="str">
        <f>IFERROR( VLOOKUP(A2699,#REF!,2,0),"")</f>
        <v/>
      </c>
      <c r="G2699" s="3" t="str">
        <f t="array" ref="G2699">_xlfn.XLOOKUP(I2699,Base_Datos!D:D,Base_Datos!B:B,"")</f>
        <v>DFSK</v>
      </c>
      <c r="H2699" s="3" t="str">
        <f t="array" ref="H2699">IF(I2699="","",IFERROR(_xlfn.XLOOKUP(I2699,Base_Datos!$D$2:$D3876,Base_Datos!$C$2:$C3876),""))</f>
        <v>Serie Glory</v>
      </c>
      <c r="I2699" s="3" t="s">
        <v>1765</v>
      </c>
      <c r="J2699" s="3" t="str">
        <f>IF(I2699="","",IFERROR(VLOOKUP(I2699,Base_Datos!$D$2:$E$72,2,0),""))</f>
        <v>(1.5L)</v>
      </c>
      <c r="K2699" s="3"/>
      <c r="L2699" s="3"/>
      <c r="M2699" s="7">
        <v>0</v>
      </c>
      <c r="N2699" s="7">
        <v>0</v>
      </c>
    </row>
    <row r="2700" spans="1:14" ht="14.25" x14ac:dyDescent="0.2">
      <c r="A2700" s="3">
        <v>99779</v>
      </c>
      <c r="B2700" s="3" t="s">
        <v>4665</v>
      </c>
      <c r="C2700" s="3" t="s">
        <v>27</v>
      </c>
      <c r="D2700" s="6" t="s">
        <v>1782</v>
      </c>
      <c r="E2700" s="6" t="s">
        <v>1782</v>
      </c>
      <c r="F2700" s="3" t="str">
        <f>IFERROR( VLOOKUP(A2700,#REF!,2,0),"")</f>
        <v/>
      </c>
      <c r="G2700" s="3" t="str">
        <f t="array" ref="G2700">_xlfn.XLOOKUP(I2700,Base_Datos!D:D,Base_Datos!B:B,"")</f>
        <v>DFSK</v>
      </c>
      <c r="H2700" s="3" t="str">
        <f t="array" ref="H2700">IF(I2700="","",IFERROR(_xlfn.XLOOKUP(I2700,Base_Datos!$D$2:$D3876,Base_Datos!$C$2:$C3876),""))</f>
        <v>Serie Glory</v>
      </c>
      <c r="I2700" s="3" t="s">
        <v>1765</v>
      </c>
      <c r="J2700" s="3" t="str">
        <f>IF(I2700="","",IFERROR(VLOOKUP(I2700,Base_Datos!$D$2:$E$72,2,0),""))</f>
        <v>(1.5L)</v>
      </c>
      <c r="K2700" s="3"/>
      <c r="L2700" s="3"/>
      <c r="M2700" s="7">
        <v>0</v>
      </c>
      <c r="N2700" s="7">
        <v>0</v>
      </c>
    </row>
    <row r="2701" spans="1:14" ht="14.25" x14ac:dyDescent="0.2">
      <c r="A2701" s="3">
        <v>99780</v>
      </c>
      <c r="B2701" s="3" t="s">
        <v>4666</v>
      </c>
      <c r="C2701" s="3" t="s">
        <v>27</v>
      </c>
      <c r="D2701" s="6" t="s">
        <v>1782</v>
      </c>
      <c r="E2701" s="6" t="s">
        <v>1782</v>
      </c>
      <c r="F2701" s="3" t="str">
        <f>IFERROR( VLOOKUP(A2701,#REF!,2,0),"")</f>
        <v/>
      </c>
      <c r="G2701" s="3" t="str">
        <f t="array" ref="G2701">_xlfn.XLOOKUP(I2701,Base_Datos!D:D,Base_Datos!B:B,"")</f>
        <v>DFSK</v>
      </c>
      <c r="H2701" s="3" t="str">
        <f t="array" ref="H2701">IF(I2701="","",IFERROR(_xlfn.XLOOKUP(I2701,Base_Datos!$D$2:$D3876,Base_Datos!$C$2:$C3876),""))</f>
        <v>Serie Glory</v>
      </c>
      <c r="I2701" s="3" t="s">
        <v>1765</v>
      </c>
      <c r="J2701" s="3" t="str">
        <f>IF(I2701="","",IFERROR(VLOOKUP(I2701,Base_Datos!$D$2:$E$72,2,0),""))</f>
        <v>(1.5L)</v>
      </c>
      <c r="K2701" s="3"/>
      <c r="L2701" s="3"/>
      <c r="M2701" s="7">
        <v>0</v>
      </c>
      <c r="N2701" s="7">
        <v>0</v>
      </c>
    </row>
    <row r="2702" spans="1:14" ht="14.25" x14ac:dyDescent="0.2">
      <c r="A2702" s="3">
        <v>99781</v>
      </c>
      <c r="B2702" s="3" t="s">
        <v>4667</v>
      </c>
      <c r="C2702" s="3" t="s">
        <v>27</v>
      </c>
      <c r="D2702" s="6" t="s">
        <v>1782</v>
      </c>
      <c r="E2702" s="6" t="s">
        <v>1782</v>
      </c>
      <c r="F2702" s="3" t="str">
        <f>IFERROR( VLOOKUP(A2702,#REF!,2,0),"")</f>
        <v/>
      </c>
      <c r="G2702" s="3" t="str">
        <f t="array" ref="G2702">_xlfn.XLOOKUP(I2702,Base_Datos!D:D,Base_Datos!B:B,"")</f>
        <v>DFSK</v>
      </c>
      <c r="H2702" s="3" t="str">
        <f t="array" ref="H2702">IF(I2702="","",IFERROR(_xlfn.XLOOKUP(I2702,Base_Datos!$D$2:$D3876,Base_Datos!$C$2:$C3876),""))</f>
        <v>Serie Glory</v>
      </c>
      <c r="I2702" s="3" t="s">
        <v>112</v>
      </c>
      <c r="J2702" s="3" t="str">
        <f>IF(I2702="","",IFERROR(VLOOKUP(I2702,Base_Datos!$D$2:$E$72,2,0),""))</f>
        <v>(1.8L)</v>
      </c>
      <c r="K2702" s="3"/>
      <c r="L2702" s="3"/>
      <c r="M2702" s="7">
        <v>0</v>
      </c>
      <c r="N2702" s="7">
        <v>0</v>
      </c>
    </row>
    <row r="2703" spans="1:14" ht="14.25" x14ac:dyDescent="0.2">
      <c r="A2703" s="3">
        <v>99782</v>
      </c>
      <c r="B2703" s="3" t="s">
        <v>3064</v>
      </c>
      <c r="C2703" s="3" t="s">
        <v>27</v>
      </c>
      <c r="D2703" s="6" t="s">
        <v>1782</v>
      </c>
      <c r="E2703" s="6" t="s">
        <v>1782</v>
      </c>
      <c r="F2703" s="3" t="str">
        <f>IFERROR( VLOOKUP(A2703,#REF!,2,0),"")</f>
        <v/>
      </c>
      <c r="G2703" s="3" t="str">
        <f t="array" ref="G2703">_xlfn.XLOOKUP(I2703,Base_Datos!D:D,Base_Datos!B:B,"")</f>
        <v>DFSK</v>
      </c>
      <c r="H2703" s="3" t="str">
        <f t="array" ref="H2703">IF(I2703="","",IFERROR(_xlfn.XLOOKUP(I2703,Base_Datos!$D$2:$D3876,Base_Datos!$C$2:$C3876),""))</f>
        <v>Serie Glory</v>
      </c>
      <c r="I2703" s="3" t="s">
        <v>112</v>
      </c>
      <c r="J2703" s="3" t="str">
        <f>IF(I2703="","",IFERROR(VLOOKUP(I2703,Base_Datos!$D$2:$E$72,2,0),""))</f>
        <v>(1.8L)</v>
      </c>
      <c r="K2703" s="3"/>
      <c r="L2703" s="3"/>
      <c r="M2703" s="7">
        <v>0</v>
      </c>
      <c r="N2703" s="7">
        <v>0</v>
      </c>
    </row>
    <row r="2704" spans="1:14" ht="14.25" x14ac:dyDescent="0.2">
      <c r="A2704" s="3">
        <v>99783</v>
      </c>
      <c r="B2704" s="3" t="s">
        <v>4668</v>
      </c>
      <c r="C2704" s="3" t="s">
        <v>27</v>
      </c>
      <c r="D2704" s="6" t="s">
        <v>938</v>
      </c>
      <c r="E2704" s="6" t="s">
        <v>4669</v>
      </c>
      <c r="F2704" s="3" t="str">
        <f>IFERROR( VLOOKUP(A2704,#REF!,2,0),"")</f>
        <v/>
      </c>
      <c r="G2704" s="3" t="str">
        <f t="array" ref="G2704">_xlfn.XLOOKUP(I2704,Base_Datos!D:D,Base_Datos!B:B,"")</f>
        <v>DFSK</v>
      </c>
      <c r="H2704" s="3" t="str">
        <f t="array" ref="H2704">IF(I2704="","",IFERROR(_xlfn.XLOOKUP(I2704,Base_Datos!$D$2:$D3876,Base_Datos!$C$2:$C3876),""))</f>
        <v>Serie D</v>
      </c>
      <c r="I2704" s="3" t="s">
        <v>973</v>
      </c>
      <c r="J2704" s="3" t="str">
        <f>IF(I2704="","",IFERROR(VLOOKUP(I2704,Base_Datos!$D$2:$E$72,2,0),""))</f>
        <v>(1.5L)</v>
      </c>
      <c r="K2704" s="3"/>
      <c r="L2704" s="3"/>
      <c r="M2704" s="7">
        <v>0</v>
      </c>
      <c r="N2704" s="7">
        <v>0</v>
      </c>
    </row>
    <row r="2705" spans="1:14" ht="14.25" x14ac:dyDescent="0.2">
      <c r="A2705" s="3">
        <v>99784</v>
      </c>
      <c r="B2705" s="3" t="s">
        <v>4670</v>
      </c>
      <c r="C2705" s="3" t="s">
        <v>27</v>
      </c>
      <c r="D2705" s="6" t="s">
        <v>1178</v>
      </c>
      <c r="E2705" s="6" t="s">
        <v>1178</v>
      </c>
      <c r="F2705" s="3" t="str">
        <f>IFERROR( VLOOKUP(A2705,#REF!,2,0),"")</f>
        <v/>
      </c>
      <c r="G2705" s="3" t="str">
        <f t="array" ref="G2705">_xlfn.XLOOKUP(I2705,Base_Datos!D:D,Base_Datos!B:B,"")</f>
        <v>DFSK</v>
      </c>
      <c r="H2705" s="3" t="str">
        <f t="array" ref="H2705">IF(I2705="","",IFERROR(_xlfn.XLOOKUP(I2705,Base_Datos!$D$2:$D3876,Base_Datos!$C$2:$C3876),""))</f>
        <v>Serie C</v>
      </c>
      <c r="I2705" s="3" t="s">
        <v>265</v>
      </c>
      <c r="J2705" s="3" t="str">
        <f>IF(I2705="","",IFERROR(VLOOKUP(I2705,Base_Datos!$D$2:$E$72,2,0),""))</f>
        <v>(1.5L)</v>
      </c>
      <c r="K2705" s="3"/>
      <c r="L2705" s="3"/>
      <c r="M2705" s="7">
        <v>0</v>
      </c>
      <c r="N2705" s="7">
        <v>0</v>
      </c>
    </row>
    <row r="2706" spans="1:14" ht="14.25" x14ac:dyDescent="0.2">
      <c r="A2706" s="3">
        <v>99785</v>
      </c>
      <c r="B2706" s="3" t="s">
        <v>4671</v>
      </c>
      <c r="C2706" s="3" t="s">
        <v>27</v>
      </c>
      <c r="D2706" s="6" t="s">
        <v>1782</v>
      </c>
      <c r="E2706" s="6" t="s">
        <v>1782</v>
      </c>
      <c r="F2706" s="3" t="str">
        <f>IFERROR( VLOOKUP(A2706,#REF!,2,0),"")</f>
        <v/>
      </c>
      <c r="G2706" s="3" t="str">
        <f t="array" ref="G2706">_xlfn.XLOOKUP(I2706,Base_Datos!D:D,Base_Datos!B:B,"")</f>
        <v>DFSK</v>
      </c>
      <c r="H2706" s="3" t="str">
        <f t="array" ref="H2706">IF(I2706="","",IFERROR(_xlfn.XLOOKUP(I2706,Base_Datos!$D$2:$D3876,Base_Datos!$C$2:$C3876),""))</f>
        <v>Serie D</v>
      </c>
      <c r="I2706" s="3" t="s">
        <v>145</v>
      </c>
      <c r="J2706" s="3" t="str">
        <f>IF(I2706="","",IFERROR(VLOOKUP(I2706,Base_Datos!$D$2:$E$72,2,0),""))</f>
        <v>(2.4L)</v>
      </c>
      <c r="K2706" s="3"/>
      <c r="L2706" s="3"/>
      <c r="M2706" s="7">
        <v>0</v>
      </c>
      <c r="N2706" s="7">
        <v>0</v>
      </c>
    </row>
    <row r="2707" spans="1:14" ht="14.25" x14ac:dyDescent="0.2">
      <c r="A2707" s="3">
        <v>99786</v>
      </c>
      <c r="B2707" s="3" t="s">
        <v>1810</v>
      </c>
      <c r="C2707" s="3" t="s">
        <v>27</v>
      </c>
      <c r="D2707" s="6" t="s">
        <v>1178</v>
      </c>
      <c r="E2707" s="6" t="s">
        <v>1178</v>
      </c>
      <c r="F2707" s="3" t="str">
        <f>IFERROR( VLOOKUP(A2707,#REF!,2,0),"")</f>
        <v/>
      </c>
      <c r="G2707" s="3" t="str">
        <f t="array" ref="G2707">_xlfn.XLOOKUP(I2707,Base_Datos!D:D,Base_Datos!B:B,"")</f>
        <v>DFSK</v>
      </c>
      <c r="H2707" s="3" t="str">
        <f t="array" ref="H2707">IF(I2707="","",IFERROR(_xlfn.XLOOKUP(I2707,Base_Datos!$D$2:$D3876,Base_Datos!$C$2:$C3876),""))</f>
        <v>Serie D</v>
      </c>
      <c r="I2707" s="3" t="s">
        <v>145</v>
      </c>
      <c r="J2707" s="3" t="str">
        <f>IF(I2707="","",IFERROR(VLOOKUP(I2707,Base_Datos!$D$2:$E$72,2,0),""))</f>
        <v>(2.4L)</v>
      </c>
      <c r="K2707" s="3" t="s">
        <v>4631</v>
      </c>
      <c r="L2707" s="3"/>
      <c r="M2707" s="7">
        <v>0</v>
      </c>
      <c r="N2707" s="7">
        <v>0</v>
      </c>
    </row>
    <row r="2708" spans="1:14" ht="14.25" x14ac:dyDescent="0.2">
      <c r="A2708" s="3">
        <v>99787</v>
      </c>
      <c r="B2708" s="3" t="s">
        <v>4672</v>
      </c>
      <c r="C2708" s="3" t="s">
        <v>27</v>
      </c>
      <c r="D2708" s="6" t="s">
        <v>1782</v>
      </c>
      <c r="E2708" s="6" t="s">
        <v>1782</v>
      </c>
      <c r="F2708" s="3" t="str">
        <f>IFERROR( VLOOKUP(A2708,#REF!,2,0),"")</f>
        <v/>
      </c>
      <c r="G2708" s="3" t="str">
        <f t="array" ref="G2708">_xlfn.XLOOKUP(I2708,Base_Datos!D:D,Base_Datos!B:B,"")</f>
        <v>DFSK</v>
      </c>
      <c r="H2708" s="3" t="str">
        <f t="array" ref="H2708">IF(I2708="","",IFERROR(_xlfn.XLOOKUP(I2708,Base_Datos!$D$2:$D3876,Base_Datos!$C$2:$C3876),""))</f>
        <v>Serie D</v>
      </c>
      <c r="I2708" s="3" t="s">
        <v>145</v>
      </c>
      <c r="J2708" s="3" t="str">
        <f>IF(I2708="","",IFERROR(VLOOKUP(I2708,Base_Datos!$D$2:$E$72,2,0),""))</f>
        <v>(2.4L)</v>
      </c>
      <c r="K2708" s="3"/>
      <c r="L2708" s="3"/>
      <c r="M2708" s="7">
        <v>0</v>
      </c>
      <c r="N2708" s="7">
        <v>0</v>
      </c>
    </row>
    <row r="2709" spans="1:14" ht="14.25" x14ac:dyDescent="0.2">
      <c r="A2709" s="3">
        <v>99788</v>
      </c>
      <c r="B2709" s="3" t="s">
        <v>4673</v>
      </c>
      <c r="C2709" s="3" t="s">
        <v>27</v>
      </c>
      <c r="D2709" s="6" t="s">
        <v>1178</v>
      </c>
      <c r="E2709" s="6" t="s">
        <v>1178</v>
      </c>
      <c r="F2709" s="3" t="str">
        <f>IFERROR( VLOOKUP(A2709,#REF!,2,0),"")</f>
        <v/>
      </c>
      <c r="G2709" s="3" t="str">
        <f t="array" ref="G2709">_xlfn.XLOOKUP(I2709,Base_Datos!D:D,Base_Datos!B:B,"")</f>
        <v>DFSK</v>
      </c>
      <c r="H2709" s="3" t="str">
        <f t="array" ref="H2709">IF(I2709="","",IFERROR(_xlfn.XLOOKUP(I2709,Base_Datos!$D$2:$D3876,Base_Datos!$C$2:$C3876),""))</f>
        <v>Serie Glory</v>
      </c>
      <c r="I2709" s="3" t="s">
        <v>1754</v>
      </c>
      <c r="J2709" s="3" t="str">
        <f>IF(I2709="","",IFERROR(VLOOKUP(I2709,Base_Datos!$D$2:$E$72,2,0),""))</f>
        <v>(1.5L)</v>
      </c>
      <c r="K2709" s="3" t="s">
        <v>1860</v>
      </c>
      <c r="L2709" s="3"/>
      <c r="M2709" s="7">
        <v>0</v>
      </c>
      <c r="N2709" s="7">
        <v>0</v>
      </c>
    </row>
    <row r="2710" spans="1:14" ht="14.25" x14ac:dyDescent="0.2">
      <c r="A2710" s="3">
        <v>99789</v>
      </c>
      <c r="B2710" s="3" t="s">
        <v>4674</v>
      </c>
      <c r="C2710" s="3" t="s">
        <v>27</v>
      </c>
      <c r="D2710" s="6" t="s">
        <v>1178</v>
      </c>
      <c r="E2710" s="6" t="s">
        <v>1178</v>
      </c>
      <c r="F2710" s="3" t="str">
        <f>IFERROR( VLOOKUP(A2710,#REF!,2,0),"")</f>
        <v/>
      </c>
      <c r="G2710" s="3" t="str">
        <f t="array" ref="G2710">_xlfn.XLOOKUP(I2710,Base_Datos!D:D,Base_Datos!B:B,"")</f>
        <v>DFSK</v>
      </c>
      <c r="H2710" s="3" t="str">
        <f t="array" ref="H2710">IF(I2710="","",IFERROR(_xlfn.XLOOKUP(I2710,Base_Datos!$D$2:$D3876,Base_Datos!$C$2:$C3876),""))</f>
        <v>Serie Glory</v>
      </c>
      <c r="I2710" s="3" t="s">
        <v>1754</v>
      </c>
      <c r="J2710" s="3" t="str">
        <f>IF(I2710="","",IFERROR(VLOOKUP(I2710,Base_Datos!$D$2:$E$72,2,0),""))</f>
        <v>(1.5L)</v>
      </c>
      <c r="K2710" s="3" t="s">
        <v>1860</v>
      </c>
      <c r="L2710" s="3"/>
      <c r="M2710" s="7">
        <v>0</v>
      </c>
      <c r="N2710" s="7">
        <v>0</v>
      </c>
    </row>
    <row r="2711" spans="1:14" ht="14.25" x14ac:dyDescent="0.2">
      <c r="A2711" s="3">
        <v>99790</v>
      </c>
      <c r="B2711" s="3" t="s">
        <v>4675</v>
      </c>
      <c r="C2711" s="3" t="s">
        <v>27</v>
      </c>
      <c r="D2711" s="6" t="s">
        <v>1178</v>
      </c>
      <c r="E2711" s="6" t="s">
        <v>1178</v>
      </c>
      <c r="F2711" s="3" t="str">
        <f>IFERROR( VLOOKUP(A2711,#REF!,2,0),"")</f>
        <v/>
      </c>
      <c r="G2711" s="3" t="str">
        <f t="array" ref="G2711">_xlfn.XLOOKUP(I2711,Base_Datos!D:D,Base_Datos!B:B,"")</f>
        <v>DFSK</v>
      </c>
      <c r="H2711" s="3" t="str">
        <f t="array" ref="H2711">IF(I2711="","",IFERROR(_xlfn.XLOOKUP(I2711,Base_Datos!$D$2:$D3876,Base_Datos!$C$2:$C3876),""))</f>
        <v>Serie Glory</v>
      </c>
      <c r="I2711" s="3" t="s">
        <v>1754</v>
      </c>
      <c r="J2711" s="3" t="str">
        <f>IF(I2711="","",IFERROR(VLOOKUP(I2711,Base_Datos!$D$2:$E$72,2,0),""))</f>
        <v>(1.5L)</v>
      </c>
      <c r="K2711" s="3" t="s">
        <v>1860</v>
      </c>
      <c r="L2711" s="3"/>
      <c r="M2711" s="7">
        <v>0</v>
      </c>
      <c r="N2711" s="7">
        <v>0</v>
      </c>
    </row>
    <row r="2712" spans="1:14" ht="14.25" x14ac:dyDescent="0.2">
      <c r="A2712" s="3">
        <v>99791</v>
      </c>
      <c r="B2712" s="3" t="s">
        <v>4676</v>
      </c>
      <c r="C2712" s="3" t="s">
        <v>27</v>
      </c>
      <c r="D2712" s="6" t="s">
        <v>1782</v>
      </c>
      <c r="E2712" s="6" t="s">
        <v>1782</v>
      </c>
      <c r="F2712" s="3" t="str">
        <f>IFERROR( VLOOKUP(A2712,#REF!,2,0),"")</f>
        <v/>
      </c>
      <c r="G2712" s="3" t="str">
        <f t="array" ref="G2712">_xlfn.XLOOKUP(I2712,Base_Datos!D:D,Base_Datos!B:B,"")</f>
        <v>DFSK</v>
      </c>
      <c r="H2712" s="3" t="str">
        <f t="array" ref="H2712">IF(I2712="","",IFERROR(_xlfn.XLOOKUP(I2712,Base_Datos!$D$2:$D3876,Base_Datos!$C$2:$C3876),""))</f>
        <v>Serie Glory</v>
      </c>
      <c r="I2712" s="3" t="s">
        <v>1766</v>
      </c>
      <c r="J2712" s="3" t="str">
        <f>IF(I2712="","",IFERROR(VLOOKUP(I2712,Base_Datos!$D$2:$E$72,2,0),""))</f>
        <v>(1.8L)</v>
      </c>
      <c r="K2712" s="3"/>
      <c r="L2712" s="3"/>
      <c r="M2712" s="7">
        <v>0</v>
      </c>
      <c r="N2712" s="7">
        <v>0</v>
      </c>
    </row>
    <row r="2713" spans="1:14" ht="14.25" x14ac:dyDescent="0.2">
      <c r="A2713" s="3">
        <v>99792</v>
      </c>
      <c r="B2713" s="3" t="s">
        <v>4167</v>
      </c>
      <c r="C2713" s="3" t="s">
        <v>27</v>
      </c>
      <c r="D2713" s="6" t="s">
        <v>1782</v>
      </c>
      <c r="E2713" s="6" t="s">
        <v>1782</v>
      </c>
      <c r="F2713" s="3" t="str">
        <f>IFERROR( VLOOKUP(A2713,#REF!,2,0),"")</f>
        <v/>
      </c>
      <c r="G2713" s="3" t="str">
        <f t="array" ref="G2713">_xlfn.XLOOKUP(I2713,Base_Datos!D:D,Base_Datos!B:B,"")</f>
        <v>DFSK</v>
      </c>
      <c r="H2713" s="3" t="str">
        <f t="array" ref="H2713">IF(I2713="","",IFERROR(_xlfn.XLOOKUP(I2713,Base_Datos!$D$2:$D3876,Base_Datos!$C$2:$C3876),""))</f>
        <v>Serie D</v>
      </c>
      <c r="I2713" s="3" t="s">
        <v>973</v>
      </c>
      <c r="J2713" s="3" t="str">
        <f>IF(I2713="","",IFERROR(VLOOKUP(I2713,Base_Datos!$D$2:$E$72,2,0),""))</f>
        <v>(1.5L)</v>
      </c>
      <c r="K2713" s="3"/>
      <c r="L2713" s="3"/>
      <c r="M2713" s="7">
        <v>0</v>
      </c>
      <c r="N2713" s="7">
        <v>0</v>
      </c>
    </row>
    <row r="2714" spans="1:14" ht="14.25" x14ac:dyDescent="0.2">
      <c r="A2714" s="3">
        <v>99793</v>
      </c>
      <c r="B2714" s="3" t="s">
        <v>4166</v>
      </c>
      <c r="C2714" s="3" t="s">
        <v>27</v>
      </c>
      <c r="D2714" s="6" t="s">
        <v>1782</v>
      </c>
      <c r="E2714" s="6" t="s">
        <v>1782</v>
      </c>
      <c r="F2714" s="3" t="str">
        <f>IFERROR( VLOOKUP(A2714,#REF!,2,0),"")</f>
        <v/>
      </c>
      <c r="G2714" s="3" t="str">
        <f t="array" ref="G2714">_xlfn.XLOOKUP(I2714,Base_Datos!D:D,Base_Datos!B:B,"")</f>
        <v>DFSK</v>
      </c>
      <c r="H2714" s="3" t="str">
        <f t="array" ref="H2714">IF(I2714="","",IFERROR(_xlfn.XLOOKUP(I2714,Base_Datos!$D$2:$D3876,Base_Datos!$C$2:$C3876),""))</f>
        <v>Serie D</v>
      </c>
      <c r="I2714" s="3" t="s">
        <v>973</v>
      </c>
      <c r="J2714" s="3" t="str">
        <f>IF(I2714="","",IFERROR(VLOOKUP(I2714,Base_Datos!$D$2:$E$72,2,0),""))</f>
        <v>(1.5L)</v>
      </c>
      <c r="K2714" s="3"/>
      <c r="L2714" s="3"/>
      <c r="M2714" s="7">
        <v>0</v>
      </c>
      <c r="N2714" s="7">
        <v>0</v>
      </c>
    </row>
    <row r="2715" spans="1:14" ht="14.25" x14ac:dyDescent="0.2">
      <c r="A2715" s="3">
        <v>99794</v>
      </c>
      <c r="B2715" s="3" t="s">
        <v>4677</v>
      </c>
      <c r="C2715" s="3" t="s">
        <v>27</v>
      </c>
      <c r="D2715" s="6" t="s">
        <v>1782</v>
      </c>
      <c r="E2715" s="6" t="s">
        <v>1782</v>
      </c>
      <c r="F2715" s="3" t="str">
        <f>IFERROR( VLOOKUP(A2715,#REF!,2,0),"")</f>
        <v/>
      </c>
      <c r="G2715" s="3" t="str">
        <f t="array" ref="G2715">_xlfn.XLOOKUP(I2715,Base_Datos!D:D,Base_Datos!B:B,"")</f>
        <v>DFSK</v>
      </c>
      <c r="H2715" s="3" t="str">
        <f t="array" ref="H2715">IF(I2715="","",IFERROR(_xlfn.XLOOKUP(I2715,Base_Datos!$D$2:$D3876,Base_Datos!$C$2:$C3876),""))</f>
        <v>Serie D</v>
      </c>
      <c r="I2715" s="3" t="s">
        <v>973</v>
      </c>
      <c r="J2715" s="3" t="str">
        <f>IF(I2715="","",IFERROR(VLOOKUP(I2715,Base_Datos!$D$2:$E$72,2,0),""))</f>
        <v>(1.5L)</v>
      </c>
      <c r="K2715" s="3"/>
      <c r="L2715" s="3"/>
      <c r="M2715" s="7">
        <v>0</v>
      </c>
      <c r="N2715" s="7">
        <v>0</v>
      </c>
    </row>
    <row r="2716" spans="1:14" ht="14.25" x14ac:dyDescent="0.2">
      <c r="A2716" s="3">
        <v>99795</v>
      </c>
      <c r="B2716" s="3" t="s">
        <v>4678</v>
      </c>
      <c r="C2716" s="3" t="s">
        <v>27</v>
      </c>
      <c r="D2716" s="6" t="s">
        <v>1782</v>
      </c>
      <c r="E2716" s="6" t="s">
        <v>1782</v>
      </c>
      <c r="F2716" s="3" t="str">
        <f>IFERROR( VLOOKUP(A2716,#REF!,2,0),"")</f>
        <v/>
      </c>
      <c r="G2716" s="3" t="str">
        <f t="array" ref="G2716">_xlfn.XLOOKUP(I2716,Base_Datos!D:D,Base_Datos!B:B,"")</f>
        <v>DFSK</v>
      </c>
      <c r="H2716" s="3" t="str">
        <f t="array" ref="H2716">IF(I2716="","",IFERROR(_xlfn.XLOOKUP(I2716,Base_Datos!$D$2:$D3876,Base_Datos!$C$2:$C3876),""))</f>
        <v>Serie D</v>
      </c>
      <c r="I2716" s="3" t="s">
        <v>973</v>
      </c>
      <c r="J2716" s="3" t="str">
        <f>IF(I2716="","",IFERROR(VLOOKUP(I2716,Base_Datos!$D$2:$E$72,2,0),""))</f>
        <v>(1.5L)</v>
      </c>
      <c r="K2716" s="3"/>
      <c r="L2716" s="3"/>
      <c r="M2716" s="7">
        <v>0</v>
      </c>
      <c r="N2716" s="7">
        <v>0</v>
      </c>
    </row>
    <row r="2717" spans="1:14" ht="14.25" x14ac:dyDescent="0.2">
      <c r="A2717" s="3">
        <v>99796</v>
      </c>
      <c r="B2717" s="3" t="s">
        <v>4679</v>
      </c>
      <c r="C2717" s="3" t="s">
        <v>27</v>
      </c>
      <c r="D2717" s="6" t="s">
        <v>1782</v>
      </c>
      <c r="E2717" s="6" t="s">
        <v>1782</v>
      </c>
      <c r="F2717" s="3" t="str">
        <f>IFERROR( VLOOKUP(A2717,#REF!,2,0),"")</f>
        <v/>
      </c>
      <c r="G2717" s="3" t="str">
        <f t="array" ref="G2717">_xlfn.XLOOKUP(I2717,Base_Datos!D:D,Base_Datos!B:B,"")</f>
        <v>DFSK</v>
      </c>
      <c r="H2717" s="3" t="str">
        <f t="array" ref="H2717">IF(I2717="","",IFERROR(_xlfn.XLOOKUP(I2717,Base_Datos!$D$2:$D3876,Base_Datos!$C$2:$C3876),""))</f>
        <v>Serie D</v>
      </c>
      <c r="I2717" s="3" t="s">
        <v>973</v>
      </c>
      <c r="J2717" s="3" t="str">
        <f>IF(I2717="","",IFERROR(VLOOKUP(I2717,Base_Datos!$D$2:$E$72,2,0),""))</f>
        <v>(1.5L)</v>
      </c>
      <c r="K2717" s="3"/>
      <c r="L2717" s="3"/>
      <c r="M2717" s="7">
        <v>0</v>
      </c>
      <c r="N2717" s="7">
        <v>0</v>
      </c>
    </row>
    <row r="2718" spans="1:14" ht="14.25" x14ac:dyDescent="0.2">
      <c r="A2718" s="3">
        <v>99797</v>
      </c>
      <c r="B2718" s="3" t="s">
        <v>4680</v>
      </c>
      <c r="C2718" s="3" t="s">
        <v>27</v>
      </c>
      <c r="D2718" s="6" t="s">
        <v>1782</v>
      </c>
      <c r="E2718" s="6" t="s">
        <v>1782</v>
      </c>
      <c r="F2718" s="3" t="str">
        <f>IFERROR( VLOOKUP(A2718,#REF!,2,0),"")</f>
        <v/>
      </c>
      <c r="G2718" s="3" t="str">
        <f t="array" ref="G2718">_xlfn.XLOOKUP(I2718,Base_Datos!D:D,Base_Datos!B:B,"")</f>
        <v>DFSK</v>
      </c>
      <c r="H2718" s="3" t="str">
        <f t="array" ref="H2718">IF(I2718="","",IFERROR(_xlfn.XLOOKUP(I2718,Base_Datos!$D$2:$D3876,Base_Datos!$C$2:$C3876),""))</f>
        <v>Serie D</v>
      </c>
      <c r="I2718" s="3" t="s">
        <v>973</v>
      </c>
      <c r="J2718" s="3" t="str">
        <f>IF(I2718="","",IFERROR(VLOOKUP(I2718,Base_Datos!$D$2:$E$72,2,0),""))</f>
        <v>(1.5L)</v>
      </c>
      <c r="K2718" s="3"/>
      <c r="L2718" s="3"/>
      <c r="M2718" s="7">
        <v>0</v>
      </c>
      <c r="N2718" s="7">
        <v>0</v>
      </c>
    </row>
    <row r="2719" spans="1:14" ht="14.25" x14ac:dyDescent="0.2">
      <c r="A2719" s="3">
        <v>99798</v>
      </c>
      <c r="B2719" s="3" t="s">
        <v>4611</v>
      </c>
      <c r="C2719" s="3" t="s">
        <v>27</v>
      </c>
      <c r="D2719" s="6" t="s">
        <v>1782</v>
      </c>
      <c r="E2719" s="6" t="s">
        <v>1782</v>
      </c>
      <c r="F2719" s="3" t="str">
        <f>IFERROR( VLOOKUP(A2719,#REF!,2,0),"")</f>
        <v/>
      </c>
      <c r="G2719" s="3" t="str">
        <f t="array" ref="G2719">_xlfn.XLOOKUP(I2719,Base_Datos!D:D,Base_Datos!B:B,"")</f>
        <v>DFSK</v>
      </c>
      <c r="H2719" s="3" t="str">
        <f t="array" ref="H2719">IF(I2719="","",IFERROR(_xlfn.XLOOKUP(I2719,Base_Datos!$D$2:$D3876,Base_Datos!$C$2:$C3876),""))</f>
        <v>Serie Glory</v>
      </c>
      <c r="I2719" s="3" t="s">
        <v>1754</v>
      </c>
      <c r="J2719" s="3" t="str">
        <f>IF(I2719="","",IFERROR(VLOOKUP(I2719,Base_Datos!$D$2:$E$72,2,0),""))</f>
        <v>(1.5L)</v>
      </c>
      <c r="K2719" s="3"/>
      <c r="L2719" s="3"/>
      <c r="M2719" s="7">
        <v>0</v>
      </c>
      <c r="N2719" s="7">
        <v>0</v>
      </c>
    </row>
    <row r="2720" spans="1:14" ht="14.25" x14ac:dyDescent="0.2">
      <c r="A2720" s="3">
        <v>99799</v>
      </c>
      <c r="B2720" s="3" t="s">
        <v>4681</v>
      </c>
      <c r="C2720" s="3" t="s">
        <v>27</v>
      </c>
      <c r="D2720" s="6" t="s">
        <v>1782</v>
      </c>
      <c r="E2720" s="6" t="s">
        <v>1782</v>
      </c>
      <c r="F2720" s="3" t="str">
        <f>IFERROR( VLOOKUP(A2720,#REF!,2,0),"")</f>
        <v/>
      </c>
      <c r="G2720" s="3" t="str">
        <f t="array" ref="G2720">_xlfn.XLOOKUP(I2720,Base_Datos!D:D,Base_Datos!B:B,"")</f>
        <v>DFSK</v>
      </c>
      <c r="H2720" s="3" t="str">
        <f t="array" ref="H2720">IF(I2720="","",IFERROR(_xlfn.XLOOKUP(I2720,Base_Datos!$D$2:$D3876,Base_Datos!$C$2:$C3876),""))</f>
        <v>Serie D</v>
      </c>
      <c r="I2720" s="3" t="s">
        <v>4682</v>
      </c>
      <c r="J2720" s="3" t="str">
        <f>IF(I2720="","",IFERROR(VLOOKUP(I2720,Base_Datos!$D$2:$E$72,2,0),""))</f>
        <v>(1.5L)</v>
      </c>
      <c r="K2720" s="3"/>
      <c r="L2720" s="3"/>
      <c r="M2720" s="7">
        <v>0</v>
      </c>
      <c r="N2720" s="7">
        <v>0</v>
      </c>
    </row>
    <row r="2721" spans="1:14" ht="14.25" x14ac:dyDescent="0.2">
      <c r="A2721" s="3">
        <v>99800</v>
      </c>
      <c r="B2721" s="3" t="s">
        <v>4683</v>
      </c>
      <c r="C2721" s="3" t="s">
        <v>2</v>
      </c>
      <c r="D2721" s="6" t="s">
        <v>1782</v>
      </c>
      <c r="E2721" s="6" t="s">
        <v>1782</v>
      </c>
      <c r="F2721" s="3" t="str">
        <f>IFERROR( VLOOKUP(A2721,#REF!,2,0),"")</f>
        <v/>
      </c>
      <c r="G2721" s="3" t="str">
        <f t="array" ref="G2721">_xlfn.XLOOKUP(I2721,Base_Datos!D:D,Base_Datos!B:B,"")</f>
        <v>DFSK</v>
      </c>
      <c r="H2721" s="3" t="str">
        <f t="array" ref="H2721">IF(I2721="","",IFERROR(_xlfn.XLOOKUP(I2721,Base_Datos!$D$2:$D3876,Base_Datos!$C$2:$C3876),""))</f>
        <v>Serie C</v>
      </c>
      <c r="I2721" s="3" t="s">
        <v>343</v>
      </c>
      <c r="J2721" s="3" t="str">
        <f>IF(I2721="","",IFERROR(VLOOKUP(I2721,Base_Datos!$D$2:$E$72,2,0),""))</f>
        <v>(1.5L)</v>
      </c>
      <c r="K2721" s="3"/>
      <c r="L2721" s="3"/>
      <c r="M2721" s="7">
        <v>0</v>
      </c>
      <c r="N2721" s="7">
        <v>0</v>
      </c>
    </row>
    <row r="2722" spans="1:14" ht="14.25" x14ac:dyDescent="0.2">
      <c r="A2722" s="3">
        <v>99801</v>
      </c>
      <c r="B2722" s="3" t="s">
        <v>2415</v>
      </c>
      <c r="C2722" s="3" t="s">
        <v>2</v>
      </c>
      <c r="D2722" s="6" t="s">
        <v>1782</v>
      </c>
      <c r="E2722" s="6" t="s">
        <v>1782</v>
      </c>
      <c r="F2722" s="3" t="str">
        <f>IFERROR( VLOOKUP(A2722,#REF!,2,0),"")</f>
        <v/>
      </c>
      <c r="G2722" s="3" t="str">
        <f t="array" ref="G2722">_xlfn.XLOOKUP(I2722,Base_Datos!D:D,Base_Datos!B:B,"")</f>
        <v>DFSK</v>
      </c>
      <c r="H2722" s="3" t="str">
        <f t="array" ref="H2722">IF(I2722="","",IFERROR(_xlfn.XLOOKUP(I2722,Base_Datos!$D$2:$D3876,Base_Datos!$C$2:$C3876),""))</f>
        <v>Serie C</v>
      </c>
      <c r="I2722" s="3" t="s">
        <v>343</v>
      </c>
      <c r="J2722" s="3" t="str">
        <f>IF(I2722="","",IFERROR(VLOOKUP(I2722,Base_Datos!$D$2:$E$72,2,0),""))</f>
        <v>(1.5L)</v>
      </c>
      <c r="K2722" s="3"/>
      <c r="L2722" s="3"/>
      <c r="M2722" s="7">
        <v>0</v>
      </c>
      <c r="N2722" s="7">
        <v>0</v>
      </c>
    </row>
    <row r="2723" spans="1:14" ht="14.25" x14ac:dyDescent="0.2">
      <c r="A2723" s="3">
        <v>99802</v>
      </c>
      <c r="B2723" s="3" t="s">
        <v>1781</v>
      </c>
      <c r="C2723" s="3" t="s">
        <v>2</v>
      </c>
      <c r="D2723" s="6" t="s">
        <v>1782</v>
      </c>
      <c r="E2723" s="6" t="s">
        <v>1782</v>
      </c>
      <c r="F2723" s="3" t="str">
        <f>IFERROR( VLOOKUP(A2723,#REF!,2,0),"")</f>
        <v/>
      </c>
      <c r="G2723" s="3" t="str">
        <f t="array" ref="G2723">_xlfn.XLOOKUP(I2723,Base_Datos!D:D,Base_Datos!B:B,"")</f>
        <v>DFSK</v>
      </c>
      <c r="H2723" s="3" t="str">
        <f t="array" ref="H2723">IF(I2723="","",IFERROR(_xlfn.XLOOKUP(I2723,Base_Datos!$D$2:$D3876,Base_Datos!$C$2:$C3876),""))</f>
        <v>Serie C</v>
      </c>
      <c r="I2723" s="3" t="s">
        <v>343</v>
      </c>
      <c r="J2723" s="3" t="str">
        <f>IF(I2723="","",IFERROR(VLOOKUP(I2723,Base_Datos!$D$2:$E$72,2,0),""))</f>
        <v>(1.5L)</v>
      </c>
      <c r="K2723" s="3"/>
      <c r="L2723" s="3"/>
      <c r="M2723" s="7">
        <v>0</v>
      </c>
      <c r="N2723" s="7">
        <v>0</v>
      </c>
    </row>
    <row r="2724" spans="1:14" ht="14.25" x14ac:dyDescent="0.2">
      <c r="A2724" s="3">
        <v>99803</v>
      </c>
      <c r="B2724" s="3" t="s">
        <v>3414</v>
      </c>
      <c r="C2724" s="3" t="s">
        <v>2</v>
      </c>
      <c r="D2724" s="6" t="s">
        <v>1782</v>
      </c>
      <c r="E2724" s="6" t="s">
        <v>1782</v>
      </c>
      <c r="F2724" s="3" t="str">
        <f>IFERROR( VLOOKUP(A2724,#REF!,2,0),"")</f>
        <v/>
      </c>
      <c r="G2724" s="3" t="str">
        <f t="array" ref="G2724">_xlfn.XLOOKUP(I2724,Base_Datos!D:D,Base_Datos!B:B,"")</f>
        <v>DFSK</v>
      </c>
      <c r="H2724" s="3" t="str">
        <f t="array" ref="H2724">IF(I2724="","",IFERROR(_xlfn.XLOOKUP(I2724,Base_Datos!$D$2:$D3876,Base_Datos!$C$2:$C3876),""))</f>
        <v>Serie C</v>
      </c>
      <c r="I2724" s="3" t="s">
        <v>343</v>
      </c>
      <c r="J2724" s="3" t="str">
        <f>IF(I2724="","",IFERROR(VLOOKUP(I2724,Base_Datos!$D$2:$E$72,2,0),""))</f>
        <v>(1.5L)</v>
      </c>
      <c r="K2724" s="3"/>
      <c r="L2724" s="3"/>
      <c r="M2724" s="7">
        <v>0</v>
      </c>
      <c r="N2724" s="7">
        <v>0</v>
      </c>
    </row>
    <row r="2725" spans="1:14" ht="14.25" x14ac:dyDescent="0.2">
      <c r="A2725" s="3">
        <v>99804</v>
      </c>
      <c r="B2725" s="3" t="s">
        <v>1870</v>
      </c>
      <c r="C2725" s="3" t="s">
        <v>2</v>
      </c>
      <c r="D2725" s="6" t="s">
        <v>1782</v>
      </c>
      <c r="E2725" s="6" t="s">
        <v>1782</v>
      </c>
      <c r="F2725" s="3" t="str">
        <f>IFERROR( VLOOKUP(A2725,#REF!,2,0),"")</f>
        <v/>
      </c>
      <c r="G2725" s="3" t="str">
        <f t="array" ref="G2725">_xlfn.XLOOKUP(I2725,Base_Datos!D:D,Base_Datos!B:B,"")</f>
        <v>DFSK</v>
      </c>
      <c r="H2725" s="3" t="str">
        <f t="array" ref="H2725">IF(I2725="","",IFERROR(_xlfn.XLOOKUP(I2725,Base_Datos!$D$2:$D3876,Base_Datos!$C$2:$C3876),""))</f>
        <v>Serie C</v>
      </c>
      <c r="I2725" s="3" t="s">
        <v>343</v>
      </c>
      <c r="J2725" s="3" t="str">
        <f>IF(I2725="","",IFERROR(VLOOKUP(I2725,Base_Datos!$D$2:$E$72,2,0),""))</f>
        <v>(1.5L)</v>
      </c>
      <c r="K2725" s="3"/>
      <c r="L2725" s="3"/>
      <c r="M2725" s="7">
        <v>0</v>
      </c>
      <c r="N2725" s="7">
        <v>0</v>
      </c>
    </row>
    <row r="2726" spans="1:14" ht="14.25" x14ac:dyDescent="0.2">
      <c r="A2726" s="3">
        <v>99805</v>
      </c>
      <c r="B2726" s="3" t="s">
        <v>1830</v>
      </c>
      <c r="C2726" s="3" t="s">
        <v>2</v>
      </c>
      <c r="D2726" s="6" t="s">
        <v>1782</v>
      </c>
      <c r="E2726" s="6" t="s">
        <v>1782</v>
      </c>
      <c r="F2726" s="3" t="str">
        <f>IFERROR( VLOOKUP(A2726,#REF!,2,0),"")</f>
        <v/>
      </c>
      <c r="G2726" s="3" t="str">
        <f t="array" ref="G2726">_xlfn.XLOOKUP(I2726,Base_Datos!D:D,Base_Datos!B:B,"")</f>
        <v>DFSK</v>
      </c>
      <c r="H2726" s="3" t="str">
        <f t="array" ref="H2726">IF(I2726="","",IFERROR(_xlfn.XLOOKUP(I2726,Base_Datos!$D$2:$D3876,Base_Datos!$C$2:$C3876),""))</f>
        <v>Serie C</v>
      </c>
      <c r="I2726" s="3" t="s">
        <v>343</v>
      </c>
      <c r="J2726" s="3" t="str">
        <f>IF(I2726="","",IFERROR(VLOOKUP(I2726,Base_Datos!$D$2:$E$72,2,0),""))</f>
        <v>(1.5L)</v>
      </c>
      <c r="K2726" s="3"/>
      <c r="L2726" s="3"/>
      <c r="M2726" s="7">
        <v>0</v>
      </c>
      <c r="N2726" s="7">
        <v>0</v>
      </c>
    </row>
    <row r="2727" spans="1:14" ht="14.25" x14ac:dyDescent="0.2">
      <c r="A2727" s="3">
        <v>99806</v>
      </c>
      <c r="B2727" s="3" t="s">
        <v>2411</v>
      </c>
      <c r="C2727" s="3" t="s">
        <v>2</v>
      </c>
      <c r="D2727" s="6" t="s">
        <v>1782</v>
      </c>
      <c r="E2727" s="6" t="s">
        <v>1782</v>
      </c>
      <c r="F2727" s="3" t="str">
        <f>IFERROR( VLOOKUP(A2727,#REF!,2,0),"")</f>
        <v/>
      </c>
      <c r="G2727" s="3" t="str">
        <f t="array" ref="G2727">_xlfn.XLOOKUP(I2727,Base_Datos!D:D,Base_Datos!B:B,"")</f>
        <v>DFSK</v>
      </c>
      <c r="H2727" s="3" t="str">
        <f t="array" ref="H2727">IF(I2727="","",IFERROR(_xlfn.XLOOKUP(I2727,Base_Datos!$D$2:$D3876,Base_Datos!$C$2:$C3876),""))</f>
        <v>Serie C</v>
      </c>
      <c r="I2727" s="3" t="s">
        <v>343</v>
      </c>
      <c r="J2727" s="3" t="str">
        <f>IF(I2727="","",IFERROR(VLOOKUP(I2727,Base_Datos!$D$2:$E$72,2,0),""))</f>
        <v>(1.5L)</v>
      </c>
      <c r="K2727" s="3"/>
      <c r="L2727" s="3"/>
      <c r="M2727" s="7">
        <v>0</v>
      </c>
      <c r="N2727" s="7">
        <v>0</v>
      </c>
    </row>
    <row r="2728" spans="1:14" ht="14.25" x14ac:dyDescent="0.2">
      <c r="A2728" s="3">
        <v>99807</v>
      </c>
      <c r="B2728" s="3" t="s">
        <v>2789</v>
      </c>
      <c r="C2728" s="3" t="s">
        <v>2</v>
      </c>
      <c r="D2728" s="6" t="s">
        <v>1782</v>
      </c>
      <c r="E2728" s="6" t="s">
        <v>1782</v>
      </c>
      <c r="F2728" s="3" t="str">
        <f>IFERROR( VLOOKUP(A2728,#REF!,2,0),"")</f>
        <v/>
      </c>
      <c r="G2728" s="3" t="str">
        <f t="array" ref="G2728">_xlfn.XLOOKUP(I2728,Base_Datos!D:D,Base_Datos!B:B,"")</f>
        <v>DFSK</v>
      </c>
      <c r="H2728" s="3" t="str">
        <f t="array" ref="H2728">IF(I2728="","",IFERROR(_xlfn.XLOOKUP(I2728,Base_Datos!$D$2:$D3876,Base_Datos!$C$2:$C3876),""))</f>
        <v>Serie C</v>
      </c>
      <c r="I2728" s="3" t="s">
        <v>343</v>
      </c>
      <c r="J2728" s="3" t="str">
        <f>IF(I2728="","",IFERROR(VLOOKUP(I2728,Base_Datos!$D$2:$E$72,2,0),""))</f>
        <v>(1.5L)</v>
      </c>
      <c r="K2728" s="3"/>
      <c r="L2728" s="3"/>
      <c r="M2728" s="7">
        <v>0</v>
      </c>
      <c r="N2728" s="7">
        <v>0</v>
      </c>
    </row>
    <row r="2729" spans="1:14" ht="14.25" x14ac:dyDescent="0.2">
      <c r="A2729" s="3">
        <v>99808</v>
      </c>
      <c r="B2729" s="3" t="s">
        <v>3150</v>
      </c>
      <c r="C2729" s="3" t="s">
        <v>2</v>
      </c>
      <c r="D2729" s="6" t="s">
        <v>1782</v>
      </c>
      <c r="E2729" s="6" t="s">
        <v>1782</v>
      </c>
      <c r="F2729" s="3" t="str">
        <f>IFERROR( VLOOKUP(A2729,#REF!,2,0),"")</f>
        <v/>
      </c>
      <c r="G2729" s="3" t="str">
        <f t="array" ref="G2729">_xlfn.XLOOKUP(I2729,Base_Datos!D:D,Base_Datos!B:B,"")</f>
        <v>DFSK</v>
      </c>
      <c r="H2729" s="3" t="str">
        <f t="array" ref="H2729">IF(I2729="","",IFERROR(_xlfn.XLOOKUP(I2729,Base_Datos!$D$2:$D3876,Base_Datos!$C$2:$C3876),""))</f>
        <v>Serie C</v>
      </c>
      <c r="I2729" s="3" t="s">
        <v>343</v>
      </c>
      <c r="J2729" s="3" t="str">
        <f>IF(I2729="","",IFERROR(VLOOKUP(I2729,Base_Datos!$D$2:$E$72,2,0),""))</f>
        <v>(1.5L)</v>
      </c>
      <c r="K2729" s="3"/>
      <c r="L2729" s="3"/>
      <c r="M2729" s="7">
        <v>0</v>
      </c>
      <c r="N2729" s="7">
        <v>0</v>
      </c>
    </row>
    <row r="2730" spans="1:14" ht="14.25" x14ac:dyDescent="0.2">
      <c r="A2730" s="3">
        <v>99809</v>
      </c>
      <c r="B2730" s="3" t="s">
        <v>3148</v>
      </c>
      <c r="C2730" s="3" t="s">
        <v>2</v>
      </c>
      <c r="D2730" s="6" t="s">
        <v>1782</v>
      </c>
      <c r="E2730" s="6" t="s">
        <v>1782</v>
      </c>
      <c r="F2730" s="3" t="str">
        <f>IFERROR( VLOOKUP(A2730,#REF!,2,0),"")</f>
        <v/>
      </c>
      <c r="G2730" s="3" t="str">
        <f t="array" ref="G2730">_xlfn.XLOOKUP(I2730,Base_Datos!D:D,Base_Datos!B:B,"")</f>
        <v>DFSK</v>
      </c>
      <c r="H2730" s="3" t="str">
        <f t="array" ref="H2730">IF(I2730="","",IFERROR(_xlfn.XLOOKUP(I2730,Base_Datos!$D$2:$D3876,Base_Datos!$C$2:$C3876),""))</f>
        <v>Serie C</v>
      </c>
      <c r="I2730" s="3" t="s">
        <v>343</v>
      </c>
      <c r="J2730" s="3" t="str">
        <f>IF(I2730="","",IFERROR(VLOOKUP(I2730,Base_Datos!$D$2:$E$72,2,0),""))</f>
        <v>(1.5L)</v>
      </c>
      <c r="K2730" s="3"/>
      <c r="L2730" s="3"/>
      <c r="M2730" s="7">
        <v>0</v>
      </c>
      <c r="N2730" s="7">
        <v>0</v>
      </c>
    </row>
    <row r="2731" spans="1:14" ht="14.25" x14ac:dyDescent="0.2">
      <c r="A2731" s="3">
        <v>99810</v>
      </c>
      <c r="B2731" s="3" t="s">
        <v>1884</v>
      </c>
      <c r="C2731" s="3" t="s">
        <v>2</v>
      </c>
      <c r="D2731" s="6" t="s">
        <v>1782</v>
      </c>
      <c r="E2731" s="6" t="s">
        <v>1782</v>
      </c>
      <c r="F2731" s="3" t="str">
        <f>IFERROR( VLOOKUP(A2731,#REF!,2,0),"")</f>
        <v/>
      </c>
      <c r="G2731" s="3" t="str">
        <f t="array" ref="G2731">_xlfn.XLOOKUP(I2731,Base_Datos!D:D,Base_Datos!B:B,"")</f>
        <v>DFSK</v>
      </c>
      <c r="H2731" s="3" t="str">
        <f t="array" ref="H2731">IF(I2731="","",IFERROR(_xlfn.XLOOKUP(I2731,Base_Datos!$D$2:$D3876,Base_Datos!$C$2:$C3876),""))</f>
        <v>Serie C</v>
      </c>
      <c r="I2731" s="3" t="s">
        <v>343</v>
      </c>
      <c r="J2731" s="3" t="str">
        <f>IF(I2731="","",IFERROR(VLOOKUP(I2731,Base_Datos!$D$2:$E$72,2,0),""))</f>
        <v>(1.5L)</v>
      </c>
      <c r="K2731" s="3"/>
      <c r="L2731" s="3"/>
      <c r="M2731" s="7">
        <v>0</v>
      </c>
      <c r="N2731" s="7">
        <v>0</v>
      </c>
    </row>
    <row r="2732" spans="1:14" ht="14.25" x14ac:dyDescent="0.2">
      <c r="A2732" s="3">
        <v>99811</v>
      </c>
      <c r="B2732" s="3" t="s">
        <v>3229</v>
      </c>
      <c r="C2732" s="3" t="s">
        <v>2</v>
      </c>
      <c r="D2732" s="6" t="s">
        <v>1782</v>
      </c>
      <c r="E2732" s="6" t="s">
        <v>1782</v>
      </c>
      <c r="F2732" s="3" t="str">
        <f>IFERROR( VLOOKUP(A2732,#REF!,2,0),"")</f>
        <v/>
      </c>
      <c r="G2732" s="3" t="str">
        <f t="array" ref="G2732">_xlfn.XLOOKUP(I2732,Base_Datos!D:D,Base_Datos!B:B,"")</f>
        <v>DFSK</v>
      </c>
      <c r="H2732" s="3" t="str">
        <f t="array" ref="H2732">IF(I2732="","",IFERROR(_xlfn.XLOOKUP(I2732,Base_Datos!$D$2:$D3876,Base_Datos!$C$2:$C3876),""))</f>
        <v>Serie C</v>
      </c>
      <c r="I2732" s="3" t="s">
        <v>343</v>
      </c>
      <c r="J2732" s="3" t="str">
        <f>IF(I2732="","",IFERROR(VLOOKUP(I2732,Base_Datos!$D$2:$E$72,2,0),""))</f>
        <v>(1.5L)</v>
      </c>
      <c r="K2732" s="3"/>
      <c r="L2732" s="3"/>
      <c r="M2732" s="7">
        <v>0</v>
      </c>
      <c r="N2732" s="7">
        <v>0</v>
      </c>
    </row>
    <row r="2733" spans="1:14" ht="14.25" x14ac:dyDescent="0.2">
      <c r="A2733" s="3">
        <v>99812</v>
      </c>
      <c r="B2733" s="3" t="s">
        <v>4684</v>
      </c>
      <c r="C2733" s="3" t="s">
        <v>2</v>
      </c>
      <c r="D2733" s="6" t="s">
        <v>1782</v>
      </c>
      <c r="E2733" s="6" t="s">
        <v>1782</v>
      </c>
      <c r="F2733" s="3" t="str">
        <f>IFERROR( VLOOKUP(A2733,#REF!,2,0),"")</f>
        <v/>
      </c>
      <c r="G2733" s="3" t="str">
        <f t="array" ref="G2733">_xlfn.XLOOKUP(I2733,Base_Datos!D:D,Base_Datos!B:B,"")</f>
        <v>DFSK</v>
      </c>
      <c r="H2733" s="3" t="str">
        <f t="array" ref="H2733">IF(I2733="","",IFERROR(_xlfn.XLOOKUP(I2733,Base_Datos!$D$2:$D3876,Base_Datos!$C$2:$C3876),""))</f>
        <v>Serie C</v>
      </c>
      <c r="I2733" s="3" t="s">
        <v>343</v>
      </c>
      <c r="J2733" s="3" t="str">
        <f>IF(I2733="","",IFERROR(VLOOKUP(I2733,Base_Datos!$D$2:$E$72,2,0),""))</f>
        <v>(1.5L)</v>
      </c>
      <c r="K2733" s="3"/>
      <c r="L2733" s="3"/>
      <c r="M2733" s="7">
        <v>0</v>
      </c>
      <c r="N2733" s="7">
        <v>0</v>
      </c>
    </row>
    <row r="2734" spans="1:14" ht="14.25" x14ac:dyDescent="0.2">
      <c r="A2734" s="3">
        <v>99813</v>
      </c>
      <c r="B2734" s="3" t="s">
        <v>2404</v>
      </c>
      <c r="C2734" s="3" t="s">
        <v>2</v>
      </c>
      <c r="D2734" s="6" t="s">
        <v>1782</v>
      </c>
      <c r="E2734" s="6" t="s">
        <v>1782</v>
      </c>
      <c r="F2734" s="3" t="str">
        <f>IFERROR( VLOOKUP(A2734,#REF!,2,0),"")</f>
        <v/>
      </c>
      <c r="G2734" s="3" t="str">
        <f t="array" ref="G2734">_xlfn.XLOOKUP(I2734,Base_Datos!D:D,Base_Datos!B:B,"")</f>
        <v>DFSK</v>
      </c>
      <c r="H2734" s="3" t="str">
        <f t="array" ref="H2734">IF(I2734="","",IFERROR(_xlfn.XLOOKUP(I2734,Base_Datos!$D$2:$D3876,Base_Datos!$C$2:$C3876),""))</f>
        <v>Serie C</v>
      </c>
      <c r="I2734" s="3" t="s">
        <v>343</v>
      </c>
      <c r="J2734" s="3" t="str">
        <f>IF(I2734="","",IFERROR(VLOOKUP(I2734,Base_Datos!$D$2:$E$72,2,0),""))</f>
        <v>(1.5L)</v>
      </c>
      <c r="K2734" s="3"/>
      <c r="L2734" s="3"/>
      <c r="M2734" s="7">
        <v>0</v>
      </c>
      <c r="N2734" s="7">
        <v>0</v>
      </c>
    </row>
    <row r="2735" spans="1:14" ht="14.25" x14ac:dyDescent="0.2">
      <c r="A2735" s="3">
        <v>99814</v>
      </c>
      <c r="B2735" s="3" t="s">
        <v>4685</v>
      </c>
      <c r="C2735" s="3" t="s">
        <v>2</v>
      </c>
      <c r="D2735" s="6" t="s">
        <v>1782</v>
      </c>
      <c r="E2735" s="6" t="s">
        <v>1782</v>
      </c>
      <c r="F2735" s="3" t="str">
        <f>IFERROR( VLOOKUP(A2735,#REF!,2,0),"")</f>
        <v/>
      </c>
      <c r="G2735" s="3" t="str">
        <f t="array" ref="G2735">_xlfn.XLOOKUP(I2735,Base_Datos!D:D,Base_Datos!B:B,"")</f>
        <v>DFSK</v>
      </c>
      <c r="H2735" s="3" t="str">
        <f t="array" ref="H2735">IF(I2735="","",IFERROR(_xlfn.XLOOKUP(I2735,Base_Datos!$D$2:$D3876,Base_Datos!$C$2:$C3876),""))</f>
        <v>Serie C</v>
      </c>
      <c r="I2735" s="3" t="s">
        <v>343</v>
      </c>
      <c r="J2735" s="3" t="str">
        <f>IF(I2735="","",IFERROR(VLOOKUP(I2735,Base_Datos!$D$2:$E$72,2,0),""))</f>
        <v>(1.5L)</v>
      </c>
      <c r="K2735" s="3"/>
      <c r="L2735" s="3"/>
      <c r="M2735" s="7">
        <v>0</v>
      </c>
      <c r="N2735" s="7">
        <v>0</v>
      </c>
    </row>
    <row r="2736" spans="1:14" ht="14.25" x14ac:dyDescent="0.2">
      <c r="A2736" s="3">
        <v>99815</v>
      </c>
      <c r="B2736" s="3" t="s">
        <v>4686</v>
      </c>
      <c r="C2736" s="3" t="s">
        <v>18</v>
      </c>
      <c r="D2736" s="6" t="s">
        <v>1782</v>
      </c>
      <c r="E2736" s="6" t="s">
        <v>1782</v>
      </c>
      <c r="F2736" s="3" t="str">
        <f>IFERROR( VLOOKUP(A2736,#REF!,2,0),"")</f>
        <v/>
      </c>
      <c r="G2736" s="3" t="str">
        <f t="array" ref="G2736">_xlfn.XLOOKUP(I2736,Base_Datos!D:D,Base_Datos!B:B,"")</f>
        <v>DFSK</v>
      </c>
      <c r="H2736" s="3" t="str">
        <f t="array" ref="H2736">IF(I2736="","",IFERROR(_xlfn.XLOOKUP(I2736,Base_Datos!$D$2:$D3876,Base_Datos!$C$2:$C3876),""))</f>
        <v>Serie C</v>
      </c>
      <c r="I2736" s="3" t="s">
        <v>265</v>
      </c>
      <c r="J2736" s="3" t="str">
        <f>IF(I2736="","",IFERROR(VLOOKUP(I2736,Base_Datos!$D$2:$E$72,2,0),""))</f>
        <v>(1.5L)</v>
      </c>
      <c r="K2736" s="3"/>
      <c r="L2736" s="3"/>
      <c r="M2736" s="7">
        <v>0</v>
      </c>
      <c r="N2736" s="7">
        <v>0</v>
      </c>
    </row>
    <row r="2737" spans="1:14" ht="14.25" x14ac:dyDescent="0.2">
      <c r="A2737" s="3">
        <v>99816</v>
      </c>
      <c r="B2737" s="3" t="s">
        <v>4687</v>
      </c>
      <c r="C2737" s="3" t="s">
        <v>18</v>
      </c>
      <c r="D2737" s="6" t="s">
        <v>1782</v>
      </c>
      <c r="E2737" s="6" t="s">
        <v>1782</v>
      </c>
      <c r="F2737" s="3" t="str">
        <f>IFERROR( VLOOKUP(A2737,#REF!,2,0),"")</f>
        <v/>
      </c>
      <c r="G2737" s="3" t="str">
        <f t="array" ref="G2737">_xlfn.XLOOKUP(I2737,Base_Datos!D:D,Base_Datos!B:B,"")</f>
        <v>DFSK</v>
      </c>
      <c r="H2737" s="3" t="str">
        <f t="array" ref="H2737">IF(I2737="","",IFERROR(_xlfn.XLOOKUP(I2737,Base_Datos!$D$2:$D3876,Base_Datos!$C$2:$C3876),""))</f>
        <v>Serie C</v>
      </c>
      <c r="I2737" s="3" t="s">
        <v>265</v>
      </c>
      <c r="J2737" s="3" t="str">
        <f>IF(I2737="","",IFERROR(VLOOKUP(I2737,Base_Datos!$D$2:$E$72,2,0),""))</f>
        <v>(1.5L)</v>
      </c>
      <c r="K2737" s="3"/>
      <c r="L2737" s="3"/>
      <c r="M2737" s="7">
        <v>0</v>
      </c>
      <c r="N2737" s="7">
        <v>0</v>
      </c>
    </row>
    <row r="2738" spans="1:14" ht="14.25" x14ac:dyDescent="0.2">
      <c r="A2738" s="3">
        <v>99817</v>
      </c>
      <c r="B2738" s="3" t="s">
        <v>2415</v>
      </c>
      <c r="C2738" s="3" t="s">
        <v>18</v>
      </c>
      <c r="D2738" s="6" t="s">
        <v>1782</v>
      </c>
      <c r="E2738" s="6" t="s">
        <v>1782</v>
      </c>
      <c r="F2738" s="3" t="str">
        <f>IFERROR( VLOOKUP(A2738,#REF!,2,0),"")</f>
        <v/>
      </c>
      <c r="G2738" s="3" t="str">
        <f t="array" ref="G2738">_xlfn.XLOOKUP(I2738,Base_Datos!D:D,Base_Datos!B:B,"")</f>
        <v>DFSK</v>
      </c>
      <c r="H2738" s="3" t="str">
        <f t="array" ref="H2738">IF(I2738="","",IFERROR(_xlfn.XLOOKUP(I2738,Base_Datos!$D$2:$D3876,Base_Datos!$C$2:$C3876),""))</f>
        <v>Serie C</v>
      </c>
      <c r="I2738" s="3" t="s">
        <v>265</v>
      </c>
      <c r="J2738" s="3" t="str">
        <f>IF(I2738="","",IFERROR(VLOOKUP(I2738,Base_Datos!$D$2:$E$72,2,0),""))</f>
        <v>(1.5L)</v>
      </c>
      <c r="K2738" s="3"/>
      <c r="L2738" s="3"/>
      <c r="M2738" s="7">
        <v>0</v>
      </c>
      <c r="N2738" s="7">
        <v>0</v>
      </c>
    </row>
    <row r="2739" spans="1:14" ht="14.25" x14ac:dyDescent="0.2">
      <c r="A2739" s="3">
        <v>99818</v>
      </c>
      <c r="B2739" s="3" t="s">
        <v>4688</v>
      </c>
      <c r="C2739" s="3" t="s">
        <v>18</v>
      </c>
      <c r="D2739" s="6" t="s">
        <v>1782</v>
      </c>
      <c r="E2739" s="6" t="s">
        <v>1782</v>
      </c>
      <c r="F2739" s="3" t="str">
        <f>IFERROR( VLOOKUP(A2739,#REF!,2,0),"")</f>
        <v/>
      </c>
      <c r="G2739" s="3" t="str">
        <f t="array" ref="G2739">_xlfn.XLOOKUP(I2739,Base_Datos!D:D,Base_Datos!B:B,"")</f>
        <v>DFSK</v>
      </c>
      <c r="H2739" s="3" t="str">
        <f t="array" ref="H2739">IF(I2739="","",IFERROR(_xlfn.XLOOKUP(I2739,Base_Datos!$D$2:$D3876,Base_Datos!$C$2:$C3876),""))</f>
        <v>Serie C</v>
      </c>
      <c r="I2739" s="3" t="s">
        <v>265</v>
      </c>
      <c r="J2739" s="3" t="str">
        <f>IF(I2739="","",IFERROR(VLOOKUP(I2739,Base_Datos!$D$2:$E$72,2,0),""))</f>
        <v>(1.5L)</v>
      </c>
      <c r="K2739" s="3"/>
      <c r="L2739" s="3"/>
      <c r="M2739" s="7">
        <v>0</v>
      </c>
      <c r="N2739" s="7">
        <v>0</v>
      </c>
    </row>
    <row r="2740" spans="1:14" ht="14.25" x14ac:dyDescent="0.2">
      <c r="A2740" s="3">
        <v>99819</v>
      </c>
      <c r="B2740" s="3" t="s">
        <v>4689</v>
      </c>
      <c r="C2740" s="3" t="s">
        <v>18</v>
      </c>
      <c r="D2740" s="6" t="s">
        <v>1782</v>
      </c>
      <c r="E2740" s="6" t="s">
        <v>1782</v>
      </c>
      <c r="F2740" s="3" t="str">
        <f>IFERROR( VLOOKUP(A2740,#REF!,2,0),"")</f>
        <v/>
      </c>
      <c r="G2740" s="3" t="str">
        <f t="array" ref="G2740">_xlfn.XLOOKUP(I2740,Base_Datos!D:D,Base_Datos!B:B,"")</f>
        <v>DFSK</v>
      </c>
      <c r="H2740" s="3" t="str">
        <f t="array" ref="H2740">IF(I2740="","",IFERROR(_xlfn.XLOOKUP(I2740,Base_Datos!$D$2:$D3876,Base_Datos!$C$2:$C3876),""))</f>
        <v>Serie C</v>
      </c>
      <c r="I2740" s="3" t="s">
        <v>265</v>
      </c>
      <c r="J2740" s="3" t="str">
        <f>IF(I2740="","",IFERROR(VLOOKUP(I2740,Base_Datos!$D$2:$E$72,2,0),""))</f>
        <v>(1.5L)</v>
      </c>
      <c r="K2740" s="3"/>
      <c r="L2740" s="3"/>
      <c r="M2740" s="7">
        <v>0</v>
      </c>
      <c r="N2740" s="7">
        <v>0</v>
      </c>
    </row>
    <row r="2741" spans="1:14" ht="14.25" x14ac:dyDescent="0.2">
      <c r="A2741" s="3">
        <v>99820</v>
      </c>
      <c r="B2741" s="3" t="s">
        <v>4690</v>
      </c>
      <c r="C2741" s="3" t="s">
        <v>18</v>
      </c>
      <c r="D2741" s="6" t="s">
        <v>1782</v>
      </c>
      <c r="E2741" s="6" t="s">
        <v>1782</v>
      </c>
      <c r="F2741" s="3" t="str">
        <f>IFERROR( VLOOKUP(A2741,#REF!,2,0),"")</f>
        <v/>
      </c>
      <c r="G2741" s="3" t="str">
        <f t="array" ref="G2741">_xlfn.XLOOKUP(I2741,Base_Datos!D:D,Base_Datos!B:B,"")</f>
        <v>DFSK</v>
      </c>
      <c r="H2741" s="3" t="str">
        <f t="array" ref="H2741">IF(I2741="","",IFERROR(_xlfn.XLOOKUP(I2741,Base_Datos!$D$2:$D3876,Base_Datos!$C$2:$C3876),""))</f>
        <v>Serie C</v>
      </c>
      <c r="I2741" s="3" t="s">
        <v>265</v>
      </c>
      <c r="J2741" s="3" t="str">
        <f>IF(I2741="","",IFERROR(VLOOKUP(I2741,Base_Datos!$D$2:$E$72,2,0),""))</f>
        <v>(1.5L)</v>
      </c>
      <c r="K2741" s="3"/>
      <c r="L2741" s="3"/>
      <c r="M2741" s="7">
        <v>0</v>
      </c>
      <c r="N2741" s="7">
        <v>0</v>
      </c>
    </row>
    <row r="2742" spans="1:14" ht="14.25" x14ac:dyDescent="0.2">
      <c r="A2742" s="3">
        <v>99821</v>
      </c>
      <c r="B2742" s="3" t="s">
        <v>1878</v>
      </c>
      <c r="C2742" s="3" t="s">
        <v>18</v>
      </c>
      <c r="D2742" s="6" t="s">
        <v>1782</v>
      </c>
      <c r="E2742" s="6" t="s">
        <v>1782</v>
      </c>
      <c r="F2742" s="3" t="str">
        <f>IFERROR( VLOOKUP(A2742,#REF!,2,0),"")</f>
        <v/>
      </c>
      <c r="G2742" s="3" t="str">
        <f t="array" ref="G2742">_xlfn.XLOOKUP(I2742,Base_Datos!D:D,Base_Datos!B:B,"")</f>
        <v>DFSK</v>
      </c>
      <c r="H2742" s="3" t="str">
        <f t="array" ref="H2742">IF(I2742="","",IFERROR(_xlfn.XLOOKUP(I2742,Base_Datos!$D$2:$D3876,Base_Datos!$C$2:$C3876),""))</f>
        <v>Serie C</v>
      </c>
      <c r="I2742" s="3" t="s">
        <v>265</v>
      </c>
      <c r="J2742" s="3" t="str">
        <f>IF(I2742="","",IFERROR(VLOOKUP(I2742,Base_Datos!$D$2:$E$72,2,0),""))</f>
        <v>(1.5L)</v>
      </c>
      <c r="K2742" s="3"/>
      <c r="L2742" s="3"/>
      <c r="M2742" s="7">
        <v>0</v>
      </c>
      <c r="N2742" s="7">
        <v>0</v>
      </c>
    </row>
    <row r="2743" spans="1:14" ht="14.25" x14ac:dyDescent="0.2">
      <c r="A2743" s="3">
        <v>99822</v>
      </c>
      <c r="B2743" s="3" t="s">
        <v>2245</v>
      </c>
      <c r="C2743" s="3" t="s">
        <v>18</v>
      </c>
      <c r="D2743" s="6" t="s">
        <v>1782</v>
      </c>
      <c r="E2743" s="6" t="s">
        <v>1782</v>
      </c>
      <c r="F2743" s="3" t="str">
        <f>IFERROR( VLOOKUP(A2743,#REF!,2,0),"")</f>
        <v/>
      </c>
      <c r="G2743" s="3" t="str">
        <f t="array" ref="G2743">_xlfn.XLOOKUP(I2743,Base_Datos!D:D,Base_Datos!B:B,"")</f>
        <v>DFSK</v>
      </c>
      <c r="H2743" s="3" t="str">
        <f t="array" ref="H2743">IF(I2743="","",IFERROR(_xlfn.XLOOKUP(I2743,Base_Datos!$D$2:$D3876,Base_Datos!$C$2:$C3876),""))</f>
        <v>Serie C</v>
      </c>
      <c r="I2743" s="3" t="s">
        <v>265</v>
      </c>
      <c r="J2743" s="3" t="str">
        <f>IF(I2743="","",IFERROR(VLOOKUP(I2743,Base_Datos!$D$2:$E$72,2,0),""))</f>
        <v>(1.5L)</v>
      </c>
      <c r="K2743" s="3"/>
      <c r="L2743" s="3"/>
      <c r="M2743" s="7">
        <v>0</v>
      </c>
      <c r="N2743" s="7">
        <v>0</v>
      </c>
    </row>
    <row r="2744" spans="1:14" ht="14.25" x14ac:dyDescent="0.2">
      <c r="A2744" s="3">
        <v>99823</v>
      </c>
      <c r="B2744" s="3" t="s">
        <v>3229</v>
      </c>
      <c r="C2744" s="3" t="s">
        <v>18</v>
      </c>
      <c r="D2744" s="6" t="s">
        <v>1782</v>
      </c>
      <c r="E2744" s="6" t="s">
        <v>1782</v>
      </c>
      <c r="F2744" s="3" t="str">
        <f>IFERROR( VLOOKUP(A2744,#REF!,2,0),"")</f>
        <v/>
      </c>
      <c r="G2744" s="3" t="str">
        <f t="array" ref="G2744">_xlfn.XLOOKUP(I2744,Base_Datos!D:D,Base_Datos!B:B,"")</f>
        <v>DFSK</v>
      </c>
      <c r="H2744" s="3" t="str">
        <f t="array" ref="H2744">IF(I2744="","",IFERROR(_xlfn.XLOOKUP(I2744,Base_Datos!$D$2:$D3876,Base_Datos!$C$2:$C3876),""))</f>
        <v>Serie C</v>
      </c>
      <c r="I2744" s="3" t="s">
        <v>265</v>
      </c>
      <c r="J2744" s="3" t="str">
        <f>IF(I2744="","",IFERROR(VLOOKUP(I2744,Base_Datos!$D$2:$E$72,2,0),""))</f>
        <v>(1.5L)</v>
      </c>
      <c r="K2744" s="3"/>
      <c r="L2744" s="3"/>
      <c r="M2744" s="7">
        <v>0</v>
      </c>
      <c r="N2744" s="7">
        <v>0</v>
      </c>
    </row>
    <row r="2745" spans="1:14" ht="14.25" x14ac:dyDescent="0.2">
      <c r="A2745" s="3">
        <v>99824</v>
      </c>
      <c r="B2745" s="3" t="s">
        <v>2404</v>
      </c>
      <c r="C2745" s="3" t="s">
        <v>18</v>
      </c>
      <c r="D2745" s="6" t="s">
        <v>1782</v>
      </c>
      <c r="E2745" s="6" t="s">
        <v>1782</v>
      </c>
      <c r="F2745" s="3" t="str">
        <f>IFERROR( VLOOKUP(A2745,#REF!,2,0),"")</f>
        <v/>
      </c>
      <c r="G2745" s="3" t="str">
        <f t="array" ref="G2745">_xlfn.XLOOKUP(I2745,Base_Datos!D:D,Base_Datos!B:B,"")</f>
        <v>DFSK</v>
      </c>
      <c r="H2745" s="3" t="str">
        <f t="array" ref="H2745">IF(I2745="","",IFERROR(_xlfn.XLOOKUP(I2745,Base_Datos!$D$2:$D3876,Base_Datos!$C$2:$C3876),""))</f>
        <v>Serie C</v>
      </c>
      <c r="I2745" s="3" t="s">
        <v>265</v>
      </c>
      <c r="J2745" s="3" t="str">
        <f>IF(I2745="","",IFERROR(VLOOKUP(I2745,Base_Datos!$D$2:$E$72,2,0),""))</f>
        <v>(1.5L)</v>
      </c>
      <c r="K2745" s="3"/>
      <c r="L2745" s="3"/>
      <c r="M2745" s="7">
        <v>0</v>
      </c>
      <c r="N2745" s="7">
        <v>0</v>
      </c>
    </row>
    <row r="2746" spans="1:14" ht="14.25" x14ac:dyDescent="0.2">
      <c r="A2746" s="3">
        <v>99825</v>
      </c>
      <c r="B2746" s="3" t="s">
        <v>4685</v>
      </c>
      <c r="C2746" s="3" t="s">
        <v>18</v>
      </c>
      <c r="D2746" s="6" t="s">
        <v>1782</v>
      </c>
      <c r="E2746" s="6" t="s">
        <v>1782</v>
      </c>
      <c r="F2746" s="3" t="str">
        <f>IFERROR( VLOOKUP(A2746,#REF!,2,0),"")</f>
        <v/>
      </c>
      <c r="G2746" s="3" t="str">
        <f t="array" ref="G2746">_xlfn.XLOOKUP(I2746,Base_Datos!D:D,Base_Datos!B:B,"")</f>
        <v>DFSK</v>
      </c>
      <c r="H2746" s="3" t="str">
        <f t="array" ref="H2746">IF(I2746="","",IFERROR(_xlfn.XLOOKUP(I2746,Base_Datos!$D$2:$D3876,Base_Datos!$C$2:$C3876),""))</f>
        <v>Serie C</v>
      </c>
      <c r="I2746" s="3" t="s">
        <v>265</v>
      </c>
      <c r="J2746" s="3" t="str">
        <f>IF(I2746="","",IFERROR(VLOOKUP(I2746,Base_Datos!$D$2:$E$72,2,0),""))</f>
        <v>(1.5L)</v>
      </c>
      <c r="K2746" s="3"/>
      <c r="L2746" s="3"/>
      <c r="M2746" s="7">
        <v>0</v>
      </c>
      <c r="N2746" s="7">
        <v>0</v>
      </c>
    </row>
    <row r="2747" spans="1:14" ht="14.25" x14ac:dyDescent="0.2">
      <c r="A2747" s="3">
        <v>99826</v>
      </c>
      <c r="B2747" s="3" t="s">
        <v>4691</v>
      </c>
      <c r="C2747" s="3" t="s">
        <v>18</v>
      </c>
      <c r="D2747" s="6" t="s">
        <v>1782</v>
      </c>
      <c r="E2747" s="6" t="s">
        <v>1782</v>
      </c>
      <c r="F2747" s="3" t="str">
        <f>IFERROR( VLOOKUP(A2747,#REF!,2,0),"")</f>
        <v/>
      </c>
      <c r="G2747" s="3" t="str">
        <f t="array" ref="G2747">_xlfn.XLOOKUP(I2747,Base_Datos!D:D,Base_Datos!B:B,"")</f>
        <v>DFSK</v>
      </c>
      <c r="H2747" s="3" t="str">
        <f t="array" ref="H2747">IF(I2747="","",IFERROR(_xlfn.XLOOKUP(I2747,Base_Datos!$D$2:$D3876,Base_Datos!$C$2:$C3876),""))</f>
        <v>Serie C</v>
      </c>
      <c r="I2747" s="3" t="s">
        <v>265</v>
      </c>
      <c r="J2747" s="3" t="str">
        <f>IF(I2747="","",IFERROR(VLOOKUP(I2747,Base_Datos!$D$2:$E$72,2,0),""))</f>
        <v>(1.5L)</v>
      </c>
      <c r="K2747" s="3"/>
      <c r="L2747" s="3"/>
      <c r="M2747" s="7">
        <v>0</v>
      </c>
      <c r="N2747" s="7">
        <v>0</v>
      </c>
    </row>
    <row r="2748" spans="1:14" ht="14.25" x14ac:dyDescent="0.2">
      <c r="A2748" s="3">
        <v>99827</v>
      </c>
      <c r="B2748" s="3" t="s">
        <v>4692</v>
      </c>
      <c r="C2748" s="3" t="s">
        <v>18</v>
      </c>
      <c r="D2748" s="6" t="s">
        <v>1782</v>
      </c>
      <c r="E2748" s="6" t="s">
        <v>1782</v>
      </c>
      <c r="F2748" s="3" t="str">
        <f>IFERROR( VLOOKUP(A2748,#REF!,2,0),"")</f>
        <v/>
      </c>
      <c r="G2748" s="3" t="str">
        <f t="array" ref="G2748">_xlfn.XLOOKUP(I2748,Base_Datos!D:D,Base_Datos!B:B,"")</f>
        <v>DFSK</v>
      </c>
      <c r="H2748" s="3" t="str">
        <f t="array" ref="H2748">IF(I2748="","",IFERROR(_xlfn.XLOOKUP(I2748,Base_Datos!$D$2:$D3876,Base_Datos!$C$2:$C3876),""))</f>
        <v>Serie C</v>
      </c>
      <c r="I2748" s="3" t="s">
        <v>265</v>
      </c>
      <c r="J2748" s="3" t="str">
        <f>IF(I2748="","",IFERROR(VLOOKUP(I2748,Base_Datos!$D$2:$E$72,2,0),""))</f>
        <v>(1.5L)</v>
      </c>
      <c r="K2748" s="3"/>
      <c r="L2748" s="3"/>
      <c r="M2748" s="7">
        <v>0</v>
      </c>
      <c r="N2748" s="7">
        <v>0</v>
      </c>
    </row>
    <row r="2749" spans="1:14" ht="14.25" x14ac:dyDescent="0.2">
      <c r="A2749" s="3">
        <v>99828</v>
      </c>
      <c r="B2749" s="3" t="s">
        <v>4693</v>
      </c>
      <c r="C2749" s="3" t="s">
        <v>18</v>
      </c>
      <c r="D2749" s="6" t="s">
        <v>1782</v>
      </c>
      <c r="E2749" s="6" t="s">
        <v>1782</v>
      </c>
      <c r="F2749" s="3" t="str">
        <f>IFERROR( VLOOKUP(A2749,#REF!,2,0),"")</f>
        <v/>
      </c>
      <c r="G2749" s="3" t="str">
        <f t="array" ref="G2749">_xlfn.XLOOKUP(I2749,Base_Datos!D:D,Base_Datos!B:B,"")</f>
        <v>DFSK</v>
      </c>
      <c r="H2749" s="3" t="str">
        <f t="array" ref="H2749">IF(I2749="","",IFERROR(_xlfn.XLOOKUP(I2749,Base_Datos!$D$2:$D3876,Base_Datos!$C$2:$C3876),""))</f>
        <v>Serie C</v>
      </c>
      <c r="I2749" s="3" t="s">
        <v>265</v>
      </c>
      <c r="J2749" s="3" t="str">
        <f>IF(I2749="","",IFERROR(VLOOKUP(I2749,Base_Datos!$D$2:$E$72,2,0),""))</f>
        <v>(1.5L)</v>
      </c>
      <c r="K2749" s="3"/>
      <c r="L2749" s="3"/>
      <c r="M2749" s="7">
        <v>0</v>
      </c>
      <c r="N2749" s="7">
        <v>0</v>
      </c>
    </row>
    <row r="2750" spans="1:14" ht="14.25" x14ac:dyDescent="0.2">
      <c r="A2750" s="3">
        <v>99829</v>
      </c>
      <c r="B2750" s="3" t="s">
        <v>4686</v>
      </c>
      <c r="C2750" s="3" t="s">
        <v>2</v>
      </c>
      <c r="D2750" s="6" t="s">
        <v>1782</v>
      </c>
      <c r="E2750" s="6" t="s">
        <v>1782</v>
      </c>
      <c r="F2750" s="3" t="str">
        <f>IFERROR( VLOOKUP(A2750,#REF!,2,0),"")</f>
        <v/>
      </c>
      <c r="G2750" s="3" t="str">
        <f t="array" ref="G2750">_xlfn.XLOOKUP(I2750,Base_Datos!D:D,Base_Datos!B:B,"")</f>
        <v>DFSK</v>
      </c>
      <c r="H2750" s="3" t="str">
        <f t="array" ref="H2750">IF(I2750="","",IFERROR(_xlfn.XLOOKUP(I2750,Base_Datos!$D$2:$D3876,Base_Datos!$C$2:$C3876),""))</f>
        <v>Serie Glory</v>
      </c>
      <c r="I2750" s="3" t="s">
        <v>1765</v>
      </c>
      <c r="J2750" s="3" t="str">
        <f>IF(I2750="","",IFERROR(VLOOKUP(I2750,Base_Datos!$D$2:$E$72,2,0),""))</f>
        <v>(1.5L)</v>
      </c>
      <c r="K2750" s="3"/>
      <c r="L2750" s="3"/>
      <c r="M2750" s="7">
        <v>0</v>
      </c>
      <c r="N2750" s="7">
        <v>0</v>
      </c>
    </row>
    <row r="2751" spans="1:14" ht="14.25" x14ac:dyDescent="0.2">
      <c r="A2751" s="3">
        <v>99830</v>
      </c>
      <c r="B2751" s="3" t="s">
        <v>4686</v>
      </c>
      <c r="C2751" s="3" t="s">
        <v>18</v>
      </c>
      <c r="D2751" s="6" t="s">
        <v>1782</v>
      </c>
      <c r="E2751" s="6" t="s">
        <v>1782</v>
      </c>
      <c r="F2751" s="3" t="str">
        <f>IFERROR( VLOOKUP(A2751,#REF!,2,0),"")</f>
        <v/>
      </c>
      <c r="G2751" s="3" t="str">
        <f t="array" ref="G2751">_xlfn.XLOOKUP(I2751,Base_Datos!D:D,Base_Datos!B:B,"")</f>
        <v>DFSK</v>
      </c>
      <c r="H2751" s="3" t="str">
        <f t="array" ref="H2751">IF(I2751="","",IFERROR(_xlfn.XLOOKUP(I2751,Base_Datos!$D$2:$D3876,Base_Datos!$C$2:$C3876),""))</f>
        <v>Serie Glory</v>
      </c>
      <c r="I2751" s="3" t="s">
        <v>1765</v>
      </c>
      <c r="J2751" s="3" t="str">
        <f>IF(I2751="","",IFERROR(VLOOKUP(I2751,Base_Datos!$D$2:$E$72,2,0),""))</f>
        <v>(1.5L)</v>
      </c>
      <c r="K2751" s="3"/>
      <c r="L2751" s="3"/>
      <c r="M2751" s="7">
        <v>0</v>
      </c>
      <c r="N2751" s="7">
        <v>0</v>
      </c>
    </row>
    <row r="2752" spans="1:14" ht="14.25" x14ac:dyDescent="0.2">
      <c r="A2752" s="3">
        <v>99831</v>
      </c>
      <c r="B2752" s="3" t="s">
        <v>4694</v>
      </c>
      <c r="C2752" s="3" t="s">
        <v>18</v>
      </c>
      <c r="D2752" s="6" t="s">
        <v>1782</v>
      </c>
      <c r="E2752" s="6" t="s">
        <v>1782</v>
      </c>
      <c r="F2752" s="3" t="str">
        <f>IFERROR( VLOOKUP(A2752,#REF!,2,0),"")</f>
        <v/>
      </c>
      <c r="G2752" s="3" t="str">
        <f t="array" ref="G2752">_xlfn.XLOOKUP(I2752,Base_Datos!D:D,Base_Datos!B:B,"")</f>
        <v>DFSK</v>
      </c>
      <c r="H2752" s="3" t="str">
        <f t="array" ref="H2752">IF(I2752="","",IFERROR(_xlfn.XLOOKUP(I2752,Base_Datos!$D$2:$D3876,Base_Datos!$C$2:$C3876),""))</f>
        <v>Serie Glory</v>
      </c>
      <c r="I2752" s="3" t="s">
        <v>1765</v>
      </c>
      <c r="J2752" s="3" t="str">
        <f>IF(I2752="","",IFERROR(VLOOKUP(I2752,Base_Datos!$D$2:$E$72,2,0),""))</f>
        <v>(1.5L)</v>
      </c>
      <c r="K2752" s="3"/>
      <c r="L2752" s="3"/>
      <c r="M2752" s="7">
        <v>0</v>
      </c>
      <c r="N2752" s="7">
        <v>0</v>
      </c>
    </row>
    <row r="2753" spans="1:14" ht="14.25" x14ac:dyDescent="0.2">
      <c r="A2753" s="3">
        <v>99832</v>
      </c>
      <c r="B2753" s="3" t="s">
        <v>4695</v>
      </c>
      <c r="C2753" s="3" t="s">
        <v>18</v>
      </c>
      <c r="D2753" s="6" t="s">
        <v>1782</v>
      </c>
      <c r="E2753" s="6" t="s">
        <v>1782</v>
      </c>
      <c r="F2753" s="3" t="str">
        <f>IFERROR( VLOOKUP(A2753,#REF!,2,0),"")</f>
        <v/>
      </c>
      <c r="G2753" s="3" t="str">
        <f t="array" ref="G2753">_xlfn.XLOOKUP(I2753,Base_Datos!D:D,Base_Datos!B:B,"")</f>
        <v>DFSK</v>
      </c>
      <c r="H2753" s="3" t="str">
        <f t="array" ref="H2753">IF(I2753="","",IFERROR(_xlfn.XLOOKUP(I2753,Base_Datos!$D$2:$D3876,Base_Datos!$C$2:$C3876),""))</f>
        <v>Serie Glory</v>
      </c>
      <c r="I2753" s="3" t="s">
        <v>1765</v>
      </c>
      <c r="J2753" s="3" t="str">
        <f>IF(I2753="","",IFERROR(VLOOKUP(I2753,Base_Datos!$D$2:$E$72,2,0),""))</f>
        <v>(1.5L)</v>
      </c>
      <c r="K2753" s="3"/>
      <c r="L2753" s="3"/>
      <c r="M2753" s="7">
        <v>0</v>
      </c>
      <c r="N2753" s="7">
        <v>0</v>
      </c>
    </row>
    <row r="2754" spans="1:14" ht="14.25" x14ac:dyDescent="0.2">
      <c r="A2754" s="3">
        <v>99833</v>
      </c>
      <c r="B2754" s="3" t="s">
        <v>1870</v>
      </c>
      <c r="C2754" s="3" t="s">
        <v>27</v>
      </c>
      <c r="D2754" s="6" t="s">
        <v>1146</v>
      </c>
      <c r="E2754" s="6" t="s">
        <v>1146</v>
      </c>
      <c r="F2754" s="3" t="str">
        <f>IFERROR( VLOOKUP(A2754,#REF!,2,0),"")</f>
        <v/>
      </c>
      <c r="G2754" s="3" t="str">
        <f t="array" ref="G2754">_xlfn.XLOOKUP(I2754,Base_Datos!D:D,Base_Datos!B:B,"")</f>
        <v>DFSK</v>
      </c>
      <c r="H2754" s="3" t="str">
        <f t="array" ref="H2754">IF(I2754="","",IFERROR(_xlfn.XLOOKUP(I2754,Base_Datos!$D$2:$D3876,Base_Datos!$C$2:$C3876),""))</f>
        <v>Serie Glory</v>
      </c>
      <c r="I2754" s="3" t="s">
        <v>1765</v>
      </c>
      <c r="J2754" s="3" t="str">
        <f>IF(I2754="","",IFERROR(VLOOKUP(I2754,Base_Datos!$D$2:$E$72,2,0),""))</f>
        <v>(1.5L)</v>
      </c>
      <c r="K2754" s="3"/>
      <c r="L2754" s="3"/>
      <c r="M2754" s="7">
        <v>0</v>
      </c>
      <c r="N2754" s="7">
        <v>0</v>
      </c>
    </row>
    <row r="2755" spans="1:14" ht="14.25" x14ac:dyDescent="0.2">
      <c r="A2755" s="3">
        <v>99834</v>
      </c>
      <c r="B2755" s="3" t="s">
        <v>1830</v>
      </c>
      <c r="C2755" s="3" t="s">
        <v>18</v>
      </c>
      <c r="D2755" s="6" t="s">
        <v>1782</v>
      </c>
      <c r="E2755" s="6" t="s">
        <v>1782</v>
      </c>
      <c r="F2755" s="3" t="str">
        <f>IFERROR( VLOOKUP(A2755,#REF!,2,0),"")</f>
        <v/>
      </c>
      <c r="G2755" s="3" t="str">
        <f t="array" ref="G2755">_xlfn.XLOOKUP(I2755,Base_Datos!D:D,Base_Datos!B:B,"")</f>
        <v>DFSK</v>
      </c>
      <c r="H2755" s="3" t="str">
        <f t="array" ref="H2755">IF(I2755="","",IFERROR(_xlfn.XLOOKUP(I2755,Base_Datos!$D$2:$D3876,Base_Datos!$C$2:$C3876),""))</f>
        <v>Serie Glory</v>
      </c>
      <c r="I2755" s="3" t="s">
        <v>1765</v>
      </c>
      <c r="J2755" s="3" t="str">
        <f>IF(I2755="","",IFERROR(VLOOKUP(I2755,Base_Datos!$D$2:$E$72,2,0),""))</f>
        <v>(1.5L)</v>
      </c>
      <c r="K2755" s="3"/>
      <c r="L2755" s="3"/>
      <c r="M2755" s="7">
        <v>0</v>
      </c>
      <c r="N2755" s="7">
        <v>0</v>
      </c>
    </row>
    <row r="2756" spans="1:14" ht="14.25" x14ac:dyDescent="0.2">
      <c r="A2756" s="3">
        <v>99835</v>
      </c>
      <c r="B2756" s="3" t="s">
        <v>2448</v>
      </c>
      <c r="C2756" s="3" t="s">
        <v>2</v>
      </c>
      <c r="D2756" s="6" t="s">
        <v>1782</v>
      </c>
      <c r="E2756" s="6" t="s">
        <v>1782</v>
      </c>
      <c r="F2756" s="3" t="str">
        <f>IFERROR( VLOOKUP(A2756,#REF!,2,0),"")</f>
        <v/>
      </c>
      <c r="G2756" s="3" t="str">
        <f t="array" ref="G2756">_xlfn.XLOOKUP(I2756,Base_Datos!D:D,Base_Datos!B:B,"")</f>
        <v>DFSK</v>
      </c>
      <c r="H2756" s="3" t="str">
        <f t="array" ref="H2756">IF(I2756="","",IFERROR(_xlfn.XLOOKUP(I2756,Base_Datos!$D$2:$D3876,Base_Datos!$C$2:$C3876),""))</f>
        <v>Serie Glory</v>
      </c>
      <c r="I2756" s="3" t="s">
        <v>1765</v>
      </c>
      <c r="J2756" s="3" t="str">
        <f>IF(I2756="","",IFERROR(VLOOKUP(I2756,Base_Datos!$D$2:$E$72,2,0),""))</f>
        <v>(1.5L)</v>
      </c>
      <c r="K2756" s="3"/>
      <c r="L2756" s="3"/>
      <c r="M2756" s="7">
        <v>0</v>
      </c>
      <c r="N2756" s="7">
        <v>0</v>
      </c>
    </row>
    <row r="2757" spans="1:14" ht="14.25" x14ac:dyDescent="0.2">
      <c r="A2757" s="3">
        <v>99836</v>
      </c>
      <c r="B2757" s="3" t="s">
        <v>3150</v>
      </c>
      <c r="C2757" s="3" t="s">
        <v>18</v>
      </c>
      <c r="D2757" s="6" t="s">
        <v>1782</v>
      </c>
      <c r="E2757" s="6" t="s">
        <v>1782</v>
      </c>
      <c r="F2757" s="3" t="str">
        <f>IFERROR( VLOOKUP(A2757,#REF!,2,0),"")</f>
        <v/>
      </c>
      <c r="G2757" s="3" t="str">
        <f t="array" ref="G2757">_xlfn.XLOOKUP(I2757,Base_Datos!D:D,Base_Datos!B:B,"")</f>
        <v>DFSK</v>
      </c>
      <c r="H2757" s="3" t="str">
        <f t="array" ref="H2757">IF(I2757="","",IFERROR(_xlfn.XLOOKUP(I2757,Base_Datos!$D$2:$D3876,Base_Datos!$C$2:$C3876),""))</f>
        <v>Serie Glory</v>
      </c>
      <c r="I2757" s="3" t="s">
        <v>1765</v>
      </c>
      <c r="J2757" s="3" t="str">
        <f>IF(I2757="","",IFERROR(VLOOKUP(I2757,Base_Datos!$D$2:$E$72,2,0),""))</f>
        <v>(1.5L)</v>
      </c>
      <c r="K2757" s="3"/>
      <c r="L2757" s="3"/>
      <c r="M2757" s="7">
        <v>0</v>
      </c>
      <c r="N2757" s="7">
        <v>0</v>
      </c>
    </row>
    <row r="2758" spans="1:14" ht="14.25" x14ac:dyDescent="0.2">
      <c r="A2758" s="3">
        <v>99837</v>
      </c>
      <c r="B2758" s="3" t="s">
        <v>1884</v>
      </c>
      <c r="C2758" s="3" t="s">
        <v>18</v>
      </c>
      <c r="D2758" s="6" t="s">
        <v>1782</v>
      </c>
      <c r="E2758" s="6" t="s">
        <v>1782</v>
      </c>
      <c r="F2758" s="3" t="str">
        <f>IFERROR( VLOOKUP(A2758,#REF!,2,0),"")</f>
        <v/>
      </c>
      <c r="G2758" s="3" t="str">
        <f t="array" ref="G2758">_xlfn.XLOOKUP(I2758,Base_Datos!D:D,Base_Datos!B:B,"")</f>
        <v>DFSK</v>
      </c>
      <c r="H2758" s="3" t="str">
        <f t="array" ref="H2758">IF(I2758="","",IFERROR(_xlfn.XLOOKUP(I2758,Base_Datos!$D$2:$D3876,Base_Datos!$C$2:$C3876),""))</f>
        <v>Serie Glory</v>
      </c>
      <c r="I2758" s="3" t="s">
        <v>1765</v>
      </c>
      <c r="J2758" s="3" t="str">
        <f>IF(I2758="","",IFERROR(VLOOKUP(I2758,Base_Datos!$D$2:$E$72,2,0),""))</f>
        <v>(1.5L)</v>
      </c>
      <c r="K2758" s="3"/>
      <c r="L2758" s="3"/>
      <c r="M2758" s="7">
        <v>0</v>
      </c>
      <c r="N2758" s="7">
        <v>0</v>
      </c>
    </row>
    <row r="2759" spans="1:14" ht="14.25" x14ac:dyDescent="0.2">
      <c r="A2759" s="3">
        <v>99838</v>
      </c>
      <c r="B2759" s="3" t="s">
        <v>3064</v>
      </c>
      <c r="C2759" s="3" t="s">
        <v>2</v>
      </c>
      <c r="D2759" s="6" t="s">
        <v>1782</v>
      </c>
      <c r="E2759" s="6" t="s">
        <v>1782</v>
      </c>
      <c r="F2759" s="3" t="str">
        <f>IFERROR( VLOOKUP(A2759,#REF!,2,0),"")</f>
        <v/>
      </c>
      <c r="G2759" s="3" t="str">
        <f t="array" ref="G2759">_xlfn.XLOOKUP(I2759,Base_Datos!D:D,Base_Datos!B:B,"")</f>
        <v>DFSK</v>
      </c>
      <c r="H2759" s="3" t="str">
        <f t="array" ref="H2759">IF(I2759="","",IFERROR(_xlfn.XLOOKUP(I2759,Base_Datos!$D$2:$D3876,Base_Datos!$C$2:$C3876),""))</f>
        <v>Serie Glory</v>
      </c>
      <c r="I2759" s="3" t="s">
        <v>1765</v>
      </c>
      <c r="J2759" s="3" t="str">
        <f>IF(I2759="","",IFERROR(VLOOKUP(I2759,Base_Datos!$D$2:$E$72,2,0),""))</f>
        <v>(1.5L)</v>
      </c>
      <c r="K2759" s="3"/>
      <c r="L2759" s="3"/>
      <c r="M2759" s="7">
        <v>0</v>
      </c>
      <c r="N2759" s="7">
        <v>0</v>
      </c>
    </row>
    <row r="2760" spans="1:14" ht="14.25" x14ac:dyDescent="0.2">
      <c r="A2760" s="3">
        <v>99839</v>
      </c>
      <c r="B2760" s="3" t="s">
        <v>3229</v>
      </c>
      <c r="C2760" s="3" t="s">
        <v>18</v>
      </c>
      <c r="D2760" s="6" t="s">
        <v>1782</v>
      </c>
      <c r="E2760" s="6" t="s">
        <v>1782</v>
      </c>
      <c r="F2760" s="3" t="str">
        <f>IFERROR( VLOOKUP(A2760,#REF!,2,0),"")</f>
        <v/>
      </c>
      <c r="G2760" s="3" t="str">
        <f t="array" ref="G2760">_xlfn.XLOOKUP(I2760,Base_Datos!D:D,Base_Datos!B:B,"")</f>
        <v>DFSK</v>
      </c>
      <c r="H2760" s="3" t="str">
        <f t="array" ref="H2760">IF(I2760="","",IFERROR(_xlfn.XLOOKUP(I2760,Base_Datos!$D$2:$D3876,Base_Datos!$C$2:$C3876),""))</f>
        <v>Serie Glory</v>
      </c>
      <c r="I2760" s="3" t="s">
        <v>1765</v>
      </c>
      <c r="J2760" s="3" t="str">
        <f>IF(I2760="","",IFERROR(VLOOKUP(I2760,Base_Datos!$D$2:$E$72,2,0),""))</f>
        <v>(1.5L)</v>
      </c>
      <c r="K2760" s="3"/>
      <c r="L2760" s="3"/>
      <c r="M2760" s="7">
        <v>0</v>
      </c>
      <c r="N2760" s="7">
        <v>0</v>
      </c>
    </row>
    <row r="2761" spans="1:14" ht="14.25" x14ac:dyDescent="0.2">
      <c r="A2761" s="3">
        <v>99840</v>
      </c>
      <c r="B2761" s="3" t="s">
        <v>4696</v>
      </c>
      <c r="C2761" s="3" t="s">
        <v>18</v>
      </c>
      <c r="D2761" s="6" t="s">
        <v>1782</v>
      </c>
      <c r="E2761" s="6" t="s">
        <v>1782</v>
      </c>
      <c r="F2761" s="3" t="str">
        <f>IFERROR( VLOOKUP(A2761,#REF!,2,0),"")</f>
        <v/>
      </c>
      <c r="G2761" s="3" t="str">
        <f t="array" ref="G2761">_xlfn.XLOOKUP(I2761,Base_Datos!D:D,Base_Datos!B:B,"")</f>
        <v>DFSK</v>
      </c>
      <c r="H2761" s="3" t="str">
        <f t="array" ref="H2761">IF(I2761="","",IFERROR(_xlfn.XLOOKUP(I2761,Base_Datos!$D$2:$D3876,Base_Datos!$C$2:$C3876),""))</f>
        <v>Serie Glory</v>
      </c>
      <c r="I2761" s="3" t="s">
        <v>1765</v>
      </c>
      <c r="J2761" s="3" t="str">
        <f>IF(I2761="","",IFERROR(VLOOKUP(I2761,Base_Datos!$D$2:$E$72,2,0),""))</f>
        <v>(1.5L)</v>
      </c>
      <c r="K2761" s="3"/>
      <c r="L2761" s="3"/>
      <c r="M2761" s="7">
        <v>0</v>
      </c>
      <c r="N2761" s="7">
        <v>0</v>
      </c>
    </row>
    <row r="2762" spans="1:14" ht="14.25" x14ac:dyDescent="0.2">
      <c r="A2762" s="3">
        <v>99841</v>
      </c>
      <c r="B2762" s="3" t="s">
        <v>4697</v>
      </c>
      <c r="C2762" s="3" t="s">
        <v>27</v>
      </c>
      <c r="D2762" s="6" t="s">
        <v>1146</v>
      </c>
      <c r="E2762" s="6" t="s">
        <v>1146</v>
      </c>
      <c r="F2762" s="3" t="str">
        <f>IFERROR( VLOOKUP(A2762,#REF!,2,0),"")</f>
        <v/>
      </c>
      <c r="G2762" s="3" t="str">
        <f t="array" ref="G2762">_xlfn.XLOOKUP(I2762,Base_Datos!D:D,Base_Datos!B:B,"")</f>
        <v>DFSK</v>
      </c>
      <c r="H2762" s="3" t="str">
        <f t="array" ref="H2762">IF(I2762="","",IFERROR(_xlfn.XLOOKUP(I2762,Base_Datos!$D$2:$D3876,Base_Datos!$C$2:$C3876),""))</f>
        <v>Serie Glory</v>
      </c>
      <c r="I2762" s="3" t="s">
        <v>1765</v>
      </c>
      <c r="J2762" s="3" t="str">
        <f>IF(I2762="","",IFERROR(VLOOKUP(I2762,Base_Datos!$D$2:$E$72,2,0),""))</f>
        <v>(1.5L)</v>
      </c>
      <c r="K2762" s="3"/>
      <c r="L2762" s="3"/>
      <c r="M2762" s="7">
        <v>0</v>
      </c>
      <c r="N2762" s="7">
        <v>0</v>
      </c>
    </row>
    <row r="2763" spans="1:14" ht="14.25" x14ac:dyDescent="0.2">
      <c r="A2763" s="3">
        <v>99842</v>
      </c>
      <c r="B2763" s="3" t="s">
        <v>4698</v>
      </c>
      <c r="C2763" s="3" t="s">
        <v>18</v>
      </c>
      <c r="D2763" s="6" t="s">
        <v>1146</v>
      </c>
      <c r="E2763" s="6" t="s">
        <v>1146</v>
      </c>
      <c r="F2763" s="3" t="str">
        <f>IFERROR( VLOOKUP(A2763,#REF!,2,0),"")</f>
        <v/>
      </c>
      <c r="G2763" s="3" t="str">
        <f t="array" ref="G2763">_xlfn.XLOOKUP(I2763,Base_Datos!D:D,Base_Datos!B:B,"")</f>
        <v>DFSK</v>
      </c>
      <c r="H2763" s="3" t="str">
        <f t="array" ref="H2763">IF(I2763="","",IFERROR(_xlfn.XLOOKUP(I2763,Base_Datos!$D$2:$D3876,Base_Datos!$C$2:$C3876),""))</f>
        <v>Serie Glory</v>
      </c>
      <c r="I2763" s="3" t="s">
        <v>1765</v>
      </c>
      <c r="J2763" s="3" t="str">
        <f>IF(I2763="","",IFERROR(VLOOKUP(I2763,Base_Datos!$D$2:$E$72,2,0),""))</f>
        <v>(1.5L)</v>
      </c>
      <c r="K2763" s="3"/>
      <c r="L2763" s="3"/>
      <c r="M2763" s="7">
        <v>0</v>
      </c>
      <c r="N2763" s="7">
        <v>0</v>
      </c>
    </row>
    <row r="2764" spans="1:14" ht="14.25" x14ac:dyDescent="0.2">
      <c r="A2764" s="3">
        <v>99843</v>
      </c>
      <c r="B2764" s="3" t="s">
        <v>4699</v>
      </c>
      <c r="C2764" s="3" t="s">
        <v>18</v>
      </c>
      <c r="D2764" s="6" t="s">
        <v>1782</v>
      </c>
      <c r="E2764" s="6" t="s">
        <v>1782</v>
      </c>
      <c r="F2764" s="3" t="str">
        <f>IFERROR( VLOOKUP(A2764,#REF!,2,0),"")</f>
        <v/>
      </c>
      <c r="G2764" s="3" t="str">
        <f t="array" ref="G2764">_xlfn.XLOOKUP(I2764,Base_Datos!D:D,Base_Datos!B:B,"")</f>
        <v>DFSK</v>
      </c>
      <c r="H2764" s="3" t="str">
        <f t="array" ref="H2764">IF(I2764="","",IFERROR(_xlfn.XLOOKUP(I2764,Base_Datos!$D$2:$D3876,Base_Datos!$C$2:$C3876),""))</f>
        <v>Serie Glory</v>
      </c>
      <c r="I2764" s="3" t="s">
        <v>1765</v>
      </c>
      <c r="J2764" s="3" t="str">
        <f>IF(I2764="","",IFERROR(VLOOKUP(I2764,Base_Datos!$D$2:$E$72,2,0),""))</f>
        <v>(1.5L)</v>
      </c>
      <c r="K2764" s="3"/>
      <c r="L2764" s="3"/>
      <c r="M2764" s="7">
        <v>0</v>
      </c>
      <c r="N2764" s="7">
        <v>0</v>
      </c>
    </row>
    <row r="2765" spans="1:14" ht="14.25" x14ac:dyDescent="0.2">
      <c r="A2765" s="3">
        <v>99844</v>
      </c>
      <c r="B2765" s="3" t="s">
        <v>4700</v>
      </c>
      <c r="C2765" s="3" t="s">
        <v>2</v>
      </c>
      <c r="D2765" s="6" t="s">
        <v>1782</v>
      </c>
      <c r="E2765" s="6" t="s">
        <v>1782</v>
      </c>
      <c r="F2765" s="3" t="str">
        <f>IFERROR( VLOOKUP(A2765,#REF!,2,0),"")</f>
        <v/>
      </c>
      <c r="G2765" s="3" t="str">
        <f t="array" ref="G2765">_xlfn.XLOOKUP(I2765,Base_Datos!D:D,Base_Datos!B:B,"")</f>
        <v>DFSK</v>
      </c>
      <c r="H2765" s="3" t="str">
        <f t="array" ref="H2765">IF(I2765="","",IFERROR(_xlfn.XLOOKUP(I2765,Base_Datos!$D$2:$D3876,Base_Datos!$C$2:$C3876),""))</f>
        <v>Serie Glory</v>
      </c>
      <c r="I2765" s="3" t="s">
        <v>1765</v>
      </c>
      <c r="J2765" s="3" t="str">
        <f>IF(I2765="","",IFERROR(VLOOKUP(I2765,Base_Datos!$D$2:$E$72,2,0),""))</f>
        <v>(1.5L)</v>
      </c>
      <c r="K2765" s="3"/>
      <c r="L2765" s="3"/>
      <c r="M2765" s="7">
        <v>0</v>
      </c>
      <c r="N2765" s="7">
        <v>0</v>
      </c>
    </row>
    <row r="2766" spans="1:14" ht="14.25" x14ac:dyDescent="0.2">
      <c r="A2766" s="3">
        <v>99845</v>
      </c>
      <c r="B2766" s="3" t="s">
        <v>4701</v>
      </c>
      <c r="C2766" s="3" t="s">
        <v>18</v>
      </c>
      <c r="D2766" s="6" t="s">
        <v>1782</v>
      </c>
      <c r="E2766" s="6" t="s">
        <v>1782</v>
      </c>
      <c r="F2766" s="3" t="str">
        <f>IFERROR( VLOOKUP(A2766,#REF!,2,0),"")</f>
        <v/>
      </c>
      <c r="G2766" s="3" t="str">
        <f t="array" ref="G2766">_xlfn.XLOOKUP(I2766,Base_Datos!D:D,Base_Datos!B:B,"")</f>
        <v>DFSK</v>
      </c>
      <c r="H2766" s="3" t="str">
        <f t="array" ref="H2766">IF(I2766="","",IFERROR(_xlfn.XLOOKUP(I2766,Base_Datos!$D$2:$D3876,Base_Datos!$C$2:$C3876),""))</f>
        <v>Serie Glory</v>
      </c>
      <c r="I2766" s="3" t="s">
        <v>1765</v>
      </c>
      <c r="J2766" s="3" t="str">
        <f>IF(I2766="","",IFERROR(VLOOKUP(I2766,Base_Datos!$D$2:$E$72,2,0),""))</f>
        <v>(1.5L)</v>
      </c>
      <c r="K2766" s="3"/>
      <c r="L2766" s="3"/>
      <c r="M2766" s="7">
        <v>0</v>
      </c>
      <c r="N2766" s="7">
        <v>0</v>
      </c>
    </row>
    <row r="2767" spans="1:14" ht="14.25" x14ac:dyDescent="0.2">
      <c r="A2767" s="3">
        <v>99846</v>
      </c>
      <c r="B2767" s="3" t="s">
        <v>2951</v>
      </c>
      <c r="C2767" s="3" t="s">
        <v>18</v>
      </c>
      <c r="D2767" s="6" t="s">
        <v>1782</v>
      </c>
      <c r="E2767" s="6" t="s">
        <v>1782</v>
      </c>
      <c r="F2767" s="3" t="str">
        <f>IFERROR( VLOOKUP(A2767,#REF!,2,0),"")</f>
        <v/>
      </c>
      <c r="G2767" s="3" t="str">
        <f t="array" ref="G2767">_xlfn.XLOOKUP(I2767,Base_Datos!D:D,Base_Datos!B:B,"")</f>
        <v>DFSK</v>
      </c>
      <c r="H2767" s="3" t="str">
        <f t="array" ref="H2767">IF(I2767="","",IFERROR(_xlfn.XLOOKUP(I2767,Base_Datos!$D$2:$D3876,Base_Datos!$C$2:$C3876),""))</f>
        <v>Serie Glory</v>
      </c>
      <c r="I2767" s="3" t="s">
        <v>1765</v>
      </c>
      <c r="J2767" s="3" t="str">
        <f>IF(I2767="","",IFERROR(VLOOKUP(I2767,Base_Datos!$D$2:$E$72,2,0),""))</f>
        <v>(1.5L)</v>
      </c>
      <c r="K2767" s="3"/>
      <c r="L2767" s="3"/>
      <c r="M2767" s="7">
        <v>0</v>
      </c>
      <c r="N2767" s="7">
        <v>0</v>
      </c>
    </row>
    <row r="2768" spans="1:14" ht="14.25" x14ac:dyDescent="0.2">
      <c r="A2768" s="3">
        <v>99847</v>
      </c>
      <c r="B2768" s="3" t="s">
        <v>3009</v>
      </c>
      <c r="C2768" s="3" t="s">
        <v>18</v>
      </c>
      <c r="D2768" s="6" t="s">
        <v>1782</v>
      </c>
      <c r="E2768" s="6" t="s">
        <v>1782</v>
      </c>
      <c r="F2768" s="3" t="str">
        <f>IFERROR( VLOOKUP(A2768,#REF!,2,0),"")</f>
        <v/>
      </c>
      <c r="G2768" s="3" t="str">
        <f t="array" ref="G2768">_xlfn.XLOOKUP(I2768,Base_Datos!D:D,Base_Datos!B:B,"")</f>
        <v>DFSK</v>
      </c>
      <c r="H2768" s="3" t="str">
        <f t="array" ref="H2768">IF(I2768="","",IFERROR(_xlfn.XLOOKUP(I2768,Base_Datos!$D$2:$D3876,Base_Datos!$C$2:$C3876),""))</f>
        <v>Serie Glory</v>
      </c>
      <c r="I2768" s="3" t="s">
        <v>1765</v>
      </c>
      <c r="J2768" s="3" t="str">
        <f>IF(I2768="","",IFERROR(VLOOKUP(I2768,Base_Datos!$D$2:$E$72,2,0),""))</f>
        <v>(1.5L)</v>
      </c>
      <c r="K2768" s="3"/>
      <c r="L2768" s="3"/>
      <c r="M2768" s="7">
        <v>0</v>
      </c>
      <c r="N2768" s="7">
        <v>0</v>
      </c>
    </row>
    <row r="2769" spans="1:14" ht="14.25" x14ac:dyDescent="0.2">
      <c r="A2769" s="3">
        <v>99848</v>
      </c>
      <c r="B2769" s="3" t="s">
        <v>4702</v>
      </c>
      <c r="C2769" s="3" t="s">
        <v>2</v>
      </c>
      <c r="D2769" s="6" t="s">
        <v>1782</v>
      </c>
      <c r="E2769" s="6" t="s">
        <v>1782</v>
      </c>
      <c r="F2769" s="3" t="str">
        <f>IFERROR( VLOOKUP(A2769,#REF!,2,0),"")</f>
        <v/>
      </c>
      <c r="G2769" s="3" t="str">
        <f t="array" ref="G2769">_xlfn.XLOOKUP(I2769,Base_Datos!D:D,Base_Datos!B:B,"")</f>
        <v>DFSK</v>
      </c>
      <c r="H2769" s="3" t="str">
        <f t="array" ref="H2769">IF(I2769="","",IFERROR(_xlfn.XLOOKUP(I2769,Base_Datos!$D$2:$D3876,Base_Datos!$C$2:$C3876),""))</f>
        <v>Serie Glory</v>
      </c>
      <c r="I2769" s="3" t="s">
        <v>1765</v>
      </c>
      <c r="J2769" s="3" t="str">
        <f>IF(I2769="","",IFERROR(VLOOKUP(I2769,Base_Datos!$D$2:$E$72,2,0),""))</f>
        <v>(1.5L)</v>
      </c>
      <c r="K2769" s="3"/>
      <c r="L2769" s="3"/>
      <c r="M2769" s="7">
        <v>0</v>
      </c>
      <c r="N2769" s="7">
        <v>0</v>
      </c>
    </row>
    <row r="2770" spans="1:14" ht="14.25" x14ac:dyDescent="0.2">
      <c r="A2770" s="3">
        <v>99849</v>
      </c>
      <c r="B2770" s="3" t="s">
        <v>1781</v>
      </c>
      <c r="C2770" s="3" t="s">
        <v>18</v>
      </c>
      <c r="D2770" s="6" t="s">
        <v>1782</v>
      </c>
      <c r="E2770" s="6" t="s">
        <v>1782</v>
      </c>
      <c r="F2770" s="3" t="str">
        <f>IFERROR( VLOOKUP(A2770,#REF!,2,0),"")</f>
        <v/>
      </c>
      <c r="G2770" s="3" t="str">
        <f t="array" ref="G2770">_xlfn.XLOOKUP(I2770,Base_Datos!D:D,Base_Datos!B:B,"")</f>
        <v>DFSK</v>
      </c>
      <c r="H2770" s="3" t="str">
        <f t="array" ref="H2770">IF(I2770="","",IFERROR(_xlfn.XLOOKUP(I2770,Base_Datos!$D$2:$D3876,Base_Datos!$C$2:$C3876),""))</f>
        <v>Serie Glory</v>
      </c>
      <c r="I2770" s="3" t="s">
        <v>112</v>
      </c>
      <c r="J2770" s="3" t="str">
        <f>IF(I2770="","",IFERROR(VLOOKUP(I2770,Base_Datos!$D$2:$E$72,2,0),""))</f>
        <v>(1.8L)</v>
      </c>
      <c r="K2770" s="3"/>
      <c r="L2770" s="3"/>
      <c r="M2770" s="7">
        <v>0</v>
      </c>
      <c r="N2770" s="7">
        <v>0</v>
      </c>
    </row>
    <row r="2771" spans="1:14" ht="14.25" x14ac:dyDescent="0.2">
      <c r="A2771" s="3">
        <v>99850</v>
      </c>
      <c r="B2771" s="3" t="s">
        <v>3150</v>
      </c>
      <c r="C2771" s="3" t="s">
        <v>18</v>
      </c>
      <c r="D2771" s="6" t="s">
        <v>1782</v>
      </c>
      <c r="E2771" s="6" t="s">
        <v>1782</v>
      </c>
      <c r="F2771" s="3" t="str">
        <f>IFERROR( VLOOKUP(A2771,#REF!,2,0),"")</f>
        <v/>
      </c>
      <c r="G2771" s="3" t="str">
        <f t="array" ref="G2771">_xlfn.XLOOKUP(I2771,Base_Datos!D:D,Base_Datos!B:B,"")</f>
        <v>DFSK</v>
      </c>
      <c r="H2771" s="3" t="str">
        <f t="array" ref="H2771">IF(I2771="","",IFERROR(_xlfn.XLOOKUP(I2771,Base_Datos!$D$2:$D3876,Base_Datos!$C$2:$C3876),""))</f>
        <v>Serie Glory</v>
      </c>
      <c r="I2771" s="3" t="s">
        <v>112</v>
      </c>
      <c r="J2771" s="3" t="str">
        <f>IF(I2771="","",IFERROR(VLOOKUP(I2771,Base_Datos!$D$2:$E$72,2,0),""))</f>
        <v>(1.8L)</v>
      </c>
      <c r="K2771" s="3"/>
      <c r="L2771" s="3"/>
      <c r="M2771" s="7">
        <v>0</v>
      </c>
      <c r="N2771" s="7">
        <v>0</v>
      </c>
    </row>
    <row r="2772" spans="1:14" ht="14.25" x14ac:dyDescent="0.2">
      <c r="A2772" s="3">
        <v>99851</v>
      </c>
      <c r="B2772" s="3" t="s">
        <v>3148</v>
      </c>
      <c r="C2772" s="3" t="s">
        <v>18</v>
      </c>
      <c r="D2772" s="6" t="s">
        <v>1782</v>
      </c>
      <c r="E2772" s="6" t="s">
        <v>1782</v>
      </c>
      <c r="F2772" s="3" t="str">
        <f>IFERROR( VLOOKUP(A2772,#REF!,2,0),"")</f>
        <v/>
      </c>
      <c r="G2772" s="3" t="str">
        <f t="array" ref="G2772">_xlfn.XLOOKUP(I2772,Base_Datos!D:D,Base_Datos!B:B,"")</f>
        <v>DFSK</v>
      </c>
      <c r="H2772" s="3" t="str">
        <f t="array" ref="H2772">IF(I2772="","",IFERROR(_xlfn.XLOOKUP(I2772,Base_Datos!$D$2:$D3876,Base_Datos!$C$2:$C3876),""))</f>
        <v>Serie Glory</v>
      </c>
      <c r="I2772" s="3" t="s">
        <v>112</v>
      </c>
      <c r="J2772" s="3" t="str">
        <f>IF(I2772="","",IFERROR(VLOOKUP(I2772,Base_Datos!$D$2:$E$72,2,0),""))</f>
        <v>(1.8L)</v>
      </c>
      <c r="K2772" s="3"/>
      <c r="L2772" s="3"/>
      <c r="M2772" s="7">
        <v>0</v>
      </c>
      <c r="N2772" s="7">
        <v>0</v>
      </c>
    </row>
    <row r="2773" spans="1:14" ht="14.25" x14ac:dyDescent="0.2">
      <c r="A2773" s="3">
        <v>99852</v>
      </c>
      <c r="B2773" s="3" t="s">
        <v>4703</v>
      </c>
      <c r="C2773" s="3" t="s">
        <v>18</v>
      </c>
      <c r="D2773" s="6" t="s">
        <v>1782</v>
      </c>
      <c r="E2773" s="6" t="s">
        <v>1782</v>
      </c>
      <c r="F2773" s="3" t="str">
        <f>IFERROR( VLOOKUP(A2773,#REF!,2,0),"")</f>
        <v/>
      </c>
      <c r="G2773" s="3" t="str">
        <f t="array" ref="G2773">_xlfn.XLOOKUP(I2773,Base_Datos!D:D,Base_Datos!B:B,"")</f>
        <v>DFSK</v>
      </c>
      <c r="H2773" s="3" t="str">
        <f t="array" ref="H2773">IF(I2773="","",IFERROR(_xlfn.XLOOKUP(I2773,Base_Datos!$D$2:$D3876,Base_Datos!$C$2:$C3876),""))</f>
        <v>Serie Glory</v>
      </c>
      <c r="I2773" s="3" t="s">
        <v>112</v>
      </c>
      <c r="J2773" s="3" t="str">
        <f>IF(I2773="","",IFERROR(VLOOKUP(I2773,Base_Datos!$D$2:$E$72,2,0),""))</f>
        <v>(1.8L)</v>
      </c>
      <c r="K2773" s="3"/>
      <c r="L2773" s="3"/>
      <c r="M2773" s="7">
        <v>0</v>
      </c>
      <c r="N2773" s="7">
        <v>0</v>
      </c>
    </row>
    <row r="2774" spans="1:14" ht="14.25" x14ac:dyDescent="0.2">
      <c r="A2774" s="3">
        <v>99853</v>
      </c>
      <c r="B2774" s="3" t="s">
        <v>4704</v>
      </c>
      <c r="C2774" s="3" t="s">
        <v>18</v>
      </c>
      <c r="D2774" s="6" t="s">
        <v>1782</v>
      </c>
      <c r="E2774" s="6" t="s">
        <v>1782</v>
      </c>
      <c r="F2774" s="3" t="str">
        <f>IFERROR( VLOOKUP(A2774,#REF!,2,0),"")</f>
        <v/>
      </c>
      <c r="G2774" s="3" t="str">
        <f t="array" ref="G2774">_xlfn.XLOOKUP(I2774,Base_Datos!D:D,Base_Datos!B:B,"")</f>
        <v>DFSK</v>
      </c>
      <c r="H2774" s="3" t="str">
        <f t="array" ref="H2774">IF(I2774="","",IFERROR(_xlfn.XLOOKUP(I2774,Base_Datos!$D$2:$D3876,Base_Datos!$C$2:$C3876),""))</f>
        <v>Serie Glory</v>
      </c>
      <c r="I2774" s="3" t="s">
        <v>112</v>
      </c>
      <c r="J2774" s="3" t="str">
        <f>IF(I2774="","",IFERROR(VLOOKUP(I2774,Base_Datos!$D$2:$E$72,2,0),""))</f>
        <v>(1.8L)</v>
      </c>
      <c r="K2774" s="3"/>
      <c r="L2774" s="3"/>
      <c r="M2774" s="7">
        <v>0</v>
      </c>
      <c r="N2774" s="7">
        <v>0</v>
      </c>
    </row>
    <row r="2775" spans="1:14" ht="14.25" x14ac:dyDescent="0.2">
      <c r="A2775" s="3">
        <v>99854</v>
      </c>
      <c r="B2775" s="3" t="s">
        <v>2245</v>
      </c>
      <c r="C2775" s="3" t="s">
        <v>18</v>
      </c>
      <c r="D2775" s="6" t="s">
        <v>1782</v>
      </c>
      <c r="E2775" s="6" t="s">
        <v>1782</v>
      </c>
      <c r="F2775" s="3" t="str">
        <f>IFERROR( VLOOKUP(A2775,#REF!,2,0),"")</f>
        <v/>
      </c>
      <c r="G2775" s="3" t="str">
        <f t="array" ref="G2775">_xlfn.XLOOKUP(I2775,Base_Datos!D:D,Base_Datos!B:B,"")</f>
        <v>DFSK</v>
      </c>
      <c r="H2775" s="3" t="str">
        <f t="array" ref="H2775">IF(I2775="","",IFERROR(_xlfn.XLOOKUP(I2775,Base_Datos!$D$2:$D3876,Base_Datos!$C$2:$C3876),""))</f>
        <v>Serie Glory</v>
      </c>
      <c r="I2775" s="3" t="s">
        <v>112</v>
      </c>
      <c r="J2775" s="3" t="str">
        <f>IF(I2775="","",IFERROR(VLOOKUP(I2775,Base_Datos!$D$2:$E$72,2,0),""))</f>
        <v>(1.8L)</v>
      </c>
      <c r="K2775" s="3"/>
      <c r="L2775" s="3"/>
      <c r="M2775" s="7">
        <v>0</v>
      </c>
      <c r="N2775" s="7">
        <v>0</v>
      </c>
    </row>
    <row r="2776" spans="1:14" ht="14.25" x14ac:dyDescent="0.2">
      <c r="A2776" s="3">
        <v>99855</v>
      </c>
      <c r="B2776" s="3" t="s">
        <v>1884</v>
      </c>
      <c r="C2776" s="3" t="s">
        <v>18</v>
      </c>
      <c r="D2776" s="6" t="s">
        <v>1782</v>
      </c>
      <c r="E2776" s="6" t="s">
        <v>1782</v>
      </c>
      <c r="F2776" s="3" t="str">
        <f>IFERROR( VLOOKUP(A2776,#REF!,2,0),"")</f>
        <v/>
      </c>
      <c r="G2776" s="3" t="str">
        <f t="array" ref="G2776">_xlfn.XLOOKUP(I2776,Base_Datos!D:D,Base_Datos!B:B,"")</f>
        <v>DFSK</v>
      </c>
      <c r="H2776" s="3" t="str">
        <f t="array" ref="H2776">IF(I2776="","",IFERROR(_xlfn.XLOOKUP(I2776,Base_Datos!$D$2:$D3876,Base_Datos!$C$2:$C3876),""))</f>
        <v>Serie Glory</v>
      </c>
      <c r="I2776" s="3" t="s">
        <v>112</v>
      </c>
      <c r="J2776" s="3" t="str">
        <f>IF(I2776="","",IFERROR(VLOOKUP(I2776,Base_Datos!$D$2:$E$72,2,0),""))</f>
        <v>(1.8L)</v>
      </c>
      <c r="K2776" s="3"/>
      <c r="L2776" s="3"/>
      <c r="M2776" s="7">
        <v>0</v>
      </c>
      <c r="N2776" s="7">
        <v>0</v>
      </c>
    </row>
    <row r="2777" spans="1:14" ht="14.25" x14ac:dyDescent="0.2">
      <c r="A2777" s="3">
        <v>99856</v>
      </c>
      <c r="B2777" s="3" t="s">
        <v>2404</v>
      </c>
      <c r="C2777" s="3" t="s">
        <v>27</v>
      </c>
      <c r="D2777" s="6" t="s">
        <v>1782</v>
      </c>
      <c r="E2777" s="6" t="s">
        <v>1782</v>
      </c>
      <c r="F2777" s="3" t="str">
        <f>IFERROR( VLOOKUP(A2777,#REF!,2,0),"")</f>
        <v/>
      </c>
      <c r="G2777" s="3" t="str">
        <f t="array" ref="G2777">_xlfn.XLOOKUP(I2777,Base_Datos!D:D,Base_Datos!B:B,"")</f>
        <v>DFSK</v>
      </c>
      <c r="H2777" s="3" t="str">
        <f t="array" ref="H2777">IF(I2777="","",IFERROR(_xlfn.XLOOKUP(I2777,Base_Datos!$D$2:$D3876,Base_Datos!$C$2:$C3876),""))</f>
        <v>Serie Glory</v>
      </c>
      <c r="I2777" s="3" t="s">
        <v>1767</v>
      </c>
      <c r="J2777" s="3" t="str">
        <f>IF(I2777="","",IFERROR(VLOOKUP(I2777,Base_Datos!$D$2:$E$72,2,0),""))</f>
        <v>(1.5L)</v>
      </c>
      <c r="K2777" s="3"/>
      <c r="L2777" s="3"/>
      <c r="M2777" s="7">
        <v>0</v>
      </c>
      <c r="N2777" s="7">
        <v>0</v>
      </c>
    </row>
    <row r="2778" spans="1:14" ht="14.25" x14ac:dyDescent="0.2">
      <c r="A2778" s="3">
        <v>99857</v>
      </c>
      <c r="B2778" s="3" t="s">
        <v>1884</v>
      </c>
      <c r="C2778" s="3" t="s">
        <v>18</v>
      </c>
      <c r="D2778" s="6" t="s">
        <v>1782</v>
      </c>
      <c r="E2778" s="6" t="s">
        <v>1782</v>
      </c>
      <c r="F2778" s="3" t="str">
        <f>IFERROR( VLOOKUP(A2778,#REF!,2,0),"")</f>
        <v/>
      </c>
      <c r="G2778" s="3" t="str">
        <f t="array" ref="G2778">_xlfn.XLOOKUP(I2778,Base_Datos!D:D,Base_Datos!B:B,"")</f>
        <v>DFSK</v>
      </c>
      <c r="H2778" s="3" t="str">
        <f t="array" ref="H2778">IF(I2778="","",IFERROR(_xlfn.XLOOKUP(I2778,Base_Datos!$D$2:$D3876,Base_Datos!$C$2:$C3876),""))</f>
        <v>Serie Glory</v>
      </c>
      <c r="I2778" s="3" t="s">
        <v>1767</v>
      </c>
      <c r="J2778" s="3" t="str">
        <f>IF(I2778="","",IFERROR(VLOOKUP(I2778,Base_Datos!$D$2:$E$72,2,0),""))</f>
        <v>(1.5L)</v>
      </c>
      <c r="K2778" s="3"/>
      <c r="L2778" s="3"/>
      <c r="M2778" s="7">
        <v>0</v>
      </c>
      <c r="N2778" s="7">
        <v>0</v>
      </c>
    </row>
    <row r="2779" spans="1:14" ht="14.25" x14ac:dyDescent="0.2">
      <c r="A2779" s="3">
        <v>99858</v>
      </c>
      <c r="B2779" s="3" t="s">
        <v>3229</v>
      </c>
      <c r="C2779" s="3" t="s">
        <v>18</v>
      </c>
      <c r="D2779" s="6" t="s">
        <v>1782</v>
      </c>
      <c r="E2779" s="6" t="s">
        <v>1782</v>
      </c>
      <c r="F2779" s="3" t="str">
        <f>IFERROR( VLOOKUP(A2779,#REF!,2,0),"")</f>
        <v/>
      </c>
      <c r="G2779" s="3" t="str">
        <f t="array" ref="G2779">_xlfn.XLOOKUP(I2779,Base_Datos!D:D,Base_Datos!B:B,"")</f>
        <v>DFSK</v>
      </c>
      <c r="H2779" s="3" t="str">
        <f t="array" ref="H2779">IF(I2779="","",IFERROR(_xlfn.XLOOKUP(I2779,Base_Datos!$D$2:$D3876,Base_Datos!$C$2:$C3876),""))</f>
        <v>Serie Glory</v>
      </c>
      <c r="I2779" s="3" t="s">
        <v>1767</v>
      </c>
      <c r="J2779" s="3" t="str">
        <f>IF(I2779="","",IFERROR(VLOOKUP(I2779,Base_Datos!$D$2:$E$72,2,0),""))</f>
        <v>(1.5L)</v>
      </c>
      <c r="K2779" s="3"/>
      <c r="L2779" s="3"/>
      <c r="M2779" s="7">
        <v>0</v>
      </c>
      <c r="N2779" s="7">
        <v>0</v>
      </c>
    </row>
    <row r="2780" spans="1:14" ht="14.25" x14ac:dyDescent="0.2">
      <c r="A2780" s="3">
        <v>99859</v>
      </c>
      <c r="B2780" s="3" t="s">
        <v>3009</v>
      </c>
      <c r="C2780" s="3" t="s">
        <v>18</v>
      </c>
      <c r="D2780" s="6" t="s">
        <v>1782</v>
      </c>
      <c r="E2780" s="6" t="s">
        <v>1782</v>
      </c>
      <c r="F2780" s="3" t="str">
        <f>IFERROR( VLOOKUP(A2780,#REF!,2,0),"")</f>
        <v/>
      </c>
      <c r="G2780" s="3" t="str">
        <f t="array" ref="G2780">_xlfn.XLOOKUP(I2780,Base_Datos!D:D,Base_Datos!B:B,"")</f>
        <v>DFSK</v>
      </c>
      <c r="H2780" s="3" t="str">
        <f t="array" ref="H2780">IF(I2780="","",IFERROR(_xlfn.XLOOKUP(I2780,Base_Datos!$D$2:$D3876,Base_Datos!$C$2:$C3876),""))</f>
        <v>Serie Glory</v>
      </c>
      <c r="I2780" s="3" t="s">
        <v>1767</v>
      </c>
      <c r="J2780" s="3" t="str">
        <f>IF(I2780="","",IFERROR(VLOOKUP(I2780,Base_Datos!$D$2:$E$72,2,0),""))</f>
        <v>(1.5L)</v>
      </c>
      <c r="K2780" s="3"/>
      <c r="L2780" s="3"/>
      <c r="M2780" s="7">
        <v>0</v>
      </c>
      <c r="N2780" s="7">
        <v>0</v>
      </c>
    </row>
    <row r="2781" spans="1:14" ht="14.25" x14ac:dyDescent="0.2">
      <c r="A2781" s="3">
        <v>99860</v>
      </c>
      <c r="B2781" s="3" t="s">
        <v>4162</v>
      </c>
      <c r="C2781" s="3" t="s">
        <v>18</v>
      </c>
      <c r="D2781" s="6" t="s">
        <v>741</v>
      </c>
      <c r="E2781" s="6" t="s">
        <v>741</v>
      </c>
      <c r="F2781" s="3" t="str">
        <f>IFERROR( VLOOKUP(A2781,#REF!,2,0),"")</f>
        <v/>
      </c>
      <c r="G2781" s="3" t="str">
        <f t="array" ref="G2781">_xlfn.XLOOKUP(I2781,Base_Datos!D:D,Base_Datos!B:B,"")</f>
        <v>DFSK</v>
      </c>
      <c r="H2781" s="3" t="str">
        <f t="array" ref="H2781">IF(I2781="","",IFERROR(_xlfn.XLOOKUP(I2781,Base_Datos!$D$2:$D3876,Base_Datos!$C$2:$C3876),""))</f>
        <v>Serie K</v>
      </c>
      <c r="I2781" s="3" t="s">
        <v>475</v>
      </c>
      <c r="J2781" s="3" t="str">
        <f>IF(I2781="","",IFERROR(VLOOKUP(I2781,Base_Datos!$D$2:$E$72,2,0),""))</f>
        <v>(1.1L)</v>
      </c>
      <c r="K2781" s="3"/>
      <c r="L2781" s="3"/>
      <c r="M2781" s="7">
        <v>0</v>
      </c>
      <c r="N2781" s="7">
        <v>0</v>
      </c>
    </row>
    <row r="2782" spans="1:14" ht="14.25" x14ac:dyDescent="0.2">
      <c r="A2782" s="3">
        <v>99861</v>
      </c>
      <c r="B2782" s="3" t="s">
        <v>4705</v>
      </c>
      <c r="C2782" s="3" t="s">
        <v>18</v>
      </c>
      <c r="D2782" s="6" t="s">
        <v>1782</v>
      </c>
      <c r="E2782" s="6" t="s">
        <v>1782</v>
      </c>
      <c r="F2782" s="3" t="str">
        <f>IFERROR( VLOOKUP(A2782,#REF!,2,0),"")</f>
        <v/>
      </c>
      <c r="G2782" s="3" t="str">
        <f t="array" ref="G2782">_xlfn.XLOOKUP(I2782,Base_Datos!D:D,Base_Datos!B:B,"")</f>
        <v>DFSK</v>
      </c>
      <c r="H2782" s="3" t="str">
        <f t="array" ref="H2782">IF(I2782="","",IFERROR(_xlfn.XLOOKUP(I2782,Base_Datos!$D$2:$D3876,Base_Datos!$C$2:$C3876),""))</f>
        <v>Serie K</v>
      </c>
      <c r="I2782" s="3" t="s">
        <v>475</v>
      </c>
      <c r="J2782" s="3" t="str">
        <f>IF(I2782="","",IFERROR(VLOOKUP(I2782,Base_Datos!$D$2:$E$72,2,0),""))</f>
        <v>(1.1L)</v>
      </c>
      <c r="K2782" s="3"/>
      <c r="L2782" s="3"/>
      <c r="M2782" s="7">
        <v>0</v>
      </c>
      <c r="N2782" s="7">
        <v>0</v>
      </c>
    </row>
    <row r="2783" spans="1:14" ht="14.25" x14ac:dyDescent="0.2">
      <c r="A2783" s="3">
        <v>99862</v>
      </c>
      <c r="B2783" s="3" t="s">
        <v>4686</v>
      </c>
      <c r="C2783" s="3" t="s">
        <v>18</v>
      </c>
      <c r="D2783" s="6" t="s">
        <v>1782</v>
      </c>
      <c r="E2783" s="6" t="s">
        <v>1782</v>
      </c>
      <c r="F2783" s="3" t="str">
        <f>IFERROR( VLOOKUP(A2783,#REF!,2,0),"")</f>
        <v/>
      </c>
      <c r="G2783" s="3" t="str">
        <f t="array" ref="G2783">_xlfn.XLOOKUP(I2783,Base_Datos!D:D,Base_Datos!B:B,"")</f>
        <v>DFSK</v>
      </c>
      <c r="H2783" s="3" t="str">
        <f t="array" ref="H2783">IF(I2783="","",IFERROR(_xlfn.XLOOKUP(I2783,Base_Datos!$D$2:$D3876,Base_Datos!$C$2:$C3876),""))</f>
        <v>Serie K</v>
      </c>
      <c r="I2783" s="3" t="s">
        <v>475</v>
      </c>
      <c r="J2783" s="3" t="str">
        <f>IF(I2783="","",IFERROR(VLOOKUP(I2783,Base_Datos!$D$2:$E$72,2,0),""))</f>
        <v>(1.1L)</v>
      </c>
      <c r="K2783" s="3"/>
      <c r="L2783" s="3"/>
      <c r="M2783" s="7">
        <v>0</v>
      </c>
      <c r="N2783" s="7">
        <v>0</v>
      </c>
    </row>
    <row r="2784" spans="1:14" ht="14.25" x14ac:dyDescent="0.2">
      <c r="A2784" s="3">
        <v>99863</v>
      </c>
      <c r="B2784" s="3" t="s">
        <v>4687</v>
      </c>
      <c r="C2784" s="3" t="s">
        <v>18</v>
      </c>
      <c r="D2784" s="6" t="s">
        <v>1782</v>
      </c>
      <c r="E2784" s="6" t="s">
        <v>1782</v>
      </c>
      <c r="F2784" s="3" t="str">
        <f>IFERROR( VLOOKUP(A2784,#REF!,2,0),"")</f>
        <v/>
      </c>
      <c r="G2784" s="3" t="str">
        <f t="array" ref="G2784">_xlfn.XLOOKUP(I2784,Base_Datos!D:D,Base_Datos!B:B,"")</f>
        <v>DFSK</v>
      </c>
      <c r="H2784" s="3" t="str">
        <f t="array" ref="H2784">IF(I2784="","",IFERROR(_xlfn.XLOOKUP(I2784,Base_Datos!$D$2:$D3876,Base_Datos!$C$2:$C3876),""))</f>
        <v>Serie K</v>
      </c>
      <c r="I2784" s="3" t="s">
        <v>475</v>
      </c>
      <c r="J2784" s="3" t="str">
        <f>IF(I2784="","",IFERROR(VLOOKUP(I2784,Base_Datos!$D$2:$E$72,2,0),""))</f>
        <v>(1.1L)</v>
      </c>
      <c r="K2784" s="3"/>
      <c r="L2784" s="3"/>
      <c r="M2784" s="7">
        <v>0</v>
      </c>
      <c r="N2784" s="7">
        <v>0</v>
      </c>
    </row>
    <row r="2785" spans="1:14" ht="14.25" x14ac:dyDescent="0.2">
      <c r="A2785" s="3">
        <v>99864</v>
      </c>
      <c r="B2785" s="3" t="s">
        <v>4687</v>
      </c>
      <c r="C2785" s="3" t="s">
        <v>18</v>
      </c>
      <c r="D2785" s="6" t="s">
        <v>1782</v>
      </c>
      <c r="E2785" s="6" t="s">
        <v>1782</v>
      </c>
      <c r="F2785" s="3" t="str">
        <f>IFERROR( VLOOKUP(A2785,#REF!,2,0),"")</f>
        <v/>
      </c>
      <c r="G2785" s="3" t="str">
        <f t="array" ref="G2785">_xlfn.XLOOKUP(I2785,Base_Datos!D:D,Base_Datos!B:B,"")</f>
        <v>DFSK</v>
      </c>
      <c r="H2785" s="3" t="str">
        <f t="array" ref="H2785">IF(I2785="","",IFERROR(_xlfn.XLOOKUP(I2785,Base_Datos!$D$2:$D3876,Base_Datos!$C$2:$C3876),""))</f>
        <v>Serie K</v>
      </c>
      <c r="I2785" s="3" t="s">
        <v>475</v>
      </c>
      <c r="J2785" s="3" t="str">
        <f>IF(I2785="","",IFERROR(VLOOKUP(I2785,Base_Datos!$D$2:$E$72,2,0),""))</f>
        <v>(1.1L)</v>
      </c>
      <c r="K2785" s="3"/>
      <c r="L2785" s="3"/>
      <c r="M2785" s="7">
        <v>0</v>
      </c>
      <c r="N2785" s="7">
        <v>0</v>
      </c>
    </row>
    <row r="2786" spans="1:14" ht="14.25" x14ac:dyDescent="0.2">
      <c r="A2786" s="3">
        <v>99865</v>
      </c>
      <c r="B2786" s="3" t="s">
        <v>4706</v>
      </c>
      <c r="C2786" s="3" t="s">
        <v>18</v>
      </c>
      <c r="D2786" s="6" t="s">
        <v>1782</v>
      </c>
      <c r="E2786" s="6" t="s">
        <v>1782</v>
      </c>
      <c r="F2786" s="3" t="str">
        <f>IFERROR( VLOOKUP(A2786,#REF!,2,0),"")</f>
        <v/>
      </c>
      <c r="G2786" s="3" t="str">
        <f t="array" ref="G2786">_xlfn.XLOOKUP(I2786,Base_Datos!D:D,Base_Datos!B:B,"")</f>
        <v>DFSK</v>
      </c>
      <c r="H2786" s="3" t="str">
        <f t="array" ref="H2786">IF(I2786="","",IFERROR(_xlfn.XLOOKUP(I2786,Base_Datos!$D$2:$D3876,Base_Datos!$C$2:$C3876),""))</f>
        <v>Serie K</v>
      </c>
      <c r="I2786" s="3" t="s">
        <v>475</v>
      </c>
      <c r="J2786" s="3" t="str">
        <f>IF(I2786="","",IFERROR(VLOOKUP(I2786,Base_Datos!$D$2:$E$72,2,0),""))</f>
        <v>(1.1L)</v>
      </c>
      <c r="K2786" s="3"/>
      <c r="L2786" s="3"/>
      <c r="M2786" s="7">
        <v>0</v>
      </c>
      <c r="N2786" s="7">
        <v>0</v>
      </c>
    </row>
    <row r="2787" spans="1:14" ht="14.25" x14ac:dyDescent="0.2">
      <c r="A2787" s="3">
        <v>99866</v>
      </c>
      <c r="B2787" s="3" t="s">
        <v>1870</v>
      </c>
      <c r="C2787" s="3" t="s">
        <v>18</v>
      </c>
      <c r="D2787" s="6" t="s">
        <v>1782</v>
      </c>
      <c r="E2787" s="6" t="s">
        <v>1782</v>
      </c>
      <c r="F2787" s="3" t="str">
        <f>IFERROR( VLOOKUP(A2787,#REF!,2,0),"")</f>
        <v/>
      </c>
      <c r="G2787" s="3" t="str">
        <f t="array" ref="G2787">_xlfn.XLOOKUP(I2787,Base_Datos!D:D,Base_Datos!B:B,"")</f>
        <v>DFSK</v>
      </c>
      <c r="H2787" s="3" t="str">
        <f t="array" ref="H2787">IF(I2787="","",IFERROR(_xlfn.XLOOKUP(I2787,Base_Datos!$D$2:$D3876,Base_Datos!$C$2:$C3876),""))</f>
        <v>Serie C</v>
      </c>
      <c r="I2787" s="3" t="s">
        <v>339</v>
      </c>
      <c r="J2787" s="3" t="str">
        <f>IF(I2787="","",IFERROR(VLOOKUP(I2787,Base_Datos!$D$2:$E$72,2,0),""))</f>
        <v>(1.5L)</v>
      </c>
      <c r="K2787" s="3"/>
      <c r="L2787" s="3"/>
      <c r="M2787" s="7">
        <v>0</v>
      </c>
      <c r="N2787" s="7">
        <v>0</v>
      </c>
    </row>
    <row r="2788" spans="1:14" ht="14.25" x14ac:dyDescent="0.2">
      <c r="A2788" s="3">
        <v>99867</v>
      </c>
      <c r="B2788" s="3" t="s">
        <v>1830</v>
      </c>
      <c r="C2788" s="3" t="s">
        <v>18</v>
      </c>
      <c r="D2788" s="6" t="s">
        <v>1782</v>
      </c>
      <c r="E2788" s="6" t="s">
        <v>1782</v>
      </c>
      <c r="F2788" s="3" t="str">
        <f>IFERROR( VLOOKUP(A2788,#REF!,2,0),"")</f>
        <v/>
      </c>
      <c r="G2788" s="3" t="str">
        <f t="array" ref="G2788">_xlfn.XLOOKUP(I2788,Base_Datos!D:D,Base_Datos!B:B,"")</f>
        <v>DFSK</v>
      </c>
      <c r="H2788" s="3" t="str">
        <f t="array" ref="H2788">IF(I2788="","",IFERROR(_xlfn.XLOOKUP(I2788,Base_Datos!$D$2:$D3876,Base_Datos!$C$2:$C3876),""))</f>
        <v>Serie C</v>
      </c>
      <c r="I2788" s="3" t="s">
        <v>339</v>
      </c>
      <c r="J2788" s="3" t="str">
        <f>IF(I2788="","",IFERROR(VLOOKUP(I2788,Base_Datos!$D$2:$E$72,2,0),""))</f>
        <v>(1.5L)</v>
      </c>
      <c r="K2788" s="3"/>
      <c r="L2788" s="3"/>
      <c r="M2788" s="7">
        <v>0</v>
      </c>
      <c r="N2788" s="7">
        <v>0</v>
      </c>
    </row>
    <row r="2789" spans="1:14" ht="14.25" x14ac:dyDescent="0.2">
      <c r="A2789" s="3">
        <v>99868</v>
      </c>
      <c r="B2789" s="3" t="s">
        <v>4578</v>
      </c>
      <c r="C2789" s="3" t="s">
        <v>18</v>
      </c>
      <c r="D2789" s="6" t="s">
        <v>1782</v>
      </c>
      <c r="E2789" s="6" t="s">
        <v>1782</v>
      </c>
      <c r="F2789" s="3" t="str">
        <f>IFERROR( VLOOKUP(A2789,#REF!,2,0),"")</f>
        <v/>
      </c>
      <c r="G2789" s="3" t="str">
        <f t="array" ref="G2789">_xlfn.XLOOKUP(I2789,Base_Datos!D:D,Base_Datos!B:B,"")</f>
        <v>DFSK</v>
      </c>
      <c r="H2789" s="3" t="str">
        <f t="array" ref="H2789">IF(I2789="","",IFERROR(_xlfn.XLOOKUP(I2789,Base_Datos!$D$2:$D3876,Base_Datos!$C$2:$C3876),""))</f>
        <v>Serie K</v>
      </c>
      <c r="I2789" s="3" t="s">
        <v>475</v>
      </c>
      <c r="J2789" s="3" t="str">
        <f>IF(I2789="","",IFERROR(VLOOKUP(I2789,Base_Datos!$D$2:$E$72,2,0),""))</f>
        <v>(1.1L)</v>
      </c>
      <c r="K2789" s="3"/>
      <c r="L2789" s="3"/>
      <c r="M2789" s="7">
        <v>0</v>
      </c>
      <c r="N2789" s="7">
        <v>0</v>
      </c>
    </row>
    <row r="2790" spans="1:14" ht="14.25" x14ac:dyDescent="0.2">
      <c r="A2790" s="3">
        <v>99869</v>
      </c>
      <c r="B2790" s="3" t="s">
        <v>4707</v>
      </c>
      <c r="C2790" s="3" t="s">
        <v>18</v>
      </c>
      <c r="D2790" s="6" t="s">
        <v>1782</v>
      </c>
      <c r="E2790" s="6" t="s">
        <v>1782</v>
      </c>
      <c r="F2790" s="3" t="str">
        <f>IFERROR( VLOOKUP(A2790,#REF!,2,0),"")</f>
        <v/>
      </c>
      <c r="G2790" s="3" t="str">
        <f t="array" ref="G2790">_xlfn.XLOOKUP(I2790,Base_Datos!D:D,Base_Datos!B:B,"")</f>
        <v>DFSK</v>
      </c>
      <c r="H2790" s="3" t="str">
        <f t="array" ref="H2790">IF(I2790="","",IFERROR(_xlfn.XLOOKUP(I2790,Base_Datos!$D$2:$D3876,Base_Datos!$C$2:$C3876),""))</f>
        <v>Serie K</v>
      </c>
      <c r="I2790" s="3" t="s">
        <v>475</v>
      </c>
      <c r="J2790" s="3" t="str">
        <f>IF(I2790="","",IFERROR(VLOOKUP(I2790,Base_Datos!$D$2:$E$72,2,0),""))</f>
        <v>(1.1L)</v>
      </c>
      <c r="K2790" s="3"/>
      <c r="L2790" s="3"/>
      <c r="M2790" s="7">
        <v>0</v>
      </c>
      <c r="N2790" s="7">
        <v>0</v>
      </c>
    </row>
    <row r="2791" spans="1:14" ht="14.25" x14ac:dyDescent="0.2">
      <c r="A2791" s="3">
        <v>99870</v>
      </c>
      <c r="B2791" s="3" t="s">
        <v>4396</v>
      </c>
      <c r="C2791" s="3" t="s">
        <v>18</v>
      </c>
      <c r="D2791" s="6" t="s">
        <v>1782</v>
      </c>
      <c r="E2791" s="6" t="s">
        <v>1782</v>
      </c>
      <c r="F2791" s="3" t="str">
        <f>IFERROR( VLOOKUP(A2791,#REF!,2,0),"")</f>
        <v/>
      </c>
      <c r="G2791" s="3" t="str">
        <f t="array" ref="G2791">_xlfn.XLOOKUP(I2791,Base_Datos!D:D,Base_Datos!B:B,"")</f>
        <v>DFSK</v>
      </c>
      <c r="H2791" s="3" t="str">
        <f t="array" ref="H2791">IF(I2791="","",IFERROR(_xlfn.XLOOKUP(I2791,Base_Datos!$D$2:$D3876,Base_Datos!$C$2:$C3876),""))</f>
        <v>Serie K</v>
      </c>
      <c r="I2791" s="3" t="s">
        <v>475</v>
      </c>
      <c r="J2791" s="3" t="str">
        <f>IF(I2791="","",IFERROR(VLOOKUP(I2791,Base_Datos!$D$2:$E$72,2,0),""))</f>
        <v>(1.1L)</v>
      </c>
      <c r="K2791" s="3"/>
      <c r="L2791" s="3"/>
      <c r="M2791" s="7">
        <v>0</v>
      </c>
      <c r="N2791" s="7">
        <v>0</v>
      </c>
    </row>
    <row r="2792" spans="1:14" ht="14.25" x14ac:dyDescent="0.2">
      <c r="A2792" s="3">
        <v>99871</v>
      </c>
      <c r="B2792" s="3" t="s">
        <v>4708</v>
      </c>
      <c r="C2792" s="3" t="s">
        <v>18</v>
      </c>
      <c r="D2792" s="6" t="s">
        <v>1782</v>
      </c>
      <c r="E2792" s="6" t="s">
        <v>1782</v>
      </c>
      <c r="F2792" s="3" t="str">
        <f>IFERROR( VLOOKUP(A2792,#REF!,2,0),"")</f>
        <v/>
      </c>
      <c r="G2792" s="3" t="str">
        <f t="array" ref="G2792">_xlfn.XLOOKUP(I2792,Base_Datos!D:D,Base_Datos!B:B,"")</f>
        <v>DFSK</v>
      </c>
      <c r="H2792" s="3" t="str">
        <f t="array" ref="H2792">IF(I2792="","",IFERROR(_xlfn.XLOOKUP(I2792,Base_Datos!$D$2:$D3876,Base_Datos!$C$2:$C3876),""))</f>
        <v>Serie K</v>
      </c>
      <c r="I2792" s="3" t="s">
        <v>475</v>
      </c>
      <c r="J2792" s="3" t="str">
        <f>IF(I2792="","",IFERROR(VLOOKUP(I2792,Base_Datos!$D$2:$E$72,2,0),""))</f>
        <v>(1.1L)</v>
      </c>
      <c r="K2792" s="3"/>
      <c r="L2792" s="3"/>
      <c r="M2792" s="7">
        <v>0</v>
      </c>
      <c r="N2792" s="7">
        <v>0</v>
      </c>
    </row>
    <row r="2793" spans="1:14" ht="14.25" x14ac:dyDescent="0.2">
      <c r="A2793" s="3">
        <v>99872</v>
      </c>
      <c r="B2793" s="3" t="s">
        <v>4709</v>
      </c>
      <c r="C2793" s="3" t="s">
        <v>18</v>
      </c>
      <c r="D2793" s="6" t="s">
        <v>1782</v>
      </c>
      <c r="E2793" s="6" t="s">
        <v>1782</v>
      </c>
      <c r="F2793" s="3" t="str">
        <f>IFERROR( VLOOKUP(A2793,#REF!,2,0),"")</f>
        <v/>
      </c>
      <c r="G2793" s="3" t="str">
        <f t="array" ref="G2793">_xlfn.XLOOKUP(I2793,Base_Datos!D:D,Base_Datos!B:B,"")</f>
        <v>DFSK</v>
      </c>
      <c r="H2793" s="3" t="str">
        <f t="array" ref="H2793">IF(I2793="","",IFERROR(_xlfn.XLOOKUP(I2793,Base_Datos!$D$2:$D3876,Base_Datos!$C$2:$C3876),""))</f>
        <v>Serie K</v>
      </c>
      <c r="I2793" s="3" t="s">
        <v>475</v>
      </c>
      <c r="J2793" s="3" t="str">
        <f>IF(I2793="","",IFERROR(VLOOKUP(I2793,Base_Datos!$D$2:$E$72,2,0),""))</f>
        <v>(1.1L)</v>
      </c>
      <c r="K2793" s="3"/>
      <c r="L2793" s="3"/>
      <c r="M2793" s="7">
        <v>0</v>
      </c>
      <c r="N2793" s="7">
        <v>0</v>
      </c>
    </row>
    <row r="2794" spans="1:14" ht="14.25" x14ac:dyDescent="0.2">
      <c r="A2794" s="3">
        <v>99873</v>
      </c>
      <c r="B2794" s="3" t="s">
        <v>3148</v>
      </c>
      <c r="C2794" s="3" t="s">
        <v>18</v>
      </c>
      <c r="D2794" s="6" t="s">
        <v>1782</v>
      </c>
      <c r="E2794" s="6" t="s">
        <v>1782</v>
      </c>
      <c r="F2794" s="3" t="str">
        <f>IFERROR( VLOOKUP(A2794,#REF!,2,0),"")</f>
        <v/>
      </c>
      <c r="G2794" s="3" t="str">
        <f t="array" ref="G2794">_xlfn.XLOOKUP(I2794,Base_Datos!D:D,Base_Datos!B:B,"")</f>
        <v>DFSK</v>
      </c>
      <c r="H2794" s="3" t="str">
        <f t="array" ref="H2794">IF(I2794="","",IFERROR(_xlfn.XLOOKUP(I2794,Base_Datos!$D$2:$D3876,Base_Datos!$C$2:$C3876),""))</f>
        <v>Serie K</v>
      </c>
      <c r="I2794" s="3" t="s">
        <v>475</v>
      </c>
      <c r="J2794" s="3" t="str">
        <f>IF(I2794="","",IFERROR(VLOOKUP(I2794,Base_Datos!$D$2:$E$72,2,0),""))</f>
        <v>(1.1L)</v>
      </c>
      <c r="K2794" s="3"/>
      <c r="L2794" s="3"/>
      <c r="M2794" s="7">
        <v>0</v>
      </c>
      <c r="N2794" s="7">
        <v>0</v>
      </c>
    </row>
    <row r="2795" spans="1:14" ht="14.25" x14ac:dyDescent="0.2">
      <c r="A2795" s="3">
        <v>99874</v>
      </c>
      <c r="B2795" s="3" t="s">
        <v>2245</v>
      </c>
      <c r="C2795" s="3" t="s">
        <v>18</v>
      </c>
      <c r="D2795" s="6" t="s">
        <v>1782</v>
      </c>
      <c r="E2795" s="6" t="s">
        <v>1782</v>
      </c>
      <c r="F2795" s="3" t="str">
        <f>IFERROR( VLOOKUP(A2795,#REF!,2,0),"")</f>
        <v/>
      </c>
      <c r="G2795" s="3" t="str">
        <f t="array" ref="G2795">_xlfn.XLOOKUP(I2795,Base_Datos!D:D,Base_Datos!B:B,"")</f>
        <v>DFSK</v>
      </c>
      <c r="H2795" s="3" t="str">
        <f t="array" ref="H2795">IF(I2795="","",IFERROR(_xlfn.XLOOKUP(I2795,Base_Datos!$D$2:$D3876,Base_Datos!$C$2:$C3876),""))</f>
        <v>Serie K</v>
      </c>
      <c r="I2795" s="3" t="s">
        <v>475</v>
      </c>
      <c r="J2795" s="3" t="str">
        <f>IF(I2795="","",IFERROR(VLOOKUP(I2795,Base_Datos!$D$2:$E$72,2,0),""))</f>
        <v>(1.1L)</v>
      </c>
      <c r="K2795" s="3"/>
      <c r="L2795" s="3"/>
      <c r="M2795" s="7">
        <v>0</v>
      </c>
      <c r="N2795" s="7">
        <v>0</v>
      </c>
    </row>
    <row r="2796" spans="1:14" ht="14.25" x14ac:dyDescent="0.2">
      <c r="A2796" s="3">
        <v>99875</v>
      </c>
      <c r="B2796" s="3" t="s">
        <v>4710</v>
      </c>
      <c r="C2796" s="3" t="s">
        <v>18</v>
      </c>
      <c r="D2796" s="6" t="s">
        <v>1782</v>
      </c>
      <c r="E2796" s="6" t="s">
        <v>1782</v>
      </c>
      <c r="F2796" s="3" t="str">
        <f>IFERROR( VLOOKUP(A2796,#REF!,2,0),"")</f>
        <v/>
      </c>
      <c r="G2796" s="3" t="str">
        <f t="array" ref="G2796">_xlfn.XLOOKUP(I2796,Base_Datos!D:D,Base_Datos!B:B,"")</f>
        <v>DFSK</v>
      </c>
      <c r="H2796" s="3" t="str">
        <f t="array" ref="H2796">IF(I2796="","",IFERROR(_xlfn.XLOOKUP(I2796,Base_Datos!$D$2:$D3876,Base_Datos!$C$2:$C3876),""))</f>
        <v>Serie K</v>
      </c>
      <c r="I2796" s="3" t="s">
        <v>475</v>
      </c>
      <c r="J2796" s="3" t="str">
        <f>IF(I2796="","",IFERROR(VLOOKUP(I2796,Base_Datos!$D$2:$E$72,2,0),""))</f>
        <v>(1.1L)</v>
      </c>
      <c r="K2796" s="3"/>
      <c r="L2796" s="3"/>
      <c r="M2796" s="7">
        <v>0</v>
      </c>
      <c r="N2796" s="7">
        <v>0</v>
      </c>
    </row>
    <row r="2797" spans="1:14" ht="14.25" x14ac:dyDescent="0.2">
      <c r="A2797" s="3">
        <v>99876</v>
      </c>
      <c r="B2797" s="3" t="s">
        <v>4711</v>
      </c>
      <c r="C2797" s="3" t="s">
        <v>18</v>
      </c>
      <c r="D2797" s="6" t="s">
        <v>1782</v>
      </c>
      <c r="E2797" s="6" t="s">
        <v>1782</v>
      </c>
      <c r="F2797" s="3" t="str">
        <f>IFERROR( VLOOKUP(A2797,#REF!,2,0),"")</f>
        <v/>
      </c>
      <c r="G2797" s="3" t="str">
        <f t="array" ref="G2797">_xlfn.XLOOKUP(I2797,Base_Datos!D:D,Base_Datos!B:B,"")</f>
        <v>DFSK</v>
      </c>
      <c r="H2797" s="3" t="str">
        <f t="array" ref="H2797">IF(I2797="","",IFERROR(_xlfn.XLOOKUP(I2797,Base_Datos!$D$2:$D3876,Base_Datos!$C$2:$C3876),""))</f>
        <v>Serie K</v>
      </c>
      <c r="I2797" s="3" t="s">
        <v>475</v>
      </c>
      <c r="J2797" s="3" t="str">
        <f>IF(I2797="","",IFERROR(VLOOKUP(I2797,Base_Datos!$D$2:$E$72,2,0),""))</f>
        <v>(1.1L)</v>
      </c>
      <c r="K2797" s="3"/>
      <c r="L2797" s="3"/>
      <c r="M2797" s="7">
        <v>0</v>
      </c>
      <c r="N2797" s="7">
        <v>0</v>
      </c>
    </row>
    <row r="2798" spans="1:14" ht="14.25" x14ac:dyDescent="0.2">
      <c r="A2798" s="3">
        <v>99877</v>
      </c>
      <c r="B2798" s="3" t="s">
        <v>4685</v>
      </c>
      <c r="C2798" s="3" t="s">
        <v>18</v>
      </c>
      <c r="D2798" s="6" t="s">
        <v>1782</v>
      </c>
      <c r="E2798" s="6" t="s">
        <v>1782</v>
      </c>
      <c r="F2798" s="3" t="str">
        <f>IFERROR( VLOOKUP(A2798,#REF!,2,0),"")</f>
        <v/>
      </c>
      <c r="G2798" s="3" t="str">
        <f t="array" ref="G2798">_xlfn.XLOOKUP(I2798,Base_Datos!D:D,Base_Datos!B:B,"")</f>
        <v>DFSK</v>
      </c>
      <c r="H2798" s="3" t="str">
        <f t="array" ref="H2798">IF(I2798="","",IFERROR(_xlfn.XLOOKUP(I2798,Base_Datos!$D$2:$D3876,Base_Datos!$C$2:$C3876),""))</f>
        <v>Serie K</v>
      </c>
      <c r="I2798" s="3" t="s">
        <v>475</v>
      </c>
      <c r="J2798" s="3" t="str">
        <f>IF(I2798="","",IFERROR(VLOOKUP(I2798,Base_Datos!$D$2:$E$72,2,0),""))</f>
        <v>(1.1L)</v>
      </c>
      <c r="K2798" s="3"/>
      <c r="L2798" s="3"/>
      <c r="M2798" s="7">
        <v>0</v>
      </c>
      <c r="N2798" s="7">
        <v>0</v>
      </c>
    </row>
    <row r="2799" spans="1:14" ht="14.25" x14ac:dyDescent="0.2">
      <c r="A2799" s="3">
        <v>99878</v>
      </c>
      <c r="B2799" s="3" t="s">
        <v>4712</v>
      </c>
      <c r="C2799" s="3" t="s">
        <v>18</v>
      </c>
      <c r="D2799" s="6" t="s">
        <v>1782</v>
      </c>
      <c r="E2799" s="6" t="s">
        <v>1782</v>
      </c>
      <c r="F2799" s="3" t="str">
        <f>IFERROR( VLOOKUP(A2799,#REF!,2,0),"")</f>
        <v/>
      </c>
      <c r="G2799" s="3" t="str">
        <f t="array" ref="G2799">_xlfn.XLOOKUP(I2799,Base_Datos!D:D,Base_Datos!B:B,"")</f>
        <v>DFSK</v>
      </c>
      <c r="H2799" s="3" t="str">
        <f t="array" ref="H2799">IF(I2799="","",IFERROR(_xlfn.XLOOKUP(I2799,Base_Datos!$D$2:$D3876,Base_Datos!$C$2:$C3876),""))</f>
        <v>Serie K</v>
      </c>
      <c r="I2799" s="3" t="s">
        <v>475</v>
      </c>
      <c r="J2799" s="3" t="str">
        <f>IF(I2799="","",IFERROR(VLOOKUP(I2799,Base_Datos!$D$2:$E$72,2,0),""))</f>
        <v>(1.1L)</v>
      </c>
      <c r="K2799" s="3"/>
      <c r="L2799" s="3"/>
      <c r="M2799" s="7">
        <v>0</v>
      </c>
      <c r="N2799" s="7">
        <v>0</v>
      </c>
    </row>
    <row r="2800" spans="1:14" ht="14.25" x14ac:dyDescent="0.2">
      <c r="A2800" s="3">
        <v>99879</v>
      </c>
      <c r="B2800" s="3" t="s">
        <v>4713</v>
      </c>
      <c r="C2800" s="3" t="s">
        <v>18</v>
      </c>
      <c r="D2800" s="6" t="s">
        <v>1782</v>
      </c>
      <c r="E2800" s="6" t="s">
        <v>1782</v>
      </c>
      <c r="F2800" s="3" t="str">
        <f>IFERROR( VLOOKUP(A2800,#REF!,2,0),"")</f>
        <v/>
      </c>
      <c r="G2800" s="3" t="str">
        <f t="array" ref="G2800">_xlfn.XLOOKUP(I2800,Base_Datos!D:D,Base_Datos!B:B,"")</f>
        <v>DFSK</v>
      </c>
      <c r="H2800" s="3" t="str">
        <f t="array" ref="H2800">IF(I2800="","",IFERROR(_xlfn.XLOOKUP(I2800,Base_Datos!$D$2:$D3876,Base_Datos!$C$2:$C3876),""))</f>
        <v>Serie K</v>
      </c>
      <c r="I2800" s="3" t="s">
        <v>475</v>
      </c>
      <c r="J2800" s="3" t="str">
        <f>IF(I2800="","",IFERROR(VLOOKUP(I2800,Base_Datos!$D$2:$E$72,2,0),""))</f>
        <v>(1.1L)</v>
      </c>
      <c r="K2800" s="3"/>
      <c r="L2800" s="3"/>
      <c r="M2800" s="7">
        <v>0</v>
      </c>
      <c r="N2800" s="7">
        <v>0</v>
      </c>
    </row>
    <row r="2801" spans="1:14" ht="14.25" x14ac:dyDescent="0.2">
      <c r="A2801" s="3">
        <v>99880</v>
      </c>
      <c r="B2801" s="3" t="s">
        <v>4714</v>
      </c>
      <c r="C2801" s="3" t="s">
        <v>18</v>
      </c>
      <c r="D2801" s="6" t="s">
        <v>1782</v>
      </c>
      <c r="E2801" s="6" t="s">
        <v>1782</v>
      </c>
      <c r="F2801" s="3" t="str">
        <f>IFERROR( VLOOKUP(A2801,#REF!,2,0),"")</f>
        <v/>
      </c>
      <c r="G2801" s="3" t="str">
        <f t="array" ref="G2801">_xlfn.XLOOKUP(I2801,Base_Datos!D:D,Base_Datos!B:B,"")</f>
        <v>DFSK</v>
      </c>
      <c r="H2801" s="3" t="str">
        <f t="array" ref="H2801">IF(I2801="","",IFERROR(_xlfn.XLOOKUP(I2801,Base_Datos!$D$2:$D3876,Base_Datos!$C$2:$C3876),""))</f>
        <v>Serie Glory</v>
      </c>
      <c r="I2801" s="3" t="s">
        <v>1767</v>
      </c>
      <c r="J2801" s="3" t="str">
        <f>IF(I2801="","",IFERROR(VLOOKUP(I2801,Base_Datos!$D$2:$E$72,2,0),""))</f>
        <v>(1.5L)</v>
      </c>
      <c r="K2801" s="3"/>
      <c r="L2801" s="3"/>
      <c r="M2801" s="7">
        <v>0</v>
      </c>
      <c r="N2801" s="7">
        <v>0</v>
      </c>
    </row>
    <row r="2802" spans="1:14" ht="14.25" x14ac:dyDescent="0.2">
      <c r="A2802" s="3">
        <v>99881</v>
      </c>
      <c r="B2802" s="3" t="s">
        <v>2245</v>
      </c>
      <c r="C2802" s="3" t="s">
        <v>18</v>
      </c>
      <c r="D2802" s="6" t="s">
        <v>1782</v>
      </c>
      <c r="E2802" s="6" t="s">
        <v>1782</v>
      </c>
      <c r="F2802" s="3" t="str">
        <f>IFERROR( VLOOKUP(A2802,#REF!,2,0),"")</f>
        <v/>
      </c>
      <c r="G2802" s="3" t="str">
        <f t="array" ref="G2802">_xlfn.XLOOKUP(I2802,Base_Datos!D:D,Base_Datos!B:B,"")</f>
        <v>DFSK</v>
      </c>
      <c r="H2802" s="3" t="str">
        <f t="array" ref="H2802">IF(I2802="","",IFERROR(_xlfn.XLOOKUP(I2802,Base_Datos!$D$2:$D3876,Base_Datos!$C$2:$C3876),""))</f>
        <v>Serie Glory</v>
      </c>
      <c r="I2802" s="3" t="s">
        <v>1765</v>
      </c>
      <c r="J2802" s="3" t="str">
        <f>IF(I2802="","",IFERROR(VLOOKUP(I2802,Base_Datos!$D$2:$E$72,2,0),""))</f>
        <v>(1.5L)</v>
      </c>
      <c r="K2802" s="3"/>
      <c r="L2802" s="3"/>
      <c r="M2802" s="7">
        <v>0</v>
      </c>
      <c r="N2802" s="7">
        <v>0</v>
      </c>
    </row>
    <row r="2803" spans="1:14" ht="14.25" x14ac:dyDescent="0.2">
      <c r="A2803" s="3">
        <v>99882</v>
      </c>
      <c r="B2803" s="3" t="s">
        <v>4715</v>
      </c>
      <c r="C2803" s="3" t="s">
        <v>27</v>
      </c>
      <c r="D2803" s="6" t="s">
        <v>4716</v>
      </c>
      <c r="E2803" s="6" t="s">
        <v>4716</v>
      </c>
      <c r="F2803" s="3" t="str">
        <f>IFERROR( VLOOKUP(A2803,#REF!,2,0),"")</f>
        <v/>
      </c>
      <c r="G2803" s="3" t="str">
        <f t="array" ref="G2803">_xlfn.XLOOKUP(I2803,Base_Datos!D:D,Base_Datos!B:B,"")</f>
        <v>DFSK</v>
      </c>
      <c r="H2803" s="3" t="str">
        <f t="array" ref="H2803">IF(I2803="","",IFERROR(_xlfn.XLOOKUP(I2803,Base_Datos!$D$2:$D3876,Base_Datos!$C$2:$C3876),""))</f>
        <v>Serie D</v>
      </c>
      <c r="I2803" s="3" t="s">
        <v>973</v>
      </c>
      <c r="J2803" s="3" t="str">
        <f>IF(I2803="","",IFERROR(VLOOKUP(I2803,Base_Datos!$D$2:$E$72,2,0),""))</f>
        <v>(1.5L)</v>
      </c>
      <c r="K2803" s="3"/>
      <c r="L2803" s="3"/>
      <c r="M2803" s="7">
        <v>0</v>
      </c>
      <c r="N2803" s="7">
        <v>0</v>
      </c>
    </row>
    <row r="2804" spans="1:14" ht="14.25" x14ac:dyDescent="0.2">
      <c r="A2804" s="3">
        <v>99883</v>
      </c>
      <c r="B2804" s="3" t="s">
        <v>1787</v>
      </c>
      <c r="C2804" s="3" t="s">
        <v>27</v>
      </c>
      <c r="D2804" s="6" t="s">
        <v>4717</v>
      </c>
      <c r="E2804" s="6" t="s">
        <v>4717</v>
      </c>
      <c r="F2804" s="3" t="str">
        <f>IFERROR( VLOOKUP(A2804,#REF!,2,0),"")</f>
        <v/>
      </c>
      <c r="G2804" s="3" t="str">
        <f t="array" ref="G2804">_xlfn.XLOOKUP(I2804,Base_Datos!D:D,Base_Datos!B:B,"")</f>
        <v>DFSK</v>
      </c>
      <c r="H2804" s="3" t="str">
        <f t="array" ref="H2804">IF(I2804="","",IFERROR(_xlfn.XLOOKUP(I2804,Base_Datos!$D$2:$D3876,Base_Datos!$C$2:$C3876),""))</f>
        <v>Serie C</v>
      </c>
      <c r="I2804" s="3" t="s">
        <v>343</v>
      </c>
      <c r="J2804" s="3" t="str">
        <f>IF(I2804="","",IFERROR(VLOOKUP(I2804,Base_Datos!$D$2:$E$72,2,0),""))</f>
        <v>(1.5L)</v>
      </c>
      <c r="K2804" s="3"/>
      <c r="L2804" s="3"/>
      <c r="M2804" s="7">
        <v>0</v>
      </c>
      <c r="N2804" s="7">
        <v>0</v>
      </c>
    </row>
    <row r="2805" spans="1:14" ht="14.25" x14ac:dyDescent="0.2">
      <c r="A2805" s="3">
        <v>99884</v>
      </c>
      <c r="B2805" s="3" t="s">
        <v>4718</v>
      </c>
      <c r="C2805" s="3" t="s">
        <v>27</v>
      </c>
      <c r="D2805" s="6" t="s">
        <v>1782</v>
      </c>
      <c r="E2805" s="6" t="s">
        <v>1782</v>
      </c>
      <c r="F2805" s="3" t="str">
        <f>IFERROR( VLOOKUP(A2805,#REF!,2,0),"")</f>
        <v/>
      </c>
      <c r="G2805" s="3" t="str">
        <f t="array" ref="G2805">_xlfn.XLOOKUP(I2805,Base_Datos!D:D,Base_Datos!B:B,"")</f>
        <v>DFSK</v>
      </c>
      <c r="H2805" s="3" t="str">
        <f t="array" ref="H2805">IF(I2805="","",IFERROR(_xlfn.XLOOKUP(I2805,Base_Datos!$D$2:$D3876,Base_Datos!$C$2:$C3876),""))</f>
        <v>Serie C</v>
      </c>
      <c r="I2805" s="3" t="s">
        <v>343</v>
      </c>
      <c r="J2805" s="3" t="str">
        <f>IF(I2805="","",IFERROR(VLOOKUP(I2805,Base_Datos!$D$2:$E$72,2,0),""))</f>
        <v>(1.5L)</v>
      </c>
      <c r="K2805" s="3" t="s">
        <v>3704</v>
      </c>
      <c r="L2805" s="3"/>
      <c r="M2805" s="7">
        <v>0</v>
      </c>
      <c r="N2805" s="7">
        <v>0</v>
      </c>
    </row>
    <row r="2806" spans="1:14" ht="14.25" x14ac:dyDescent="0.2">
      <c r="A2806" s="3">
        <v>99885</v>
      </c>
      <c r="B2806" s="3" t="s">
        <v>4719</v>
      </c>
      <c r="C2806" s="3" t="s">
        <v>27</v>
      </c>
      <c r="D2806" s="6" t="s">
        <v>1782</v>
      </c>
      <c r="E2806" s="6" t="s">
        <v>1782</v>
      </c>
      <c r="F2806" s="3" t="str">
        <f>IFERROR( VLOOKUP(A2806,#REF!,2,0),"")</f>
        <v/>
      </c>
      <c r="G2806" s="3" t="str">
        <f t="array" ref="G2806">_xlfn.XLOOKUP(I2806,Base_Datos!D:D,Base_Datos!B:B,"")</f>
        <v>DFSK</v>
      </c>
      <c r="H2806" s="3" t="str">
        <f t="array" ref="H2806">IF(I2806="","",IFERROR(_xlfn.XLOOKUP(I2806,Base_Datos!$D$2:$D3876,Base_Datos!$C$2:$C3876),""))</f>
        <v>Serie C</v>
      </c>
      <c r="I2806" s="3" t="s">
        <v>343</v>
      </c>
      <c r="J2806" s="3" t="str">
        <f>IF(I2806="","",IFERROR(VLOOKUP(I2806,Base_Datos!$D$2:$E$72,2,0),""))</f>
        <v>(1.5L)</v>
      </c>
      <c r="K2806" s="3" t="s">
        <v>3704</v>
      </c>
      <c r="L2806" s="3"/>
      <c r="M2806" s="7">
        <v>0</v>
      </c>
      <c r="N2806" s="7">
        <v>0</v>
      </c>
    </row>
    <row r="2807" spans="1:14" ht="14.25" x14ac:dyDescent="0.2">
      <c r="A2807" s="3">
        <v>99886</v>
      </c>
      <c r="B2807" s="3" t="s">
        <v>4720</v>
      </c>
      <c r="C2807" s="3" t="s">
        <v>27</v>
      </c>
      <c r="D2807" s="6" t="s">
        <v>1782</v>
      </c>
      <c r="E2807" s="6" t="s">
        <v>1782</v>
      </c>
      <c r="F2807" s="3" t="str">
        <f>IFERROR( VLOOKUP(A2807,#REF!,2,0),"")</f>
        <v/>
      </c>
      <c r="G2807" s="3" t="str">
        <f t="array" ref="G2807">_xlfn.XLOOKUP(I2807,Base_Datos!D:D,Base_Datos!B:B,"")</f>
        <v>DFSK</v>
      </c>
      <c r="H2807" s="3" t="str">
        <f t="array" ref="H2807">IF(I2807="","",IFERROR(_xlfn.XLOOKUP(I2807,Base_Datos!$D$2:$D3876,Base_Datos!$C$2:$C3876),""))</f>
        <v>Serie C</v>
      </c>
      <c r="I2807" s="3" t="s">
        <v>343</v>
      </c>
      <c r="J2807" s="3" t="str">
        <f>IF(I2807="","",IFERROR(VLOOKUP(I2807,Base_Datos!$D$2:$E$72,2,0),""))</f>
        <v>(1.5L)</v>
      </c>
      <c r="K2807" s="3" t="s">
        <v>2702</v>
      </c>
      <c r="L2807" s="3"/>
      <c r="M2807" s="7">
        <v>0</v>
      </c>
      <c r="N2807" s="7">
        <v>0</v>
      </c>
    </row>
    <row r="2808" spans="1:14" ht="14.25" x14ac:dyDescent="0.2">
      <c r="A2808" s="3">
        <v>99887</v>
      </c>
      <c r="B2808" s="3" t="s">
        <v>4721</v>
      </c>
      <c r="C2808" s="3" t="s">
        <v>27</v>
      </c>
      <c r="D2808" s="6" t="s">
        <v>1782</v>
      </c>
      <c r="E2808" s="6" t="s">
        <v>1782</v>
      </c>
      <c r="F2808" s="3" t="str">
        <f>IFERROR( VLOOKUP(A2808,#REF!,2,0),"")</f>
        <v/>
      </c>
      <c r="G2808" s="3" t="str">
        <f t="array" ref="G2808">_xlfn.XLOOKUP(I2808,Base_Datos!D:D,Base_Datos!B:B,"")</f>
        <v>DFSK</v>
      </c>
      <c r="H2808" s="3" t="str">
        <f t="array" ref="H2808">IF(I2808="","",IFERROR(_xlfn.XLOOKUP(I2808,Base_Datos!$D$2:$D3876,Base_Datos!$C$2:$C3876),""))</f>
        <v>Serie C</v>
      </c>
      <c r="I2808" s="3" t="s">
        <v>343</v>
      </c>
      <c r="J2808" s="3" t="str">
        <f>IF(I2808="","",IFERROR(VLOOKUP(I2808,Base_Datos!$D$2:$E$72,2,0),""))</f>
        <v>(1.5L)</v>
      </c>
      <c r="K2808" s="3" t="s">
        <v>2702</v>
      </c>
      <c r="L2808" s="3"/>
      <c r="M2808" s="7">
        <v>0</v>
      </c>
      <c r="N2808" s="7">
        <v>0</v>
      </c>
    </row>
    <row r="2809" spans="1:14" ht="14.25" x14ac:dyDescent="0.2">
      <c r="A2809" s="3">
        <v>99888</v>
      </c>
      <c r="B2809" s="3" t="s">
        <v>4311</v>
      </c>
      <c r="C2809" s="3" t="s">
        <v>27</v>
      </c>
      <c r="D2809" s="6" t="s">
        <v>1782</v>
      </c>
      <c r="E2809" s="6" t="s">
        <v>1782</v>
      </c>
      <c r="F2809" s="3" t="str">
        <f>IFERROR( VLOOKUP(A2809,#REF!,2,0),"")</f>
        <v/>
      </c>
      <c r="G2809" s="3" t="str">
        <f t="array" ref="G2809">_xlfn.XLOOKUP(I2809,Base_Datos!D:D,Base_Datos!B:B,"")</f>
        <v>DFSK</v>
      </c>
      <c r="H2809" s="3" t="str">
        <f t="array" ref="H2809">IF(I2809="","",IFERROR(_xlfn.XLOOKUP(I2809,Base_Datos!$D$2:$D3876,Base_Datos!$C$2:$C3876),""))</f>
        <v>Serie C</v>
      </c>
      <c r="I2809" s="3" t="s">
        <v>343</v>
      </c>
      <c r="J2809" s="3" t="str">
        <f>IF(I2809="","",IFERROR(VLOOKUP(I2809,Base_Datos!$D$2:$E$72,2,0),""))</f>
        <v>(1.5L)</v>
      </c>
      <c r="K2809" s="3" t="s">
        <v>2702</v>
      </c>
      <c r="L2809" s="3"/>
      <c r="M2809" s="7">
        <v>0</v>
      </c>
      <c r="N2809" s="7">
        <v>0</v>
      </c>
    </row>
    <row r="2810" spans="1:14" ht="14.25" x14ac:dyDescent="0.2">
      <c r="A2810" s="3">
        <v>99889</v>
      </c>
      <c r="B2810" s="3" t="s">
        <v>4527</v>
      </c>
      <c r="C2810" s="3" t="s">
        <v>27</v>
      </c>
      <c r="D2810" s="6" t="s">
        <v>1782</v>
      </c>
      <c r="E2810" s="6" t="s">
        <v>1782</v>
      </c>
      <c r="F2810" s="3" t="str">
        <f>IFERROR( VLOOKUP(A2810,#REF!,2,0),"")</f>
        <v/>
      </c>
      <c r="G2810" s="3" t="str">
        <f t="array" ref="G2810">_xlfn.XLOOKUP(I2810,Base_Datos!D:D,Base_Datos!B:B,"")</f>
        <v>DFSK</v>
      </c>
      <c r="H2810" s="3" t="str">
        <f t="array" ref="H2810">IF(I2810="","",IFERROR(_xlfn.XLOOKUP(I2810,Base_Datos!$D$2:$D3876,Base_Datos!$C$2:$C3876),""))</f>
        <v>Serie C</v>
      </c>
      <c r="I2810" s="3" t="s">
        <v>343</v>
      </c>
      <c r="J2810" s="3" t="str">
        <f>IF(I2810="","",IFERROR(VLOOKUP(I2810,Base_Datos!$D$2:$E$72,2,0),""))</f>
        <v>(1.5L)</v>
      </c>
      <c r="K2810" s="3" t="s">
        <v>2702</v>
      </c>
      <c r="L2810" s="3"/>
      <c r="M2810" s="7">
        <v>0</v>
      </c>
      <c r="N2810" s="7">
        <v>0</v>
      </c>
    </row>
    <row r="2811" spans="1:14" ht="14.25" x14ac:dyDescent="0.2">
      <c r="A2811" s="3">
        <v>99890</v>
      </c>
      <c r="B2811" s="3" t="s">
        <v>4290</v>
      </c>
      <c r="C2811" s="3" t="s">
        <v>27</v>
      </c>
      <c r="D2811" s="6" t="s">
        <v>1782</v>
      </c>
      <c r="E2811" s="6" t="s">
        <v>1782</v>
      </c>
      <c r="F2811" s="3" t="str">
        <f>IFERROR( VLOOKUP(A2811,#REF!,2,0),"")</f>
        <v/>
      </c>
      <c r="G2811" s="3" t="str">
        <f t="array" ref="G2811">_xlfn.XLOOKUP(I2811,Base_Datos!D:D,Base_Datos!B:B,"")</f>
        <v>DFSK</v>
      </c>
      <c r="H2811" s="3" t="str">
        <f t="array" ref="H2811">IF(I2811="","",IFERROR(_xlfn.XLOOKUP(I2811,Base_Datos!$D$2:$D3876,Base_Datos!$C$2:$C3876),""))</f>
        <v>Serie Glory</v>
      </c>
      <c r="I2811" s="3" t="s">
        <v>404</v>
      </c>
      <c r="J2811" s="3" t="str">
        <f>IF(I2811="","",IFERROR(VLOOKUP(I2811,Base_Datos!$D$2:$E$72,2,0),""))</f>
        <v>(1.5L)</v>
      </c>
      <c r="K2811" s="3"/>
      <c r="L2811" s="3"/>
      <c r="M2811" s="7">
        <v>0</v>
      </c>
      <c r="N2811" s="7">
        <v>0</v>
      </c>
    </row>
    <row r="2812" spans="1:14" ht="14.25" x14ac:dyDescent="0.2">
      <c r="A2812" s="3">
        <v>99891</v>
      </c>
      <c r="B2812" s="3" t="s">
        <v>4722</v>
      </c>
      <c r="C2812" s="3" t="s">
        <v>27</v>
      </c>
      <c r="D2812" s="6" t="s">
        <v>1782</v>
      </c>
      <c r="E2812" s="6" t="s">
        <v>1782</v>
      </c>
      <c r="F2812" s="3" t="str">
        <f>IFERROR( VLOOKUP(A2812,#REF!,2,0),"")</f>
        <v/>
      </c>
      <c r="G2812" s="3" t="str">
        <f t="array" ref="G2812">_xlfn.XLOOKUP(I2812,Base_Datos!D:D,Base_Datos!B:B,"")</f>
        <v>DFSK</v>
      </c>
      <c r="H2812" s="3" t="str">
        <f t="array" ref="H2812">IF(I2812="","",IFERROR(_xlfn.XLOOKUP(I2812,Base_Datos!$D$2:$D3876,Base_Datos!$C$2:$C3876),""))</f>
        <v>Serie Glory</v>
      </c>
      <c r="I2812" s="3" t="s">
        <v>404</v>
      </c>
      <c r="J2812" s="3" t="str">
        <f>IF(I2812="","",IFERROR(VLOOKUP(I2812,Base_Datos!$D$2:$E$72,2,0),""))</f>
        <v>(1.5L)</v>
      </c>
      <c r="K2812" s="3"/>
      <c r="L2812" s="3"/>
      <c r="M2812" s="7">
        <v>0</v>
      </c>
      <c r="N2812" s="7">
        <v>0</v>
      </c>
    </row>
    <row r="2813" spans="1:14" ht="14.25" x14ac:dyDescent="0.2">
      <c r="A2813" s="3">
        <v>99892</v>
      </c>
      <c r="B2813" s="3" t="s">
        <v>1828</v>
      </c>
      <c r="C2813" s="3" t="s">
        <v>27</v>
      </c>
      <c r="D2813" s="6" t="s">
        <v>4723</v>
      </c>
      <c r="E2813" s="6" t="s">
        <v>4723</v>
      </c>
      <c r="F2813" s="3" t="str">
        <f>IFERROR( VLOOKUP(A2813,#REF!,2,0),"")</f>
        <v/>
      </c>
      <c r="G2813" s="3" t="str">
        <f t="array" ref="G2813">_xlfn.XLOOKUP(I2813,Base_Datos!D:D,Base_Datos!B:B,"")</f>
        <v>DFSK</v>
      </c>
      <c r="H2813" s="3" t="str">
        <f t="array" ref="H2813">IF(I2813="","",IFERROR(_xlfn.XLOOKUP(I2813,Base_Datos!$D$2:$D3876,Base_Datos!$C$2:$C3876),""))</f>
        <v>Serie Glory</v>
      </c>
      <c r="I2813" s="3" t="s">
        <v>404</v>
      </c>
      <c r="J2813" s="3" t="str">
        <f>IF(I2813="","",IFERROR(VLOOKUP(I2813,Base_Datos!$D$2:$E$72,2,0),""))</f>
        <v>(1.5L)</v>
      </c>
      <c r="K2813" s="3"/>
      <c r="L2813" s="3"/>
      <c r="M2813" s="7">
        <v>0</v>
      </c>
      <c r="N2813" s="7">
        <v>0</v>
      </c>
    </row>
    <row r="2814" spans="1:14" ht="14.25" x14ac:dyDescent="0.2">
      <c r="A2814" s="3">
        <v>99893</v>
      </c>
      <c r="B2814" s="3" t="s">
        <v>1787</v>
      </c>
      <c r="C2814" s="3" t="s">
        <v>27</v>
      </c>
      <c r="D2814" s="6" t="s">
        <v>907</v>
      </c>
      <c r="E2814" s="6" t="s">
        <v>907</v>
      </c>
      <c r="F2814" s="3" t="str">
        <f>IFERROR( VLOOKUP(A2814,#REF!,2,0),"")</f>
        <v/>
      </c>
      <c r="G2814" s="3" t="str">
        <f t="array" ref="G2814">_xlfn.XLOOKUP(I2814,Base_Datos!D:D,Base_Datos!B:B,"")</f>
        <v>DFSK</v>
      </c>
      <c r="H2814" s="3" t="str">
        <f t="array" ref="H2814">IF(I2814="","",IFERROR(_xlfn.XLOOKUP(I2814,Base_Datos!$D$2:$D3876,Base_Datos!$C$2:$C3876),""))</f>
        <v>Serie Glory</v>
      </c>
      <c r="I2814" s="3" t="s">
        <v>404</v>
      </c>
      <c r="J2814" s="3" t="str">
        <f>IF(I2814="","",IFERROR(VLOOKUP(I2814,Base_Datos!$D$2:$E$72,2,0),""))</f>
        <v>(1.5L)</v>
      </c>
      <c r="K2814" s="3"/>
      <c r="L2814" s="3"/>
      <c r="M2814" s="7">
        <v>0</v>
      </c>
      <c r="N2814" s="7">
        <v>0</v>
      </c>
    </row>
    <row r="2815" spans="1:14" ht="14.25" x14ac:dyDescent="0.2">
      <c r="A2815" s="3">
        <v>99894</v>
      </c>
      <c r="B2815" s="3" t="s">
        <v>3049</v>
      </c>
      <c r="C2815" s="3" t="s">
        <v>18</v>
      </c>
      <c r="D2815" s="6" t="s">
        <v>3050</v>
      </c>
      <c r="E2815" s="6" t="s">
        <v>3050</v>
      </c>
      <c r="F2815" s="3" t="str">
        <f>IFERROR( VLOOKUP(A2815,#REF!,2,0),"")</f>
        <v/>
      </c>
      <c r="G2815" s="3" t="str">
        <f t="array" ref="G2815">_xlfn.XLOOKUP(I2815,Base_Datos!D:D,Base_Datos!B:B,"")</f>
        <v>DFSK</v>
      </c>
      <c r="H2815" s="3" t="str">
        <f t="array" ref="H2815">IF(I2815="","",IFERROR(_xlfn.XLOOKUP(I2815,Base_Datos!$D$2:$D3876,Base_Datos!$C$2:$C3876),""))</f>
        <v>Serie Glory</v>
      </c>
      <c r="I2815" s="3" t="s">
        <v>1767</v>
      </c>
      <c r="J2815" s="3" t="str">
        <f>IF(I2815="","",IFERROR(VLOOKUP(I2815,Base_Datos!$D$2:$E$72,2,0),""))</f>
        <v>(1.5L)</v>
      </c>
      <c r="K2815" s="3" t="s">
        <v>4724</v>
      </c>
      <c r="L2815" s="3"/>
      <c r="M2815" s="7">
        <v>0</v>
      </c>
      <c r="N2815" s="7">
        <v>0</v>
      </c>
    </row>
    <row r="2816" spans="1:14" ht="14.25" x14ac:dyDescent="0.2">
      <c r="A2816" s="3">
        <v>99895</v>
      </c>
      <c r="B2816" s="3" t="s">
        <v>4725</v>
      </c>
      <c r="C2816" s="3" t="s">
        <v>27</v>
      </c>
      <c r="D2816" s="6" t="s">
        <v>1782</v>
      </c>
      <c r="E2816" s="6" t="s">
        <v>1782</v>
      </c>
      <c r="F2816" s="3" t="str">
        <f>IFERROR( VLOOKUP(A2816,#REF!,2,0),"")</f>
        <v/>
      </c>
      <c r="G2816" s="3" t="str">
        <f t="array" ref="G2816">_xlfn.XLOOKUP(I2816,Base_Datos!D:D,Base_Datos!B:B,"")</f>
        <v>GAC</v>
      </c>
      <c r="H2816" s="3" t="str">
        <f t="array" ref="H2816">IF(I2816="","",IFERROR(_xlfn.XLOOKUP(I2816,Base_Datos!$D$2:$D3876,Base_Datos!$C$2:$C3876),""))</f>
        <v>Serie Empow</v>
      </c>
      <c r="I2816" s="3" t="s">
        <v>1180</v>
      </c>
      <c r="J2816" s="3" t="str">
        <f>IF(I2816="","",IFERROR(VLOOKUP(I2816,Base_Datos!$D$2:$E$72,2,0),""))</f>
        <v>(1.5L)</v>
      </c>
      <c r="K2816" s="3"/>
      <c r="L2816" s="3"/>
      <c r="M2816" s="7">
        <v>0</v>
      </c>
      <c r="N2816" s="7">
        <v>0</v>
      </c>
    </row>
    <row r="2817" spans="1:14" ht="14.25" x14ac:dyDescent="0.2">
      <c r="A2817" s="3">
        <v>99896</v>
      </c>
      <c r="B2817" s="3" t="s">
        <v>3064</v>
      </c>
      <c r="C2817" s="3" t="s">
        <v>27</v>
      </c>
      <c r="D2817" s="6" t="s">
        <v>1782</v>
      </c>
      <c r="E2817" s="6" t="s">
        <v>1782</v>
      </c>
      <c r="F2817" s="3" t="str">
        <f>IFERROR( VLOOKUP(A2817,#REF!,2,0),"")</f>
        <v/>
      </c>
      <c r="G2817" s="3" t="str">
        <f t="array" ref="G2817">_xlfn.XLOOKUP(I2817,Base_Datos!D:D,Base_Datos!B:B,"")</f>
        <v>DFSK</v>
      </c>
      <c r="H2817" s="3" t="str">
        <f t="array" ref="H2817">IF(I2817="","",IFERROR(_xlfn.XLOOKUP(I2817,Base_Datos!$D$2:$D3876,Base_Datos!$C$2:$C3876),""))</f>
        <v>Serie Glory</v>
      </c>
      <c r="I2817" s="3" t="s">
        <v>1754</v>
      </c>
      <c r="J2817" s="3" t="str">
        <f>IF(I2817="","",IFERROR(VLOOKUP(I2817,Base_Datos!$D$2:$E$72,2,0),""))</f>
        <v>(1.5L)</v>
      </c>
      <c r="K2817" s="3"/>
      <c r="L2817" s="3"/>
      <c r="M2817" s="7">
        <v>0</v>
      </c>
      <c r="N2817" s="7">
        <v>0</v>
      </c>
    </row>
    <row r="2818" spans="1:14" ht="14.25" x14ac:dyDescent="0.2">
      <c r="A2818" s="3">
        <v>99897</v>
      </c>
      <c r="B2818" s="3" t="s">
        <v>2857</v>
      </c>
      <c r="C2818" s="3" t="s">
        <v>27</v>
      </c>
      <c r="D2818" s="6" t="s">
        <v>744</v>
      </c>
      <c r="E2818" s="6" t="s">
        <v>744</v>
      </c>
      <c r="F2818" s="3" t="str">
        <f>IFERROR( VLOOKUP(A2818,#REF!,2,0),"")</f>
        <v/>
      </c>
      <c r="G2818" s="3" t="str">
        <f t="array" ref="G2818">_xlfn.XLOOKUP(I2818,Base_Datos!D:D,Base_Datos!B:B,"")</f>
        <v>DFSK</v>
      </c>
      <c r="H2818" s="3" t="str">
        <f t="array" ref="H2818">IF(I2818="","",IFERROR(_xlfn.XLOOKUP(I2818,Base_Datos!$D$2:$D3876,Base_Datos!$C$2:$C3876),""))</f>
        <v>Serie Glory</v>
      </c>
      <c r="I2818" s="3" t="s">
        <v>1765</v>
      </c>
      <c r="J2818" s="3" t="str">
        <f>IF(I2818="","",IFERROR(VLOOKUP(I2818,Base_Datos!$D$2:$E$72,2,0),""))</f>
        <v>(1.5L)</v>
      </c>
      <c r="K2818" s="3"/>
      <c r="L2818" s="3"/>
      <c r="M2818" s="7">
        <v>0</v>
      </c>
      <c r="N2818" s="7">
        <v>0</v>
      </c>
    </row>
    <row r="2819" spans="1:14" ht="14.25" x14ac:dyDescent="0.2">
      <c r="A2819" s="3">
        <v>99898</v>
      </c>
      <c r="B2819" s="3" t="s">
        <v>2507</v>
      </c>
      <c r="C2819" s="3" t="s">
        <v>27</v>
      </c>
      <c r="D2819" s="6" t="s">
        <v>744</v>
      </c>
      <c r="E2819" s="6" t="s">
        <v>744</v>
      </c>
      <c r="F2819" s="3" t="str">
        <f>IFERROR( VLOOKUP(A2819,#REF!,2,0),"")</f>
        <v/>
      </c>
      <c r="G2819" s="3" t="str">
        <f t="array" ref="G2819">_xlfn.XLOOKUP(I2819,Base_Datos!D:D,Base_Datos!B:B,"")</f>
        <v>DFSK</v>
      </c>
      <c r="H2819" s="3" t="str">
        <f t="array" ref="H2819">IF(I2819="","",IFERROR(_xlfn.XLOOKUP(I2819,Base_Datos!$D$2:$D3876,Base_Datos!$C$2:$C3876),""))</f>
        <v>Serie Glory</v>
      </c>
      <c r="I2819" s="3" t="s">
        <v>1765</v>
      </c>
      <c r="J2819" s="3" t="str">
        <f>IF(I2819="","",IFERROR(VLOOKUP(I2819,Base_Datos!$D$2:$E$72,2,0),""))</f>
        <v>(1.5L)</v>
      </c>
      <c r="K2819" s="3"/>
      <c r="L2819" s="3"/>
      <c r="M2819" s="7">
        <v>0</v>
      </c>
      <c r="N2819" s="7">
        <v>0</v>
      </c>
    </row>
    <row r="2820" spans="1:14" ht="14.25" x14ac:dyDescent="0.2">
      <c r="A2820" s="3">
        <v>99899</v>
      </c>
      <c r="B2820" s="3" t="s">
        <v>4726</v>
      </c>
      <c r="C2820" s="3" t="s">
        <v>27</v>
      </c>
      <c r="D2820" s="6" t="s">
        <v>1782</v>
      </c>
      <c r="E2820" s="6" t="s">
        <v>1782</v>
      </c>
      <c r="F2820" s="3" t="str">
        <f>IFERROR( VLOOKUP(A2820,#REF!,2,0),"")</f>
        <v/>
      </c>
      <c r="G2820" s="3" t="str">
        <f t="array" ref="G2820">_xlfn.XLOOKUP(I2820,Base_Datos!D:D,Base_Datos!B:B,"")</f>
        <v>DFSK</v>
      </c>
      <c r="H2820" s="3" t="str">
        <f t="array" ref="H2820">IF(I2820="","",IFERROR(_xlfn.XLOOKUP(I2820,Base_Datos!$D$2:$D3876,Base_Datos!$C$2:$C3876),""))</f>
        <v>Serie Glory</v>
      </c>
      <c r="I2820" s="3" t="s">
        <v>1765</v>
      </c>
      <c r="J2820" s="3" t="str">
        <f>IF(I2820="","",IFERROR(VLOOKUP(I2820,Base_Datos!$D$2:$E$72,2,0),""))</f>
        <v>(1.5L)</v>
      </c>
      <c r="K2820" s="3"/>
      <c r="L2820" s="3"/>
      <c r="M2820" s="7">
        <v>0</v>
      </c>
      <c r="N2820" s="7">
        <v>0</v>
      </c>
    </row>
    <row r="2821" spans="1:14" ht="14.25" x14ac:dyDescent="0.2">
      <c r="A2821" s="3">
        <v>99900</v>
      </c>
      <c r="B2821" s="3" t="s">
        <v>3394</v>
      </c>
      <c r="C2821" s="3" t="s">
        <v>27</v>
      </c>
      <c r="D2821" s="6" t="s">
        <v>2414</v>
      </c>
      <c r="E2821" s="6" t="s">
        <v>2414</v>
      </c>
      <c r="F2821" s="3" t="str">
        <f>IFERROR( VLOOKUP(A2821,#REF!,2,0),"")</f>
        <v/>
      </c>
      <c r="G2821" s="3" t="str">
        <f t="array" ref="G2821">_xlfn.XLOOKUP(I2821,Base_Datos!D:D,Base_Datos!B:B,"")</f>
        <v>DFSK</v>
      </c>
      <c r="H2821" s="3" t="str">
        <f t="array" ref="H2821">IF(I2821="","",IFERROR(_xlfn.XLOOKUP(I2821,Base_Datos!$D$2:$D3876,Base_Datos!$C$2:$C3876),""))</f>
        <v>Serie Glory</v>
      </c>
      <c r="I2821" s="3" t="s">
        <v>1765</v>
      </c>
      <c r="J2821" s="3" t="str">
        <f>IF(I2821="","",IFERROR(VLOOKUP(I2821,Base_Datos!$D$2:$E$72,2,0),""))</f>
        <v>(1.5L)</v>
      </c>
      <c r="K2821" s="3"/>
      <c r="L2821" s="3"/>
      <c r="M2821" s="7">
        <v>0</v>
      </c>
      <c r="N2821" s="7">
        <v>0</v>
      </c>
    </row>
    <row r="2822" spans="1:14" ht="14.25" x14ac:dyDescent="0.2">
      <c r="A2822" s="3">
        <v>99932</v>
      </c>
      <c r="B2822" s="3" t="s">
        <v>4727</v>
      </c>
      <c r="C2822" s="3" t="s">
        <v>23</v>
      </c>
      <c r="D2822" s="6" t="s">
        <v>940</v>
      </c>
      <c r="E2822" s="6" t="s">
        <v>4532</v>
      </c>
      <c r="F2822" s="3" t="str">
        <f>IFERROR( VLOOKUP(A2822,#REF!,2,0),"")</f>
        <v/>
      </c>
      <c r="G2822" s="3" t="str">
        <f t="array" ref="G2822">_xlfn.XLOOKUP(I2822,Base_Datos!D:D,Base_Datos!B:B,"")</f>
        <v>DFSK</v>
      </c>
      <c r="H2822" s="3" t="str">
        <f t="array" ref="H2822">IF(I2822="","",IFERROR(_xlfn.XLOOKUP(I2822,Base_Datos!$D$2:$D3876,Base_Datos!$C$2:$C3876),""))</f>
        <v>Serie K</v>
      </c>
      <c r="I2822" s="3" t="s">
        <v>475</v>
      </c>
      <c r="J2822" s="3" t="str">
        <f>IF(I2822="","",IFERROR(VLOOKUP(I2822,Base_Datos!$D$2:$E$72,2,0),""))</f>
        <v>(1.1L)</v>
      </c>
      <c r="K2822" s="3" t="s">
        <v>4514</v>
      </c>
      <c r="L2822" s="3"/>
      <c r="M2822" s="7">
        <v>5</v>
      </c>
      <c r="N2822" s="7">
        <v>0</v>
      </c>
    </row>
    <row r="2823" spans="1:14" ht="14.25" x14ac:dyDescent="0.2">
      <c r="A2823" s="3">
        <v>99934</v>
      </c>
      <c r="B2823" s="3" t="s">
        <v>4728</v>
      </c>
      <c r="C2823" s="3" t="s">
        <v>2</v>
      </c>
      <c r="D2823" s="6" t="s">
        <v>1782</v>
      </c>
      <c r="E2823" s="6" t="s">
        <v>1782</v>
      </c>
      <c r="F2823" s="3" t="str">
        <f>IFERROR( VLOOKUP(A2823,#REF!,2,0),"")</f>
        <v/>
      </c>
      <c r="G2823" s="3" t="str">
        <f t="array" ref="G2823">_xlfn.XLOOKUP(I2823,Base_Datos!D:D,Base_Datos!B:B,"")</f>
        <v>VALVOLINE</v>
      </c>
      <c r="H2823" s="3" t="str">
        <f t="array" ref="H2823">IF(I2823="","",IFERROR(_xlfn.XLOOKUP(I2823,Base_Datos!$D$2:$D3876,Base_Datos!$C$2:$C3876),""))</f>
        <v>MOTOR</v>
      </c>
      <c r="I2823" s="3" t="s">
        <v>4354</v>
      </c>
      <c r="J2823" s="3" t="str">
        <f>IF(I2823="","",IFERROR(VLOOKUP(I2823,Base_Datos!$D$2:$E$72,2,0),""))</f>
        <v>SINTETICO</v>
      </c>
      <c r="K2823" s="3"/>
      <c r="L2823" s="3"/>
      <c r="M2823" s="7">
        <v>0</v>
      </c>
      <c r="N2823" s="7">
        <v>0</v>
      </c>
    </row>
    <row r="2824" spans="1:14" ht="14.25" x14ac:dyDescent="0.2">
      <c r="A2824" s="3">
        <v>99935</v>
      </c>
      <c r="B2824" s="3" t="s">
        <v>4729</v>
      </c>
      <c r="C2824" s="3" t="s">
        <v>2</v>
      </c>
      <c r="D2824" s="6" t="s">
        <v>1782</v>
      </c>
      <c r="E2824" s="6" t="s">
        <v>1782</v>
      </c>
      <c r="F2824" s="3" t="str">
        <f>IFERROR( VLOOKUP(A2824,#REF!,2,0),"")</f>
        <v/>
      </c>
      <c r="G2824" s="3" t="str">
        <f t="array" ref="G2824">_xlfn.XLOOKUP(I2824,Base_Datos!D:D,Base_Datos!B:B,"")</f>
        <v>VALVOLINE</v>
      </c>
      <c r="H2824" s="3" t="str">
        <f t="array" ref="H2824">IF(I2824="","",IFERROR(_xlfn.XLOOKUP(I2824,Base_Datos!$D$2:$D3876,Base_Datos!$C$2:$C3876),""))</f>
        <v>MOTOR</v>
      </c>
      <c r="I2824" s="3" t="s">
        <v>4354</v>
      </c>
      <c r="J2824" s="3" t="str">
        <f>IF(I2824="","",IFERROR(VLOOKUP(I2824,Base_Datos!$D$2:$E$72,2,0),""))</f>
        <v>SINTETICO</v>
      </c>
      <c r="K2824" s="3"/>
      <c r="L2824" s="3"/>
      <c r="M2824" s="7">
        <v>0</v>
      </c>
      <c r="N2824" s="7">
        <v>0</v>
      </c>
    </row>
    <row r="2825" spans="1:14" ht="14.25" x14ac:dyDescent="0.2">
      <c r="A2825" s="3">
        <v>99936</v>
      </c>
      <c r="B2825" s="3" t="s">
        <v>4730</v>
      </c>
      <c r="C2825" s="3" t="s">
        <v>23</v>
      </c>
      <c r="D2825" s="6" t="s">
        <v>758</v>
      </c>
      <c r="E2825" s="6" t="s">
        <v>758</v>
      </c>
      <c r="F2825" s="3" t="str">
        <f>IFERROR( VLOOKUP(A2825,#REF!,2,0),"")</f>
        <v/>
      </c>
      <c r="G2825" s="3" t="str">
        <f t="array" ref="G2825">_xlfn.XLOOKUP(I2825,Base_Datos!D:D,Base_Datos!B:B,"")</f>
        <v>DFSK</v>
      </c>
      <c r="H2825" s="3" t="str">
        <f t="array" ref="H2825">IF(I2825="","",IFERROR(_xlfn.XLOOKUP(I2825,Base_Datos!$D$2:$D3876,Base_Datos!$C$2:$C3876),""))</f>
        <v>Serie K</v>
      </c>
      <c r="I2825" s="3" t="s">
        <v>475</v>
      </c>
      <c r="J2825" s="3" t="str">
        <f>IF(I2825="","",IFERROR(VLOOKUP(I2825,Base_Datos!$D$2:$E$72,2,0),""))</f>
        <v>(1.1L)</v>
      </c>
      <c r="K2825" s="3"/>
      <c r="L2825" s="3"/>
      <c r="M2825" s="7">
        <v>5</v>
      </c>
      <c r="N2825" s="7">
        <v>0</v>
      </c>
    </row>
    <row r="2826" spans="1:14" ht="14.25" x14ac:dyDescent="0.2">
      <c r="A2826" s="3">
        <v>99937</v>
      </c>
      <c r="B2826" s="3" t="s">
        <v>4730</v>
      </c>
      <c r="C2826" s="3" t="s">
        <v>23</v>
      </c>
      <c r="D2826" s="6" t="s">
        <v>759</v>
      </c>
      <c r="E2826" s="6" t="s">
        <v>441</v>
      </c>
      <c r="F2826" s="3" t="str">
        <f>IFERROR( VLOOKUP(A2826,#REF!,2,0),"")</f>
        <v/>
      </c>
      <c r="G2826" s="3" t="str">
        <f t="array" ref="G2826">_xlfn.XLOOKUP(I2826,Base_Datos!D:D,Base_Datos!B:B,"")</f>
        <v>DFSK</v>
      </c>
      <c r="H2826" s="3" t="str">
        <f t="array" ref="H2826">IF(I2826="","",IFERROR(_xlfn.XLOOKUP(I2826,Base_Datos!$D$2:$D3876,Base_Datos!$C$2:$C3876),""))</f>
        <v>Serie K</v>
      </c>
      <c r="I2826" s="3" t="s">
        <v>475</v>
      </c>
      <c r="J2826" s="3" t="str">
        <f>IF(I2826="","",IFERROR(VLOOKUP(I2826,Base_Datos!$D$2:$E$72,2,0),""))</f>
        <v>(1.1L)</v>
      </c>
      <c r="K2826" s="3"/>
      <c r="L2826" s="3"/>
      <c r="M2826" s="7">
        <v>5</v>
      </c>
      <c r="N2826" s="7">
        <v>0</v>
      </c>
    </row>
    <row r="2827" spans="1:14" ht="14.25" x14ac:dyDescent="0.2">
      <c r="A2827" s="3">
        <v>99938</v>
      </c>
      <c r="B2827" s="3" t="s">
        <v>4731</v>
      </c>
      <c r="C2827" s="3" t="s">
        <v>23</v>
      </c>
      <c r="D2827" s="6" t="s">
        <v>941</v>
      </c>
      <c r="E2827" s="6" t="s">
        <v>941</v>
      </c>
      <c r="F2827" s="3" t="str">
        <f>IFERROR( VLOOKUP(A2827,#REF!,2,0),"")</f>
        <v/>
      </c>
      <c r="G2827" s="3" t="str">
        <f t="array" ref="G2827">_xlfn.XLOOKUP(I2827,Base_Datos!D:D,Base_Datos!B:B,"")</f>
        <v>DFSK</v>
      </c>
      <c r="H2827" s="3" t="str">
        <f t="array" ref="H2827">IF(I2827="","",IFERROR(_xlfn.XLOOKUP(I2827,Base_Datos!$D$2:$D3876,Base_Datos!$C$2:$C3876),""))</f>
        <v>Serie K</v>
      </c>
      <c r="I2827" s="3" t="s">
        <v>475</v>
      </c>
      <c r="J2827" s="3" t="str">
        <f>IF(I2827="","",IFERROR(VLOOKUP(I2827,Base_Datos!$D$2:$E$72,2,0),""))</f>
        <v>(1.1L)</v>
      </c>
      <c r="K2827" s="3"/>
      <c r="L2827" s="3"/>
      <c r="M2827" s="7">
        <v>0</v>
      </c>
      <c r="N2827" s="7">
        <v>0</v>
      </c>
    </row>
    <row r="2828" spans="1:14" ht="14.25" x14ac:dyDescent="0.2">
      <c r="A2828" s="3">
        <v>99939</v>
      </c>
      <c r="B2828" s="3" t="s">
        <v>4732</v>
      </c>
      <c r="C2828" s="3" t="s">
        <v>23</v>
      </c>
      <c r="D2828" s="6" t="s">
        <v>942</v>
      </c>
      <c r="E2828" s="6" t="s">
        <v>942</v>
      </c>
      <c r="F2828" s="3" t="str">
        <f>IFERROR( VLOOKUP(A2828,#REF!,2,0),"")</f>
        <v/>
      </c>
      <c r="G2828" s="3" t="str">
        <f t="array" ref="G2828">_xlfn.XLOOKUP(I2828,Base_Datos!D:D,Base_Datos!B:B,"")</f>
        <v>DFSK</v>
      </c>
      <c r="H2828" s="3" t="str">
        <f t="array" ref="H2828">IF(I2828="","",IFERROR(_xlfn.XLOOKUP(I2828,Base_Datos!$D$2:$D3876,Base_Datos!$C$2:$C3876),""))</f>
        <v>Serie K</v>
      </c>
      <c r="I2828" s="3" t="s">
        <v>475</v>
      </c>
      <c r="J2828" s="3" t="str">
        <f>IF(I2828="","",IFERROR(VLOOKUP(I2828,Base_Datos!$D$2:$E$72,2,0),""))</f>
        <v>(1.1L)</v>
      </c>
      <c r="K2828" s="3"/>
      <c r="L2828" s="3"/>
      <c r="M2828" s="7">
        <v>0</v>
      </c>
      <c r="N2828" s="7">
        <v>0</v>
      </c>
    </row>
    <row r="2829" spans="1:14" ht="14.25" x14ac:dyDescent="0.2">
      <c r="A2829" s="3">
        <v>99940</v>
      </c>
      <c r="B2829" s="3" t="s">
        <v>3378</v>
      </c>
      <c r="C2829" s="3" t="s">
        <v>23</v>
      </c>
      <c r="D2829" s="6" t="s">
        <v>943</v>
      </c>
      <c r="E2829" s="6" t="s">
        <v>123</v>
      </c>
      <c r="F2829" s="3" t="str">
        <f>IFERROR( VLOOKUP(A2829,#REF!,2,0),"")</f>
        <v/>
      </c>
      <c r="G2829" s="3" t="str">
        <f t="array" ref="G2829">_xlfn.XLOOKUP(I2829,Base_Datos!D:D,Base_Datos!B:B,"")</f>
        <v>DFSK</v>
      </c>
      <c r="H2829" s="3" t="str">
        <f t="array" ref="H2829">IF(I2829="","",IFERROR(_xlfn.XLOOKUP(I2829,Base_Datos!$D$2:$D3876,Base_Datos!$C$2:$C3876),""))</f>
        <v>Serie K</v>
      </c>
      <c r="I2829" s="3" t="s">
        <v>475</v>
      </c>
      <c r="J2829" s="3" t="str">
        <f>IF(I2829="","",IFERROR(VLOOKUP(I2829,Base_Datos!$D$2:$E$72,2,0),""))</f>
        <v>(1.1L)</v>
      </c>
      <c r="K2829" s="3"/>
      <c r="L2829" s="3"/>
      <c r="M2829" s="7">
        <v>5</v>
      </c>
      <c r="N2829" s="7">
        <v>0</v>
      </c>
    </row>
    <row r="2830" spans="1:14" ht="14.25" x14ac:dyDescent="0.2">
      <c r="A2830" s="3">
        <v>99941</v>
      </c>
      <c r="B2830" s="3" t="s">
        <v>4733</v>
      </c>
      <c r="C2830" s="3" t="s">
        <v>18</v>
      </c>
      <c r="D2830" s="6" t="s">
        <v>944</v>
      </c>
      <c r="E2830" s="6" t="s">
        <v>944</v>
      </c>
      <c r="F2830" s="3" t="str">
        <f>IFERROR( VLOOKUP(A2830,#REF!,2,0),"")</f>
        <v/>
      </c>
      <c r="G2830" s="3" t="str">
        <f t="array" ref="G2830">_xlfn.XLOOKUP(I2830,Base_Datos!D:D,Base_Datos!B:B,"")</f>
        <v>DFSK</v>
      </c>
      <c r="H2830" s="3" t="str">
        <f t="array" ref="H2830">IF(I2830="","",IFERROR(_xlfn.XLOOKUP(I2830,Base_Datos!$D$2:$D3876,Base_Datos!$C$2:$C3876),""))</f>
        <v>Serie Glory</v>
      </c>
      <c r="I2830" s="3" t="s">
        <v>404</v>
      </c>
      <c r="J2830" s="3" t="str">
        <f>IF(I2830="","",IFERROR(VLOOKUP(I2830,Base_Datos!$D$2:$E$72,2,0),""))</f>
        <v>(1.5L)</v>
      </c>
      <c r="K2830" s="3"/>
      <c r="L2830" s="3"/>
      <c r="M2830" s="7">
        <v>10</v>
      </c>
      <c r="N2830" s="7">
        <v>0</v>
      </c>
    </row>
    <row r="2831" spans="1:14" ht="14.25" x14ac:dyDescent="0.2">
      <c r="A2831" s="3">
        <v>99942</v>
      </c>
      <c r="B2831" s="3" t="s">
        <v>4734</v>
      </c>
      <c r="C2831" s="3" t="s">
        <v>6</v>
      </c>
      <c r="D2831" s="6" t="s">
        <v>1782</v>
      </c>
      <c r="E2831" s="6" t="s">
        <v>1782</v>
      </c>
      <c r="F2831" s="3" t="str">
        <f>IFERROR( VLOOKUP(A2831,#REF!,2,0),"")</f>
        <v/>
      </c>
      <c r="G2831" s="3" t="str">
        <f t="array" ref="G2831">_xlfn.XLOOKUP(I2831,Base_Datos!D:D,Base_Datos!B:B,"")</f>
        <v>VALVOLINE</v>
      </c>
      <c r="H2831" s="3" t="str">
        <f t="array" ref="H2831">IF(I2831="","",IFERROR(_xlfn.XLOOKUP(I2831,Base_Datos!$D$2:$D3876,Base_Datos!$C$2:$C3876),""))</f>
        <v>MOTOR</v>
      </c>
      <c r="I2831" s="3" t="s">
        <v>4354</v>
      </c>
      <c r="J2831" s="3" t="str">
        <f>IF(I2831="","",IFERROR(VLOOKUP(I2831,Base_Datos!$D$2:$E$72,2,0),""))</f>
        <v>SINTETICO</v>
      </c>
      <c r="K2831" s="3"/>
      <c r="L2831" s="3"/>
      <c r="M2831" s="7">
        <v>0</v>
      </c>
      <c r="N2831" s="7">
        <v>0</v>
      </c>
    </row>
    <row r="2832" spans="1:14" ht="14.25" x14ac:dyDescent="0.2">
      <c r="A2832" s="3">
        <v>99947</v>
      </c>
      <c r="B2832" s="3" t="s">
        <v>1879</v>
      </c>
      <c r="C2832" s="3" t="s">
        <v>27</v>
      </c>
      <c r="D2832" s="6" t="s">
        <v>1782</v>
      </c>
      <c r="E2832" s="6" t="s">
        <v>1782</v>
      </c>
      <c r="F2832" s="3" t="str">
        <f>IFERROR( VLOOKUP(A2832,#REF!,2,0),"")</f>
        <v/>
      </c>
      <c r="G2832" s="3" t="str">
        <f t="array" ref="G2832">_xlfn.XLOOKUP(I2832,Base_Datos!D:D,Base_Datos!B:B,"")</f>
        <v>DFSK</v>
      </c>
      <c r="H2832" s="3" t="str">
        <f t="array" ref="H2832">IF(I2832="","",IFERROR(_xlfn.XLOOKUP(I2832,Base_Datos!$D$2:$D3876,Base_Datos!$C$2:$C3876),""))</f>
        <v>Serie D</v>
      </c>
      <c r="I2832" s="3" t="s">
        <v>145</v>
      </c>
      <c r="J2832" s="3" t="str">
        <f>IF(I2832="","",IFERROR(VLOOKUP(I2832,Base_Datos!$D$2:$E$72,2,0),""))</f>
        <v>(2.4L)</v>
      </c>
      <c r="K2832" s="3"/>
      <c r="L2832" s="3"/>
      <c r="M2832" s="7">
        <v>0</v>
      </c>
      <c r="N2832" s="7">
        <v>0</v>
      </c>
    </row>
    <row r="2833" spans="1:14" ht="14.25" x14ac:dyDescent="0.2">
      <c r="A2833" s="3">
        <v>99948</v>
      </c>
      <c r="B2833" s="9" t="s">
        <v>2275</v>
      </c>
      <c r="C2833" s="3" t="s">
        <v>2</v>
      </c>
      <c r="D2833" s="6" t="s">
        <v>1782</v>
      </c>
      <c r="E2833" s="6" t="s">
        <v>1782</v>
      </c>
      <c r="F2833" s="3" t="str">
        <f>IFERROR( VLOOKUP(A2833,#REF!,2,0),"")</f>
        <v/>
      </c>
      <c r="G2833" s="3" t="str">
        <f t="array" ref="G2833">_xlfn.XLOOKUP(I2833,Base_Datos!D:D,Base_Datos!B:B,"")</f>
        <v>DFSK</v>
      </c>
      <c r="H2833" s="3" t="str">
        <f t="array" ref="H2833">IF(I2833="","",IFERROR(_xlfn.XLOOKUP(I2833,Base_Datos!$D$2:$D3876,Base_Datos!$C$2:$C3876),""))</f>
        <v>Serie D</v>
      </c>
      <c r="I2833" s="3" t="s">
        <v>145</v>
      </c>
      <c r="J2833" s="3" t="str">
        <f>IF(I2833="","",IFERROR(VLOOKUP(I2833,Base_Datos!$D$2:$E$72,2,0),""))</f>
        <v>(2.4L)</v>
      </c>
      <c r="K2833" s="3"/>
      <c r="L2833" s="3"/>
      <c r="M2833" s="7">
        <v>0</v>
      </c>
      <c r="N2833" s="7">
        <v>0</v>
      </c>
    </row>
    <row r="2834" spans="1:14" ht="14.25" x14ac:dyDescent="0.2">
      <c r="A2834" s="3">
        <v>99949</v>
      </c>
      <c r="B2834" s="3" t="s">
        <v>4735</v>
      </c>
      <c r="C2834" s="3" t="s">
        <v>27</v>
      </c>
      <c r="D2834" s="6" t="s">
        <v>1782</v>
      </c>
      <c r="E2834" s="6" t="s">
        <v>1782</v>
      </c>
      <c r="F2834" s="3" t="str">
        <f>IFERROR( VLOOKUP(A2834,#REF!,2,0),"")</f>
        <v/>
      </c>
      <c r="G2834" s="3" t="str">
        <f t="array" ref="G2834">_xlfn.XLOOKUP(I2834,Base_Datos!D:D,Base_Datos!B:B,"")</f>
        <v>DFSK</v>
      </c>
      <c r="H2834" s="3" t="str">
        <f t="array" ref="H2834">IF(I2834="","",IFERROR(_xlfn.XLOOKUP(I2834,Base_Datos!$D$2:$D3876,Base_Datos!$C$2:$C3876),""))</f>
        <v>Serie D</v>
      </c>
      <c r="I2834" s="3" t="s">
        <v>145</v>
      </c>
      <c r="J2834" s="3" t="str">
        <f>IF(I2834="","",IFERROR(VLOOKUP(I2834,Base_Datos!$D$2:$E$72,2,0),""))</f>
        <v>(2.4L)</v>
      </c>
      <c r="K2834" s="3" t="s">
        <v>2439</v>
      </c>
      <c r="L2834" s="3"/>
      <c r="M2834" s="7">
        <v>0</v>
      </c>
      <c r="N2834" s="7">
        <v>0</v>
      </c>
    </row>
    <row r="2835" spans="1:14" ht="14.25" x14ac:dyDescent="0.2">
      <c r="A2835" s="3">
        <v>99950</v>
      </c>
      <c r="B2835" s="3" t="s">
        <v>4736</v>
      </c>
      <c r="C2835" s="3" t="s">
        <v>2</v>
      </c>
      <c r="D2835" s="6" t="s">
        <v>1782</v>
      </c>
      <c r="E2835" s="6" t="s">
        <v>1782</v>
      </c>
      <c r="F2835" s="3" t="str">
        <f>IFERROR( VLOOKUP(A2835,#REF!,2,0),"")</f>
        <v/>
      </c>
      <c r="G2835" s="3" t="str">
        <f t="array" ref="G2835">_xlfn.XLOOKUP(I2835,Base_Datos!D:D,Base_Datos!B:B,"")</f>
        <v>VALVOLINE</v>
      </c>
      <c r="H2835" s="3" t="str">
        <f t="array" ref="H2835">IF(I2835="","",IFERROR(_xlfn.XLOOKUP(I2835,Base_Datos!$D$2:$D3876,Base_Datos!$C$2:$C3876),""))</f>
        <v>MOTOR</v>
      </c>
      <c r="I2835" s="3" t="s">
        <v>4354</v>
      </c>
      <c r="J2835" s="3" t="str">
        <f>IF(I2835="","",IFERROR(VLOOKUP(I2835,Base_Datos!$D$2:$E$72,2,0),""))</f>
        <v>SINTETICO</v>
      </c>
      <c r="K2835" s="3"/>
      <c r="L2835" s="3"/>
      <c r="M2835" s="7">
        <v>0</v>
      </c>
      <c r="N2835" s="7">
        <v>0</v>
      </c>
    </row>
    <row r="2836" spans="1:14" ht="14.25" x14ac:dyDescent="0.2">
      <c r="A2836" s="3">
        <v>99951</v>
      </c>
      <c r="B2836" s="3" t="s">
        <v>4737</v>
      </c>
      <c r="C2836" s="3" t="s">
        <v>2</v>
      </c>
      <c r="D2836" s="6" t="s">
        <v>1782</v>
      </c>
      <c r="E2836" s="6" t="s">
        <v>1782</v>
      </c>
      <c r="F2836" s="3" t="str">
        <f>IFERROR( VLOOKUP(A2836,#REF!,2,0),"")</f>
        <v/>
      </c>
      <c r="G2836" s="3">
        <f t="array" ref="G2836">_xlfn.XLOOKUP(I2836,Base_Datos!D:D,Base_Datos!B:B,"")</f>
        <v>0</v>
      </c>
      <c r="H2836" s="3" t="str">
        <f t="array" ref="H2836">IF(I2836="","",IFERROR(_xlfn.XLOOKUP(I2836,Base_Datos!$D$2:$D3876,Base_Datos!$C$2:$C3876),""))</f>
        <v/>
      </c>
      <c r="I2836" s="3"/>
      <c r="J2836" s="3" t="str">
        <f>IF(I2836="","",IFERROR(VLOOKUP(I2836,Base_Datos!$D$2:$E$72,2,0),""))</f>
        <v/>
      </c>
      <c r="K2836" s="3"/>
      <c r="L2836" s="3"/>
      <c r="M2836" s="7">
        <v>0</v>
      </c>
      <c r="N2836" s="7">
        <v>0</v>
      </c>
    </row>
    <row r="2837" spans="1:14" ht="14.25" x14ac:dyDescent="0.2">
      <c r="A2837" s="3">
        <v>99952</v>
      </c>
      <c r="B2837" s="8" t="s">
        <v>4738</v>
      </c>
      <c r="C2837" s="3" t="s">
        <v>2</v>
      </c>
      <c r="D2837" s="6" t="s">
        <v>1782</v>
      </c>
      <c r="E2837" s="6" t="s">
        <v>1782</v>
      </c>
      <c r="F2837" s="3" t="str">
        <f>IFERROR( VLOOKUP(A2837,#REF!,2,0),"")</f>
        <v/>
      </c>
      <c r="G2837" s="3" t="str">
        <f t="array" ref="G2837">_xlfn.XLOOKUP(I2837,Base_Datos!D:D,Base_Datos!B:B,"")</f>
        <v>VALVOLINE</v>
      </c>
      <c r="H2837" s="3" t="str">
        <f t="array" ref="H2837">IF(I2837="","",IFERROR(_xlfn.XLOOKUP(I2837,Base_Datos!$D$2:$D3876,Base_Datos!$C$2:$C3876),""))</f>
        <v>MOTOR</v>
      </c>
      <c r="I2837" s="3" t="s">
        <v>4356</v>
      </c>
      <c r="J2837" s="3" t="str">
        <f>IF(I2837="","",IFERROR(VLOOKUP(I2837,Base_Datos!$D$2:$E$72,2,0),""))</f>
        <v>SINTETICO</v>
      </c>
      <c r="K2837" s="3"/>
      <c r="L2837" s="3"/>
      <c r="M2837" s="7">
        <v>1</v>
      </c>
      <c r="N2837" s="7">
        <v>0</v>
      </c>
    </row>
    <row r="2838" spans="1:14" ht="14.25" x14ac:dyDescent="0.2">
      <c r="A2838" s="3">
        <v>99953</v>
      </c>
      <c r="B2838" s="3" t="s">
        <v>4739</v>
      </c>
      <c r="C2838" s="3" t="s">
        <v>2</v>
      </c>
      <c r="D2838" s="6" t="s">
        <v>1782</v>
      </c>
      <c r="E2838" s="6" t="s">
        <v>1782</v>
      </c>
      <c r="F2838" s="3" t="str">
        <f>IFERROR( VLOOKUP(A2838,#REF!,2,0),"")</f>
        <v/>
      </c>
      <c r="G2838" s="3">
        <f t="array" ref="G2838">_xlfn.XLOOKUP(I2838,Base_Datos!D:D,Base_Datos!B:B,"")</f>
        <v>0</v>
      </c>
      <c r="H2838" s="3" t="str">
        <f t="array" ref="H2838">IF(I2838="","",IFERROR(_xlfn.XLOOKUP(I2838,Base_Datos!$D$2:$D3876,Base_Datos!$C$2:$C3876),""))</f>
        <v/>
      </c>
      <c r="I2838" s="3"/>
      <c r="J2838" s="3" t="str">
        <f>IF(I2838="","",IFERROR(VLOOKUP(I2838,Base_Datos!$D$2:$E$72,2,0),""))</f>
        <v/>
      </c>
      <c r="K2838" s="3"/>
      <c r="L2838" s="3"/>
      <c r="M2838" s="7">
        <v>0</v>
      </c>
      <c r="N2838" s="7">
        <v>0</v>
      </c>
    </row>
    <row r="2839" spans="1:14" ht="14.25" x14ac:dyDescent="0.2">
      <c r="A2839" s="3">
        <v>99954</v>
      </c>
      <c r="B2839" s="3" t="s">
        <v>4740</v>
      </c>
      <c r="C2839" s="3" t="s">
        <v>2</v>
      </c>
      <c r="D2839" s="6" t="s">
        <v>1782</v>
      </c>
      <c r="E2839" s="6" t="s">
        <v>1782</v>
      </c>
      <c r="F2839" s="3" t="str">
        <f>IFERROR( VLOOKUP(A2839,#REF!,2,0),"")</f>
        <v/>
      </c>
      <c r="G2839" s="3">
        <f t="array" ref="G2839">_xlfn.XLOOKUP(I2839,Base_Datos!D:D,Base_Datos!B:B,"")</f>
        <v>0</v>
      </c>
      <c r="H2839" s="3" t="str">
        <f t="array" ref="H2839">IF(I2839="","",IFERROR(_xlfn.XLOOKUP(I2839,Base_Datos!$D$2:$D3876,Base_Datos!$C$2:$C3876),""))</f>
        <v/>
      </c>
      <c r="I2839" s="3"/>
      <c r="J2839" s="3" t="str">
        <f>IF(I2839="","",IFERROR(VLOOKUP(I2839,Base_Datos!$D$2:$E$72,2,0),""))</f>
        <v/>
      </c>
      <c r="K2839" s="3"/>
      <c r="L2839" s="3"/>
      <c r="M2839" s="7">
        <v>0</v>
      </c>
      <c r="N2839" s="7">
        <v>0</v>
      </c>
    </row>
    <row r="2840" spans="1:14" ht="14.25" x14ac:dyDescent="0.2">
      <c r="A2840" s="3">
        <v>99955</v>
      </c>
      <c r="B2840" s="3" t="s">
        <v>4741</v>
      </c>
      <c r="C2840" s="3" t="s">
        <v>2</v>
      </c>
      <c r="D2840" s="6" t="s">
        <v>1782</v>
      </c>
      <c r="E2840" s="6" t="s">
        <v>1782</v>
      </c>
      <c r="F2840" s="3" t="str">
        <f>IFERROR( VLOOKUP(A2840,#REF!,2,0),"")</f>
        <v/>
      </c>
      <c r="G2840" s="3">
        <f t="array" ref="G2840">_xlfn.XLOOKUP(I2840,Base_Datos!D:D,Base_Datos!B:B,"")</f>
        <v>0</v>
      </c>
      <c r="H2840" s="3" t="str">
        <f t="array" ref="H2840">IF(I2840="","",IFERROR(_xlfn.XLOOKUP(I2840,Base_Datos!$D$2:$D3876,Base_Datos!$C$2:$C3876),""))</f>
        <v/>
      </c>
      <c r="I2840" s="3"/>
      <c r="J2840" s="3" t="str">
        <f>IF(I2840="","",IFERROR(VLOOKUP(I2840,Base_Datos!$D$2:$E$72,2,0),""))</f>
        <v/>
      </c>
      <c r="K2840" s="3"/>
      <c r="L2840" s="3"/>
      <c r="M2840" s="7">
        <v>0</v>
      </c>
      <c r="N2840" s="7">
        <v>0</v>
      </c>
    </row>
    <row r="2841" spans="1:14" ht="14.25" x14ac:dyDescent="0.2">
      <c r="A2841" s="3">
        <v>99956</v>
      </c>
      <c r="B2841" s="3" t="s">
        <v>4742</v>
      </c>
      <c r="C2841" s="3" t="s">
        <v>2</v>
      </c>
      <c r="D2841" s="6" t="s">
        <v>1782</v>
      </c>
      <c r="E2841" s="6" t="s">
        <v>1782</v>
      </c>
      <c r="F2841" s="3" t="str">
        <f>IFERROR( VLOOKUP(A2841,#REF!,2,0),"")</f>
        <v/>
      </c>
      <c r="G2841" s="3">
        <f t="array" ref="G2841">_xlfn.XLOOKUP(I2841,Base_Datos!D:D,Base_Datos!B:B,"")</f>
        <v>0</v>
      </c>
      <c r="H2841" s="3" t="str">
        <f t="array" ref="H2841">IF(I2841="","",IFERROR(_xlfn.XLOOKUP(I2841,Base_Datos!$D$2:$D3876,Base_Datos!$C$2:$C3876),""))</f>
        <v/>
      </c>
      <c r="I2841" s="3"/>
      <c r="J2841" s="3" t="str">
        <f>IF(I2841="","",IFERROR(VLOOKUP(I2841,Base_Datos!$D$2:$E$72,2,0),""))</f>
        <v/>
      </c>
      <c r="K2841" s="3"/>
      <c r="L2841" s="3"/>
      <c r="M2841" s="7">
        <v>0</v>
      </c>
      <c r="N2841" s="7">
        <v>0</v>
      </c>
    </row>
    <row r="2842" spans="1:14" ht="14.25" x14ac:dyDescent="0.2">
      <c r="A2842" s="3">
        <v>99957</v>
      </c>
      <c r="B2842" s="3" t="s">
        <v>4743</v>
      </c>
      <c r="C2842" s="3" t="s">
        <v>2</v>
      </c>
      <c r="D2842" s="6" t="s">
        <v>4744</v>
      </c>
      <c r="E2842" s="6" t="s">
        <v>4744</v>
      </c>
      <c r="F2842" s="3" t="str">
        <f>IFERROR( VLOOKUP(A2842,#REF!,2,0),"")</f>
        <v/>
      </c>
      <c r="G2842" s="3" t="str">
        <f t="array" ref="G2842">_xlfn.XLOOKUP(I2842,Base_Datos!D:D,Base_Datos!B:B,"")</f>
        <v>DFSK</v>
      </c>
      <c r="H2842" s="3" t="str">
        <f t="array" ref="H2842">IF(I2842="","",IFERROR(_xlfn.XLOOKUP(I2842,Base_Datos!$D$2:$D3876,Base_Datos!$C$2:$C3876),""))</f>
        <v>Serie D</v>
      </c>
      <c r="I2842" s="3" t="s">
        <v>145</v>
      </c>
      <c r="J2842" s="3" t="str">
        <f>IF(I2842="","",IFERROR(VLOOKUP(I2842,Base_Datos!$D$2:$E$72,2,0),""))</f>
        <v>(2.4L)</v>
      </c>
      <c r="K2842" s="3"/>
      <c r="L2842" s="3"/>
      <c r="M2842" s="7">
        <v>88</v>
      </c>
      <c r="N2842" s="7">
        <v>0</v>
      </c>
    </row>
    <row r="2843" spans="1:14" ht="14.25" x14ac:dyDescent="0.2">
      <c r="A2843" s="3">
        <v>99958</v>
      </c>
      <c r="B2843" s="3" t="s">
        <v>4745</v>
      </c>
      <c r="C2843" s="3" t="s">
        <v>2</v>
      </c>
      <c r="D2843" s="6" t="s">
        <v>1782</v>
      </c>
      <c r="E2843" s="6" t="s">
        <v>1782</v>
      </c>
      <c r="F2843" s="3" t="str">
        <f>IFERROR( VLOOKUP(A2843,#REF!,2,0),"")</f>
        <v/>
      </c>
      <c r="G2843" s="3" t="str">
        <f t="array" ref="G2843">_xlfn.XLOOKUP(I2843,Base_Datos!D:D,Base_Datos!B:B,"")</f>
        <v>DFSK</v>
      </c>
      <c r="H2843" s="3" t="str">
        <f t="array" ref="H2843">IF(I2843="","",IFERROR(_xlfn.XLOOKUP(I2843,Base_Datos!$D$2:$D3876,Base_Datos!$C$2:$C3876),""))</f>
        <v>Serie K</v>
      </c>
      <c r="I2843" s="3" t="s">
        <v>475</v>
      </c>
      <c r="J2843" s="3" t="str">
        <f>IF(I2843="","",IFERROR(VLOOKUP(I2843,Base_Datos!$D$2:$E$72,2,0),""))</f>
        <v>(1.1L)</v>
      </c>
      <c r="K2843" s="3"/>
      <c r="L2843" s="3"/>
      <c r="M2843" s="7">
        <v>0</v>
      </c>
      <c r="N2843" s="7">
        <v>0</v>
      </c>
    </row>
    <row r="2844" spans="1:14" ht="14.25" x14ac:dyDescent="0.2">
      <c r="A2844" s="3">
        <v>99959</v>
      </c>
      <c r="B2844" s="3" t="s">
        <v>4746</v>
      </c>
      <c r="C2844" s="3" t="s">
        <v>2</v>
      </c>
      <c r="D2844" s="6" t="s">
        <v>945</v>
      </c>
      <c r="E2844" s="6" t="s">
        <v>1782</v>
      </c>
      <c r="F2844" s="3" t="str">
        <f>IFERROR( VLOOKUP(A2844,#REF!,2,0),"")</f>
        <v/>
      </c>
      <c r="G2844" s="3">
        <f t="array" ref="G2844">_xlfn.XLOOKUP(I2844,Base_Datos!D:D,Base_Datos!B:B,"")</f>
        <v>0</v>
      </c>
      <c r="H2844" s="3" t="str">
        <f t="array" ref="H2844">IF(I2844="","",IFERROR(_xlfn.XLOOKUP(I2844,Base_Datos!$D$2:$D3876,Base_Datos!$C$2:$C3876),""))</f>
        <v/>
      </c>
      <c r="I2844" s="3"/>
      <c r="J2844" s="3" t="str">
        <f>IF(I2844="","",IFERROR(VLOOKUP(I2844,Base_Datos!$D$2:$E$72,2,0),""))</f>
        <v/>
      </c>
      <c r="K2844" s="3"/>
      <c r="L2844" s="3"/>
      <c r="M2844" s="7">
        <v>4</v>
      </c>
      <c r="N2844" s="7">
        <v>0</v>
      </c>
    </row>
    <row r="2845" spans="1:14" ht="14.25" x14ac:dyDescent="0.2">
      <c r="A2845" s="3">
        <v>99960</v>
      </c>
      <c r="B2845" s="3" t="s">
        <v>4747</v>
      </c>
      <c r="C2845" s="3" t="s">
        <v>2</v>
      </c>
      <c r="D2845" s="6" t="s">
        <v>946</v>
      </c>
      <c r="E2845" s="6" t="s">
        <v>1782</v>
      </c>
      <c r="F2845" s="3" t="str">
        <f>IFERROR( VLOOKUP(A2845,#REF!,2,0),"")</f>
        <v/>
      </c>
      <c r="G2845" s="3">
        <f t="array" ref="G2845">_xlfn.XLOOKUP(I2845,Base_Datos!D:D,Base_Datos!B:B,"")</f>
        <v>0</v>
      </c>
      <c r="H2845" s="3" t="str">
        <f t="array" ref="H2845">IF(I2845="","",IFERROR(_xlfn.XLOOKUP(I2845,Base_Datos!$D$2:$D3876,Base_Datos!$C$2:$C3876),""))</f>
        <v/>
      </c>
      <c r="I2845" s="3"/>
      <c r="J2845" s="3" t="str">
        <f>IF(I2845="","",IFERROR(VLOOKUP(I2845,Base_Datos!$D$2:$E$72,2,0),""))</f>
        <v/>
      </c>
      <c r="K2845" s="3"/>
      <c r="L2845" s="3"/>
      <c r="M2845" s="7">
        <v>13</v>
      </c>
      <c r="N2845" s="7">
        <v>0</v>
      </c>
    </row>
    <row r="2846" spans="1:14" ht="14.25" x14ac:dyDescent="0.2">
      <c r="A2846" s="3">
        <v>99963</v>
      </c>
      <c r="B2846" s="3" t="s">
        <v>4748</v>
      </c>
      <c r="C2846" s="3" t="s">
        <v>27</v>
      </c>
      <c r="D2846" s="6" t="s">
        <v>1782</v>
      </c>
      <c r="E2846" s="6" t="s">
        <v>1782</v>
      </c>
      <c r="F2846" s="3" t="str">
        <f>IFERROR( VLOOKUP(A2846,#REF!,2,0),"")</f>
        <v/>
      </c>
      <c r="G2846" s="3" t="str">
        <f t="array" ref="G2846">_xlfn.XLOOKUP(I2846,Base_Datos!D:D,Base_Datos!B:B,"")</f>
        <v>DFSK</v>
      </c>
      <c r="H2846" s="3" t="str">
        <f t="array" ref="H2846">IF(I2846="","",IFERROR(_xlfn.XLOOKUP(I2846,Base_Datos!$D$2:$D3876,Base_Datos!$C$2:$C3876),""))</f>
        <v>Serie D</v>
      </c>
      <c r="I2846" s="3" t="s">
        <v>145</v>
      </c>
      <c r="J2846" s="3" t="str">
        <f>IF(I2846="","",IFERROR(VLOOKUP(I2846,Base_Datos!$D$2:$E$72,2,0),""))</f>
        <v>(2.4L)</v>
      </c>
      <c r="K2846" s="3"/>
      <c r="L2846" s="3"/>
      <c r="M2846" s="7">
        <v>0</v>
      </c>
      <c r="N2846" s="7">
        <v>0</v>
      </c>
    </row>
    <row r="2847" spans="1:14" ht="14.25" x14ac:dyDescent="0.2">
      <c r="A2847" s="3">
        <v>99964</v>
      </c>
      <c r="B2847" s="3" t="s">
        <v>4749</v>
      </c>
      <c r="C2847" s="3" t="s">
        <v>2</v>
      </c>
      <c r="D2847" s="6" t="s">
        <v>947</v>
      </c>
      <c r="E2847" s="6" t="s">
        <v>947</v>
      </c>
      <c r="F2847" s="3" t="str">
        <f>IFERROR( VLOOKUP(A2847,#REF!,2,0),"")</f>
        <v/>
      </c>
      <c r="G2847" s="3" t="str">
        <f t="array" ref="G2847">_xlfn.XLOOKUP(I2847,Base_Datos!D:D,Base_Datos!B:B,"")</f>
        <v>DFSK</v>
      </c>
      <c r="H2847" s="3" t="str">
        <f t="array" ref="H2847">IF(I2847="","",IFERROR(_xlfn.XLOOKUP(I2847,Base_Datos!$D$2:$D3876,Base_Datos!$C$2:$C3876),""))</f>
        <v>Serie C</v>
      </c>
      <c r="I2847" s="3" t="s">
        <v>343</v>
      </c>
      <c r="J2847" s="3" t="str">
        <f>IF(I2847="","",IFERROR(VLOOKUP(I2847,Base_Datos!$D$2:$E$72,2,0),""))</f>
        <v>(1.5L)</v>
      </c>
      <c r="K2847" s="3"/>
      <c r="L2847" s="3"/>
      <c r="M2847" s="7">
        <v>58</v>
      </c>
      <c r="N2847" s="7">
        <v>0</v>
      </c>
    </row>
    <row r="2848" spans="1:14" ht="14.25" x14ac:dyDescent="0.2">
      <c r="A2848" s="3">
        <v>99965</v>
      </c>
      <c r="B2848" s="3" t="s">
        <v>4564</v>
      </c>
      <c r="C2848" s="3" t="s">
        <v>2</v>
      </c>
      <c r="D2848" s="6" t="s">
        <v>948</v>
      </c>
      <c r="E2848" s="6" t="s">
        <v>1782</v>
      </c>
      <c r="F2848" s="3" t="str">
        <f>IFERROR( VLOOKUP(A2848,#REF!,2,0),"")</f>
        <v/>
      </c>
      <c r="G2848" s="3" t="str">
        <f t="array" ref="G2848">_xlfn.XLOOKUP(I2848,Base_Datos!D:D,Base_Datos!B:B,"")</f>
        <v>DFSK</v>
      </c>
      <c r="H2848" s="3" t="str">
        <f t="array" ref="H2848">IF(I2848="","",IFERROR(_xlfn.XLOOKUP(I2848,Base_Datos!$D$2:$D3876,Base_Datos!$C$2:$C3876),""))</f>
        <v>Serie C</v>
      </c>
      <c r="I2848" s="3" t="s">
        <v>339</v>
      </c>
      <c r="J2848" s="3" t="str">
        <f>IF(I2848="","",IFERROR(VLOOKUP(I2848,Base_Datos!$D$2:$E$72,2,0),""))</f>
        <v>(1.5L)</v>
      </c>
      <c r="K2848" s="3"/>
      <c r="L2848" s="3"/>
      <c r="M2848" s="7">
        <v>0</v>
      </c>
      <c r="N2848" s="7">
        <v>0</v>
      </c>
    </row>
    <row r="2849" spans="1:14" ht="14.25" x14ac:dyDescent="0.2">
      <c r="A2849" s="3">
        <v>99966</v>
      </c>
      <c r="B2849" s="3" t="s">
        <v>4750</v>
      </c>
      <c r="C2849" s="3" t="s">
        <v>27</v>
      </c>
      <c r="D2849" s="6" t="s">
        <v>1782</v>
      </c>
      <c r="E2849" s="6" t="s">
        <v>1782</v>
      </c>
      <c r="F2849" s="3" t="str">
        <f>IFERROR( VLOOKUP(A2849,#REF!,2,0),"")</f>
        <v/>
      </c>
      <c r="G2849" s="3" t="str">
        <f t="array" ref="G2849">_xlfn.XLOOKUP(I2849,Base_Datos!D:D,Base_Datos!B:B,"")</f>
        <v>DFSK</v>
      </c>
      <c r="H2849" s="3" t="str">
        <f t="array" ref="H2849">IF(I2849="","",IFERROR(_xlfn.XLOOKUP(I2849,Base_Datos!$D$2:$D3876,Base_Datos!$C$2:$C3876),""))</f>
        <v>Serie Glory</v>
      </c>
      <c r="I2849" s="3" t="s">
        <v>1765</v>
      </c>
      <c r="J2849" s="3" t="str">
        <f>IF(I2849="","",IFERROR(VLOOKUP(I2849,Base_Datos!$D$2:$E$72,2,0),""))</f>
        <v>(1.5L)</v>
      </c>
      <c r="K2849" s="3" t="s">
        <v>2439</v>
      </c>
      <c r="L2849" s="3"/>
      <c r="M2849" s="7">
        <v>0</v>
      </c>
      <c r="N2849" s="7">
        <v>0</v>
      </c>
    </row>
    <row r="2850" spans="1:14" ht="14.25" x14ac:dyDescent="0.2">
      <c r="A2850" s="3">
        <v>99967</v>
      </c>
      <c r="B2850" s="3" t="s">
        <v>4751</v>
      </c>
      <c r="C2850" s="3" t="s">
        <v>27</v>
      </c>
      <c r="D2850" s="6" t="s">
        <v>1782</v>
      </c>
      <c r="E2850" s="6" t="s">
        <v>1782</v>
      </c>
      <c r="F2850" s="3" t="str">
        <f>IFERROR( VLOOKUP(A2850,#REF!,2,0),"")</f>
        <v/>
      </c>
      <c r="G2850" s="3" t="str">
        <f t="array" ref="G2850">_xlfn.XLOOKUP(I2850,Base_Datos!D:D,Base_Datos!B:B,"")</f>
        <v>DFSK</v>
      </c>
      <c r="H2850" s="3" t="str">
        <f t="array" ref="H2850">IF(I2850="","",IFERROR(_xlfn.XLOOKUP(I2850,Base_Datos!$D$2:$D3876,Base_Datos!$C$2:$C3876),""))</f>
        <v>Serie C</v>
      </c>
      <c r="I2850" s="3" t="s">
        <v>265</v>
      </c>
      <c r="J2850" s="3" t="str">
        <f>IF(I2850="","",IFERROR(VLOOKUP(I2850,Base_Datos!$D$2:$E$72,2,0),""))</f>
        <v>(1.5L)</v>
      </c>
      <c r="K2850" s="3"/>
      <c r="L2850" s="3"/>
      <c r="M2850" s="7">
        <v>0</v>
      </c>
      <c r="N2850" s="7">
        <v>0</v>
      </c>
    </row>
    <row r="2851" spans="1:14" ht="14.25" x14ac:dyDescent="0.2">
      <c r="A2851" s="3">
        <v>99968</v>
      </c>
      <c r="B2851" s="3" t="s">
        <v>4752</v>
      </c>
      <c r="C2851" s="3" t="s">
        <v>27</v>
      </c>
      <c r="D2851" s="6" t="s">
        <v>1782</v>
      </c>
      <c r="E2851" s="6" t="s">
        <v>1782</v>
      </c>
      <c r="F2851" s="3" t="str">
        <f>IFERROR( VLOOKUP(A2851,#REF!,2,0),"")</f>
        <v/>
      </c>
      <c r="G2851" s="3" t="str">
        <f t="array" ref="G2851">_xlfn.XLOOKUP(I2851,Base_Datos!D:D,Base_Datos!B:B,"")</f>
        <v>DFSK</v>
      </c>
      <c r="H2851" s="3" t="str">
        <f t="array" ref="H2851">IF(I2851="","",IFERROR(_xlfn.XLOOKUP(I2851,Base_Datos!$D$2:$D3876,Base_Datos!$C$2:$C3876),""))</f>
        <v>Serie C</v>
      </c>
      <c r="I2851" s="3" t="s">
        <v>265</v>
      </c>
      <c r="J2851" s="3" t="str">
        <f>IF(I2851="","",IFERROR(VLOOKUP(I2851,Base_Datos!$D$2:$E$72,2,0),""))</f>
        <v>(1.5L)</v>
      </c>
      <c r="K2851" s="3"/>
      <c r="L2851" s="3"/>
      <c r="M2851" s="7">
        <v>0</v>
      </c>
      <c r="N2851" s="7">
        <v>0</v>
      </c>
    </row>
    <row r="2852" spans="1:14" ht="14.25" x14ac:dyDescent="0.2">
      <c r="A2852" s="3">
        <v>99969</v>
      </c>
      <c r="B2852" s="3" t="s">
        <v>4753</v>
      </c>
      <c r="C2852" s="3" t="s">
        <v>27</v>
      </c>
      <c r="D2852" s="6" t="s">
        <v>1782</v>
      </c>
      <c r="E2852" s="6" t="s">
        <v>1782</v>
      </c>
      <c r="F2852" s="3" t="str">
        <f>IFERROR( VLOOKUP(A2852,#REF!,2,0),"")</f>
        <v/>
      </c>
      <c r="G2852" s="3" t="str">
        <f t="array" ref="G2852">_xlfn.XLOOKUP(I2852,Base_Datos!D:D,Base_Datos!B:B,"")</f>
        <v>DFSK</v>
      </c>
      <c r="H2852" s="3" t="str">
        <f t="array" ref="H2852">IF(I2852="","",IFERROR(_xlfn.XLOOKUP(I2852,Base_Datos!$D$2:$D3876,Base_Datos!$C$2:$C3876),""))</f>
        <v>Serie C</v>
      </c>
      <c r="I2852" s="3" t="s">
        <v>265</v>
      </c>
      <c r="J2852" s="3" t="str">
        <f>IF(I2852="","",IFERROR(VLOOKUP(I2852,Base_Datos!$D$2:$E$72,2,0),""))</f>
        <v>(1.5L)</v>
      </c>
      <c r="K2852" s="3"/>
      <c r="L2852" s="3"/>
      <c r="M2852" s="7">
        <v>0</v>
      </c>
      <c r="N2852" s="7">
        <v>0</v>
      </c>
    </row>
    <row r="2853" spans="1:14" ht="14.25" x14ac:dyDescent="0.2">
      <c r="A2853" s="3">
        <v>99970</v>
      </c>
      <c r="B2853" s="3" t="s">
        <v>4754</v>
      </c>
      <c r="C2853" s="3" t="s">
        <v>27</v>
      </c>
      <c r="D2853" s="6" t="s">
        <v>1782</v>
      </c>
      <c r="E2853" s="6" t="s">
        <v>1782</v>
      </c>
      <c r="F2853" s="3" t="str">
        <f>IFERROR( VLOOKUP(A2853,#REF!,2,0),"")</f>
        <v/>
      </c>
      <c r="G2853" s="3" t="str">
        <f t="array" ref="G2853">_xlfn.XLOOKUP(I2853,Base_Datos!D:D,Base_Datos!B:B,"")</f>
        <v>DFSK</v>
      </c>
      <c r="H2853" s="3" t="str">
        <f t="array" ref="H2853">IF(I2853="","",IFERROR(_xlfn.XLOOKUP(I2853,Base_Datos!$D$2:$D3876,Base_Datos!$C$2:$C3876),""))</f>
        <v>Serie C</v>
      </c>
      <c r="I2853" s="3" t="s">
        <v>265</v>
      </c>
      <c r="J2853" s="3" t="str">
        <f>IF(I2853="","",IFERROR(VLOOKUP(I2853,Base_Datos!$D$2:$E$72,2,0),""))</f>
        <v>(1.5L)</v>
      </c>
      <c r="K2853" s="3"/>
      <c r="L2853" s="3"/>
      <c r="M2853" s="7">
        <v>0</v>
      </c>
      <c r="N2853" s="7">
        <v>0</v>
      </c>
    </row>
    <row r="2854" spans="1:14" ht="14.25" x14ac:dyDescent="0.2">
      <c r="A2854" s="3">
        <v>99971</v>
      </c>
      <c r="B2854" s="3" t="s">
        <v>3229</v>
      </c>
      <c r="C2854" s="3" t="s">
        <v>27</v>
      </c>
      <c r="D2854" s="6" t="s">
        <v>1782</v>
      </c>
      <c r="E2854" s="6" t="s">
        <v>1782</v>
      </c>
      <c r="F2854" s="3" t="str">
        <f>IFERROR( VLOOKUP(A2854,#REF!,2,0),"")</f>
        <v/>
      </c>
      <c r="G2854" s="3" t="str">
        <f t="array" ref="G2854">_xlfn.XLOOKUP(I2854,Base_Datos!D:D,Base_Datos!B:B,"")</f>
        <v>DFSK</v>
      </c>
      <c r="H2854" s="3" t="str">
        <f t="array" ref="H2854">IF(I2854="","",IFERROR(_xlfn.XLOOKUP(I2854,Base_Datos!$D$2:$D3876,Base_Datos!$C$2:$C3876),""))</f>
        <v>Serie C</v>
      </c>
      <c r="I2854" s="3" t="s">
        <v>265</v>
      </c>
      <c r="J2854" s="3" t="str">
        <f>IF(I2854="","",IFERROR(VLOOKUP(I2854,Base_Datos!$D$2:$E$72,2,0),""))</f>
        <v>(1.5L)</v>
      </c>
      <c r="K2854" s="3"/>
      <c r="L2854" s="3"/>
      <c r="M2854" s="7">
        <v>0</v>
      </c>
      <c r="N2854" s="7">
        <v>0</v>
      </c>
    </row>
    <row r="2855" spans="1:14" ht="14.25" x14ac:dyDescent="0.2">
      <c r="A2855" s="3">
        <v>99972</v>
      </c>
      <c r="B2855" s="3" t="s">
        <v>4755</v>
      </c>
      <c r="C2855" s="3" t="s">
        <v>27</v>
      </c>
      <c r="D2855" s="6" t="s">
        <v>1782</v>
      </c>
      <c r="E2855" s="6" t="s">
        <v>1782</v>
      </c>
      <c r="F2855" s="3" t="str">
        <f>IFERROR( VLOOKUP(A2855,#REF!,2,0),"")</f>
        <v/>
      </c>
      <c r="G2855" s="3" t="str">
        <f t="array" ref="G2855">_xlfn.XLOOKUP(I2855,Base_Datos!D:D,Base_Datos!B:B,"")</f>
        <v>DFSK</v>
      </c>
      <c r="H2855" s="3" t="str">
        <f t="array" ref="H2855">IF(I2855="","",IFERROR(_xlfn.XLOOKUP(I2855,Base_Datos!$D$2:$D3876,Base_Datos!$C$2:$C3876),""))</f>
        <v>Serie C</v>
      </c>
      <c r="I2855" s="3" t="s">
        <v>265</v>
      </c>
      <c r="J2855" s="3" t="str">
        <f>IF(I2855="","",IFERROR(VLOOKUP(I2855,Base_Datos!$D$2:$E$72,2,0),""))</f>
        <v>(1.5L)</v>
      </c>
      <c r="K2855" s="3"/>
      <c r="L2855" s="3"/>
      <c r="M2855" s="7">
        <v>0</v>
      </c>
      <c r="N2855" s="7">
        <v>0</v>
      </c>
    </row>
    <row r="2856" spans="1:14" ht="14.25" x14ac:dyDescent="0.2">
      <c r="A2856" s="3">
        <v>99973</v>
      </c>
      <c r="B2856" s="3" t="s">
        <v>4756</v>
      </c>
      <c r="C2856" s="3" t="s">
        <v>27</v>
      </c>
      <c r="D2856" s="6" t="s">
        <v>1782</v>
      </c>
      <c r="E2856" s="6" t="s">
        <v>1782</v>
      </c>
      <c r="F2856" s="3" t="str">
        <f>IFERROR( VLOOKUP(A2856,#REF!,2,0),"")</f>
        <v/>
      </c>
      <c r="G2856" s="3" t="str">
        <f t="array" ref="G2856">_xlfn.XLOOKUP(I2856,Base_Datos!D:D,Base_Datos!B:B,"")</f>
        <v>DFSK</v>
      </c>
      <c r="H2856" s="3" t="str">
        <f t="array" ref="H2856">IF(I2856="","",IFERROR(_xlfn.XLOOKUP(I2856,Base_Datos!$D$2:$D3876,Base_Datos!$C$2:$C3876),""))</f>
        <v>Serie C</v>
      </c>
      <c r="I2856" s="3" t="s">
        <v>265</v>
      </c>
      <c r="J2856" s="3" t="str">
        <f>IF(I2856="","",IFERROR(VLOOKUP(I2856,Base_Datos!$D$2:$E$72,2,0),""))</f>
        <v>(1.5L)</v>
      </c>
      <c r="K2856" s="3"/>
      <c r="L2856" s="3"/>
      <c r="M2856" s="7">
        <v>0</v>
      </c>
      <c r="N2856" s="7">
        <v>0</v>
      </c>
    </row>
    <row r="2857" spans="1:14" ht="14.25" x14ac:dyDescent="0.2">
      <c r="A2857" s="3">
        <v>99974</v>
      </c>
      <c r="B2857" s="3" t="s">
        <v>4757</v>
      </c>
      <c r="C2857" s="3" t="s">
        <v>27</v>
      </c>
      <c r="D2857" s="6" t="s">
        <v>1782</v>
      </c>
      <c r="E2857" s="6" t="s">
        <v>1782</v>
      </c>
      <c r="F2857" s="3" t="str">
        <f>IFERROR( VLOOKUP(A2857,#REF!,2,0),"")</f>
        <v/>
      </c>
      <c r="G2857" s="3" t="str">
        <f t="array" ref="G2857">_xlfn.XLOOKUP(I2857,Base_Datos!D:D,Base_Datos!B:B,"")</f>
        <v>DFSK</v>
      </c>
      <c r="H2857" s="3" t="str">
        <f t="array" ref="H2857">IF(I2857="","",IFERROR(_xlfn.XLOOKUP(I2857,Base_Datos!$D$2:$D3876,Base_Datos!$C$2:$C3876),""))</f>
        <v>Serie C</v>
      </c>
      <c r="I2857" s="3" t="s">
        <v>265</v>
      </c>
      <c r="J2857" s="3" t="str">
        <f>IF(I2857="","",IFERROR(VLOOKUP(I2857,Base_Datos!$D$2:$E$72,2,0),""))</f>
        <v>(1.5L)</v>
      </c>
      <c r="K2857" s="3"/>
      <c r="L2857" s="3"/>
      <c r="M2857" s="7">
        <v>0</v>
      </c>
      <c r="N2857" s="7">
        <v>0</v>
      </c>
    </row>
    <row r="2858" spans="1:14" ht="14.25" x14ac:dyDescent="0.2">
      <c r="A2858" s="3">
        <v>99975</v>
      </c>
      <c r="B2858" s="3" t="s">
        <v>4758</v>
      </c>
      <c r="C2858" s="3" t="s">
        <v>27</v>
      </c>
      <c r="D2858" s="6" t="s">
        <v>1782</v>
      </c>
      <c r="E2858" s="6" t="s">
        <v>1782</v>
      </c>
      <c r="F2858" s="3" t="str">
        <f>IFERROR( VLOOKUP(A2858,#REF!,2,0),"")</f>
        <v/>
      </c>
      <c r="G2858" s="3" t="str">
        <f t="array" ref="G2858">_xlfn.XLOOKUP(I2858,Base_Datos!D:D,Base_Datos!B:B,"")</f>
        <v>DFSK</v>
      </c>
      <c r="H2858" s="3" t="str">
        <f t="array" ref="H2858">IF(I2858="","",IFERROR(_xlfn.XLOOKUP(I2858,Base_Datos!$D$2:$D3876,Base_Datos!$C$2:$C3876),""))</f>
        <v>Serie C</v>
      </c>
      <c r="I2858" s="3" t="s">
        <v>265</v>
      </c>
      <c r="J2858" s="3" t="str">
        <f>IF(I2858="","",IFERROR(VLOOKUP(I2858,Base_Datos!$D$2:$E$72,2,0),""))</f>
        <v>(1.5L)</v>
      </c>
      <c r="K2858" s="3"/>
      <c r="L2858" s="3"/>
      <c r="M2858" s="7">
        <v>0</v>
      </c>
      <c r="N2858" s="7">
        <v>0</v>
      </c>
    </row>
    <row r="2859" spans="1:14" ht="14.25" x14ac:dyDescent="0.2">
      <c r="A2859" s="3">
        <v>99976</v>
      </c>
      <c r="B2859" s="3" t="s">
        <v>1884</v>
      </c>
      <c r="C2859" s="3" t="s">
        <v>27</v>
      </c>
      <c r="D2859" s="6" t="s">
        <v>1782</v>
      </c>
      <c r="E2859" s="6" t="s">
        <v>1782</v>
      </c>
      <c r="F2859" s="3" t="str">
        <f>IFERROR( VLOOKUP(A2859,#REF!,2,0),"")</f>
        <v/>
      </c>
      <c r="G2859" s="3" t="str">
        <f t="array" ref="G2859">_xlfn.XLOOKUP(I2859,Base_Datos!D:D,Base_Datos!B:B,"")</f>
        <v>DFSK</v>
      </c>
      <c r="H2859" s="3" t="str">
        <f t="array" ref="H2859">IF(I2859="","",IFERROR(_xlfn.XLOOKUP(I2859,Base_Datos!$D$2:$D3876,Base_Datos!$C$2:$C3876),""))</f>
        <v>Serie Glory</v>
      </c>
      <c r="I2859" s="3" t="s">
        <v>1754</v>
      </c>
      <c r="J2859" s="3" t="str">
        <f>IF(I2859="","",IFERROR(VLOOKUP(I2859,Base_Datos!$D$2:$E$72,2,0),""))</f>
        <v>(1.5L)</v>
      </c>
      <c r="K2859" s="3"/>
      <c r="L2859" s="3"/>
      <c r="M2859" s="7">
        <v>0</v>
      </c>
      <c r="N2859" s="7">
        <v>0</v>
      </c>
    </row>
    <row r="2860" spans="1:14" ht="14.25" x14ac:dyDescent="0.2">
      <c r="A2860" s="3">
        <v>99978</v>
      </c>
      <c r="B2860" s="3" t="s">
        <v>4759</v>
      </c>
      <c r="C2860" s="3" t="s">
        <v>27</v>
      </c>
      <c r="D2860" s="6" t="s">
        <v>1782</v>
      </c>
      <c r="E2860" s="6" t="s">
        <v>1782</v>
      </c>
      <c r="F2860" s="3" t="str">
        <f>IFERROR( VLOOKUP(A2860,#REF!,2,0),"")</f>
        <v/>
      </c>
      <c r="G2860" s="3" t="str">
        <f t="array" ref="G2860">_xlfn.XLOOKUP(I2860,Base_Datos!D:D,Base_Datos!B:B,"")</f>
        <v>DFSK</v>
      </c>
      <c r="H2860" s="3" t="str">
        <f t="array" ref="H2860">IF(I2860="","",IFERROR(_xlfn.XLOOKUP(I2860,Base_Datos!$D$2:$D3876,Base_Datos!$C$2:$C3876),""))</f>
        <v>Serie Glory</v>
      </c>
      <c r="I2860" s="3" t="s">
        <v>1765</v>
      </c>
      <c r="J2860" s="3" t="str">
        <f>IF(I2860="","",IFERROR(VLOOKUP(I2860,Base_Datos!$D$2:$E$72,2,0),""))</f>
        <v>(1.5L)</v>
      </c>
      <c r="K2860" s="3"/>
      <c r="L2860" s="3"/>
      <c r="M2860" s="7">
        <v>0</v>
      </c>
      <c r="N2860" s="7">
        <v>0</v>
      </c>
    </row>
    <row r="2861" spans="1:14" ht="14.25" x14ac:dyDescent="0.2">
      <c r="A2861" s="3">
        <v>99979</v>
      </c>
      <c r="B2861" s="3" t="s">
        <v>4760</v>
      </c>
      <c r="C2861" s="3" t="s">
        <v>27</v>
      </c>
      <c r="D2861" s="6" t="s">
        <v>744</v>
      </c>
      <c r="E2861" s="6" t="s">
        <v>744</v>
      </c>
      <c r="F2861" s="3" t="str">
        <f>IFERROR( VLOOKUP(A2861,#REF!,2,0),"")</f>
        <v/>
      </c>
      <c r="G2861" s="3" t="str">
        <f t="array" ref="G2861">_xlfn.XLOOKUP(I2861,Base_Datos!D:D,Base_Datos!B:B,"")</f>
        <v>DFSK</v>
      </c>
      <c r="H2861" s="3" t="str">
        <f t="array" ref="H2861">IF(I2861="","",IFERROR(_xlfn.XLOOKUP(I2861,Base_Datos!$D$2:$D3876,Base_Datos!$C$2:$C3876),""))</f>
        <v>Serie Glory</v>
      </c>
      <c r="I2861" s="3" t="s">
        <v>1765</v>
      </c>
      <c r="J2861" s="3" t="str">
        <f>IF(I2861="","",IFERROR(VLOOKUP(I2861,Base_Datos!$D$2:$E$72,2,0),""))</f>
        <v>(1.5L)</v>
      </c>
      <c r="K2861" s="3"/>
      <c r="L2861" s="3"/>
      <c r="M2861" s="7">
        <v>0</v>
      </c>
      <c r="N2861" s="7">
        <v>0</v>
      </c>
    </row>
    <row r="2862" spans="1:14" ht="14.25" x14ac:dyDescent="0.2">
      <c r="A2862" s="3">
        <v>99980</v>
      </c>
      <c r="B2862" s="3" t="s">
        <v>4761</v>
      </c>
      <c r="C2862" s="3" t="s">
        <v>2</v>
      </c>
      <c r="D2862" s="6" t="s">
        <v>949</v>
      </c>
      <c r="E2862" s="6" t="s">
        <v>949</v>
      </c>
      <c r="F2862" s="3" t="str">
        <f>IFERROR( VLOOKUP(A2862,#REF!,2,0),"")</f>
        <v/>
      </c>
      <c r="G2862" s="3" t="str">
        <f t="array" ref="G2862">_xlfn.XLOOKUP(I2862,Base_Datos!D:D,Base_Datos!B:B,"")</f>
        <v>DFSK</v>
      </c>
      <c r="H2862" s="3" t="str">
        <f t="array" ref="H2862">IF(I2862="","",IFERROR(_xlfn.XLOOKUP(I2862,Base_Datos!$D$2:$D3876,Base_Datos!$C$2:$C3876),""))</f>
        <v>Serie Glory</v>
      </c>
      <c r="I2862" s="3" t="s">
        <v>1754</v>
      </c>
      <c r="J2862" s="3" t="str">
        <f>IF(I2862="","",IFERROR(VLOOKUP(I2862,Base_Datos!$D$2:$E$72,2,0),""))</f>
        <v>(1.5L)</v>
      </c>
      <c r="K2862" s="3" t="s">
        <v>1801</v>
      </c>
      <c r="L2862" s="3"/>
      <c r="M2862" s="7">
        <v>8</v>
      </c>
      <c r="N2862" s="7">
        <v>0</v>
      </c>
    </row>
    <row r="2863" spans="1:14" ht="14.25" x14ac:dyDescent="0.2">
      <c r="A2863" s="3">
        <v>99981</v>
      </c>
      <c r="B2863" s="3" t="s">
        <v>4762</v>
      </c>
      <c r="C2863" s="3" t="s">
        <v>2</v>
      </c>
      <c r="D2863" s="6" t="s">
        <v>1782</v>
      </c>
      <c r="E2863" s="6" t="s">
        <v>1782</v>
      </c>
      <c r="F2863" s="3" t="str">
        <f>IFERROR( VLOOKUP(A2863,#REF!,2,0),"")</f>
        <v/>
      </c>
      <c r="G2863" s="3" t="str">
        <f t="array" ref="G2863">_xlfn.XLOOKUP(I2863,Base_Datos!D:D,Base_Datos!B:B,"")</f>
        <v>DFSK</v>
      </c>
      <c r="H2863" s="3" t="str">
        <f t="array" ref="H2863">IF(I2863="","",IFERROR(_xlfn.XLOOKUP(I2863,Base_Datos!$D$2:$D3876,Base_Datos!$C$2:$C3876),""))</f>
        <v>Serie C</v>
      </c>
      <c r="I2863" s="3" t="s">
        <v>265</v>
      </c>
      <c r="J2863" s="3" t="str">
        <f>IF(I2863="","",IFERROR(VLOOKUP(I2863,Base_Datos!$D$2:$E$72,2,0),""))</f>
        <v>(1.5L)</v>
      </c>
      <c r="K2863" s="3"/>
      <c r="L2863" s="3"/>
      <c r="M2863" s="7">
        <v>0</v>
      </c>
      <c r="N2863" s="7">
        <v>0</v>
      </c>
    </row>
    <row r="2864" spans="1:14" ht="14.25" x14ac:dyDescent="0.2">
      <c r="A2864" s="3">
        <v>99982</v>
      </c>
      <c r="B2864" s="3" t="s">
        <v>4763</v>
      </c>
      <c r="C2864" s="3" t="s">
        <v>2</v>
      </c>
      <c r="D2864" s="6" t="s">
        <v>1782</v>
      </c>
      <c r="E2864" s="6" t="s">
        <v>1782</v>
      </c>
      <c r="F2864" s="3" t="str">
        <f>IFERROR( VLOOKUP(A2864,#REF!,2,0),"")</f>
        <v/>
      </c>
      <c r="G2864" s="3" t="str">
        <f t="array" ref="G2864">_xlfn.XLOOKUP(I2864,Base_Datos!D:D,Base_Datos!B:B,"")</f>
        <v>DFSK</v>
      </c>
      <c r="H2864" s="3" t="str">
        <f t="array" ref="H2864">IF(I2864="","",IFERROR(_xlfn.XLOOKUP(I2864,Base_Datos!$D$2:$D3876,Base_Datos!$C$2:$C3876),""))</f>
        <v>Serie Glory</v>
      </c>
      <c r="I2864" s="3" t="s">
        <v>1754</v>
      </c>
      <c r="J2864" s="3" t="str">
        <f>IF(I2864="","",IFERROR(VLOOKUP(I2864,Base_Datos!$D$2:$E$72,2,0),""))</f>
        <v>(1.5L)</v>
      </c>
      <c r="K2864" s="3"/>
      <c r="L2864" s="3"/>
      <c r="M2864" s="7">
        <v>0</v>
      </c>
      <c r="N2864" s="7">
        <v>0</v>
      </c>
    </row>
    <row r="2865" spans="1:14" ht="14.25" x14ac:dyDescent="0.2">
      <c r="A2865" s="3">
        <v>99983</v>
      </c>
      <c r="B2865" s="3" t="s">
        <v>4620</v>
      </c>
      <c r="C2865" s="3" t="s">
        <v>27</v>
      </c>
      <c r="D2865" s="6" t="s">
        <v>1782</v>
      </c>
      <c r="E2865" s="6" t="s">
        <v>1782</v>
      </c>
      <c r="F2865" s="3" t="str">
        <f>IFERROR( VLOOKUP(A2865,#REF!,2,0),"")</f>
        <v/>
      </c>
      <c r="G2865" s="3" t="str">
        <f t="array" ref="G2865">_xlfn.XLOOKUP(I2865,Base_Datos!D:D,Base_Datos!B:B,"")</f>
        <v>DFSK</v>
      </c>
      <c r="H2865" s="3" t="str">
        <f t="array" ref="H2865">IF(I2865="","",IFERROR(_xlfn.XLOOKUP(I2865,Base_Datos!$D$2:$D3876,Base_Datos!$C$2:$C3876),""))</f>
        <v>Serie Glory</v>
      </c>
      <c r="I2865" s="3" t="s">
        <v>1765</v>
      </c>
      <c r="J2865" s="3" t="str">
        <f>IF(I2865="","",IFERROR(VLOOKUP(I2865,Base_Datos!$D$2:$E$72,2,0),""))</f>
        <v>(1.5L)</v>
      </c>
      <c r="K2865" s="3"/>
      <c r="L2865" s="3"/>
      <c r="M2865" s="7">
        <v>0</v>
      </c>
      <c r="N2865" s="7">
        <v>0</v>
      </c>
    </row>
    <row r="2866" spans="1:14" ht="14.25" x14ac:dyDescent="0.2">
      <c r="A2866" s="3">
        <v>99984</v>
      </c>
      <c r="B2866" s="3" t="s">
        <v>4764</v>
      </c>
      <c r="C2866" s="3" t="s">
        <v>27</v>
      </c>
      <c r="D2866" s="6" t="s">
        <v>1782</v>
      </c>
      <c r="E2866" s="6" t="s">
        <v>1782</v>
      </c>
      <c r="F2866" s="3" t="str">
        <f>IFERROR( VLOOKUP(A2866,#REF!,2,0),"")</f>
        <v/>
      </c>
      <c r="G2866" s="3" t="str">
        <f t="array" ref="G2866">_xlfn.XLOOKUP(I2866,Base_Datos!D:D,Base_Datos!B:B,"")</f>
        <v>DFSK</v>
      </c>
      <c r="H2866" s="3" t="str">
        <f t="array" ref="H2866">IF(I2866="","",IFERROR(_xlfn.XLOOKUP(I2866,Base_Datos!$D$2:$D3876,Base_Datos!$C$2:$C3876),""))</f>
        <v>Serie Glory</v>
      </c>
      <c r="I2866" s="3" t="s">
        <v>1765</v>
      </c>
      <c r="J2866" s="3" t="str">
        <f>IF(I2866="","",IFERROR(VLOOKUP(I2866,Base_Datos!$D$2:$E$72,2,0),""))</f>
        <v>(1.5L)</v>
      </c>
      <c r="K2866" s="3"/>
      <c r="L2866" s="3"/>
      <c r="M2866" s="7">
        <v>0</v>
      </c>
      <c r="N2866" s="7">
        <v>0</v>
      </c>
    </row>
    <row r="2867" spans="1:14" ht="14.25" x14ac:dyDescent="0.2">
      <c r="A2867" s="3">
        <v>99985</v>
      </c>
      <c r="B2867" s="3" t="s">
        <v>4765</v>
      </c>
      <c r="C2867" s="3" t="s">
        <v>27</v>
      </c>
      <c r="D2867" s="6" t="s">
        <v>1782</v>
      </c>
      <c r="E2867" s="6" t="s">
        <v>1782</v>
      </c>
      <c r="F2867" s="3" t="str">
        <f>IFERROR( VLOOKUP(A2867,#REF!,2,0),"")</f>
        <v/>
      </c>
      <c r="G2867" s="3" t="str">
        <f t="array" ref="G2867">_xlfn.XLOOKUP(I2867,Base_Datos!D:D,Base_Datos!B:B,"")</f>
        <v>DFSK</v>
      </c>
      <c r="H2867" s="3" t="str">
        <f t="array" ref="H2867">IF(I2867="","",IFERROR(_xlfn.XLOOKUP(I2867,Base_Datos!$D$2:$D3876,Base_Datos!$C$2:$C3876),""))</f>
        <v>Serie Glory</v>
      </c>
      <c r="I2867" s="3" t="s">
        <v>1754</v>
      </c>
      <c r="J2867" s="3" t="str">
        <f>IF(I2867="","",IFERROR(VLOOKUP(I2867,Base_Datos!$D$2:$E$72,2,0),""))</f>
        <v>(1.5L)</v>
      </c>
      <c r="K2867" s="3"/>
      <c r="L2867" s="3"/>
      <c r="M2867" s="7">
        <v>0</v>
      </c>
      <c r="N2867" s="7">
        <v>0</v>
      </c>
    </row>
    <row r="2868" spans="1:14" ht="14.25" x14ac:dyDescent="0.2">
      <c r="A2868" s="3">
        <v>99986</v>
      </c>
      <c r="B2868" s="3" t="s">
        <v>3387</v>
      </c>
      <c r="C2868" s="3" t="s">
        <v>2</v>
      </c>
      <c r="D2868" s="6" t="s">
        <v>808</v>
      </c>
      <c r="E2868" s="6" t="s">
        <v>808</v>
      </c>
      <c r="F2868" s="3" t="str">
        <f>IFERROR( VLOOKUP(A2868,#REF!,2,0),"")</f>
        <v/>
      </c>
      <c r="G2868" s="3" t="str">
        <f t="array" ref="G2868">_xlfn.XLOOKUP(I2868,Base_Datos!D:D,Base_Datos!B:B,"")</f>
        <v>DFSK</v>
      </c>
      <c r="H2868" s="3" t="str">
        <f t="array" ref="H2868">IF(I2868="","",IFERROR(_xlfn.XLOOKUP(I2868,Base_Datos!$D$2:$D3876,Base_Datos!$C$2:$C3876),""))</f>
        <v>Serie C</v>
      </c>
      <c r="I2868" s="3" t="s">
        <v>265</v>
      </c>
      <c r="J2868" s="3" t="str">
        <f>IF(I2868="","",IFERROR(VLOOKUP(I2868,Base_Datos!$D$2:$E$72,2,0),""))</f>
        <v>(1.5L)</v>
      </c>
      <c r="K2868" s="3"/>
      <c r="L2868" s="3"/>
      <c r="M2868" s="7">
        <v>1</v>
      </c>
      <c r="N2868" s="7">
        <v>0</v>
      </c>
    </row>
    <row r="2869" spans="1:14" ht="14.25" x14ac:dyDescent="0.2">
      <c r="A2869" s="3">
        <v>99987</v>
      </c>
      <c r="B2869" s="3" t="s">
        <v>3389</v>
      </c>
      <c r="C2869" s="3" t="s">
        <v>2</v>
      </c>
      <c r="D2869" s="6" t="s">
        <v>808</v>
      </c>
      <c r="E2869" s="6" t="s">
        <v>808</v>
      </c>
      <c r="F2869" s="3" t="str">
        <f>IFERROR( VLOOKUP(A2869,#REF!,2,0),"")</f>
        <v/>
      </c>
      <c r="G2869" s="3" t="str">
        <f t="array" ref="G2869">_xlfn.XLOOKUP(I2869,Base_Datos!D:D,Base_Datos!B:B,"")</f>
        <v>DFSK</v>
      </c>
      <c r="H2869" s="3" t="str">
        <f t="array" ref="H2869">IF(I2869="","",IFERROR(_xlfn.XLOOKUP(I2869,Base_Datos!$D$2:$D3876,Base_Datos!$C$2:$C3876),""))</f>
        <v>Serie C</v>
      </c>
      <c r="I2869" s="3" t="s">
        <v>265</v>
      </c>
      <c r="J2869" s="3" t="str">
        <f>IF(I2869="","",IFERROR(VLOOKUP(I2869,Base_Datos!$D$2:$E$72,2,0),""))</f>
        <v>(1.5L)</v>
      </c>
      <c r="K2869" s="3" t="s">
        <v>2435</v>
      </c>
      <c r="L2869" s="3"/>
      <c r="M2869" s="7">
        <v>1</v>
      </c>
      <c r="N2869" s="7">
        <v>0</v>
      </c>
    </row>
    <row r="2870" spans="1:14" ht="14.25" x14ac:dyDescent="0.2">
      <c r="A2870" s="3">
        <v>99988</v>
      </c>
      <c r="B2870" s="3" t="s">
        <v>4766</v>
      </c>
      <c r="C2870" s="3" t="s">
        <v>27</v>
      </c>
      <c r="D2870" s="6" t="s">
        <v>1782</v>
      </c>
      <c r="E2870" s="6" t="s">
        <v>1782</v>
      </c>
      <c r="F2870" s="3" t="str">
        <f>IFERROR( VLOOKUP(A2870,#REF!,2,0),"")</f>
        <v/>
      </c>
      <c r="G2870" s="3">
        <f t="array" ref="G2870">_xlfn.XLOOKUP(I2870,Base_Datos!D:D,Base_Datos!B:B,"")</f>
        <v>0</v>
      </c>
      <c r="H2870" s="3" t="str">
        <f t="array" ref="H2870">IF(I2870="","",IFERROR(_xlfn.XLOOKUP(I2870,Base_Datos!$D$2:$D3876,Base_Datos!$C$2:$C3876),""))</f>
        <v/>
      </c>
      <c r="I2870" s="3"/>
      <c r="J2870" s="3" t="str">
        <f>IF(I2870="","",IFERROR(VLOOKUP(I2870,Base_Datos!$D$2:$E$72,2,0),""))</f>
        <v/>
      </c>
      <c r="K2870" s="3" t="s">
        <v>3884</v>
      </c>
      <c r="L2870" s="3"/>
      <c r="M2870" s="7">
        <v>0</v>
      </c>
      <c r="N2870" s="7">
        <v>0</v>
      </c>
    </row>
    <row r="2871" spans="1:14" ht="14.25" x14ac:dyDescent="0.2">
      <c r="A2871" s="3">
        <v>99989</v>
      </c>
      <c r="B2871" s="3" t="s">
        <v>3239</v>
      </c>
      <c r="C2871" s="3" t="s">
        <v>2</v>
      </c>
      <c r="D2871" s="6" t="s">
        <v>1782</v>
      </c>
      <c r="E2871" s="6" t="s">
        <v>1782</v>
      </c>
      <c r="F2871" s="3" t="str">
        <f>IFERROR( VLOOKUP(A2871,#REF!,2,0),"")</f>
        <v/>
      </c>
      <c r="G2871" s="3" t="str">
        <f t="array" ref="G2871">_xlfn.XLOOKUP(I2871,Base_Datos!D:D,Base_Datos!B:B,"")</f>
        <v>DFSK</v>
      </c>
      <c r="H2871" s="3" t="str">
        <f t="array" ref="H2871">IF(I2871="","",IFERROR(_xlfn.XLOOKUP(I2871,Base_Datos!$D$2:$D3876,Base_Datos!$C$2:$C3876),""))</f>
        <v>Serie D</v>
      </c>
      <c r="I2871" s="3" t="s">
        <v>145</v>
      </c>
      <c r="J2871" s="3" t="str">
        <f>IF(I2871="","",IFERROR(VLOOKUP(I2871,Base_Datos!$D$2:$E$72,2,0),""))</f>
        <v>(2.4L)</v>
      </c>
      <c r="K2871" s="3"/>
      <c r="L2871" s="3"/>
      <c r="M2871" s="7">
        <v>0</v>
      </c>
      <c r="N2871" s="7">
        <v>0</v>
      </c>
    </row>
    <row r="2872" spans="1:14" ht="14.25" x14ac:dyDescent="0.2">
      <c r="A2872" s="3">
        <v>99990</v>
      </c>
      <c r="B2872" s="3" t="s">
        <v>4767</v>
      </c>
      <c r="C2872" s="3" t="s">
        <v>2</v>
      </c>
      <c r="D2872" s="6" t="s">
        <v>950</v>
      </c>
      <c r="E2872" s="6" t="s">
        <v>950</v>
      </c>
      <c r="F2872" s="3" t="str">
        <f>IFERROR( VLOOKUP(A2872,#REF!,2,0),"")</f>
        <v/>
      </c>
      <c r="G2872" s="3" t="str">
        <f t="array" ref="G2872">_xlfn.XLOOKUP(I2872,Base_Datos!D:D,Base_Datos!B:B,"")</f>
        <v>DFSK</v>
      </c>
      <c r="H2872" s="3" t="str">
        <f t="array" ref="H2872">IF(I2872="","",IFERROR(_xlfn.XLOOKUP(I2872,Base_Datos!$D$2:$D3876,Base_Datos!$C$2:$C3876),""))</f>
        <v>Serie K</v>
      </c>
      <c r="I2872" s="3" t="s">
        <v>475</v>
      </c>
      <c r="J2872" s="3" t="str">
        <f>IF(I2872="","",IFERROR(VLOOKUP(I2872,Base_Datos!$D$2:$E$72,2,0),""))</f>
        <v>(1.1L)</v>
      </c>
      <c r="K2872" s="3" t="s">
        <v>4768</v>
      </c>
      <c r="L2872" s="3"/>
      <c r="M2872" s="7">
        <v>9</v>
      </c>
      <c r="N2872" s="7">
        <v>0</v>
      </c>
    </row>
    <row r="2873" spans="1:14" ht="14.25" x14ac:dyDescent="0.2">
      <c r="A2873" s="3">
        <v>99992</v>
      </c>
      <c r="B2873" s="3" t="s">
        <v>2929</v>
      </c>
      <c r="C2873" s="3" t="s">
        <v>2</v>
      </c>
      <c r="D2873" s="6" t="s">
        <v>826</v>
      </c>
      <c r="E2873" s="6" t="s">
        <v>826</v>
      </c>
      <c r="F2873" s="3" t="str">
        <f>IFERROR( VLOOKUP(A2873,#REF!,2,0),"")</f>
        <v/>
      </c>
      <c r="G2873" s="3" t="str">
        <f t="array" ref="G2873">_xlfn.XLOOKUP(I2873,Base_Datos!D:D,Base_Datos!B:B,"")</f>
        <v>DFSK</v>
      </c>
      <c r="H2873" s="3" t="str">
        <f t="array" ref="H2873">IF(I2873="","",IFERROR(_xlfn.XLOOKUP(I2873,Base_Datos!$D$2:$D3876,Base_Datos!$C$2:$C3876),""))</f>
        <v>Serie K</v>
      </c>
      <c r="I2873" s="3" t="s">
        <v>475</v>
      </c>
      <c r="J2873" s="3" t="str">
        <f>IF(I2873="","",IFERROR(VLOOKUP(I2873,Base_Datos!$D$2:$E$72,2,0),""))</f>
        <v>(1.1L)</v>
      </c>
      <c r="K2873" s="3"/>
      <c r="L2873" s="3"/>
      <c r="M2873" s="7">
        <v>3</v>
      </c>
      <c r="N2873" s="7">
        <v>0</v>
      </c>
    </row>
    <row r="2874" spans="1:14" ht="14.25" x14ac:dyDescent="0.2">
      <c r="A2874" s="3">
        <v>99993</v>
      </c>
      <c r="B2874" s="3" t="s">
        <v>4769</v>
      </c>
      <c r="C2874" s="3" t="s">
        <v>2</v>
      </c>
      <c r="D2874" s="6" t="s">
        <v>951</v>
      </c>
      <c r="E2874" s="6" t="s">
        <v>4049</v>
      </c>
      <c r="F2874" s="3" t="str">
        <f>IFERROR( VLOOKUP(A2874,#REF!,2,0),"")</f>
        <v/>
      </c>
      <c r="G2874" s="3" t="str">
        <f t="array" ref="G2874">_xlfn.XLOOKUP(I2874,Base_Datos!D:D,Base_Datos!B:B,"")</f>
        <v>DFSK</v>
      </c>
      <c r="H2874" s="3" t="str">
        <f t="array" ref="H2874">IF(I2874="","",IFERROR(_xlfn.XLOOKUP(I2874,Base_Datos!$D$2:$D3876,Base_Datos!$C$2:$C3876),""))</f>
        <v>Serie K</v>
      </c>
      <c r="I2874" s="3" t="s">
        <v>475</v>
      </c>
      <c r="J2874" s="3" t="str">
        <f>IF(I2874="","",IFERROR(VLOOKUP(I2874,Base_Datos!$D$2:$E$72,2,0),""))</f>
        <v>(1.1L)</v>
      </c>
      <c r="K2874" s="3"/>
      <c r="L2874" s="3"/>
      <c r="M2874" s="7">
        <v>6</v>
      </c>
      <c r="N2874" s="7">
        <v>0</v>
      </c>
    </row>
    <row r="2875" spans="1:14" ht="14.25" x14ac:dyDescent="0.2">
      <c r="A2875" s="3">
        <v>99994</v>
      </c>
      <c r="B2875" s="3" t="s">
        <v>4770</v>
      </c>
      <c r="C2875" s="3" t="s">
        <v>2</v>
      </c>
      <c r="D2875" s="6" t="s">
        <v>402</v>
      </c>
      <c r="E2875" s="6" t="s">
        <v>402</v>
      </c>
      <c r="F2875" s="3" t="str">
        <f>IFERROR( VLOOKUP(A2875,#REF!,2,0),"")</f>
        <v/>
      </c>
      <c r="G2875" s="3" t="str">
        <f t="array" ref="G2875">_xlfn.XLOOKUP(I2875,Base_Datos!D:D,Base_Datos!B:B,"")</f>
        <v>DFSK</v>
      </c>
      <c r="H2875" s="3" t="str">
        <f t="array" ref="H2875">IF(I2875="","",IFERROR(_xlfn.XLOOKUP(I2875,Base_Datos!$D$2:$D3876,Base_Datos!$C$2:$C3876),""))</f>
        <v>Serie K</v>
      </c>
      <c r="I2875" s="3" t="s">
        <v>475</v>
      </c>
      <c r="J2875" s="3" t="str">
        <f>IF(I2875="","",IFERROR(VLOOKUP(I2875,Base_Datos!$D$2:$E$72,2,0),""))</f>
        <v>(1.1L)</v>
      </c>
      <c r="K2875" s="3"/>
      <c r="L2875" s="3"/>
      <c r="M2875" s="7">
        <v>7</v>
      </c>
      <c r="N2875" s="7">
        <v>0</v>
      </c>
    </row>
    <row r="2876" spans="1:14" ht="14.25" x14ac:dyDescent="0.2">
      <c r="A2876" s="3">
        <v>99995</v>
      </c>
      <c r="B2876" s="3" t="s">
        <v>4771</v>
      </c>
      <c r="C2876" s="3" t="s">
        <v>2</v>
      </c>
      <c r="D2876" s="6" t="s">
        <v>4060</v>
      </c>
      <c r="E2876" s="6" t="s">
        <v>4060</v>
      </c>
      <c r="F2876" s="3" t="str">
        <f>IFERROR( VLOOKUP(A2876,#REF!,2,0),"")</f>
        <v/>
      </c>
      <c r="G2876" s="3" t="str">
        <f t="array" ref="G2876">_xlfn.XLOOKUP(I2876,Base_Datos!D:D,Base_Datos!B:B,"")</f>
        <v>DFSK</v>
      </c>
      <c r="H2876" s="3" t="str">
        <f t="array" ref="H2876">IF(I2876="","",IFERROR(_xlfn.XLOOKUP(I2876,Base_Datos!$D$2:$D3876,Base_Datos!$C$2:$C3876),""))</f>
        <v>Serie D</v>
      </c>
      <c r="I2876" s="3" t="s">
        <v>145</v>
      </c>
      <c r="J2876" s="3" t="str">
        <f>IF(I2876="","",IFERROR(VLOOKUP(I2876,Base_Datos!$D$2:$E$72,2,0),""))</f>
        <v>(2.4L)</v>
      </c>
      <c r="K2876" s="3"/>
      <c r="L2876" s="3"/>
      <c r="M2876" s="7">
        <v>0</v>
      </c>
      <c r="N2876" s="7">
        <v>0</v>
      </c>
    </row>
    <row r="2877" spans="1:14" ht="14.25" x14ac:dyDescent="0.2">
      <c r="A2877" s="3">
        <v>65000</v>
      </c>
      <c r="B2877" s="3" t="s">
        <v>4772</v>
      </c>
      <c r="C2877" s="3" t="s">
        <v>16</v>
      </c>
      <c r="D2877" s="6"/>
      <c r="E2877" s="6"/>
      <c r="F2877" s="3" t="str">
        <f>IFERROR( VLOOKUP(A2877,#REF!,2,0),"")</f>
        <v/>
      </c>
      <c r="G2877" s="3" t="str">
        <f t="array" ref="G2877">_xlfn.XLOOKUP(I2877,Base_Datos!D:D,Base_Datos!B:B,"")</f>
        <v>GAC</v>
      </c>
      <c r="H2877" s="3" t="str">
        <f t="array" ref="H2877">IF(I2877="","",IFERROR(_xlfn.XLOOKUP(I2877,Base_Datos!$D$2:$D3876,Base_Datos!$C$2:$C3876),""))</f>
        <v>Serie Empow</v>
      </c>
      <c r="I2877" s="3" t="s">
        <v>1180</v>
      </c>
      <c r="J2877" s="3" t="str">
        <f>IF(I2877="","",IFERROR(VLOOKUP(I2877,Base_Datos!$D$2:$E$72,2,0),""))</f>
        <v>(1.5L)</v>
      </c>
      <c r="K2877" s="3"/>
      <c r="L2877" s="3"/>
      <c r="M2877" s="7">
        <v>0</v>
      </c>
      <c r="N2877" s="7">
        <v>0</v>
      </c>
    </row>
    <row r="2878" spans="1:14" ht="14.25" x14ac:dyDescent="0.2">
      <c r="A2878" s="3">
        <v>66000</v>
      </c>
      <c r="B2878" s="3" t="s">
        <v>4772</v>
      </c>
      <c r="C2878" s="3" t="s">
        <v>16</v>
      </c>
      <c r="D2878" s="6"/>
      <c r="E2878" s="6"/>
      <c r="F2878" s="3" t="str">
        <f>IFERROR( VLOOKUP(A2878,#REF!,2,0),"")</f>
        <v/>
      </c>
      <c r="G2878" s="3" t="str">
        <f t="array" ref="G2878">_xlfn.XLOOKUP(I2878,Base_Datos!D:D,Base_Datos!B:B,"")</f>
        <v>GAC</v>
      </c>
      <c r="H2878" s="3" t="str">
        <f t="array" ref="H2878">IF(I2878="","",IFERROR(_xlfn.XLOOKUP(I2878,Base_Datos!$D$2:$D3876,Base_Datos!$C$2:$C3876),""))</f>
        <v>Serie Emzoom</v>
      </c>
      <c r="I2878" s="3" t="s">
        <v>1203</v>
      </c>
      <c r="J2878" s="3" t="str">
        <f>IF(I2878="","",IFERROR(VLOOKUP(I2878,Base_Datos!$D$2:$E$72,2,0),""))</f>
        <v>(1.5L)</v>
      </c>
      <c r="K2878" s="3" t="s">
        <v>2022</v>
      </c>
      <c r="L2878" s="3"/>
      <c r="M2878" s="7">
        <v>0</v>
      </c>
      <c r="N2878" s="7">
        <v>0</v>
      </c>
    </row>
    <row r="2879" spans="1:14" ht="14.25" x14ac:dyDescent="0.2">
      <c r="A2879" s="3">
        <v>67000</v>
      </c>
      <c r="B2879" s="3" t="s">
        <v>4772</v>
      </c>
      <c r="C2879" s="3" t="s">
        <v>16</v>
      </c>
      <c r="D2879" s="6"/>
      <c r="E2879" s="6"/>
      <c r="F2879" s="3" t="str">
        <f>IFERROR( VLOOKUP(A2879,#REF!,2,0),"")</f>
        <v/>
      </c>
      <c r="G2879" s="3" t="str">
        <f t="array" ref="G2879">_xlfn.XLOOKUP(I2879,Base_Datos!D:D,Base_Datos!B:B,"")</f>
        <v>GAC</v>
      </c>
      <c r="H2879" s="3" t="str">
        <f t="array" ref="H2879">IF(I2879="","",IFERROR(_xlfn.XLOOKUP(I2879,Base_Datos!$D$2:$D3876,Base_Datos!$C$2:$C3876),""))</f>
        <v>Serie GS</v>
      </c>
      <c r="I2879" s="3" t="s">
        <v>1487</v>
      </c>
      <c r="J2879" s="3" t="str">
        <f>IF(I2879="","",IFERROR(VLOOKUP(I2879,Base_Datos!$D$2:$E$72,2,0),""))</f>
        <v>(2.0L)</v>
      </c>
      <c r="K2879" s="3"/>
      <c r="L2879" s="3"/>
      <c r="M2879" s="7">
        <v>23</v>
      </c>
      <c r="N2879" s="7">
        <v>0</v>
      </c>
    </row>
    <row r="2880" spans="1:14" ht="14.25" x14ac:dyDescent="0.2">
      <c r="A2880" s="3">
        <v>72000</v>
      </c>
      <c r="B2880" s="3" t="s">
        <v>4773</v>
      </c>
      <c r="C2880" s="3" t="s">
        <v>18</v>
      </c>
      <c r="D2880" s="6"/>
      <c r="E2880" s="6" t="s">
        <v>4774</v>
      </c>
      <c r="F2880" s="3" t="str">
        <f>IFERROR( VLOOKUP(A2880,#REF!,2,0),"")</f>
        <v/>
      </c>
      <c r="G2880" s="3" t="str">
        <f t="array" ref="G2880">_xlfn.XLOOKUP(I2880,Base_Datos!D:D,Base_Datos!B:B,"")</f>
        <v>DFSK</v>
      </c>
      <c r="H2880" s="3" t="str">
        <f t="array" ref="H2880">IF(I2880="","",IFERROR(_xlfn.XLOOKUP(I2880,Base_Datos!$D$2:$D3876,Base_Datos!$C$2:$C3876),""))</f>
        <v>Serie D</v>
      </c>
      <c r="I2880" s="3" t="s">
        <v>145</v>
      </c>
      <c r="J2880" s="3" t="str">
        <f>IF(I2880="","",IFERROR(VLOOKUP(I2880,Base_Datos!$D$2:$E$72,2,0),""))</f>
        <v>(2.4L)</v>
      </c>
      <c r="K2880" s="3"/>
      <c r="L2880" s="3"/>
      <c r="M2880" s="7">
        <v>100</v>
      </c>
      <c r="N2880" s="7">
        <v>0</v>
      </c>
    </row>
    <row r="2881" spans="1:14" ht="14.25" x14ac:dyDescent="0.2">
      <c r="A2881" s="3">
        <v>72001</v>
      </c>
      <c r="B2881" s="3" t="s">
        <v>4775</v>
      </c>
      <c r="C2881" s="3" t="s">
        <v>18</v>
      </c>
      <c r="D2881" s="6"/>
      <c r="E2881" s="6" t="s">
        <v>4776</v>
      </c>
      <c r="F2881" s="3" t="str">
        <f>IFERROR( VLOOKUP(A2881,#REF!,2,0),"")</f>
        <v/>
      </c>
      <c r="G2881" s="3" t="str">
        <f t="array" ref="G2881">_xlfn.XLOOKUP(I2881,Base_Datos!D:D,Base_Datos!B:B,"")</f>
        <v>DFSK</v>
      </c>
      <c r="H2881" s="3" t="str">
        <f t="array" ref="H2881">IF(I2881="","",IFERROR(_xlfn.XLOOKUP(I2881,Base_Datos!$D$2:$D3876,Base_Datos!$C$2:$C3876),""))</f>
        <v>Serie D</v>
      </c>
      <c r="I2881" s="3" t="s">
        <v>145</v>
      </c>
      <c r="J2881" s="3" t="str">
        <f>IF(I2881="","",IFERROR(VLOOKUP(I2881,Base_Datos!$D$2:$E$72,2,0),""))</f>
        <v>(2.4L)</v>
      </c>
      <c r="K2881" s="3"/>
      <c r="L2881" s="3"/>
      <c r="M2881" s="7">
        <v>44</v>
      </c>
      <c r="N2881" s="7">
        <v>0</v>
      </c>
    </row>
    <row r="2882" spans="1:14" ht="14.25" x14ac:dyDescent="0.2">
      <c r="A2882" s="3">
        <v>72002</v>
      </c>
      <c r="B2882" s="3" t="s">
        <v>4777</v>
      </c>
      <c r="C2882" s="3" t="s">
        <v>18</v>
      </c>
      <c r="D2882" s="6"/>
      <c r="E2882" s="6" t="s">
        <v>4778</v>
      </c>
      <c r="F2882" s="3" t="str">
        <f>IFERROR( VLOOKUP(A2882,#REF!,2,0),"")</f>
        <v/>
      </c>
      <c r="G2882" s="3" t="str">
        <f t="array" ref="G2882">_xlfn.XLOOKUP(I2882,Base_Datos!D:D,Base_Datos!B:B,"")</f>
        <v>DFSK</v>
      </c>
      <c r="H2882" s="3" t="str">
        <f t="array" ref="H2882">IF(I2882="","",IFERROR(_xlfn.XLOOKUP(I2882,Base_Datos!$D$2:$D3876,Base_Datos!$C$2:$C3876),""))</f>
        <v>Serie D</v>
      </c>
      <c r="I2882" s="3" t="s">
        <v>145</v>
      </c>
      <c r="J2882" s="3" t="str">
        <f>IF(I2882="","",IFERROR(VLOOKUP(I2882,Base_Datos!$D$2:$E$72,2,0),""))</f>
        <v>(2.4L)</v>
      </c>
      <c r="K2882" s="3"/>
      <c r="L2882" s="3"/>
      <c r="M2882" s="7">
        <v>40</v>
      </c>
      <c r="N2882" s="7">
        <v>0</v>
      </c>
    </row>
    <row r="2883" spans="1:14" ht="14.25" x14ac:dyDescent="0.2">
      <c r="A2883" s="3">
        <v>72003</v>
      </c>
      <c r="B2883" s="3" t="s">
        <v>4779</v>
      </c>
      <c r="C2883" s="3" t="s">
        <v>18</v>
      </c>
      <c r="D2883" s="6"/>
      <c r="E2883" s="6" t="s">
        <v>4780</v>
      </c>
      <c r="F2883" s="3" t="str">
        <f>IFERROR( VLOOKUP(A2883,#REF!,2,0),"")</f>
        <v/>
      </c>
      <c r="G2883" s="3" t="str">
        <f t="array" ref="G2883">_xlfn.XLOOKUP(I2883,Base_Datos!D:D,Base_Datos!B:B,"")</f>
        <v>DFSK</v>
      </c>
      <c r="H2883" s="3" t="str">
        <f t="array" ref="H2883">IF(I2883="","",IFERROR(_xlfn.XLOOKUP(I2883,Base_Datos!$D$2:$D3876,Base_Datos!$C$2:$C3876),""))</f>
        <v>Serie D</v>
      </c>
      <c r="I2883" s="3" t="s">
        <v>145</v>
      </c>
      <c r="J2883" s="3" t="str">
        <f>IF(I2883="","",IFERROR(VLOOKUP(I2883,Base_Datos!$D$2:$E$72,2,0),""))</f>
        <v>(2.4L)</v>
      </c>
      <c r="K2883" s="3"/>
      <c r="L2883" s="3"/>
      <c r="M2883" s="7">
        <v>40</v>
      </c>
      <c r="N2883" s="7">
        <v>0</v>
      </c>
    </row>
    <row r="2884" spans="1:14" ht="14.25" x14ac:dyDescent="0.2">
      <c r="A2884" s="3">
        <v>72006</v>
      </c>
      <c r="B2884" s="3" t="s">
        <v>4781</v>
      </c>
      <c r="C2884" s="3" t="s">
        <v>18</v>
      </c>
      <c r="D2884" s="6"/>
      <c r="E2884" s="6" t="s">
        <v>4782</v>
      </c>
      <c r="F2884" s="3" t="str">
        <f>IFERROR( VLOOKUP(A2884,#REF!,2,0),"")</f>
        <v/>
      </c>
      <c r="G2884" s="3" t="str">
        <f t="array" ref="G2884">_xlfn.XLOOKUP(I2884,Base_Datos!D:D,Base_Datos!B:B,"")</f>
        <v>DFSK</v>
      </c>
      <c r="H2884" s="3" t="str">
        <f t="array" ref="H2884">IF(I2884="","",IFERROR(_xlfn.XLOOKUP(I2884,Base_Datos!$D$2:$D3876,Base_Datos!$C$2:$C3876),""))</f>
        <v>Serie D</v>
      </c>
      <c r="I2884" s="3" t="s">
        <v>145</v>
      </c>
      <c r="J2884" s="3" t="str">
        <f>IF(I2884="","",IFERROR(VLOOKUP(I2884,Base_Datos!$D$2:$E$72,2,0),""))</f>
        <v>(2.4L)</v>
      </c>
      <c r="K2884" s="3"/>
      <c r="L2884" s="3"/>
      <c r="M2884" s="7">
        <v>440</v>
      </c>
      <c r="N2884" s="7">
        <v>0</v>
      </c>
    </row>
    <row r="2885" spans="1:14" ht="14.25" x14ac:dyDescent="0.2">
      <c r="A2885" s="3">
        <v>72007</v>
      </c>
      <c r="B2885" s="3" t="s">
        <v>4783</v>
      </c>
      <c r="C2885" s="3" t="s">
        <v>18</v>
      </c>
      <c r="D2885" s="6"/>
      <c r="E2885" s="6" t="s">
        <v>4784</v>
      </c>
      <c r="F2885" s="3" t="str">
        <f>IFERROR( VLOOKUP(A2885,#REF!,2,0),"")</f>
        <v/>
      </c>
      <c r="G2885" s="3" t="str">
        <f t="array" ref="G2885">_xlfn.XLOOKUP(I2885,Base_Datos!D:D,Base_Datos!B:B,"")</f>
        <v>DFSK</v>
      </c>
      <c r="H2885" s="3" t="str">
        <f t="array" ref="H2885">IF(I2885="","",IFERROR(_xlfn.XLOOKUP(I2885,Base_Datos!$D$2:$D3876,Base_Datos!$C$2:$C3876),""))</f>
        <v>Serie D</v>
      </c>
      <c r="I2885" s="3" t="s">
        <v>145</v>
      </c>
      <c r="J2885" s="3" t="str">
        <f>IF(I2885="","",IFERROR(VLOOKUP(I2885,Base_Datos!$D$2:$E$72,2,0),""))</f>
        <v>(2.4L)</v>
      </c>
      <c r="K2885" s="3"/>
      <c r="L2885" s="3"/>
      <c r="M2885" s="7">
        <v>440</v>
      </c>
      <c r="N2885" s="7">
        <v>0</v>
      </c>
    </row>
    <row r="2886" spans="1:14" ht="14.25" x14ac:dyDescent="0.2">
      <c r="A2886" s="3">
        <v>88250</v>
      </c>
      <c r="B2886" s="3" t="s">
        <v>1787</v>
      </c>
      <c r="C2886" s="3" t="s">
        <v>18</v>
      </c>
      <c r="D2886" s="6"/>
      <c r="E2886" s="6" t="s">
        <v>123</v>
      </c>
      <c r="F2886" s="3" t="str">
        <f>IFERROR( VLOOKUP(A2886,#REF!,2,0),"")</f>
        <v/>
      </c>
      <c r="G2886" s="3" t="str">
        <f t="array" ref="G2886">_xlfn.XLOOKUP(I2886,Base_Datos!D:D,Base_Datos!B:B,"")</f>
        <v>DFSK</v>
      </c>
      <c r="H2886" s="3" t="str">
        <f t="array" ref="H2886">IF(I2886="","",IFERROR(_xlfn.XLOOKUP(I2886,Base_Datos!$D$2:$D3876,Base_Datos!$C$2:$C3876),""))</f>
        <v>Serie C</v>
      </c>
      <c r="I2886" s="3" t="s">
        <v>265</v>
      </c>
      <c r="J2886" s="3" t="str">
        <f>IF(I2886="","",IFERROR(VLOOKUP(I2886,Base_Datos!$D$2:$E$72,2,0),""))</f>
        <v>(1.5L)</v>
      </c>
      <c r="K2886" s="3"/>
      <c r="L2886" s="3"/>
      <c r="M2886" s="7">
        <v>2</v>
      </c>
      <c r="N2886" s="7">
        <v>0</v>
      </c>
    </row>
    <row r="2887" spans="1:14" ht="14.25" x14ac:dyDescent="0.2">
      <c r="A2887" s="3">
        <v>88251</v>
      </c>
      <c r="B2887" s="3" t="s">
        <v>4785</v>
      </c>
      <c r="C2887" s="3" t="s">
        <v>18</v>
      </c>
      <c r="D2887" s="6"/>
      <c r="E2887" s="6" t="s">
        <v>124</v>
      </c>
      <c r="F2887" s="3" t="str">
        <f>IFERROR( VLOOKUP(A2887,#REF!,2,0),"")</f>
        <v/>
      </c>
      <c r="G2887" s="3" t="str">
        <f t="array" ref="G2887">_xlfn.XLOOKUP(I2887,Base_Datos!D:D,Base_Datos!B:B,"")</f>
        <v>DFSK</v>
      </c>
      <c r="H2887" s="3" t="str">
        <f t="array" ref="H2887">IF(I2887="","",IFERROR(_xlfn.XLOOKUP(I2887,Base_Datos!$D$2:$D3876,Base_Datos!$C$2:$C3876),""))</f>
        <v>Serie D</v>
      </c>
      <c r="I2887" s="3" t="s">
        <v>145</v>
      </c>
      <c r="J2887" s="3" t="str">
        <f>IF(I2887="","",IFERROR(VLOOKUP(I2887,Base_Datos!$D$2:$E$72,2,0),""))</f>
        <v>(2.4L)</v>
      </c>
      <c r="K2887" s="3"/>
      <c r="L2887" s="3"/>
      <c r="M2887" s="7">
        <v>2</v>
      </c>
      <c r="N2887" s="7">
        <v>0</v>
      </c>
    </row>
    <row r="2888" spans="1:14" ht="14.25" x14ac:dyDescent="0.2">
      <c r="A2888" s="3">
        <v>88253</v>
      </c>
      <c r="B2888" s="3" t="s">
        <v>4786</v>
      </c>
      <c r="C2888" s="3" t="s">
        <v>18</v>
      </c>
      <c r="D2888" s="6"/>
      <c r="E2888" s="6" t="s">
        <v>126</v>
      </c>
      <c r="F2888" s="3" t="str">
        <f>IFERROR( VLOOKUP(A2888,#REF!,2,0),"")</f>
        <v/>
      </c>
      <c r="G2888" s="3" t="str">
        <f t="array" ref="G2888">_xlfn.XLOOKUP(I2888,Base_Datos!D:D,Base_Datos!B:B,"")</f>
        <v>DFSK</v>
      </c>
      <c r="H2888" s="3" t="str">
        <f t="array" ref="H2888">IF(I2888="","",IFERROR(_xlfn.XLOOKUP(I2888,Base_Datos!$D$2:$D3876,Base_Datos!$C$2:$C3876),""))</f>
        <v>Serie C</v>
      </c>
      <c r="I2888" s="3" t="s">
        <v>265</v>
      </c>
      <c r="J2888" s="3" t="str">
        <f>IF(I2888="","",IFERROR(VLOOKUP(I2888,Base_Datos!$D$2:$E$72,2,0),""))</f>
        <v>(1.5L)</v>
      </c>
      <c r="K2888" s="3"/>
      <c r="L2888" s="3"/>
      <c r="M2888" s="7">
        <v>15</v>
      </c>
      <c r="N2888" s="7">
        <v>0</v>
      </c>
    </row>
    <row r="2889" spans="1:14" ht="14.25" x14ac:dyDescent="0.2">
      <c r="A2889" s="3">
        <v>88254</v>
      </c>
      <c r="B2889" s="3" t="s">
        <v>4787</v>
      </c>
      <c r="C2889" s="3" t="s">
        <v>18</v>
      </c>
      <c r="D2889" s="6"/>
      <c r="E2889" s="6" t="s">
        <v>127</v>
      </c>
      <c r="F2889" s="3" t="str">
        <f>IFERROR( VLOOKUP(A2889,#REF!,2,0),"")</f>
        <v/>
      </c>
      <c r="G2889" s="3" t="str">
        <f t="array" ref="G2889">_xlfn.XLOOKUP(I2889,Base_Datos!D:D,Base_Datos!B:B,"")</f>
        <v>DFSK</v>
      </c>
      <c r="H2889" s="3" t="str">
        <f t="array" ref="H2889">IF(I2889="","",IFERROR(_xlfn.XLOOKUP(I2889,Base_Datos!$D$2:$D3876,Base_Datos!$C$2:$C3876),""))</f>
        <v>Serie D</v>
      </c>
      <c r="I2889" s="3" t="s">
        <v>145</v>
      </c>
      <c r="J2889" s="3" t="str">
        <f>IF(I2889="","",IFERROR(VLOOKUP(I2889,Base_Datos!$D$2:$E$72,2,0),""))</f>
        <v>(2.4L)</v>
      </c>
      <c r="K2889" s="3"/>
      <c r="L2889" s="3"/>
      <c r="M2889" s="7">
        <v>55</v>
      </c>
      <c r="N2889" s="7">
        <v>0</v>
      </c>
    </row>
    <row r="2890" spans="1:14" ht="14.25" x14ac:dyDescent="0.2">
      <c r="A2890" s="3">
        <v>88259</v>
      </c>
      <c r="B2890" s="3" t="s">
        <v>1811</v>
      </c>
      <c r="C2890" s="3" t="s">
        <v>18</v>
      </c>
      <c r="D2890" s="6"/>
      <c r="E2890" s="6" t="s">
        <v>132</v>
      </c>
      <c r="F2890" s="3" t="str">
        <f>IFERROR( VLOOKUP(A2890,#REF!,2,0),"")</f>
        <v/>
      </c>
      <c r="G2890" s="3" t="str">
        <f t="array" ref="G2890">_xlfn.XLOOKUP(I2890,Base_Datos!D:D,Base_Datos!B:B,"")</f>
        <v>DFSK</v>
      </c>
      <c r="H2890" s="3" t="str">
        <f t="array" ref="H2890">IF(I2890="","",IFERROR(_xlfn.XLOOKUP(I2890,Base_Datos!$D$2:$D3876,Base_Datos!$C$2:$C3876),""))</f>
        <v>Serie C</v>
      </c>
      <c r="I2890" s="3" t="s">
        <v>265</v>
      </c>
      <c r="J2890" s="3" t="str">
        <f>IF(I2890="","",IFERROR(VLOOKUP(I2890,Base_Datos!$D$2:$E$72,2,0),""))</f>
        <v>(1.5L)</v>
      </c>
      <c r="K2890" s="3"/>
      <c r="L2890" s="3"/>
      <c r="M2890" s="7">
        <v>4</v>
      </c>
      <c r="N2890" s="7">
        <v>0</v>
      </c>
    </row>
    <row r="2891" spans="1:14" ht="14.25" x14ac:dyDescent="0.2">
      <c r="A2891" s="3">
        <v>88260</v>
      </c>
      <c r="B2891" s="3" t="s">
        <v>4788</v>
      </c>
      <c r="C2891" s="3" t="s">
        <v>18</v>
      </c>
      <c r="D2891" s="6"/>
      <c r="E2891" s="6" t="s">
        <v>133</v>
      </c>
      <c r="F2891" s="3" t="str">
        <f>IFERROR( VLOOKUP(A2891,#REF!,2,0),"")</f>
        <v/>
      </c>
      <c r="G2891" s="3" t="str">
        <f t="array" ref="G2891">_xlfn.XLOOKUP(I2891,Base_Datos!D:D,Base_Datos!B:B,"")</f>
        <v>DFSK</v>
      </c>
      <c r="H2891" s="3" t="str">
        <f t="array" ref="H2891">IF(I2891="","",IFERROR(_xlfn.XLOOKUP(I2891,Base_Datos!$D$2:$D3876,Base_Datos!$C$2:$C3876),""))</f>
        <v>Serie D</v>
      </c>
      <c r="I2891" s="3" t="s">
        <v>145</v>
      </c>
      <c r="J2891" s="3" t="str">
        <f>IF(I2891="","",IFERROR(VLOOKUP(I2891,Base_Datos!$D$2:$E$72,2,0),""))</f>
        <v>(2.4L)</v>
      </c>
      <c r="K2891" s="3"/>
      <c r="L2891" s="3"/>
      <c r="M2891" s="7">
        <v>5</v>
      </c>
      <c r="N2891" s="7">
        <v>0</v>
      </c>
    </row>
    <row r="2892" spans="1:14" ht="14.25" x14ac:dyDescent="0.2">
      <c r="A2892" s="3">
        <v>88261</v>
      </c>
      <c r="B2892" s="3" t="s">
        <v>1792</v>
      </c>
      <c r="C2892" s="3" t="s">
        <v>18</v>
      </c>
      <c r="D2892" s="6"/>
      <c r="E2892" s="6" t="s">
        <v>4789</v>
      </c>
      <c r="F2892" s="3" t="str">
        <f>IFERROR( VLOOKUP(A2892,#REF!,2,0),"")</f>
        <v/>
      </c>
      <c r="G2892" s="3" t="str">
        <f t="array" ref="G2892">_xlfn.XLOOKUP(I2892,Base_Datos!D:D,Base_Datos!B:B,"")</f>
        <v>DFSK</v>
      </c>
      <c r="H2892" s="3" t="str">
        <f t="array" ref="H2892">IF(I2892="","",IFERROR(_xlfn.XLOOKUP(I2892,Base_Datos!$D$2:$D3876,Base_Datos!$C$2:$C3876),""))</f>
        <v>Serie C</v>
      </c>
      <c r="I2892" s="3" t="s">
        <v>265</v>
      </c>
      <c r="J2892" s="3" t="str">
        <f>IF(I2892="","",IFERROR(VLOOKUP(I2892,Base_Datos!$D$2:$E$72,2,0),""))</f>
        <v>(1.5L)</v>
      </c>
      <c r="K2892" s="3"/>
      <c r="L2892" s="3"/>
      <c r="M2892" s="7">
        <v>0</v>
      </c>
      <c r="N2892" s="7">
        <v>0</v>
      </c>
    </row>
    <row r="2893" spans="1:14" ht="14.25" x14ac:dyDescent="0.2">
      <c r="A2893" s="3">
        <v>88264</v>
      </c>
      <c r="B2893" s="3" t="s">
        <v>4790</v>
      </c>
      <c r="C2893" s="3" t="s">
        <v>18</v>
      </c>
      <c r="D2893" s="6"/>
      <c r="E2893" s="6" t="s">
        <v>4337</v>
      </c>
      <c r="F2893" s="3" t="str">
        <f>IFERROR( VLOOKUP(A2893,#REF!,2,0),"")</f>
        <v/>
      </c>
      <c r="G2893" s="3" t="str">
        <f t="array" ref="G2893">_xlfn.XLOOKUP(I2893,Base_Datos!D:D,Base_Datos!B:B,"")</f>
        <v>DFSK</v>
      </c>
      <c r="H2893" s="3" t="str">
        <f t="array" ref="H2893">IF(I2893="","",IFERROR(_xlfn.XLOOKUP(I2893,Base_Datos!$D$2:$D3876,Base_Datos!$C$2:$C3876),""))</f>
        <v>Serie C</v>
      </c>
      <c r="I2893" s="3" t="s">
        <v>265</v>
      </c>
      <c r="J2893" s="3" t="str">
        <f>IF(I2893="","",IFERROR(VLOOKUP(I2893,Base_Datos!$D$2:$E$72,2,0),""))</f>
        <v>(1.5L)</v>
      </c>
      <c r="K2893" s="3"/>
      <c r="L2893" s="3"/>
      <c r="M2893" s="7">
        <v>0</v>
      </c>
      <c r="N2893" s="7">
        <v>0</v>
      </c>
    </row>
    <row r="2894" spans="1:14" ht="14.25" x14ac:dyDescent="0.2">
      <c r="A2894" s="3">
        <v>88265</v>
      </c>
      <c r="B2894" s="3" t="s">
        <v>4791</v>
      </c>
      <c r="C2894" s="3" t="s">
        <v>18</v>
      </c>
      <c r="D2894" s="6"/>
      <c r="E2894" s="6" t="s">
        <v>136</v>
      </c>
      <c r="F2894" s="3" t="str">
        <f>IFERROR( VLOOKUP(A2894,#REF!,2,0),"")</f>
        <v/>
      </c>
      <c r="G2894" s="3" t="str">
        <f t="array" ref="G2894">_xlfn.XLOOKUP(I2894,Base_Datos!D:D,Base_Datos!B:B,"")</f>
        <v>DFSK</v>
      </c>
      <c r="H2894" s="3" t="str">
        <f t="array" ref="H2894">IF(I2894="","",IFERROR(_xlfn.XLOOKUP(I2894,Base_Datos!$D$2:$D3876,Base_Datos!$C$2:$C3876),""))</f>
        <v>Serie C</v>
      </c>
      <c r="I2894" s="3" t="s">
        <v>265</v>
      </c>
      <c r="J2894" s="3" t="str">
        <f>IF(I2894="","",IFERROR(VLOOKUP(I2894,Base_Datos!$D$2:$E$72,2,0),""))</f>
        <v>(1.5L)</v>
      </c>
      <c r="K2894" s="3"/>
      <c r="L2894" s="3"/>
      <c r="M2894" s="7">
        <v>5</v>
      </c>
      <c r="N2894" s="7">
        <v>0</v>
      </c>
    </row>
    <row r="2895" spans="1:14" ht="14.25" x14ac:dyDescent="0.2">
      <c r="A2895" s="3">
        <v>88268</v>
      </c>
      <c r="B2895" s="3" t="s">
        <v>3810</v>
      </c>
      <c r="C2895" s="3" t="s">
        <v>18</v>
      </c>
      <c r="D2895" s="6"/>
      <c r="E2895" s="6" t="s">
        <v>1146</v>
      </c>
      <c r="F2895" s="3" t="str">
        <f>IFERROR( VLOOKUP(A2895,#REF!,2,0),"")</f>
        <v/>
      </c>
      <c r="G2895" s="3" t="str">
        <f t="array" ref="G2895">_xlfn.XLOOKUP(I2895,Base_Datos!D:D,Base_Datos!B:B,"")</f>
        <v>DFSK</v>
      </c>
      <c r="H2895" s="3" t="str">
        <f t="array" ref="H2895">IF(I2895="","",IFERROR(_xlfn.XLOOKUP(I2895,Base_Datos!$D$2:$D3876,Base_Datos!$C$2:$C3876),""))</f>
        <v>Serie D</v>
      </c>
      <c r="I2895" s="3" t="s">
        <v>145</v>
      </c>
      <c r="J2895" s="3" t="str">
        <f>IF(I2895="","",IFERROR(VLOOKUP(I2895,Base_Datos!$D$2:$E$72,2,0),""))</f>
        <v>(2.4L)</v>
      </c>
      <c r="K2895" s="3"/>
      <c r="L2895" s="3"/>
      <c r="M2895" s="7">
        <v>91</v>
      </c>
      <c r="N2895" s="7">
        <v>0</v>
      </c>
    </row>
    <row r="2896" spans="1:14" ht="14.25" x14ac:dyDescent="0.2">
      <c r="A2896" s="3">
        <v>88271</v>
      </c>
      <c r="B2896" s="3" t="s">
        <v>4792</v>
      </c>
      <c r="C2896" s="3" t="s">
        <v>18</v>
      </c>
      <c r="D2896" s="6"/>
      <c r="E2896" s="6" t="s">
        <v>4793</v>
      </c>
      <c r="F2896" s="3" t="str">
        <f>IFERROR( VLOOKUP(A2896,#REF!,2,0),"")</f>
        <v/>
      </c>
      <c r="G2896" s="3" t="str">
        <f t="array" ref="G2896">_xlfn.XLOOKUP(I2896,Base_Datos!D:D,Base_Datos!B:B,"")</f>
        <v>DFSK</v>
      </c>
      <c r="H2896" s="3" t="str">
        <f t="array" ref="H2896">IF(I2896="","",IFERROR(_xlfn.XLOOKUP(I2896,Base_Datos!$D$2:$D3876,Base_Datos!$C$2:$C3876),""))</f>
        <v>Serie C</v>
      </c>
      <c r="I2896" s="3" t="s">
        <v>265</v>
      </c>
      <c r="J2896" s="3" t="str">
        <f>IF(I2896="","",IFERROR(VLOOKUP(I2896,Base_Datos!$D$2:$E$72,2,0),""))</f>
        <v>(1.5L)</v>
      </c>
      <c r="K2896" s="3"/>
      <c r="L2896" s="3"/>
      <c r="M2896" s="7">
        <v>18</v>
      </c>
      <c r="N2896" s="7">
        <v>0</v>
      </c>
    </row>
    <row r="2897" spans="1:14" ht="14.25" x14ac:dyDescent="0.2">
      <c r="A2897" s="3">
        <v>88272</v>
      </c>
      <c r="B2897" s="3" t="s">
        <v>4794</v>
      </c>
      <c r="C2897" s="3" t="s">
        <v>18</v>
      </c>
      <c r="D2897" s="6"/>
      <c r="E2897" s="6" t="s">
        <v>4795</v>
      </c>
      <c r="F2897" s="3" t="str">
        <f>IFERROR( VLOOKUP(A2897,#REF!,2,0),"")</f>
        <v/>
      </c>
      <c r="G2897" s="3" t="str">
        <f t="array" ref="G2897">_xlfn.XLOOKUP(I2897,Base_Datos!D:D,Base_Datos!B:B,"")</f>
        <v>DFSK</v>
      </c>
      <c r="H2897" s="3" t="str">
        <f t="array" ref="H2897">IF(I2897="","",IFERROR(_xlfn.XLOOKUP(I2897,Base_Datos!$D$2:$D3876,Base_Datos!$C$2:$C3876),""))</f>
        <v>Serie C</v>
      </c>
      <c r="I2897" s="3" t="s">
        <v>265</v>
      </c>
      <c r="J2897" s="3" t="str">
        <f>IF(I2897="","",IFERROR(VLOOKUP(I2897,Base_Datos!$D$2:$E$72,2,0),""))</f>
        <v>(1.5L)</v>
      </c>
      <c r="K2897" s="3"/>
      <c r="L2897" s="3"/>
      <c r="M2897" s="7">
        <v>22</v>
      </c>
      <c r="N2897" s="7">
        <v>0</v>
      </c>
    </row>
    <row r="2898" spans="1:14" ht="14.25" x14ac:dyDescent="0.2">
      <c r="A2898" s="3">
        <v>88274</v>
      </c>
      <c r="B2898" s="3" t="s">
        <v>4796</v>
      </c>
      <c r="C2898" s="3" t="s">
        <v>18</v>
      </c>
      <c r="D2898" s="6"/>
      <c r="E2898" s="6" t="s">
        <v>141</v>
      </c>
      <c r="F2898" s="3" t="str">
        <f>IFERROR( VLOOKUP(A2898,#REF!,2,0),"")</f>
        <v/>
      </c>
      <c r="G2898" s="3" t="str">
        <f t="array" ref="G2898">_xlfn.XLOOKUP(I2898,Base_Datos!D:D,Base_Datos!B:B,"")</f>
        <v>DFSK</v>
      </c>
      <c r="H2898" s="3" t="str">
        <f t="array" ref="H2898">IF(I2898="","",IFERROR(_xlfn.XLOOKUP(I2898,Base_Datos!$D$2:$D3876,Base_Datos!$C$2:$C3876),""))</f>
        <v>Serie D</v>
      </c>
      <c r="I2898" s="3" t="s">
        <v>145</v>
      </c>
      <c r="J2898" s="3" t="str">
        <f>IF(I2898="","",IFERROR(VLOOKUP(I2898,Base_Datos!$D$2:$E$72,2,0),""))</f>
        <v>(2.4L)</v>
      </c>
      <c r="K2898" s="3" t="s">
        <v>3375</v>
      </c>
      <c r="L2898" s="3"/>
      <c r="M2898" s="7">
        <v>0</v>
      </c>
      <c r="N2898" s="7">
        <v>0</v>
      </c>
    </row>
    <row r="2899" spans="1:14" ht="14.25" x14ac:dyDescent="0.2">
      <c r="A2899" s="3">
        <v>88275</v>
      </c>
      <c r="B2899" s="3" t="s">
        <v>4797</v>
      </c>
      <c r="C2899" s="3" t="s">
        <v>18</v>
      </c>
      <c r="D2899" s="6"/>
      <c r="E2899" s="6" t="s">
        <v>142</v>
      </c>
      <c r="F2899" s="3" t="str">
        <f>IFERROR( VLOOKUP(A2899,#REF!,2,0),"")</f>
        <v/>
      </c>
      <c r="G2899" s="3" t="str">
        <f t="array" ref="G2899">_xlfn.XLOOKUP(I2899,Base_Datos!D:D,Base_Datos!B:B,"")</f>
        <v>DFSK</v>
      </c>
      <c r="H2899" s="3" t="str">
        <f t="array" ref="H2899">IF(I2899="","",IFERROR(_xlfn.XLOOKUP(I2899,Base_Datos!$D$2:$D3876,Base_Datos!$C$2:$C3876),""))</f>
        <v>Serie C</v>
      </c>
      <c r="I2899" s="3" t="s">
        <v>265</v>
      </c>
      <c r="J2899" s="3" t="str">
        <f>IF(I2899="","",IFERROR(VLOOKUP(I2899,Base_Datos!$D$2:$E$72,2,0),""))</f>
        <v>(1.5L)</v>
      </c>
      <c r="K2899" s="3"/>
      <c r="L2899" s="3"/>
      <c r="M2899" s="7">
        <v>10</v>
      </c>
      <c r="N2899" s="7">
        <v>0</v>
      </c>
    </row>
    <row r="2900" spans="1:14" ht="14.25" x14ac:dyDescent="0.2">
      <c r="A2900" s="3">
        <v>88279</v>
      </c>
      <c r="B2900" s="3" t="s">
        <v>1945</v>
      </c>
      <c r="C2900" s="3" t="s">
        <v>18</v>
      </c>
      <c r="D2900" s="6"/>
      <c r="E2900" s="6" t="s">
        <v>4798</v>
      </c>
      <c r="F2900" s="3" t="str">
        <f>IFERROR( VLOOKUP(A2900,#REF!,2,0),"")</f>
        <v/>
      </c>
      <c r="G2900" s="3" t="str">
        <f t="array" ref="G2900">_xlfn.XLOOKUP(I2900,Base_Datos!D:D,Base_Datos!B:B,"")</f>
        <v>DFSK</v>
      </c>
      <c r="H2900" s="3" t="str">
        <f t="array" ref="H2900">IF(I2900="","",IFERROR(_xlfn.XLOOKUP(I2900,Base_Datos!$D$2:$D3876,Base_Datos!$C$2:$C3876),""))</f>
        <v>Serie C</v>
      </c>
      <c r="I2900" s="3" t="s">
        <v>265</v>
      </c>
      <c r="J2900" s="3" t="str">
        <f>IF(I2900="","",IFERROR(VLOOKUP(I2900,Base_Datos!$D$2:$E$72,2,0),""))</f>
        <v>(1.5L)</v>
      </c>
      <c r="K2900" s="3"/>
      <c r="L2900" s="3"/>
      <c r="M2900" s="7">
        <v>0</v>
      </c>
      <c r="N2900" s="7">
        <v>0</v>
      </c>
    </row>
    <row r="2901" spans="1:14" ht="14.25" x14ac:dyDescent="0.2">
      <c r="A2901" s="3">
        <v>88286</v>
      </c>
      <c r="B2901" s="3" t="s">
        <v>4799</v>
      </c>
      <c r="C2901" s="3" t="s">
        <v>18</v>
      </c>
      <c r="D2901" s="6"/>
      <c r="E2901" s="6" t="s">
        <v>153</v>
      </c>
      <c r="F2901" s="3" t="str">
        <f>IFERROR( VLOOKUP(A2901,#REF!,2,0),"")</f>
        <v/>
      </c>
      <c r="G2901" s="3" t="str">
        <f t="array" ref="G2901">_xlfn.XLOOKUP(I2901,Base_Datos!D:D,Base_Datos!B:B,"")</f>
        <v>DFSK</v>
      </c>
      <c r="H2901" s="3" t="str">
        <f t="array" ref="H2901">IF(I2901="","",IFERROR(_xlfn.XLOOKUP(I2901,Base_Datos!$D$2:$D3876,Base_Datos!$C$2:$C3876),""))</f>
        <v>Serie C</v>
      </c>
      <c r="I2901" s="3" t="s">
        <v>265</v>
      </c>
      <c r="J2901" s="3" t="str">
        <f>IF(I2901="","",IFERROR(VLOOKUP(I2901,Base_Datos!$D$2:$E$72,2,0),""))</f>
        <v>(1.5L)</v>
      </c>
      <c r="K2901" s="3"/>
      <c r="L2901" s="3"/>
      <c r="M2901" s="7">
        <v>5</v>
      </c>
      <c r="N2901" s="7">
        <v>0</v>
      </c>
    </row>
    <row r="2902" spans="1:14" ht="14.25" x14ac:dyDescent="0.2">
      <c r="A2902" s="3">
        <v>88287</v>
      </c>
      <c r="B2902" s="3" t="s">
        <v>4800</v>
      </c>
      <c r="C2902" s="3" t="s">
        <v>18</v>
      </c>
      <c r="D2902" s="6"/>
      <c r="E2902" s="6" t="s">
        <v>154</v>
      </c>
      <c r="F2902" s="3" t="str">
        <f>IFERROR( VLOOKUP(A2902,#REF!,2,0),"")</f>
        <v/>
      </c>
      <c r="G2902" s="3" t="str">
        <f t="array" ref="G2902">_xlfn.XLOOKUP(I2902,Base_Datos!D:D,Base_Datos!B:B,"")</f>
        <v>DFSK</v>
      </c>
      <c r="H2902" s="3" t="str">
        <f t="array" ref="H2902">IF(I2902="","",IFERROR(_xlfn.XLOOKUP(I2902,Base_Datos!$D$2:$D3876,Base_Datos!$C$2:$C3876),""))</f>
        <v>Serie C</v>
      </c>
      <c r="I2902" s="3" t="s">
        <v>265</v>
      </c>
      <c r="J2902" s="3" t="str">
        <f>IF(I2902="","",IFERROR(VLOOKUP(I2902,Base_Datos!$D$2:$E$72,2,0),""))</f>
        <v>(1.5L)</v>
      </c>
      <c r="K2902" s="3"/>
      <c r="L2902" s="3"/>
      <c r="M2902" s="7">
        <v>5</v>
      </c>
      <c r="N2902" s="7">
        <v>0</v>
      </c>
    </row>
    <row r="2903" spans="1:14" ht="14.25" x14ac:dyDescent="0.2">
      <c r="A2903" s="3">
        <v>88290</v>
      </c>
      <c r="B2903" s="3" t="s">
        <v>4801</v>
      </c>
      <c r="C2903" s="3" t="s">
        <v>18</v>
      </c>
      <c r="D2903" s="6"/>
      <c r="E2903" s="6" t="s">
        <v>157</v>
      </c>
      <c r="F2903" s="3" t="str">
        <f>IFERROR( VLOOKUP(A2903,#REF!,2,0),"")</f>
        <v/>
      </c>
      <c r="G2903" s="3" t="str">
        <f t="array" ref="G2903">_xlfn.XLOOKUP(I2903,Base_Datos!D:D,Base_Datos!B:B,"")</f>
        <v>DFSK</v>
      </c>
      <c r="H2903" s="3" t="str">
        <f t="array" ref="H2903">IF(I2903="","",IFERROR(_xlfn.XLOOKUP(I2903,Base_Datos!$D$2:$D3876,Base_Datos!$C$2:$C3876),""))</f>
        <v>Serie C</v>
      </c>
      <c r="I2903" s="3" t="s">
        <v>265</v>
      </c>
      <c r="J2903" s="3" t="str">
        <f>IF(I2903="","",IFERROR(VLOOKUP(I2903,Base_Datos!$D$2:$E$72,2,0),""))</f>
        <v>(1.5L)</v>
      </c>
      <c r="K2903" s="3"/>
      <c r="L2903" s="3"/>
      <c r="M2903" s="7">
        <v>4</v>
      </c>
      <c r="N2903" s="7">
        <v>0</v>
      </c>
    </row>
    <row r="2904" spans="1:14" ht="14.25" x14ac:dyDescent="0.2">
      <c r="A2904" s="3">
        <v>88291</v>
      </c>
      <c r="B2904" s="3" t="s">
        <v>4802</v>
      </c>
      <c r="C2904" s="3" t="s">
        <v>18</v>
      </c>
      <c r="D2904" s="6"/>
      <c r="E2904" s="6" t="s">
        <v>158</v>
      </c>
      <c r="F2904" s="3" t="str">
        <f>IFERROR( VLOOKUP(A2904,#REF!,2,0),"")</f>
        <v/>
      </c>
      <c r="G2904" s="3" t="str">
        <f t="array" ref="G2904">_xlfn.XLOOKUP(I2904,Base_Datos!D:D,Base_Datos!B:B,"")</f>
        <v>DFSK</v>
      </c>
      <c r="H2904" s="3" t="str">
        <f t="array" ref="H2904">IF(I2904="","",IFERROR(_xlfn.XLOOKUP(I2904,Base_Datos!$D$2:$D3876,Base_Datos!$C$2:$C3876),""))</f>
        <v>Serie C</v>
      </c>
      <c r="I2904" s="3" t="s">
        <v>265</v>
      </c>
      <c r="J2904" s="3" t="str">
        <f>IF(I2904="","",IFERROR(VLOOKUP(I2904,Base_Datos!$D$2:$E$72,2,0),""))</f>
        <v>(1.5L)</v>
      </c>
      <c r="K2904" s="3"/>
      <c r="L2904" s="3"/>
      <c r="M2904" s="7">
        <v>4</v>
      </c>
      <c r="N2904" s="7">
        <v>0</v>
      </c>
    </row>
    <row r="2905" spans="1:14" ht="14.25" x14ac:dyDescent="0.2">
      <c r="A2905" s="3">
        <v>88292</v>
      </c>
      <c r="B2905" s="3" t="s">
        <v>4803</v>
      </c>
      <c r="C2905" s="3" t="s">
        <v>18</v>
      </c>
      <c r="D2905" s="6"/>
      <c r="E2905" s="6" t="s">
        <v>159</v>
      </c>
      <c r="F2905" s="3" t="str">
        <f>IFERROR( VLOOKUP(A2905,#REF!,2,0),"")</f>
        <v/>
      </c>
      <c r="G2905" s="3" t="str">
        <f t="array" ref="G2905">_xlfn.XLOOKUP(I2905,Base_Datos!D:D,Base_Datos!B:B,"")</f>
        <v>DFSK</v>
      </c>
      <c r="H2905" s="3" t="str">
        <f t="array" ref="H2905">IF(I2905="","",IFERROR(_xlfn.XLOOKUP(I2905,Base_Datos!$D$2:$D3876,Base_Datos!$C$2:$C3876),""))</f>
        <v>Serie C</v>
      </c>
      <c r="I2905" s="3" t="s">
        <v>265</v>
      </c>
      <c r="J2905" s="3" t="str">
        <f>IF(I2905="","",IFERROR(VLOOKUP(I2905,Base_Datos!$D$2:$E$72,2,0),""))</f>
        <v>(1.5L)</v>
      </c>
      <c r="K2905" s="3"/>
      <c r="L2905" s="3"/>
      <c r="M2905" s="7">
        <v>10</v>
      </c>
      <c r="N2905" s="7">
        <v>0</v>
      </c>
    </row>
    <row r="2906" spans="1:14" ht="14.25" x14ac:dyDescent="0.2">
      <c r="A2906" s="3">
        <v>88297</v>
      </c>
      <c r="B2906" s="3" t="s">
        <v>4804</v>
      </c>
      <c r="C2906" s="3" t="s">
        <v>18</v>
      </c>
      <c r="D2906" s="6"/>
      <c r="E2906" s="6" t="s">
        <v>4805</v>
      </c>
      <c r="F2906" s="3" t="str">
        <f>IFERROR( VLOOKUP(A2906,#REF!,2,0),"")</f>
        <v/>
      </c>
      <c r="G2906" s="3" t="str">
        <f t="array" ref="G2906">_xlfn.XLOOKUP(I2906,Base_Datos!D:D,Base_Datos!B:B,"")</f>
        <v>DFSK</v>
      </c>
      <c r="H2906" s="3" t="str">
        <f t="array" ref="H2906">IF(I2906="","",IFERROR(_xlfn.XLOOKUP(I2906,Base_Datos!$D$2:$D3876,Base_Datos!$C$2:$C3876),""))</f>
        <v>Serie D</v>
      </c>
      <c r="I2906" s="3" t="s">
        <v>145</v>
      </c>
      <c r="J2906" s="3" t="str">
        <f>IF(I2906="","",IFERROR(VLOOKUP(I2906,Base_Datos!$D$2:$E$72,2,0),""))</f>
        <v>(2.4L)</v>
      </c>
      <c r="K2906" s="3"/>
      <c r="L2906" s="3"/>
      <c r="M2906" s="7">
        <v>10</v>
      </c>
      <c r="N2906" s="7">
        <v>0</v>
      </c>
    </row>
    <row r="2907" spans="1:14" ht="14.25" x14ac:dyDescent="0.2">
      <c r="A2907" s="3">
        <v>88298</v>
      </c>
      <c r="B2907" s="3" t="s">
        <v>4806</v>
      </c>
      <c r="C2907" s="3" t="s">
        <v>18</v>
      </c>
      <c r="D2907" s="6"/>
      <c r="E2907" s="6" t="s">
        <v>164</v>
      </c>
      <c r="F2907" s="3" t="str">
        <f>IFERROR( VLOOKUP(A2907,#REF!,2,0),"")</f>
        <v/>
      </c>
      <c r="G2907" s="3" t="str">
        <f t="array" ref="G2907">_xlfn.XLOOKUP(I2907,Base_Datos!D:D,Base_Datos!B:B,"")</f>
        <v>DFSK</v>
      </c>
      <c r="H2907" s="3" t="str">
        <f t="array" ref="H2907">IF(I2907="","",IFERROR(_xlfn.XLOOKUP(I2907,Base_Datos!$D$2:$D3876,Base_Datos!$C$2:$C3876),""))</f>
        <v>Serie D</v>
      </c>
      <c r="I2907" s="3" t="s">
        <v>145</v>
      </c>
      <c r="J2907" s="3" t="str">
        <f>IF(I2907="","",IFERROR(VLOOKUP(I2907,Base_Datos!$D$2:$E$72,2,0),""))</f>
        <v>(2.4L)</v>
      </c>
      <c r="K2907" s="3" t="s">
        <v>3375</v>
      </c>
      <c r="L2907" s="3"/>
      <c r="M2907" s="7">
        <v>0</v>
      </c>
      <c r="N2907" s="7">
        <v>0</v>
      </c>
    </row>
    <row r="2908" spans="1:14" ht="14.25" x14ac:dyDescent="0.2">
      <c r="A2908" s="3">
        <v>88303</v>
      </c>
      <c r="B2908" s="3" t="s">
        <v>2404</v>
      </c>
      <c r="C2908" s="3" t="s">
        <v>18</v>
      </c>
      <c r="D2908" s="6"/>
      <c r="E2908" s="6" t="s">
        <v>169</v>
      </c>
      <c r="F2908" s="3" t="str">
        <f>IFERROR( VLOOKUP(A2908,#REF!,2,0),"")</f>
        <v/>
      </c>
      <c r="G2908" s="3" t="str">
        <f t="array" ref="G2908">_xlfn.XLOOKUP(I2908,Base_Datos!D:D,Base_Datos!B:B,"")</f>
        <v>DFSK</v>
      </c>
      <c r="H2908" s="3" t="str">
        <f t="array" ref="H2908">IF(I2908="","",IFERROR(_xlfn.XLOOKUP(I2908,Base_Datos!$D$2:$D3876,Base_Datos!$C$2:$C3876),""))</f>
        <v>Serie C</v>
      </c>
      <c r="I2908" s="3" t="s">
        <v>265</v>
      </c>
      <c r="J2908" s="3" t="str">
        <f>IF(I2908="","",IFERROR(VLOOKUP(I2908,Base_Datos!$D$2:$E$72,2,0),""))</f>
        <v>(1.5L)</v>
      </c>
      <c r="K2908" s="3"/>
      <c r="L2908" s="3"/>
      <c r="M2908" s="7">
        <v>4</v>
      </c>
      <c r="N2908" s="7">
        <v>0</v>
      </c>
    </row>
    <row r="2909" spans="1:14" ht="14.25" x14ac:dyDescent="0.2">
      <c r="A2909" s="3">
        <v>88304</v>
      </c>
      <c r="B2909" s="3" t="s">
        <v>2404</v>
      </c>
      <c r="C2909" s="3" t="s">
        <v>18</v>
      </c>
      <c r="D2909" s="6"/>
      <c r="E2909" s="6" t="s">
        <v>4807</v>
      </c>
      <c r="F2909" s="3" t="str">
        <f>IFERROR( VLOOKUP(A2909,#REF!,2,0),"")</f>
        <v/>
      </c>
      <c r="G2909" s="3" t="str">
        <f t="array" ref="G2909">_xlfn.XLOOKUP(I2909,Base_Datos!D:D,Base_Datos!B:B,"")</f>
        <v>DFSK</v>
      </c>
      <c r="H2909" s="3" t="str">
        <f t="array" ref="H2909">IF(I2909="","",IFERROR(_xlfn.XLOOKUP(I2909,Base_Datos!$D$2:$D3876,Base_Datos!$C$2:$C3876),""))</f>
        <v>Serie C</v>
      </c>
      <c r="I2909" s="3" t="s">
        <v>265</v>
      </c>
      <c r="J2909" s="3" t="str">
        <f>IF(I2909="","",IFERROR(VLOOKUP(I2909,Base_Datos!$D$2:$E$72,2,0),""))</f>
        <v>(1.5L)</v>
      </c>
      <c r="K2909" s="3"/>
      <c r="L2909" s="3"/>
      <c r="M2909" s="7">
        <v>5</v>
      </c>
      <c r="N2909" s="7">
        <v>0</v>
      </c>
    </row>
    <row r="2910" spans="1:14" ht="14.25" x14ac:dyDescent="0.2">
      <c r="A2910" s="3">
        <v>88307</v>
      </c>
      <c r="B2910" s="3" t="s">
        <v>4808</v>
      </c>
      <c r="C2910" s="3" t="s">
        <v>18</v>
      </c>
      <c r="D2910" s="6"/>
      <c r="E2910" s="6" t="s">
        <v>172</v>
      </c>
      <c r="F2910" s="3" t="str">
        <f>IFERROR( VLOOKUP(A2910,#REF!,2,0),"")</f>
        <v/>
      </c>
      <c r="G2910" s="3" t="str">
        <f t="array" ref="G2910">_xlfn.XLOOKUP(I2910,Base_Datos!D:D,Base_Datos!B:B,"")</f>
        <v>DFSK</v>
      </c>
      <c r="H2910" s="3" t="str">
        <f t="array" ref="H2910">IF(I2910="","",IFERROR(_xlfn.XLOOKUP(I2910,Base_Datos!$D$2:$D3876,Base_Datos!$C$2:$C3876),""))</f>
        <v>Serie C</v>
      </c>
      <c r="I2910" s="3" t="s">
        <v>265</v>
      </c>
      <c r="J2910" s="3" t="str">
        <f>IF(I2910="","",IFERROR(VLOOKUP(I2910,Base_Datos!$D$2:$E$72,2,0),""))</f>
        <v>(1.5L)</v>
      </c>
      <c r="K2910" s="3"/>
      <c r="L2910" s="3"/>
      <c r="M2910" s="7">
        <v>0</v>
      </c>
      <c r="N2910" s="7">
        <v>0</v>
      </c>
    </row>
    <row r="2911" spans="1:14" ht="14.25" x14ac:dyDescent="0.2">
      <c r="A2911" s="3">
        <v>88308</v>
      </c>
      <c r="B2911" s="3" t="s">
        <v>4809</v>
      </c>
      <c r="C2911" s="3" t="s">
        <v>18</v>
      </c>
      <c r="D2911" s="6"/>
      <c r="E2911" s="6" t="s">
        <v>4810</v>
      </c>
      <c r="F2911" s="3" t="str">
        <f>IFERROR( VLOOKUP(A2911,#REF!,2,0),"")</f>
        <v/>
      </c>
      <c r="G2911" s="3" t="str">
        <f t="array" ref="G2911">_xlfn.XLOOKUP(I2911,Base_Datos!D:D,Base_Datos!B:B,"")</f>
        <v>DFSK</v>
      </c>
      <c r="H2911" s="3" t="str">
        <f t="array" ref="H2911">IF(I2911="","",IFERROR(_xlfn.XLOOKUP(I2911,Base_Datos!$D$2:$D3876,Base_Datos!$C$2:$C3876),""))</f>
        <v>Serie D</v>
      </c>
      <c r="I2911" s="3" t="s">
        <v>145</v>
      </c>
      <c r="J2911" s="3" t="str">
        <f>IF(I2911="","",IFERROR(VLOOKUP(I2911,Base_Datos!$D$2:$E$72,2,0),""))</f>
        <v>(2.4L)</v>
      </c>
      <c r="K2911" s="3"/>
      <c r="L2911" s="3"/>
      <c r="M2911" s="7">
        <v>3</v>
      </c>
      <c r="N2911" s="7">
        <v>0</v>
      </c>
    </row>
    <row r="2912" spans="1:14" ht="14.25" x14ac:dyDescent="0.2">
      <c r="A2912" s="3">
        <v>88309</v>
      </c>
      <c r="B2912" s="3" t="s">
        <v>4811</v>
      </c>
      <c r="C2912" s="3" t="s">
        <v>18</v>
      </c>
      <c r="D2912" s="6"/>
      <c r="E2912" s="6" t="s">
        <v>173</v>
      </c>
      <c r="F2912" s="3" t="str">
        <f>IFERROR( VLOOKUP(A2912,#REF!,2,0),"")</f>
        <v/>
      </c>
      <c r="G2912" s="3" t="str">
        <f t="array" ref="G2912">_xlfn.XLOOKUP(I2912,Base_Datos!D:D,Base_Datos!B:B,"")</f>
        <v>DFSK</v>
      </c>
      <c r="H2912" s="3" t="str">
        <f t="array" ref="H2912">IF(I2912="","",IFERROR(_xlfn.XLOOKUP(I2912,Base_Datos!$D$2:$D3876,Base_Datos!$C$2:$C3876),""))</f>
        <v>Serie C</v>
      </c>
      <c r="I2912" s="3" t="s">
        <v>265</v>
      </c>
      <c r="J2912" s="3" t="str">
        <f>IF(I2912="","",IFERROR(VLOOKUP(I2912,Base_Datos!$D$2:$E$72,2,0),""))</f>
        <v>(1.5L)</v>
      </c>
      <c r="K2912" s="3"/>
      <c r="L2912" s="3"/>
      <c r="M2912" s="7">
        <v>5</v>
      </c>
      <c r="N2912" s="7">
        <v>0</v>
      </c>
    </row>
    <row r="2913" spans="1:14" ht="14.25" x14ac:dyDescent="0.2">
      <c r="A2913" s="3">
        <v>88310</v>
      </c>
      <c r="B2913" s="3" t="s">
        <v>4812</v>
      </c>
      <c r="C2913" s="3" t="s">
        <v>18</v>
      </c>
      <c r="D2913" s="6"/>
      <c r="E2913" s="6" t="s">
        <v>174</v>
      </c>
      <c r="F2913" s="3" t="str">
        <f>IFERROR( VLOOKUP(A2913,#REF!,2,0),"")</f>
        <v/>
      </c>
      <c r="G2913" s="3" t="str">
        <f t="array" ref="G2913">_xlfn.XLOOKUP(I2913,Base_Datos!D:D,Base_Datos!B:B,"")</f>
        <v>DFSK</v>
      </c>
      <c r="H2913" s="3" t="str">
        <f t="array" ref="H2913">IF(I2913="","",IFERROR(_xlfn.XLOOKUP(I2913,Base_Datos!$D$2:$D3876,Base_Datos!$C$2:$C3876),""))</f>
        <v>Serie C</v>
      </c>
      <c r="I2913" s="3" t="s">
        <v>265</v>
      </c>
      <c r="J2913" s="3" t="str">
        <f>IF(I2913="","",IFERROR(VLOOKUP(I2913,Base_Datos!$D$2:$E$72,2,0),""))</f>
        <v>(1.5L)</v>
      </c>
      <c r="K2913" s="3"/>
      <c r="L2913" s="3"/>
      <c r="M2913" s="7">
        <v>5</v>
      </c>
      <c r="N2913" s="7">
        <v>0</v>
      </c>
    </row>
    <row r="2914" spans="1:14" ht="14.25" x14ac:dyDescent="0.2">
      <c r="A2914" s="3">
        <v>89006</v>
      </c>
      <c r="B2914" s="3" t="s">
        <v>4813</v>
      </c>
      <c r="C2914" s="3" t="s">
        <v>16</v>
      </c>
      <c r="D2914" s="6"/>
      <c r="E2914" s="6" t="s">
        <v>211</v>
      </c>
      <c r="F2914" s="3" t="str">
        <f>IFERROR( VLOOKUP(A2914,#REF!,2,0),"")</f>
        <v/>
      </c>
      <c r="G2914" s="3" t="str">
        <f t="array" ref="G2914">_xlfn.XLOOKUP(I2914,Base_Datos!D:D,Base_Datos!B:B,"")</f>
        <v>DFSK</v>
      </c>
      <c r="H2914" s="3" t="str">
        <f t="array" ref="H2914">IF(I2914="","",IFERROR(_xlfn.XLOOKUP(I2914,Base_Datos!$D$2:$D3876,Base_Datos!$C$2:$C3876),""))</f>
        <v>Serie C</v>
      </c>
      <c r="I2914" s="3" t="s">
        <v>339</v>
      </c>
      <c r="J2914" s="3" t="str">
        <f>IF(I2914="","",IFERROR(VLOOKUP(I2914,Base_Datos!$D$2:$E$72,2,0),""))</f>
        <v>(1.5L)</v>
      </c>
      <c r="K2914" s="3"/>
      <c r="L2914" s="3"/>
      <c r="M2914" s="7">
        <v>1</v>
      </c>
      <c r="N2914" s="7">
        <v>0</v>
      </c>
    </row>
    <row r="2915" spans="1:14" ht="14.25" x14ac:dyDescent="0.2">
      <c r="A2915" s="3">
        <v>89008</v>
      </c>
      <c r="B2915" s="3" t="s">
        <v>4814</v>
      </c>
      <c r="C2915" s="3" t="s">
        <v>16</v>
      </c>
      <c r="D2915" s="6"/>
      <c r="E2915" s="6" t="s">
        <v>4815</v>
      </c>
      <c r="F2915" s="3" t="str">
        <f>IFERROR( VLOOKUP(A2915,#REF!,2,0),"")</f>
        <v/>
      </c>
      <c r="G2915" s="3" t="str">
        <f t="array" ref="G2915">_xlfn.XLOOKUP(I2915,Base_Datos!D:D,Base_Datos!B:B,"")</f>
        <v>DFSK</v>
      </c>
      <c r="H2915" s="3" t="str">
        <f t="array" ref="H2915">IF(I2915="","",IFERROR(_xlfn.XLOOKUP(I2915,Base_Datos!$D$2:$D3876,Base_Datos!$C$2:$C3876),""))</f>
        <v>Serie C</v>
      </c>
      <c r="I2915" s="3" t="s">
        <v>339</v>
      </c>
      <c r="J2915" s="3" t="str">
        <f>IF(I2915="","",IFERROR(VLOOKUP(I2915,Base_Datos!$D$2:$E$72,2,0),""))</f>
        <v>(1.5L)</v>
      </c>
      <c r="K2915" s="3"/>
      <c r="L2915" s="3"/>
      <c r="M2915" s="7">
        <v>25</v>
      </c>
      <c r="N2915" s="7">
        <v>0</v>
      </c>
    </row>
    <row r="2916" spans="1:14" ht="14.25" x14ac:dyDescent="0.2">
      <c r="A2916" s="3">
        <v>89009</v>
      </c>
      <c r="B2916" s="3" t="s">
        <v>4816</v>
      </c>
      <c r="C2916" s="3" t="s">
        <v>16</v>
      </c>
      <c r="D2916" s="6"/>
      <c r="E2916" s="6" t="s">
        <v>213</v>
      </c>
      <c r="F2916" s="3" t="str">
        <f>IFERROR( VLOOKUP(A2916,#REF!,2,0),"")</f>
        <v/>
      </c>
      <c r="G2916" s="3" t="str">
        <f t="array" ref="G2916">_xlfn.XLOOKUP(I2916,Base_Datos!D:D,Base_Datos!B:B,"")</f>
        <v>DFSK</v>
      </c>
      <c r="H2916" s="3" t="str">
        <f t="array" ref="H2916">IF(I2916="","",IFERROR(_xlfn.XLOOKUP(I2916,Base_Datos!$D$2:$D3876,Base_Datos!$C$2:$C3876),""))</f>
        <v>Serie C</v>
      </c>
      <c r="I2916" s="3" t="s">
        <v>339</v>
      </c>
      <c r="J2916" s="3" t="str">
        <f>IF(I2916="","",IFERROR(VLOOKUP(I2916,Base_Datos!$D$2:$E$72,2,0),""))</f>
        <v>(1.5L)</v>
      </c>
      <c r="K2916" s="3"/>
      <c r="L2916" s="3"/>
      <c r="M2916" s="7">
        <v>1</v>
      </c>
      <c r="N2916" s="7">
        <v>0</v>
      </c>
    </row>
    <row r="2917" spans="1:14" ht="14.25" x14ac:dyDescent="0.2">
      <c r="A2917" s="3">
        <v>89029</v>
      </c>
      <c r="B2917" s="3" t="s">
        <v>3598</v>
      </c>
      <c r="C2917" s="3" t="s">
        <v>16</v>
      </c>
      <c r="D2917" s="6"/>
      <c r="E2917" s="6" t="s">
        <v>233</v>
      </c>
      <c r="F2917" s="3" t="str">
        <f>IFERROR( VLOOKUP(A2917,#REF!,2,0),"")</f>
        <v/>
      </c>
      <c r="G2917" s="3" t="str">
        <f t="array" ref="G2917">_xlfn.XLOOKUP(I2917,Base_Datos!D:D,Base_Datos!B:B,"")</f>
        <v>DFSK</v>
      </c>
      <c r="H2917" s="3" t="str">
        <f t="array" ref="H2917">IF(I2917="","",IFERROR(_xlfn.XLOOKUP(I2917,Base_Datos!$D$2:$D3876,Base_Datos!$C$2:$C3876),""))</f>
        <v>Serie C</v>
      </c>
      <c r="I2917" s="3" t="s">
        <v>332</v>
      </c>
      <c r="J2917" s="3" t="str">
        <f>IF(I2917="","",IFERROR(VLOOKUP(I2917,Base_Datos!$D$2:$E$72,2,0),""))</f>
        <v>(1.5L)</v>
      </c>
      <c r="K2917" s="3"/>
      <c r="L2917" s="3"/>
      <c r="M2917" s="7">
        <v>0</v>
      </c>
      <c r="N2917" s="7">
        <v>0</v>
      </c>
    </row>
    <row r="2918" spans="1:14" ht="14.25" x14ac:dyDescent="0.2">
      <c r="A2918" s="3">
        <v>89032</v>
      </c>
      <c r="B2918" s="3" t="s">
        <v>4817</v>
      </c>
      <c r="C2918" s="3" t="s">
        <v>16</v>
      </c>
      <c r="D2918" s="6"/>
      <c r="E2918" s="10" t="s">
        <v>4818</v>
      </c>
      <c r="F2918" s="3" t="str">
        <f>IFERROR( VLOOKUP(A2918,#REF!,2,0),"")</f>
        <v/>
      </c>
      <c r="G2918" s="3" t="str">
        <f t="array" ref="G2918">_xlfn.XLOOKUP(I2918,Base_Datos!D:D,Base_Datos!B:B,"")</f>
        <v>DFSK</v>
      </c>
      <c r="H2918" s="3" t="str">
        <f t="array" ref="H2918">IF(I2918="","",IFERROR(_xlfn.XLOOKUP(I2918,Base_Datos!$D$2:$D3876,Base_Datos!$C$2:$C3876),""))</f>
        <v>Serie C</v>
      </c>
      <c r="I2918" s="3" t="s">
        <v>339</v>
      </c>
      <c r="J2918" s="3" t="str">
        <f>IF(I2918="","",IFERROR(VLOOKUP(I2918,Base_Datos!$D$2:$E$72,2,0),""))</f>
        <v>(1.5L)</v>
      </c>
      <c r="K2918" s="3"/>
      <c r="L2918" s="3"/>
      <c r="M2918" s="7">
        <v>63</v>
      </c>
      <c r="N2918" s="7">
        <v>0</v>
      </c>
    </row>
    <row r="2919" spans="1:14" ht="14.25" x14ac:dyDescent="0.2">
      <c r="A2919" s="3">
        <v>89034</v>
      </c>
      <c r="B2919" s="3" t="s">
        <v>4819</v>
      </c>
      <c r="C2919" s="3" t="s">
        <v>16</v>
      </c>
      <c r="D2919" s="6"/>
      <c r="E2919" s="6" t="s">
        <v>237</v>
      </c>
      <c r="F2919" s="3" t="str">
        <f>IFERROR( VLOOKUP(A2919,#REF!,2,0),"")</f>
        <v/>
      </c>
      <c r="G2919" s="3">
        <f t="array" ref="G2919">_xlfn.XLOOKUP(I2919,Base_Datos!D:D,Base_Datos!B:B,"")</f>
        <v>0</v>
      </c>
      <c r="H2919" s="3" t="str">
        <f t="array" ref="H2919">IF(I2919="","",IFERROR(_xlfn.XLOOKUP(I2919,Base_Datos!$D$2:$D3876,Base_Datos!$C$2:$C3876),""))</f>
        <v/>
      </c>
      <c r="I2919" s="3"/>
      <c r="J2919" s="3" t="str">
        <f>IF(I2919="","",IFERROR(VLOOKUP(I2919,Base_Datos!$D$2:$E$72,2,0),""))</f>
        <v/>
      </c>
      <c r="K2919" s="3"/>
      <c r="L2919" s="3"/>
      <c r="M2919" s="7">
        <v>10</v>
      </c>
      <c r="N2919" s="7">
        <v>0</v>
      </c>
    </row>
    <row r="2920" spans="1:14" ht="14.25" x14ac:dyDescent="0.2">
      <c r="A2920" s="3">
        <v>89036</v>
      </c>
      <c r="B2920" s="3" t="s">
        <v>4820</v>
      </c>
      <c r="C2920" s="3" t="s">
        <v>16</v>
      </c>
      <c r="D2920" s="6"/>
      <c r="E2920" s="6" t="s">
        <v>4821</v>
      </c>
      <c r="F2920" s="3" t="str">
        <f>IFERROR( VLOOKUP(A2920,#REF!,2,0),"")</f>
        <v/>
      </c>
      <c r="G2920" s="3">
        <f t="array" ref="G2920">_xlfn.XLOOKUP(I2920,Base_Datos!D:D,Base_Datos!B:B,"")</f>
        <v>0</v>
      </c>
      <c r="H2920" s="3" t="str">
        <f t="array" ref="H2920">IF(I2920="","",IFERROR(_xlfn.XLOOKUP(I2920,Base_Datos!$D$2:$D3876,Base_Datos!$C$2:$C3876),""))</f>
        <v/>
      </c>
      <c r="I2920" s="3"/>
      <c r="J2920" s="3" t="str">
        <f>IF(I2920="","",IFERROR(VLOOKUP(I2920,Base_Datos!$D$2:$E$72,2,0),""))</f>
        <v/>
      </c>
      <c r="K2920" s="3"/>
      <c r="L2920" s="3"/>
      <c r="M2920" s="7">
        <v>40</v>
      </c>
      <c r="N2920" s="7">
        <v>0</v>
      </c>
    </row>
    <row r="2921" spans="1:14" ht="14.25" x14ac:dyDescent="0.2">
      <c r="A2921" s="3">
        <v>89038</v>
      </c>
      <c r="B2921" s="3" t="s">
        <v>4822</v>
      </c>
      <c r="C2921" s="3" t="s">
        <v>16</v>
      </c>
      <c r="D2921" s="6"/>
      <c r="E2921" s="6" t="s">
        <v>239</v>
      </c>
      <c r="F2921" s="3" t="str">
        <f>IFERROR( VLOOKUP(A2921,#REF!,2,0),"")</f>
        <v/>
      </c>
      <c r="G2921" s="3" t="str">
        <f t="array" ref="G2921">_xlfn.XLOOKUP(I2921,Base_Datos!D:D,Base_Datos!B:B,"")</f>
        <v>DFSK</v>
      </c>
      <c r="H2921" s="3" t="str">
        <f t="array" ref="H2921">IF(I2921="","",IFERROR(_xlfn.XLOOKUP(I2921,Base_Datos!$D$2:$D3876,Base_Datos!$C$2:$C3876),""))</f>
        <v>Serie C</v>
      </c>
      <c r="I2921" s="3" t="s">
        <v>332</v>
      </c>
      <c r="J2921" s="3" t="str">
        <f>IF(I2921="","",IFERROR(VLOOKUP(I2921,Base_Datos!$D$2:$E$72,2,0),""))</f>
        <v>(1.5L)</v>
      </c>
      <c r="K2921" s="3" t="s">
        <v>4823</v>
      </c>
      <c r="L2921" s="3"/>
      <c r="M2921" s="7">
        <v>4</v>
      </c>
      <c r="N2921" s="7">
        <v>0</v>
      </c>
    </row>
    <row r="2922" spans="1:14" ht="14.25" x14ac:dyDescent="0.2">
      <c r="A2922" s="3">
        <v>89039</v>
      </c>
      <c r="B2922" s="3" t="s">
        <v>4824</v>
      </c>
      <c r="C2922" s="3" t="s">
        <v>16</v>
      </c>
      <c r="D2922" s="6"/>
      <c r="E2922" s="6" t="s">
        <v>397</v>
      </c>
      <c r="F2922" s="3" t="str">
        <f>IFERROR( VLOOKUP(A2922,#REF!,2,0),"")</f>
        <v/>
      </c>
      <c r="G2922" s="3">
        <f t="array" ref="G2922">_xlfn.XLOOKUP(I2922,Base_Datos!D:D,Base_Datos!B:B,"")</f>
        <v>0</v>
      </c>
      <c r="H2922" s="3" t="str">
        <f t="array" ref="H2922">IF(I2922="","",IFERROR(_xlfn.XLOOKUP(I2922,Base_Datos!$D$2:$D3876,Base_Datos!$C$2:$C3876),""))</f>
        <v/>
      </c>
      <c r="I2922" s="3"/>
      <c r="J2922" s="3" t="str">
        <f>IF(I2922="","",IFERROR(VLOOKUP(I2922,Base_Datos!$D$2:$E$72,2,0),""))</f>
        <v/>
      </c>
      <c r="K2922" s="3"/>
      <c r="L2922" s="3"/>
      <c r="M2922" s="7">
        <v>100</v>
      </c>
      <c r="N2922" s="7">
        <v>0</v>
      </c>
    </row>
    <row r="2923" spans="1:14" ht="14.25" x14ac:dyDescent="0.2">
      <c r="A2923" s="3">
        <v>89041</v>
      </c>
      <c r="B2923" s="3" t="s">
        <v>4825</v>
      </c>
      <c r="C2923" s="3" t="s">
        <v>16</v>
      </c>
      <c r="D2923" s="6"/>
      <c r="E2923" s="10" t="s">
        <v>241</v>
      </c>
      <c r="F2923" s="3" t="str">
        <f>IFERROR( VLOOKUP(A2923,#REF!,2,0),"")</f>
        <v/>
      </c>
      <c r="G2923" s="3" t="str">
        <f t="array" ref="G2923">_xlfn.XLOOKUP(I2923,Base_Datos!D:D,Base_Datos!B:B,"")</f>
        <v>DFSK</v>
      </c>
      <c r="H2923" s="3" t="str">
        <f t="array" ref="H2923">IF(I2923="","",IFERROR(_xlfn.XLOOKUP(I2923,Base_Datos!$D$2:$D3876,Base_Datos!$C$2:$C3876),""))</f>
        <v>Serie C</v>
      </c>
      <c r="I2923" s="3" t="s">
        <v>339</v>
      </c>
      <c r="J2923" s="3" t="str">
        <f>IF(I2923="","",IFERROR(VLOOKUP(I2923,Base_Datos!$D$2:$E$72,2,0),""))</f>
        <v>(1.5L)</v>
      </c>
      <c r="K2923" s="3" t="s">
        <v>2439</v>
      </c>
      <c r="L2923" s="3"/>
      <c r="M2923" s="7">
        <v>3</v>
      </c>
      <c r="N2923" s="7">
        <v>0</v>
      </c>
    </row>
    <row r="2924" spans="1:14" ht="14.25" x14ac:dyDescent="0.2">
      <c r="A2924" s="3">
        <v>89044</v>
      </c>
      <c r="B2924" s="3" t="s">
        <v>4826</v>
      </c>
      <c r="C2924" s="3" t="s">
        <v>16</v>
      </c>
      <c r="D2924" s="6"/>
      <c r="E2924" s="6" t="s">
        <v>244</v>
      </c>
      <c r="F2924" s="3" t="str">
        <f>IFERROR( VLOOKUP(A2924,#REF!,2,0),"")</f>
        <v/>
      </c>
      <c r="G2924" s="3" t="str">
        <f t="array" ref="G2924">_xlfn.XLOOKUP(I2924,Base_Datos!D:D,Base_Datos!B:B,"")</f>
        <v>DFSK</v>
      </c>
      <c r="H2924" s="3" t="str">
        <f t="array" ref="H2924">IF(I2924="","",IFERROR(_xlfn.XLOOKUP(I2924,Base_Datos!$D$2:$D3876,Base_Datos!$C$2:$C3876),""))</f>
        <v>Serie C</v>
      </c>
      <c r="I2924" s="3" t="s">
        <v>332</v>
      </c>
      <c r="J2924" s="3" t="str">
        <f>IF(I2924="","",IFERROR(VLOOKUP(I2924,Base_Datos!$D$2:$E$72,2,0),""))</f>
        <v>(1.5L)</v>
      </c>
      <c r="K2924" s="3"/>
      <c r="L2924" s="3"/>
      <c r="M2924" s="7">
        <v>3</v>
      </c>
      <c r="N2924" s="7">
        <v>0</v>
      </c>
    </row>
    <row r="2925" spans="1:14" ht="14.25" x14ac:dyDescent="0.2">
      <c r="A2925" s="3">
        <v>89047</v>
      </c>
      <c r="B2925" s="3" t="s">
        <v>4827</v>
      </c>
      <c r="C2925" s="3" t="s">
        <v>16</v>
      </c>
      <c r="D2925" s="6"/>
      <c r="E2925" s="10" t="s">
        <v>610</v>
      </c>
      <c r="F2925" s="3" t="str">
        <f>IFERROR( VLOOKUP(A2925,#REF!,2,0),"")</f>
        <v/>
      </c>
      <c r="G2925" s="3" t="str">
        <f t="array" ref="G2925">_xlfn.XLOOKUP(I2925,Base_Datos!D:D,Base_Datos!B:B,"")</f>
        <v>DFSK</v>
      </c>
      <c r="H2925" s="3" t="str">
        <f t="array" ref="H2925">IF(I2925="","",IFERROR(_xlfn.XLOOKUP(I2925,Base_Datos!$D$2:$D3876,Base_Datos!$C$2:$C3876),""))</f>
        <v>Serie C</v>
      </c>
      <c r="I2925" s="3" t="s">
        <v>339</v>
      </c>
      <c r="J2925" s="3" t="str">
        <f>IF(I2925="","",IFERROR(VLOOKUP(I2925,Base_Datos!$D$2:$E$72,2,0),""))</f>
        <v>(1.5L)</v>
      </c>
      <c r="K2925" s="3" t="s">
        <v>2439</v>
      </c>
      <c r="L2925" s="3"/>
      <c r="M2925" s="7">
        <v>55</v>
      </c>
      <c r="N2925" s="7">
        <v>0</v>
      </c>
    </row>
    <row r="2926" spans="1:14" ht="14.25" x14ac:dyDescent="0.2">
      <c r="A2926" s="3">
        <v>89049</v>
      </c>
      <c r="B2926" s="3" t="s">
        <v>4828</v>
      </c>
      <c r="C2926" s="3" t="s">
        <v>16</v>
      </c>
      <c r="D2926" s="6"/>
      <c r="E2926" s="10" t="s">
        <v>4829</v>
      </c>
      <c r="F2926" s="3" t="str">
        <f>IFERROR( VLOOKUP(A2926,#REF!,2,0),"")</f>
        <v/>
      </c>
      <c r="G2926" s="3" t="str">
        <f t="array" ref="G2926">_xlfn.XLOOKUP(I2926,Base_Datos!D:D,Base_Datos!B:B,"")</f>
        <v>DFSK</v>
      </c>
      <c r="H2926" s="3" t="str">
        <f t="array" ref="H2926">IF(I2926="","",IFERROR(_xlfn.XLOOKUP(I2926,Base_Datos!$D$2:$D3876,Base_Datos!$C$2:$C3876),""))</f>
        <v>Serie C</v>
      </c>
      <c r="I2926" s="3" t="s">
        <v>332</v>
      </c>
      <c r="J2926" s="3" t="str">
        <f>IF(I2926="","",IFERROR(VLOOKUP(I2926,Base_Datos!$D$2:$E$72,2,0),""))</f>
        <v>(1.5L)</v>
      </c>
      <c r="K2926" s="3"/>
      <c r="L2926" s="3"/>
      <c r="M2926" s="7">
        <v>7</v>
      </c>
      <c r="N2926" s="7">
        <v>0</v>
      </c>
    </row>
    <row r="2927" spans="1:14" ht="14.25" x14ac:dyDescent="0.2">
      <c r="A2927" s="3">
        <v>89051</v>
      </c>
      <c r="B2927" s="3" t="s">
        <v>4830</v>
      </c>
      <c r="C2927" s="3" t="s">
        <v>16</v>
      </c>
      <c r="D2927" s="6"/>
      <c r="E2927" s="10" t="s">
        <v>249</v>
      </c>
      <c r="F2927" s="3" t="str">
        <f>IFERROR( VLOOKUP(A2927,#REF!,2,0),"")</f>
        <v/>
      </c>
      <c r="G2927" s="3" t="str">
        <f t="array" ref="G2927">_xlfn.XLOOKUP(I2927,Base_Datos!D:D,Base_Datos!B:B,"")</f>
        <v>DFSK</v>
      </c>
      <c r="H2927" s="3" t="str">
        <f t="array" ref="H2927">IF(I2927="","",IFERROR(_xlfn.XLOOKUP(I2927,Base_Datos!$D$2:$D3876,Base_Datos!$C$2:$C3876),""))</f>
        <v>Serie C</v>
      </c>
      <c r="I2927" s="3" t="s">
        <v>265</v>
      </c>
      <c r="J2927" s="3" t="str">
        <f>IF(I2927="","",IFERROR(VLOOKUP(I2927,Base_Datos!$D$2:$E$72,2,0),""))</f>
        <v>(1.5L)</v>
      </c>
      <c r="K2927" s="3"/>
      <c r="L2927" s="3"/>
      <c r="M2927" s="7">
        <v>101</v>
      </c>
      <c r="N2927" s="7">
        <v>0</v>
      </c>
    </row>
    <row r="2928" spans="1:14" ht="14.25" x14ac:dyDescent="0.2">
      <c r="A2928" s="3">
        <v>89052</v>
      </c>
      <c r="B2928" s="3" t="s">
        <v>3162</v>
      </c>
      <c r="C2928" s="3" t="s">
        <v>16</v>
      </c>
      <c r="D2928" s="6"/>
      <c r="E2928" s="10" t="s">
        <v>250</v>
      </c>
      <c r="F2928" s="3" t="str">
        <f>IFERROR( VLOOKUP(A2928,#REF!,2,0),"")</f>
        <v/>
      </c>
      <c r="G2928" s="3" t="str">
        <f t="array" ref="G2928">_xlfn.XLOOKUP(I2928,Base_Datos!D:D,Base_Datos!B:B,"")</f>
        <v>DFSK</v>
      </c>
      <c r="H2928" s="3" t="str">
        <f t="array" ref="H2928">IF(I2928="","",IFERROR(_xlfn.XLOOKUP(I2928,Base_Datos!$D$2:$D3876,Base_Datos!$C$2:$C3876),""))</f>
        <v>Serie C</v>
      </c>
      <c r="I2928" s="3" t="s">
        <v>265</v>
      </c>
      <c r="J2928" s="3" t="str">
        <f>IF(I2928="","",IFERROR(VLOOKUP(I2928,Base_Datos!$D$2:$E$72,2,0),""))</f>
        <v>(1.5L)</v>
      </c>
      <c r="K2928" s="3"/>
      <c r="L2928" s="3"/>
      <c r="M2928" s="7">
        <v>0</v>
      </c>
      <c r="N2928" s="7">
        <v>0</v>
      </c>
    </row>
    <row r="2929" spans="1:14" ht="14.25" x14ac:dyDescent="0.2">
      <c r="A2929" s="3">
        <v>89053</v>
      </c>
      <c r="B2929" s="3" t="s">
        <v>4831</v>
      </c>
      <c r="C2929" s="3" t="s">
        <v>16</v>
      </c>
      <c r="D2929" s="6"/>
      <c r="E2929" s="10" t="s">
        <v>4832</v>
      </c>
      <c r="F2929" s="3" t="str">
        <f>IFERROR( VLOOKUP(A2929,#REF!,2,0),"")</f>
        <v/>
      </c>
      <c r="G2929" s="3" t="str">
        <f t="array" ref="G2929">_xlfn.XLOOKUP(I2929,Base_Datos!D:D,Base_Datos!B:B,"")</f>
        <v>DFSK</v>
      </c>
      <c r="H2929" s="3" t="str">
        <f t="array" ref="H2929">IF(I2929="","",IFERROR(_xlfn.XLOOKUP(I2929,Base_Datos!$D$2:$D3876,Base_Datos!$C$2:$C3876),""))</f>
        <v>Serie C</v>
      </c>
      <c r="I2929" s="3" t="s">
        <v>332</v>
      </c>
      <c r="J2929" s="3" t="str">
        <f>IF(I2929="","",IFERROR(VLOOKUP(I2929,Base_Datos!$D$2:$E$72,2,0),""))</f>
        <v>(1.5L)</v>
      </c>
      <c r="K2929" s="3"/>
      <c r="L2929" s="3"/>
      <c r="M2929" s="7">
        <v>17</v>
      </c>
      <c r="N2929" s="7">
        <v>0</v>
      </c>
    </row>
    <row r="2930" spans="1:14" ht="14.25" x14ac:dyDescent="0.2">
      <c r="A2930" s="3">
        <v>89056</v>
      </c>
      <c r="B2930" s="3" t="s">
        <v>4833</v>
      </c>
      <c r="C2930" s="3" t="s">
        <v>16</v>
      </c>
      <c r="D2930" s="6"/>
      <c r="E2930" s="10" t="s">
        <v>4834</v>
      </c>
      <c r="F2930" s="3" t="str">
        <f>IFERROR( VLOOKUP(A2930,#REF!,2,0),"")</f>
        <v/>
      </c>
      <c r="G2930" s="3" t="str">
        <f t="array" ref="G2930">_xlfn.XLOOKUP(I2930,Base_Datos!D:D,Base_Datos!B:B,"")</f>
        <v>DFSK</v>
      </c>
      <c r="H2930" s="3" t="str">
        <f t="array" ref="H2930">IF(I2930="","",IFERROR(_xlfn.XLOOKUP(I2930,Base_Datos!$D$2:$D3876,Base_Datos!$C$2:$C3876),""))</f>
        <v>Serie C</v>
      </c>
      <c r="I2930" s="3" t="s">
        <v>332</v>
      </c>
      <c r="J2930" s="3" t="str">
        <f>IF(I2930="","",IFERROR(VLOOKUP(I2930,Base_Datos!$D$2:$E$72,2,0),""))</f>
        <v>(1.5L)</v>
      </c>
      <c r="K2930" s="3"/>
      <c r="L2930" s="3"/>
      <c r="M2930" s="7">
        <v>16</v>
      </c>
      <c r="N2930" s="7">
        <v>0</v>
      </c>
    </row>
    <row r="2931" spans="1:14" ht="14.25" x14ac:dyDescent="0.2">
      <c r="A2931" s="3">
        <v>89061</v>
      </c>
      <c r="B2931" s="3" t="s">
        <v>4835</v>
      </c>
      <c r="C2931" s="3" t="s">
        <v>16</v>
      </c>
      <c r="D2931" s="6"/>
      <c r="E2931" s="10" t="s">
        <v>257</v>
      </c>
      <c r="F2931" s="3" t="str">
        <f>IFERROR( VLOOKUP(A2931,#REF!,2,0),"")</f>
        <v/>
      </c>
      <c r="G2931" s="3" t="str">
        <f t="array" ref="G2931">_xlfn.XLOOKUP(I2931,Base_Datos!D:D,Base_Datos!B:B,"")</f>
        <v>DFSK</v>
      </c>
      <c r="H2931" s="3" t="str">
        <f t="array" ref="H2931">IF(I2931="","",IFERROR(_xlfn.XLOOKUP(I2931,Base_Datos!$D$2:$D3876,Base_Datos!$C$2:$C3876),""))</f>
        <v>Serie C</v>
      </c>
      <c r="I2931" s="3" t="s">
        <v>339</v>
      </c>
      <c r="J2931" s="3" t="str">
        <f>IF(I2931="","",IFERROR(VLOOKUP(I2931,Base_Datos!$D$2:$E$72,2,0),""))</f>
        <v>(1.5L)</v>
      </c>
      <c r="K2931" s="3" t="s">
        <v>2439</v>
      </c>
      <c r="L2931" s="3"/>
      <c r="M2931" s="7">
        <v>11</v>
      </c>
      <c r="N2931" s="7">
        <v>0</v>
      </c>
    </row>
    <row r="2932" spans="1:14" ht="14.25" x14ac:dyDescent="0.2">
      <c r="A2932" s="3">
        <v>89062</v>
      </c>
      <c r="B2932" s="3" t="s">
        <v>4836</v>
      </c>
      <c r="C2932" s="3" t="s">
        <v>16</v>
      </c>
      <c r="D2932" s="6"/>
      <c r="E2932" s="10" t="s">
        <v>258</v>
      </c>
      <c r="F2932" s="3" t="str">
        <f>IFERROR( VLOOKUP(A2932,#REF!,2,0),"")</f>
        <v/>
      </c>
      <c r="G2932" s="3" t="str">
        <f t="array" ref="G2932">_xlfn.XLOOKUP(I2932,Base_Datos!D:D,Base_Datos!B:B,"")</f>
        <v>DFSK</v>
      </c>
      <c r="H2932" s="3" t="str">
        <f t="array" ref="H2932">IF(I2932="","",IFERROR(_xlfn.XLOOKUP(I2932,Base_Datos!$D$2:$D3876,Base_Datos!$C$2:$C3876),""))</f>
        <v>Serie C</v>
      </c>
      <c r="I2932" s="3" t="s">
        <v>339</v>
      </c>
      <c r="J2932" s="3" t="str">
        <f>IF(I2932="","",IFERROR(VLOOKUP(I2932,Base_Datos!$D$2:$E$72,2,0),""))</f>
        <v>(1.5L)</v>
      </c>
      <c r="K2932" s="3" t="s">
        <v>2439</v>
      </c>
      <c r="L2932" s="3"/>
      <c r="M2932" s="7">
        <v>11</v>
      </c>
      <c r="N2932" s="7">
        <v>0</v>
      </c>
    </row>
    <row r="2933" spans="1:14" ht="14.25" x14ac:dyDescent="0.2">
      <c r="A2933" s="3">
        <v>89067</v>
      </c>
      <c r="B2933" s="3" t="s">
        <v>4546</v>
      </c>
      <c r="C2933" s="3" t="s">
        <v>16</v>
      </c>
      <c r="D2933" s="6"/>
      <c r="E2933" s="10" t="s">
        <v>4837</v>
      </c>
      <c r="F2933" s="3" t="str">
        <f>IFERROR( VLOOKUP(A2933,#REF!,2,0),"")</f>
        <v/>
      </c>
      <c r="G2933" s="3" t="str">
        <f t="array" ref="G2933">_xlfn.XLOOKUP(I2933,Base_Datos!D:D,Base_Datos!B:B,"")</f>
        <v>DFSK</v>
      </c>
      <c r="H2933" s="3" t="str">
        <f t="array" ref="H2933">IF(I2933="","",IFERROR(_xlfn.XLOOKUP(I2933,Base_Datos!$D$2:$D3876,Base_Datos!$C$2:$C3876),""))</f>
        <v>Serie C</v>
      </c>
      <c r="I2933" s="3" t="s">
        <v>339</v>
      </c>
      <c r="J2933" s="3" t="str">
        <f>IF(I2933="","",IFERROR(VLOOKUP(I2933,Base_Datos!$D$2:$E$72,2,0),""))</f>
        <v>(1.5L)</v>
      </c>
      <c r="K2933" s="3" t="s">
        <v>4838</v>
      </c>
      <c r="L2933" s="3"/>
      <c r="M2933" s="7">
        <v>14</v>
      </c>
      <c r="N2933" s="7">
        <v>0</v>
      </c>
    </row>
    <row r="2934" spans="1:14" ht="14.25" x14ac:dyDescent="0.2">
      <c r="A2934" s="3">
        <v>89069</v>
      </c>
      <c r="B2934" s="3" t="s">
        <v>4839</v>
      </c>
      <c r="C2934" s="3" t="s">
        <v>16</v>
      </c>
      <c r="D2934" s="6"/>
      <c r="E2934" s="10" t="s">
        <v>264</v>
      </c>
      <c r="F2934" s="3" t="str">
        <f>IFERROR( VLOOKUP(A2934,#REF!,2,0),"")</f>
        <v/>
      </c>
      <c r="G2934" s="3" t="str">
        <f t="array" ref="G2934">_xlfn.XLOOKUP(I2934,Base_Datos!D:D,Base_Datos!B:B,"")</f>
        <v>DFSK</v>
      </c>
      <c r="H2934" s="3" t="str">
        <f t="array" ref="H2934">IF(I2934="","",IFERROR(_xlfn.XLOOKUP(I2934,Base_Datos!$D$2:$D3876,Base_Datos!$C$2:$C3876),""))</f>
        <v>Serie C</v>
      </c>
      <c r="I2934" s="3" t="s">
        <v>343</v>
      </c>
      <c r="J2934" s="3" t="str">
        <f>IF(I2934="","",IFERROR(VLOOKUP(I2934,Base_Datos!$D$2:$E$72,2,0),""))</f>
        <v>(1.5L)</v>
      </c>
      <c r="K2934" s="3" t="s">
        <v>2439</v>
      </c>
      <c r="L2934" s="3"/>
      <c r="M2934" s="7">
        <v>1</v>
      </c>
      <c r="N2934" s="7">
        <v>0</v>
      </c>
    </row>
    <row r="2935" spans="1:14" ht="14.25" x14ac:dyDescent="0.2">
      <c r="A2935" s="3">
        <v>89074</v>
      </c>
      <c r="B2935" s="3" t="s">
        <v>4840</v>
      </c>
      <c r="C2935" s="3" t="s">
        <v>16</v>
      </c>
      <c r="D2935" s="6"/>
      <c r="E2935" s="10" t="s">
        <v>4841</v>
      </c>
      <c r="F2935" s="3" t="str">
        <f>IFERROR( VLOOKUP(A2935,#REF!,2,0),"")</f>
        <v/>
      </c>
      <c r="G2935" s="3" t="str">
        <f t="array" ref="G2935">_xlfn.XLOOKUP(I2935,Base_Datos!D:D,Base_Datos!B:B,"")</f>
        <v>DFSK</v>
      </c>
      <c r="H2935" s="3" t="str">
        <f t="array" ref="H2935">IF(I2935="","",IFERROR(_xlfn.XLOOKUP(I2935,Base_Datos!$D$2:$D3876,Base_Datos!$C$2:$C3876),""))</f>
        <v>Serie C</v>
      </c>
      <c r="I2935" s="3" t="s">
        <v>339</v>
      </c>
      <c r="J2935" s="3" t="str">
        <f>IF(I2935="","",IFERROR(VLOOKUP(I2935,Base_Datos!$D$2:$E$72,2,0),""))</f>
        <v>(1.5L)</v>
      </c>
      <c r="K2935" s="3" t="s">
        <v>2439</v>
      </c>
      <c r="L2935" s="3"/>
      <c r="M2935" s="7">
        <v>0</v>
      </c>
      <c r="N2935" s="7">
        <v>0</v>
      </c>
    </row>
    <row r="2936" spans="1:14" ht="14.25" x14ac:dyDescent="0.2">
      <c r="A2936" s="3">
        <v>89075</v>
      </c>
      <c r="B2936" s="3" t="s">
        <v>3612</v>
      </c>
      <c r="C2936" s="3" t="s">
        <v>18</v>
      </c>
      <c r="D2936" s="6"/>
      <c r="E2936" s="10" t="s">
        <v>4841</v>
      </c>
      <c r="F2936" s="3" t="str">
        <f>IFERROR( VLOOKUP(A2936,#REF!,2,0),"")</f>
        <v/>
      </c>
      <c r="G2936" s="3" t="str">
        <f t="array" ref="G2936">_xlfn.XLOOKUP(I2936,Base_Datos!D:D,Base_Datos!B:B,"")</f>
        <v>DFSK</v>
      </c>
      <c r="H2936" s="3" t="str">
        <f t="array" ref="H2936">IF(I2936="","",IFERROR(_xlfn.XLOOKUP(I2936,Base_Datos!$D$2:$D3876,Base_Datos!$C$2:$C3876),""))</f>
        <v>Serie K</v>
      </c>
      <c r="I2936" s="3" t="s">
        <v>475</v>
      </c>
      <c r="J2936" s="3" t="str">
        <f>IF(I2936="","",IFERROR(VLOOKUP(I2936,Base_Datos!$D$2:$E$72,2,0),""))</f>
        <v>(1.1L)</v>
      </c>
      <c r="K2936" s="3" t="s">
        <v>4842</v>
      </c>
      <c r="L2936" s="3"/>
      <c r="M2936" s="7">
        <v>7</v>
      </c>
      <c r="N2936" s="7">
        <v>0</v>
      </c>
    </row>
    <row r="2937" spans="1:14" ht="14.25" x14ac:dyDescent="0.2">
      <c r="A2937" s="3">
        <v>89077</v>
      </c>
      <c r="B2937" s="3" t="s">
        <v>4843</v>
      </c>
      <c r="C2937" s="3" t="s">
        <v>16</v>
      </c>
      <c r="D2937" s="6"/>
      <c r="E2937" s="10" t="s">
        <v>4844</v>
      </c>
      <c r="F2937" s="3" t="str">
        <f>IFERROR( VLOOKUP(A2937,#REF!,2,0),"")</f>
        <v/>
      </c>
      <c r="G2937" s="3" t="str">
        <f t="array" ref="G2937">_xlfn.XLOOKUP(I2937,Base_Datos!D:D,Base_Datos!B:B,"")</f>
        <v>DFSK</v>
      </c>
      <c r="H2937" s="3" t="str">
        <f t="array" ref="H2937">IF(I2937="","",IFERROR(_xlfn.XLOOKUP(I2937,Base_Datos!$D$2:$D3876,Base_Datos!$C$2:$C3876),""))</f>
        <v>Serie C</v>
      </c>
      <c r="I2937" s="3" t="s">
        <v>339</v>
      </c>
      <c r="J2937" s="3" t="str">
        <f>IF(I2937="","",IFERROR(VLOOKUP(I2937,Base_Datos!$D$2:$E$72,2,0),""))</f>
        <v>(1.5L)</v>
      </c>
      <c r="K2937" s="3"/>
      <c r="L2937" s="3"/>
      <c r="M2937" s="7">
        <v>0</v>
      </c>
      <c r="N2937" s="7">
        <v>0</v>
      </c>
    </row>
    <row r="2938" spans="1:14" ht="14.25" x14ac:dyDescent="0.2">
      <c r="A2938" s="3">
        <v>89079</v>
      </c>
      <c r="B2938" s="3" t="s">
        <v>4845</v>
      </c>
      <c r="C2938" s="3" t="s">
        <v>16</v>
      </c>
      <c r="D2938" s="6"/>
      <c r="E2938" s="10" t="s">
        <v>4846</v>
      </c>
      <c r="F2938" s="3" t="str">
        <f>IFERROR( VLOOKUP(A2938,#REF!,2,0),"")</f>
        <v/>
      </c>
      <c r="G2938" s="3" t="str">
        <f t="array" ref="G2938">_xlfn.XLOOKUP(I2938,Base_Datos!D:D,Base_Datos!B:B,"")</f>
        <v>DFSK</v>
      </c>
      <c r="H2938" s="3" t="str">
        <f t="array" ref="H2938">IF(I2938="","",IFERROR(_xlfn.XLOOKUP(I2938,Base_Datos!$D$2:$D3876,Base_Datos!$C$2:$C3876),""))</f>
        <v>Serie C</v>
      </c>
      <c r="I2938" s="3" t="s">
        <v>332</v>
      </c>
      <c r="J2938" s="3" t="str">
        <f>IF(I2938="","",IFERROR(VLOOKUP(I2938,Base_Datos!$D$2:$E$72,2,0),""))</f>
        <v>(1.5L)</v>
      </c>
      <c r="K2938" s="3"/>
      <c r="L2938" s="3"/>
      <c r="M2938" s="7">
        <v>1</v>
      </c>
      <c r="N2938" s="7">
        <v>0</v>
      </c>
    </row>
    <row r="2939" spans="1:14" ht="14.25" x14ac:dyDescent="0.2">
      <c r="A2939" s="3">
        <v>89084</v>
      </c>
      <c r="B2939" s="3" t="s">
        <v>2713</v>
      </c>
      <c r="C2939" s="3" t="s">
        <v>16</v>
      </c>
      <c r="D2939" s="6"/>
      <c r="E2939" s="10" t="s">
        <v>275</v>
      </c>
      <c r="F2939" s="3" t="str">
        <f>IFERROR( VLOOKUP(A2939,#REF!,2,0),"")</f>
        <v/>
      </c>
      <c r="G2939" s="3" t="str">
        <f t="array" ref="G2939">_xlfn.XLOOKUP(I2939,Base_Datos!D:D,Base_Datos!B:B,"")</f>
        <v>DFSK</v>
      </c>
      <c r="H2939" s="3" t="str">
        <f t="array" ref="H2939">IF(I2939="","",IFERROR(_xlfn.XLOOKUP(I2939,Base_Datos!$D$2:$D3876,Base_Datos!$C$2:$C3876),""))</f>
        <v>Serie C</v>
      </c>
      <c r="I2939" s="3" t="s">
        <v>339</v>
      </c>
      <c r="J2939" s="3" t="str">
        <f>IF(I2939="","",IFERROR(VLOOKUP(I2939,Base_Datos!$D$2:$E$72,2,0),""))</f>
        <v>(1.5L)</v>
      </c>
      <c r="K2939" s="3" t="s">
        <v>2439</v>
      </c>
      <c r="L2939" s="3"/>
      <c r="M2939" s="7">
        <v>0</v>
      </c>
      <c r="N2939" s="7">
        <v>0</v>
      </c>
    </row>
    <row r="2940" spans="1:14" ht="14.25" x14ac:dyDescent="0.2">
      <c r="A2940" s="3">
        <v>89096</v>
      </c>
      <c r="B2940" s="3" t="s">
        <v>4847</v>
      </c>
      <c r="C2940" s="3" t="s">
        <v>16</v>
      </c>
      <c r="D2940" s="6"/>
      <c r="E2940" s="10" t="s">
        <v>462</v>
      </c>
      <c r="F2940" s="3" t="str">
        <f>IFERROR( VLOOKUP(A2940,#REF!,2,0),"")</f>
        <v/>
      </c>
      <c r="G2940" s="3" t="str">
        <f t="array" ref="G2940">_xlfn.XLOOKUP(I2940,Base_Datos!D:D,Base_Datos!B:B,"")</f>
        <v>DFSK</v>
      </c>
      <c r="H2940" s="3" t="str">
        <f t="array" ref="H2940">IF(I2940="","",IFERROR(_xlfn.XLOOKUP(I2940,Base_Datos!$D$2:$D3876,Base_Datos!$C$2:$C3876),""))</f>
        <v>Serie C</v>
      </c>
      <c r="I2940" s="3" t="s">
        <v>339</v>
      </c>
      <c r="J2940" s="3" t="str">
        <f>IF(I2940="","",IFERROR(VLOOKUP(I2940,Base_Datos!$D$2:$E$72,2,0),""))</f>
        <v>(1.5L)</v>
      </c>
      <c r="K2940" s="3" t="s">
        <v>2439</v>
      </c>
      <c r="L2940" s="3"/>
      <c r="M2940" s="7">
        <v>3</v>
      </c>
      <c r="N2940" s="7">
        <v>0</v>
      </c>
    </row>
    <row r="2941" spans="1:14" ht="14.25" x14ac:dyDescent="0.2">
      <c r="A2941" s="3">
        <v>89099</v>
      </c>
      <c r="B2941" s="3" t="s">
        <v>4848</v>
      </c>
      <c r="C2941" s="3" t="s">
        <v>16</v>
      </c>
      <c r="D2941" s="6"/>
      <c r="E2941" s="10" t="s">
        <v>4849</v>
      </c>
      <c r="F2941" s="3" t="str">
        <f>IFERROR( VLOOKUP(A2941,#REF!,2,0),"")</f>
        <v/>
      </c>
      <c r="G2941" s="3" t="str">
        <f t="array" ref="G2941">_xlfn.XLOOKUP(I2941,Base_Datos!D:D,Base_Datos!B:B,"")</f>
        <v>DFSK</v>
      </c>
      <c r="H2941" s="3" t="str">
        <f t="array" ref="H2941">IF(I2941="","",IFERROR(_xlfn.XLOOKUP(I2941,Base_Datos!$D$2:$D3876,Base_Datos!$C$2:$C3876),""))</f>
        <v>Serie C</v>
      </c>
      <c r="I2941" s="3" t="s">
        <v>339</v>
      </c>
      <c r="J2941" s="3" t="str">
        <f>IF(I2941="","",IFERROR(VLOOKUP(I2941,Base_Datos!$D$2:$E$72,2,0),""))</f>
        <v>(1.5L)</v>
      </c>
      <c r="K2941" s="3" t="s">
        <v>2439</v>
      </c>
      <c r="L2941" s="3"/>
      <c r="M2941" s="7">
        <v>30</v>
      </c>
      <c r="N2941" s="7">
        <v>0</v>
      </c>
    </row>
    <row r="2942" spans="1:14" ht="14.25" x14ac:dyDescent="0.2">
      <c r="A2942" s="3">
        <v>89101</v>
      </c>
      <c r="B2942" s="3" t="s">
        <v>3020</v>
      </c>
      <c r="C2942" s="3" t="s">
        <v>16</v>
      </c>
      <c r="D2942" s="6"/>
      <c r="E2942" s="10" t="s">
        <v>289</v>
      </c>
      <c r="F2942" s="3" t="str">
        <f>IFERROR( VLOOKUP(A2942,#REF!,2,0),"")</f>
        <v/>
      </c>
      <c r="G2942" s="3" t="str">
        <f t="array" ref="G2942">_xlfn.XLOOKUP(I2942,Base_Datos!D:D,Base_Datos!B:B,"")</f>
        <v>DFSK</v>
      </c>
      <c r="H2942" s="3" t="str">
        <f t="array" ref="H2942">IF(I2942="","",IFERROR(_xlfn.XLOOKUP(I2942,Base_Datos!$D$2:$D3876,Base_Datos!$C$2:$C3876),""))</f>
        <v>Serie C</v>
      </c>
      <c r="I2942" s="3" t="s">
        <v>339</v>
      </c>
      <c r="J2942" s="3" t="str">
        <f>IF(I2942="","",IFERROR(VLOOKUP(I2942,Base_Datos!$D$2:$E$72,2,0),""))</f>
        <v>(1.5L)</v>
      </c>
      <c r="K2942" s="3" t="s">
        <v>2439</v>
      </c>
      <c r="L2942" s="3"/>
      <c r="M2942" s="7">
        <v>0</v>
      </c>
      <c r="N2942" s="7">
        <v>0</v>
      </c>
    </row>
    <row r="2943" spans="1:14" ht="14.25" x14ac:dyDescent="0.2">
      <c r="A2943" s="3">
        <v>89105</v>
      </c>
      <c r="B2943" s="3" t="s">
        <v>4850</v>
      </c>
      <c r="C2943" s="3" t="s">
        <v>16</v>
      </c>
      <c r="D2943" s="6"/>
      <c r="E2943" s="10" t="s">
        <v>293</v>
      </c>
      <c r="F2943" s="3" t="str">
        <f>IFERROR( VLOOKUP(A2943,#REF!,2,0),"")</f>
        <v/>
      </c>
      <c r="G2943" s="3" t="str">
        <f t="array" ref="G2943">_xlfn.XLOOKUP(I2943,Base_Datos!D:D,Base_Datos!B:B,"")</f>
        <v>DFSK</v>
      </c>
      <c r="H2943" s="3" t="str">
        <f t="array" ref="H2943">IF(I2943="","",IFERROR(_xlfn.XLOOKUP(I2943,Base_Datos!$D$2:$D3876,Base_Datos!$C$2:$C3876),""))</f>
        <v>Serie C</v>
      </c>
      <c r="I2943" s="3" t="s">
        <v>339</v>
      </c>
      <c r="J2943" s="3" t="str">
        <f>IF(I2943="","",IFERROR(VLOOKUP(I2943,Base_Datos!$D$2:$E$72,2,0),""))</f>
        <v>(1.5L)</v>
      </c>
      <c r="K2943" s="3" t="s">
        <v>2439</v>
      </c>
      <c r="L2943" s="3"/>
      <c r="M2943" s="7">
        <v>0</v>
      </c>
      <c r="N2943" s="7">
        <v>0</v>
      </c>
    </row>
    <row r="2944" spans="1:14" ht="14.25" x14ac:dyDescent="0.2">
      <c r="A2944" s="3">
        <v>89107</v>
      </c>
      <c r="B2944" s="3" t="s">
        <v>4851</v>
      </c>
      <c r="C2944" s="3" t="s">
        <v>16</v>
      </c>
      <c r="D2944" s="6"/>
      <c r="E2944" s="10" t="s">
        <v>295</v>
      </c>
      <c r="F2944" s="3" t="str">
        <f>IFERROR( VLOOKUP(A2944,#REF!,2,0),"")</f>
        <v/>
      </c>
      <c r="G2944" s="3" t="str">
        <f t="array" ref="G2944">_xlfn.XLOOKUP(I2944,Base_Datos!D:D,Base_Datos!B:B,"")</f>
        <v>DFSK</v>
      </c>
      <c r="H2944" s="3" t="str">
        <f t="array" ref="H2944">IF(I2944="","",IFERROR(_xlfn.XLOOKUP(I2944,Base_Datos!$D$2:$D3876,Base_Datos!$C$2:$C3876),""))</f>
        <v>Serie C</v>
      </c>
      <c r="I2944" s="3" t="s">
        <v>339</v>
      </c>
      <c r="J2944" s="3" t="str">
        <f>IF(I2944="","",IFERROR(VLOOKUP(I2944,Base_Datos!$D$2:$E$72,2,0),""))</f>
        <v>(1.5L)</v>
      </c>
      <c r="K2944" s="3" t="s">
        <v>2439</v>
      </c>
      <c r="L2944" s="3"/>
      <c r="M2944" s="7">
        <v>10</v>
      </c>
      <c r="N2944" s="7">
        <v>0</v>
      </c>
    </row>
    <row r="2945" spans="1:14" ht="14.25" x14ac:dyDescent="0.2">
      <c r="A2945" s="3">
        <v>89109</v>
      </c>
      <c r="B2945" s="3" t="s">
        <v>4852</v>
      </c>
      <c r="C2945" s="3" t="s">
        <v>16</v>
      </c>
      <c r="D2945" s="6"/>
      <c r="E2945" s="6" t="s">
        <v>297</v>
      </c>
      <c r="F2945" s="3" t="str">
        <f>IFERROR( VLOOKUP(A2945,#REF!,2,0),"")</f>
        <v/>
      </c>
      <c r="G2945" s="3" t="str">
        <f t="array" ref="G2945">_xlfn.XLOOKUP(I2945,Base_Datos!D:D,Base_Datos!B:B,"")</f>
        <v>DFSK</v>
      </c>
      <c r="H2945" s="3" t="str">
        <f t="array" ref="H2945">IF(I2945="","",IFERROR(_xlfn.XLOOKUP(I2945,Base_Datos!$D$2:$D3876,Base_Datos!$C$2:$C3876),""))</f>
        <v>Serie C</v>
      </c>
      <c r="I2945" s="3" t="s">
        <v>339</v>
      </c>
      <c r="J2945" s="3" t="str">
        <f>IF(I2945="","",IFERROR(VLOOKUP(I2945,Base_Datos!$D$2:$E$72,2,0),""))</f>
        <v>(1.5L)</v>
      </c>
      <c r="K2945" s="3"/>
      <c r="L2945" s="3"/>
      <c r="M2945" s="7">
        <v>5</v>
      </c>
      <c r="N2945" s="7">
        <v>0</v>
      </c>
    </row>
    <row r="2946" spans="1:14" ht="14.25" x14ac:dyDescent="0.2">
      <c r="A2946" s="3">
        <v>89116</v>
      </c>
      <c r="B2946" s="3" t="s">
        <v>3387</v>
      </c>
      <c r="C2946" s="3" t="s">
        <v>16</v>
      </c>
      <c r="D2946" s="6"/>
      <c r="E2946" s="6" t="s">
        <v>672</v>
      </c>
      <c r="F2946" s="3" t="str">
        <f>IFERROR( VLOOKUP(A2946,#REF!,2,0),"")</f>
        <v/>
      </c>
      <c r="G2946" s="3" t="str">
        <f t="array" ref="G2946">_xlfn.XLOOKUP(I2946,Base_Datos!D:D,Base_Datos!B:B,"")</f>
        <v>DFSK</v>
      </c>
      <c r="H2946" s="3" t="str">
        <f t="array" ref="H2946">IF(I2946="","",IFERROR(_xlfn.XLOOKUP(I2946,Base_Datos!$D$2:$D3876,Base_Datos!$C$2:$C3876),""))</f>
        <v>Serie C</v>
      </c>
      <c r="I2946" s="3" t="s">
        <v>332</v>
      </c>
      <c r="J2946" s="3" t="str">
        <f>IF(I2946="","",IFERROR(VLOOKUP(I2946,Base_Datos!$D$2:$E$72,2,0),""))</f>
        <v>(1.5L)</v>
      </c>
      <c r="K2946" s="3" t="s">
        <v>2439</v>
      </c>
      <c r="L2946" s="3"/>
      <c r="M2946" s="7">
        <v>20</v>
      </c>
      <c r="N2946" s="7">
        <v>0</v>
      </c>
    </row>
    <row r="2947" spans="1:14" ht="14.25" x14ac:dyDescent="0.2">
      <c r="A2947" s="3">
        <v>89118</v>
      </c>
      <c r="B2947" s="3" t="s">
        <v>4853</v>
      </c>
      <c r="C2947" s="3" t="s">
        <v>16</v>
      </c>
      <c r="D2947" s="6"/>
      <c r="E2947" s="6" t="s">
        <v>305</v>
      </c>
      <c r="F2947" s="3" t="str">
        <f>IFERROR( VLOOKUP(A2947,#REF!,2,0),"")</f>
        <v/>
      </c>
      <c r="G2947" s="3" t="str">
        <f t="array" ref="G2947">_xlfn.XLOOKUP(I2947,Base_Datos!D:D,Base_Datos!B:B,"")</f>
        <v>DFSK</v>
      </c>
      <c r="H2947" s="3" t="str">
        <f t="array" ref="H2947">IF(I2947="","",IFERROR(_xlfn.XLOOKUP(I2947,Base_Datos!$D$2:$D3876,Base_Datos!$C$2:$C3876),""))</f>
        <v>Serie C</v>
      </c>
      <c r="I2947" s="3" t="s">
        <v>339</v>
      </c>
      <c r="J2947" s="3" t="str">
        <f>IF(I2947="","",IFERROR(VLOOKUP(I2947,Base_Datos!$D$2:$E$72,2,0),""))</f>
        <v>(1.5L)</v>
      </c>
      <c r="K2947" s="3" t="s">
        <v>2439</v>
      </c>
      <c r="L2947" s="3"/>
      <c r="M2947" s="7">
        <v>5</v>
      </c>
      <c r="N2947" s="7">
        <v>0</v>
      </c>
    </row>
    <row r="2948" spans="1:14" ht="14.25" x14ac:dyDescent="0.2">
      <c r="A2948" s="3">
        <v>89119</v>
      </c>
      <c r="B2948" s="3" t="s">
        <v>4854</v>
      </c>
      <c r="C2948" s="3" t="s">
        <v>16</v>
      </c>
      <c r="D2948" s="6"/>
      <c r="E2948" s="6" t="s">
        <v>306</v>
      </c>
      <c r="F2948" s="3" t="str">
        <f>IFERROR( VLOOKUP(A2948,#REF!,2,0),"")</f>
        <v/>
      </c>
      <c r="G2948" s="3" t="str">
        <f t="array" ref="G2948">_xlfn.XLOOKUP(I2948,Base_Datos!D:D,Base_Datos!B:B,"")</f>
        <v>DFSK</v>
      </c>
      <c r="H2948" s="3" t="str">
        <f t="array" ref="H2948">IF(I2948="","",IFERROR(_xlfn.XLOOKUP(I2948,Base_Datos!$D$2:$D3876,Base_Datos!$C$2:$C3876),""))</f>
        <v>Serie C</v>
      </c>
      <c r="I2948" s="3" t="s">
        <v>339</v>
      </c>
      <c r="J2948" s="3" t="str">
        <f>IF(I2948="","",IFERROR(VLOOKUP(I2948,Base_Datos!$D$2:$E$72,2,0),""))</f>
        <v>(1.5L)</v>
      </c>
      <c r="K2948" s="3" t="s">
        <v>2439</v>
      </c>
      <c r="L2948" s="3"/>
      <c r="M2948" s="7">
        <v>10</v>
      </c>
      <c r="N2948" s="7">
        <v>0</v>
      </c>
    </row>
    <row r="2949" spans="1:14" ht="14.25" x14ac:dyDescent="0.2">
      <c r="A2949" s="3">
        <v>89121</v>
      </c>
      <c r="B2949" s="3" t="s">
        <v>4855</v>
      </c>
      <c r="C2949" s="3" t="s">
        <v>16</v>
      </c>
      <c r="D2949" s="6"/>
      <c r="E2949" s="6" t="s">
        <v>4856</v>
      </c>
      <c r="F2949" s="3" t="str">
        <f>IFERROR( VLOOKUP(A2949,#REF!,2,0),"")</f>
        <v/>
      </c>
      <c r="G2949" s="3" t="str">
        <f t="array" ref="G2949">_xlfn.XLOOKUP(I2949,Base_Datos!D:D,Base_Datos!B:B,"")</f>
        <v>DFSK</v>
      </c>
      <c r="H2949" s="3" t="str">
        <f t="array" ref="H2949">IF(I2949="","",IFERROR(_xlfn.XLOOKUP(I2949,Base_Datos!$D$2:$D3876,Base_Datos!$C$2:$C3876),""))</f>
        <v>Serie C</v>
      </c>
      <c r="I2949" s="3" t="s">
        <v>339</v>
      </c>
      <c r="J2949" s="3" t="str">
        <f>IF(I2949="","",IFERROR(VLOOKUP(I2949,Base_Datos!$D$2:$E$72,2,0),""))</f>
        <v>(1.5L)</v>
      </c>
      <c r="K2949" s="3" t="s">
        <v>2439</v>
      </c>
      <c r="L2949" s="3"/>
      <c r="M2949" s="7">
        <v>30</v>
      </c>
      <c r="N2949" s="7">
        <v>0</v>
      </c>
    </row>
    <row r="2950" spans="1:14" ht="14.25" x14ac:dyDescent="0.2">
      <c r="A2950" s="3">
        <v>89130</v>
      </c>
      <c r="B2950" s="3" t="s">
        <v>4857</v>
      </c>
      <c r="C2950" s="3" t="s">
        <v>16</v>
      </c>
      <c r="D2950" s="6"/>
      <c r="E2950" s="6" t="s">
        <v>316</v>
      </c>
      <c r="F2950" s="3" t="str">
        <f>IFERROR( VLOOKUP(A2950,#REF!,2,0),"")</f>
        <v/>
      </c>
      <c r="G2950" s="3" t="str">
        <f t="array" ref="G2950">_xlfn.XLOOKUP(I2950,Base_Datos!D:D,Base_Datos!B:B,"")</f>
        <v>DFSK</v>
      </c>
      <c r="H2950" s="3" t="str">
        <f t="array" ref="H2950">IF(I2950="","",IFERROR(_xlfn.XLOOKUP(I2950,Base_Datos!$D$2:$D3876,Base_Datos!$C$2:$C3876),""))</f>
        <v>Serie C</v>
      </c>
      <c r="I2950" s="3" t="s">
        <v>339</v>
      </c>
      <c r="J2950" s="3" t="str">
        <f>IF(I2950="","",IFERROR(VLOOKUP(I2950,Base_Datos!$D$2:$E$72,2,0),""))</f>
        <v>(1.5L)</v>
      </c>
      <c r="K2950" s="3"/>
      <c r="L2950" s="3"/>
      <c r="M2950" s="7">
        <v>5</v>
      </c>
      <c r="N2950" s="7">
        <v>0</v>
      </c>
    </row>
    <row r="2951" spans="1:14" ht="14.25" x14ac:dyDescent="0.2">
      <c r="A2951" s="3">
        <v>89132</v>
      </c>
      <c r="B2951" s="3" t="s">
        <v>4858</v>
      </c>
      <c r="C2951" s="3" t="s">
        <v>16</v>
      </c>
      <c r="D2951" s="6"/>
      <c r="E2951" s="10" t="s">
        <v>318</v>
      </c>
      <c r="F2951" s="3" t="str">
        <f>IFERROR( VLOOKUP(A2951,#REF!,2,0),"")</f>
        <v/>
      </c>
      <c r="G2951" s="3" t="str">
        <f t="array" ref="G2951">_xlfn.XLOOKUP(I2951,Base_Datos!D:D,Base_Datos!B:B,"")</f>
        <v>DFSK</v>
      </c>
      <c r="H2951" s="3" t="str">
        <f t="array" ref="H2951">IF(I2951="","",IFERROR(_xlfn.XLOOKUP(I2951,Base_Datos!$D$2:$D3876,Base_Datos!$C$2:$C3876),""))</f>
        <v>Serie C</v>
      </c>
      <c r="I2951" s="3" t="s">
        <v>332</v>
      </c>
      <c r="J2951" s="3" t="str">
        <f>IF(I2951="","",IFERROR(VLOOKUP(I2951,Base_Datos!$D$2:$E$72,2,0),""))</f>
        <v>(1.5L)</v>
      </c>
      <c r="K2951" s="3"/>
      <c r="L2951" s="3"/>
      <c r="M2951" s="7">
        <v>4</v>
      </c>
      <c r="N2951" s="7">
        <v>0</v>
      </c>
    </row>
    <row r="2952" spans="1:14" ht="14.25" x14ac:dyDescent="0.2">
      <c r="A2952" s="3">
        <v>89135</v>
      </c>
      <c r="B2952" s="3" t="s">
        <v>2601</v>
      </c>
      <c r="C2952" s="3" t="s">
        <v>16</v>
      </c>
      <c r="D2952" s="6"/>
      <c r="E2952" s="10" t="s">
        <v>4859</v>
      </c>
      <c r="F2952" s="3" t="str">
        <f>IFERROR( VLOOKUP(A2952,#REF!,2,0),"")</f>
        <v/>
      </c>
      <c r="G2952" s="3" t="str">
        <f t="array" ref="G2952">_xlfn.XLOOKUP(I2952,Base_Datos!D:D,Base_Datos!B:B,"")</f>
        <v>DFSK</v>
      </c>
      <c r="H2952" s="3" t="str">
        <f t="array" ref="H2952">IF(I2952="","",IFERROR(_xlfn.XLOOKUP(I2952,Base_Datos!$D$2:$D3876,Base_Datos!$C$2:$C3876),""))</f>
        <v>Serie C</v>
      </c>
      <c r="I2952" s="3" t="s">
        <v>332</v>
      </c>
      <c r="J2952" s="3" t="str">
        <f>IF(I2952="","",IFERROR(VLOOKUP(I2952,Base_Datos!$D$2:$E$72,2,0),""))</f>
        <v>(1.5L)</v>
      </c>
      <c r="K2952" s="3"/>
      <c r="L2952" s="3"/>
      <c r="M2952" s="7">
        <v>0</v>
      </c>
      <c r="N2952" s="7">
        <v>0</v>
      </c>
    </row>
    <row r="2953" spans="1:14" ht="14.25" x14ac:dyDescent="0.2">
      <c r="A2953" s="3">
        <v>89138</v>
      </c>
      <c r="B2953" s="3" t="s">
        <v>4860</v>
      </c>
      <c r="C2953" s="3" t="s">
        <v>16</v>
      </c>
      <c r="D2953" s="6"/>
      <c r="E2953" s="10" t="s">
        <v>323</v>
      </c>
      <c r="F2953" s="3" t="str">
        <f>IFERROR( VLOOKUP(A2953,#REF!,2,0),"")</f>
        <v/>
      </c>
      <c r="G2953" s="3" t="str">
        <f t="array" ref="G2953">_xlfn.XLOOKUP(I2953,Base_Datos!D:D,Base_Datos!B:B,"")</f>
        <v>DFSK</v>
      </c>
      <c r="H2953" s="3" t="str">
        <f t="array" ref="H2953">IF(I2953="","",IFERROR(_xlfn.XLOOKUP(I2953,Base_Datos!$D$2:$D3876,Base_Datos!$C$2:$C3876),""))</f>
        <v>Serie C</v>
      </c>
      <c r="I2953" s="3" t="s">
        <v>332</v>
      </c>
      <c r="J2953" s="3" t="str">
        <f>IF(I2953="","",IFERROR(VLOOKUP(I2953,Base_Datos!$D$2:$E$72,2,0),""))</f>
        <v>(1.5L)</v>
      </c>
      <c r="K2953" s="3"/>
      <c r="L2953" s="3"/>
      <c r="M2953" s="7">
        <v>1</v>
      </c>
      <c r="N2953" s="7">
        <v>0</v>
      </c>
    </row>
    <row r="2954" spans="1:14" ht="14.25" x14ac:dyDescent="0.2">
      <c r="A2954" s="3">
        <v>89139</v>
      </c>
      <c r="B2954" s="3" t="s">
        <v>4861</v>
      </c>
      <c r="C2954" s="3" t="s">
        <v>16</v>
      </c>
      <c r="D2954" s="6"/>
      <c r="E2954" s="10" t="s">
        <v>324</v>
      </c>
      <c r="F2954" s="3" t="str">
        <f>IFERROR( VLOOKUP(A2954,#REF!,2,0),"")</f>
        <v/>
      </c>
      <c r="G2954" s="3" t="str">
        <f t="array" ref="G2954">_xlfn.XLOOKUP(I2954,Base_Datos!D:D,Base_Datos!B:B,"")</f>
        <v>DFSK</v>
      </c>
      <c r="H2954" s="3" t="str">
        <f t="array" ref="H2954">IF(I2954="","",IFERROR(_xlfn.XLOOKUP(I2954,Base_Datos!$D$2:$D3876,Base_Datos!$C$2:$C3876),""))</f>
        <v>Serie C</v>
      </c>
      <c r="I2954" s="3" t="s">
        <v>339</v>
      </c>
      <c r="J2954" s="3" t="str">
        <f>IF(I2954="","",IFERROR(VLOOKUP(I2954,Base_Datos!$D$2:$E$72,2,0),""))</f>
        <v>(1.5L)</v>
      </c>
      <c r="K2954" s="3" t="s">
        <v>2439</v>
      </c>
      <c r="L2954" s="3"/>
      <c r="M2954" s="7">
        <v>0</v>
      </c>
      <c r="N2954" s="7">
        <v>0</v>
      </c>
    </row>
    <row r="2955" spans="1:14" ht="14.25" x14ac:dyDescent="0.2">
      <c r="A2955" s="3">
        <v>89140</v>
      </c>
      <c r="B2955" s="3" t="s">
        <v>4862</v>
      </c>
      <c r="C2955" s="3" t="s">
        <v>16</v>
      </c>
      <c r="D2955" s="6"/>
      <c r="E2955" s="10" t="s">
        <v>324</v>
      </c>
      <c r="F2955" s="3" t="str">
        <f>IFERROR( VLOOKUP(A2955,#REF!,2,0),"")</f>
        <v/>
      </c>
      <c r="G2955" s="3" t="str">
        <f t="array" ref="G2955">_xlfn.XLOOKUP(I2955,Base_Datos!D:D,Base_Datos!B:B,"")</f>
        <v>DFSK</v>
      </c>
      <c r="H2955" s="3" t="str">
        <f t="array" ref="H2955">IF(I2955="","",IFERROR(_xlfn.XLOOKUP(I2955,Base_Datos!$D$2:$D3876,Base_Datos!$C$2:$C3876),""))</f>
        <v>Serie C</v>
      </c>
      <c r="I2955" s="3" t="s">
        <v>332</v>
      </c>
      <c r="J2955" s="3" t="str">
        <f>IF(I2955="","",IFERROR(VLOOKUP(I2955,Base_Datos!$D$2:$E$72,2,0),""))</f>
        <v>(1.5L)</v>
      </c>
      <c r="K2955" s="3" t="s">
        <v>2439</v>
      </c>
      <c r="L2955" s="3"/>
      <c r="M2955" s="7">
        <v>0</v>
      </c>
      <c r="N2955" s="7">
        <v>0</v>
      </c>
    </row>
    <row r="2956" spans="1:14" ht="14.25" x14ac:dyDescent="0.2">
      <c r="A2956" s="3">
        <v>89142</v>
      </c>
      <c r="B2956" s="3" t="s">
        <v>4863</v>
      </c>
      <c r="C2956" s="3" t="s">
        <v>16</v>
      </c>
      <c r="D2956" s="6"/>
      <c r="E2956" s="10" t="s">
        <v>326</v>
      </c>
      <c r="F2956" s="3" t="str">
        <f>IFERROR( VLOOKUP(A2956,#REF!,2,0),"")</f>
        <v/>
      </c>
      <c r="G2956" s="3" t="str">
        <f t="array" ref="G2956">_xlfn.XLOOKUP(I2956,Base_Datos!D:D,Base_Datos!B:B,"")</f>
        <v>DFSK</v>
      </c>
      <c r="H2956" s="3" t="str">
        <f t="array" ref="H2956">IF(I2956="","",IFERROR(_xlfn.XLOOKUP(I2956,Base_Datos!$D$2:$D3876,Base_Datos!$C$2:$C3876),""))</f>
        <v>Serie C</v>
      </c>
      <c r="I2956" s="3" t="s">
        <v>332</v>
      </c>
      <c r="J2956" s="3" t="str">
        <f>IF(I2956="","",IFERROR(VLOOKUP(I2956,Base_Datos!$D$2:$E$72,2,0),""))</f>
        <v>(1.5L)</v>
      </c>
      <c r="K2956" s="3"/>
      <c r="L2956" s="3"/>
      <c r="M2956" s="7">
        <v>2</v>
      </c>
      <c r="N2956" s="7">
        <v>0</v>
      </c>
    </row>
    <row r="2957" spans="1:14" ht="14.25" x14ac:dyDescent="0.2">
      <c r="A2957" s="3">
        <v>89143</v>
      </c>
      <c r="B2957" s="3" t="s">
        <v>4864</v>
      </c>
      <c r="C2957" s="3" t="s">
        <v>16</v>
      </c>
      <c r="D2957" s="6"/>
      <c r="E2957" s="10" t="s">
        <v>327</v>
      </c>
      <c r="F2957" s="3" t="str">
        <f>IFERROR( VLOOKUP(A2957,#REF!,2,0),"")</f>
        <v/>
      </c>
      <c r="G2957" s="3" t="str">
        <f t="array" ref="G2957">_xlfn.XLOOKUP(I2957,Base_Datos!D:D,Base_Datos!B:B,"")</f>
        <v>DFSK</v>
      </c>
      <c r="H2957" s="3" t="str">
        <f t="array" ref="H2957">IF(I2957="","",IFERROR(_xlfn.XLOOKUP(I2957,Base_Datos!$D$2:$D3876,Base_Datos!$C$2:$C3876),""))</f>
        <v>Serie C</v>
      </c>
      <c r="I2957" s="3" t="s">
        <v>332</v>
      </c>
      <c r="J2957" s="3" t="str">
        <f>IF(I2957="","",IFERROR(VLOOKUP(I2957,Base_Datos!$D$2:$E$72,2,0),""))</f>
        <v>(1.5L)</v>
      </c>
      <c r="K2957" s="3"/>
      <c r="L2957" s="3"/>
      <c r="M2957" s="7">
        <v>2</v>
      </c>
      <c r="N2957" s="7">
        <v>0</v>
      </c>
    </row>
    <row r="2958" spans="1:14" ht="14.25" x14ac:dyDescent="0.2">
      <c r="A2958" s="3">
        <v>89145</v>
      </c>
      <c r="B2958" s="3" t="s">
        <v>4290</v>
      </c>
      <c r="C2958" s="3" t="s">
        <v>16</v>
      </c>
      <c r="D2958" s="6"/>
      <c r="E2958" s="10" t="s">
        <v>329</v>
      </c>
      <c r="F2958" s="3" t="str">
        <f>IFERROR( VLOOKUP(A2958,#REF!,2,0),"")</f>
        <v/>
      </c>
      <c r="G2958" s="3" t="str">
        <f t="array" ref="G2958">_xlfn.XLOOKUP(I2958,Base_Datos!D:D,Base_Datos!B:B,"")</f>
        <v>DFSK</v>
      </c>
      <c r="H2958" s="3" t="str">
        <f t="array" ref="H2958">IF(I2958="","",IFERROR(_xlfn.XLOOKUP(I2958,Base_Datos!$D$2:$D3876,Base_Datos!$C$2:$C3876),""))</f>
        <v>Serie C</v>
      </c>
      <c r="I2958" s="3" t="s">
        <v>339</v>
      </c>
      <c r="J2958" s="3" t="str">
        <f>IF(I2958="","",IFERROR(VLOOKUP(I2958,Base_Datos!$D$2:$E$72,2,0),""))</f>
        <v>(1.5L)</v>
      </c>
      <c r="K2958" s="3" t="s">
        <v>2439</v>
      </c>
      <c r="L2958" s="3"/>
      <c r="M2958" s="7">
        <v>21</v>
      </c>
      <c r="N2958" s="7">
        <v>0</v>
      </c>
    </row>
    <row r="2959" spans="1:14" ht="14.25" x14ac:dyDescent="0.2">
      <c r="A2959" s="3">
        <v>89146</v>
      </c>
      <c r="B2959" s="3" t="s">
        <v>4865</v>
      </c>
      <c r="C2959" s="3" t="s">
        <v>16</v>
      </c>
      <c r="D2959" s="6"/>
      <c r="E2959" s="10" t="s">
        <v>330</v>
      </c>
      <c r="F2959" s="3" t="str">
        <f>IFERROR( VLOOKUP(A2959,#REF!,2,0),"")</f>
        <v/>
      </c>
      <c r="G2959" s="3" t="str">
        <f t="array" ref="G2959">_xlfn.XLOOKUP(I2959,Base_Datos!D:D,Base_Datos!B:B,"")</f>
        <v>DFSK</v>
      </c>
      <c r="H2959" s="3" t="str">
        <f t="array" ref="H2959">IF(I2959="","",IFERROR(_xlfn.XLOOKUP(I2959,Base_Datos!$D$2:$D3876,Base_Datos!$C$2:$C3876),""))</f>
        <v>Serie C</v>
      </c>
      <c r="I2959" s="3" t="s">
        <v>339</v>
      </c>
      <c r="J2959" s="3" t="str">
        <f>IF(I2959="","",IFERROR(VLOOKUP(I2959,Base_Datos!$D$2:$E$72,2,0),""))</f>
        <v>(1.5L)</v>
      </c>
      <c r="K2959" s="3"/>
      <c r="L2959" s="3"/>
      <c r="M2959" s="7">
        <v>5</v>
      </c>
      <c r="N2959" s="7">
        <v>0</v>
      </c>
    </row>
    <row r="2960" spans="1:14" ht="14.25" x14ac:dyDescent="0.2">
      <c r="A2960" s="3">
        <v>89147</v>
      </c>
      <c r="B2960" s="3" t="s">
        <v>4866</v>
      </c>
      <c r="C2960" s="3" t="s">
        <v>16</v>
      </c>
      <c r="D2960" s="6"/>
      <c r="E2960" s="10" t="s">
        <v>331</v>
      </c>
      <c r="F2960" s="3" t="str">
        <f>IFERROR( VLOOKUP(A2960,#REF!,2,0),"")</f>
        <v/>
      </c>
      <c r="G2960" s="3" t="str">
        <f t="array" ref="G2960">_xlfn.XLOOKUP(I2960,Base_Datos!D:D,Base_Datos!B:B,"")</f>
        <v>DFSK</v>
      </c>
      <c r="H2960" s="3" t="str">
        <f t="array" ref="H2960">IF(I2960="","",IFERROR(_xlfn.XLOOKUP(I2960,Base_Datos!$D$2:$D3876,Base_Datos!$C$2:$C3876),""))</f>
        <v>Serie C</v>
      </c>
      <c r="I2960" s="3" t="s">
        <v>339</v>
      </c>
      <c r="J2960" s="3" t="str">
        <f>IF(I2960="","",IFERROR(VLOOKUP(I2960,Base_Datos!$D$2:$E$72,2,0),""))</f>
        <v>(1.5L)</v>
      </c>
      <c r="K2960" s="3" t="s">
        <v>2439</v>
      </c>
      <c r="L2960" s="3"/>
      <c r="M2960" s="7">
        <v>1</v>
      </c>
      <c r="N2960" s="7">
        <v>0</v>
      </c>
    </row>
    <row r="2961" spans="1:14" ht="14.25" x14ac:dyDescent="0.2">
      <c r="A2961" s="3">
        <v>89148</v>
      </c>
      <c r="B2961" s="3" t="s">
        <v>1857</v>
      </c>
      <c r="C2961" s="3" t="s">
        <v>16</v>
      </c>
      <c r="D2961" s="6"/>
      <c r="E2961" s="10" t="s">
        <v>400</v>
      </c>
      <c r="F2961" s="3" t="str">
        <f>IFERROR( VLOOKUP(A2961,#REF!,2,0),"")</f>
        <v/>
      </c>
      <c r="G2961" s="3" t="str">
        <f t="array" ref="G2961">_xlfn.XLOOKUP(I2961,Base_Datos!D:D,Base_Datos!B:B,"")</f>
        <v>DFSK</v>
      </c>
      <c r="H2961" s="3" t="str">
        <f t="array" ref="H2961">IF(I2961="","",IFERROR(_xlfn.XLOOKUP(I2961,Base_Datos!$D$2:$D3876,Base_Datos!$C$2:$C3876),""))</f>
        <v>Serie C</v>
      </c>
      <c r="I2961" s="3" t="s">
        <v>339</v>
      </c>
      <c r="J2961" s="3" t="str">
        <f>IF(I2961="","",IFERROR(VLOOKUP(I2961,Base_Datos!$D$2:$E$72,2,0),""))</f>
        <v>(1.5L)</v>
      </c>
      <c r="K2961" s="3" t="s">
        <v>2439</v>
      </c>
      <c r="L2961" s="3"/>
      <c r="M2961" s="7">
        <v>0</v>
      </c>
      <c r="N2961" s="7">
        <v>0</v>
      </c>
    </row>
    <row r="2962" spans="1:14" ht="14.25" x14ac:dyDescent="0.2">
      <c r="A2962" s="3">
        <v>89149</v>
      </c>
      <c r="B2962" s="3" t="s">
        <v>4867</v>
      </c>
      <c r="C2962" s="3" t="s">
        <v>16</v>
      </c>
      <c r="D2962" s="6"/>
      <c r="E2962" s="10" t="s">
        <v>4868</v>
      </c>
      <c r="F2962" s="3" t="str">
        <f>IFERROR( VLOOKUP(A2962,#REF!,2,0),"")</f>
        <v/>
      </c>
      <c r="G2962" s="3" t="str">
        <f t="array" ref="G2962">_xlfn.XLOOKUP(I2962,Base_Datos!D:D,Base_Datos!B:B,"")</f>
        <v>DFSK</v>
      </c>
      <c r="H2962" s="3" t="str">
        <f t="array" ref="H2962">IF(I2962="","",IFERROR(_xlfn.XLOOKUP(I2962,Base_Datos!$D$2:$D3876,Base_Datos!$C$2:$C3876),""))</f>
        <v>Serie C</v>
      </c>
      <c r="I2962" s="3" t="s">
        <v>343</v>
      </c>
      <c r="J2962" s="3" t="str">
        <f>IF(I2962="","",IFERROR(VLOOKUP(I2962,Base_Datos!$D$2:$E$72,2,0),""))</f>
        <v>(1.5L)</v>
      </c>
      <c r="K2962" s="3" t="s">
        <v>4869</v>
      </c>
      <c r="L2962" s="3"/>
      <c r="M2962" s="7">
        <v>35</v>
      </c>
      <c r="N2962" s="7">
        <v>0</v>
      </c>
    </row>
    <row r="2963" spans="1:14" ht="14.25" x14ac:dyDescent="0.2">
      <c r="A2963" s="3">
        <v>89152</v>
      </c>
      <c r="B2963" s="3" t="s">
        <v>4870</v>
      </c>
      <c r="C2963" s="3" t="s">
        <v>16</v>
      </c>
      <c r="D2963" s="6"/>
      <c r="E2963" s="10" t="s">
        <v>4871</v>
      </c>
      <c r="F2963" s="3" t="str">
        <f>IFERROR( VLOOKUP(A2963,#REF!,2,0),"")</f>
        <v/>
      </c>
      <c r="G2963" s="3" t="str">
        <f t="array" ref="G2963">_xlfn.XLOOKUP(I2963,Base_Datos!D:D,Base_Datos!B:B,"")</f>
        <v>DFSK</v>
      </c>
      <c r="H2963" s="3" t="str">
        <f t="array" ref="H2963">IF(I2963="","",IFERROR(_xlfn.XLOOKUP(I2963,Base_Datos!$D$2:$D3876,Base_Datos!$C$2:$C3876),""))</f>
        <v>Serie C</v>
      </c>
      <c r="I2963" s="3" t="s">
        <v>332</v>
      </c>
      <c r="J2963" s="3" t="str">
        <f>IF(I2963="","",IFERROR(VLOOKUP(I2963,Base_Datos!$D$2:$E$72,2,0),""))</f>
        <v>(1.5L)</v>
      </c>
      <c r="K2963" s="3"/>
      <c r="L2963" s="3"/>
      <c r="M2963" s="7">
        <v>0</v>
      </c>
      <c r="N2963" s="7">
        <v>0</v>
      </c>
    </row>
    <row r="2964" spans="1:14" ht="14.25" x14ac:dyDescent="0.2">
      <c r="A2964" s="3">
        <v>89153</v>
      </c>
      <c r="B2964" s="3" t="s">
        <v>2411</v>
      </c>
      <c r="C2964" s="3" t="s">
        <v>16</v>
      </c>
      <c r="D2964" s="6"/>
      <c r="E2964" s="10" t="s">
        <v>399</v>
      </c>
      <c r="F2964" s="3" t="str">
        <f>IFERROR( VLOOKUP(A2964,#REF!,2,0),"")</f>
        <v/>
      </c>
      <c r="G2964" s="3" t="str">
        <f t="array" ref="G2964">_xlfn.XLOOKUP(I2964,Base_Datos!D:D,Base_Datos!B:B,"")</f>
        <v>DFSK</v>
      </c>
      <c r="H2964" s="3" t="str">
        <f t="array" ref="H2964">IF(I2964="","",IFERROR(_xlfn.XLOOKUP(I2964,Base_Datos!$D$2:$D3876,Base_Datos!$C$2:$C3876),""))</f>
        <v>Serie C</v>
      </c>
      <c r="I2964" s="3" t="s">
        <v>332</v>
      </c>
      <c r="J2964" s="3" t="str">
        <f>IF(I2964="","",IFERROR(VLOOKUP(I2964,Base_Datos!$D$2:$E$72,2,0),""))</f>
        <v>(1.5L)</v>
      </c>
      <c r="K2964" s="3"/>
      <c r="L2964" s="3"/>
      <c r="M2964" s="7">
        <v>0</v>
      </c>
      <c r="N2964" s="7">
        <v>0</v>
      </c>
    </row>
    <row r="2965" spans="1:14" ht="14.25" x14ac:dyDescent="0.2">
      <c r="A2965" s="3">
        <v>89154</v>
      </c>
      <c r="B2965" s="3" t="s">
        <v>3148</v>
      </c>
      <c r="C2965" s="3" t="s">
        <v>16</v>
      </c>
      <c r="D2965" s="6"/>
      <c r="E2965" s="10" t="s">
        <v>4872</v>
      </c>
      <c r="F2965" s="3" t="str">
        <f>IFERROR( VLOOKUP(A2965,#REF!,2,0),"")</f>
        <v/>
      </c>
      <c r="G2965" s="3" t="str">
        <f t="array" ref="G2965">_xlfn.XLOOKUP(I2965,Base_Datos!D:D,Base_Datos!B:B,"")</f>
        <v>DFSK</v>
      </c>
      <c r="H2965" s="3" t="str">
        <f t="array" ref="H2965">IF(I2965="","",IFERROR(_xlfn.XLOOKUP(I2965,Base_Datos!$D$2:$D3876,Base_Datos!$C$2:$C3876),""))</f>
        <v>Serie C</v>
      </c>
      <c r="I2965" s="3" t="s">
        <v>332</v>
      </c>
      <c r="J2965" s="3" t="str">
        <f>IF(I2965="","",IFERROR(VLOOKUP(I2965,Base_Datos!$D$2:$E$72,2,0),""))</f>
        <v>(1.5L)</v>
      </c>
      <c r="K2965" s="3"/>
      <c r="L2965" s="3"/>
      <c r="M2965" s="7">
        <v>20</v>
      </c>
      <c r="N2965" s="7">
        <v>0</v>
      </c>
    </row>
    <row r="2966" spans="1:14" ht="14.25" x14ac:dyDescent="0.2">
      <c r="A2966" s="3">
        <v>89157</v>
      </c>
      <c r="B2966" s="3" t="s">
        <v>4873</v>
      </c>
      <c r="C2966" s="3" t="s">
        <v>16</v>
      </c>
      <c r="D2966" s="6"/>
      <c r="E2966" s="10"/>
      <c r="F2966" s="3" t="str">
        <f>IFERROR( VLOOKUP(A2966,#REF!,2,0),"")</f>
        <v/>
      </c>
      <c r="G2966" s="3" t="str">
        <f t="array" ref="G2966">_xlfn.XLOOKUP(I2966,Base_Datos!D:D,Base_Datos!B:B,"")</f>
        <v>DFSK</v>
      </c>
      <c r="H2966" s="3" t="str">
        <f t="array" ref="H2966">IF(I2966="","",IFERROR(_xlfn.XLOOKUP(I2966,Base_Datos!$D$2:$D3876,Base_Datos!$C$2:$C3876),""))</f>
        <v>Serie C</v>
      </c>
      <c r="I2966" s="3" t="s">
        <v>332</v>
      </c>
      <c r="J2966" s="3" t="str">
        <f>IF(I2966="","",IFERROR(VLOOKUP(I2966,Base_Datos!$D$2:$E$72,2,0),""))</f>
        <v>(1.5L)</v>
      </c>
      <c r="K2966" s="3"/>
      <c r="L2966" s="3"/>
      <c r="M2966" s="7">
        <v>0</v>
      </c>
      <c r="N2966" s="7">
        <v>0</v>
      </c>
    </row>
    <row r="2967" spans="1:14" ht="14.25" x14ac:dyDescent="0.2">
      <c r="A2967" s="3">
        <v>89158</v>
      </c>
      <c r="B2967" s="3" t="s">
        <v>4874</v>
      </c>
      <c r="C2967" s="3" t="s">
        <v>16</v>
      </c>
      <c r="D2967" s="6"/>
      <c r="E2967" s="10"/>
      <c r="F2967" s="3" t="str">
        <f>IFERROR( VLOOKUP(A2967,#REF!,2,0),"")</f>
        <v/>
      </c>
      <c r="G2967" s="3" t="str">
        <f t="array" ref="G2967">_xlfn.XLOOKUP(I2967,Base_Datos!D:D,Base_Datos!B:B,"")</f>
        <v>DFSK</v>
      </c>
      <c r="H2967" s="3" t="str">
        <f t="array" ref="H2967">IF(I2967="","",IFERROR(_xlfn.XLOOKUP(I2967,Base_Datos!$D$2:$D3876,Base_Datos!$C$2:$C3876),""))</f>
        <v>Serie C</v>
      </c>
      <c r="I2967" s="3" t="s">
        <v>332</v>
      </c>
      <c r="J2967" s="3" t="str">
        <f>IF(I2967="","",IFERROR(VLOOKUP(I2967,Base_Datos!$D$2:$E$72,2,0),""))</f>
        <v>(1.5L)</v>
      </c>
      <c r="K2967" s="3"/>
      <c r="L2967" s="3"/>
      <c r="M2967" s="7">
        <v>0</v>
      </c>
      <c r="N2967" s="7">
        <v>0</v>
      </c>
    </row>
    <row r="2968" spans="1:14" ht="14.25" x14ac:dyDescent="0.2">
      <c r="A2968" s="3">
        <v>89164</v>
      </c>
      <c r="B2968" s="3" t="s">
        <v>4875</v>
      </c>
      <c r="C2968" s="3" t="s">
        <v>16</v>
      </c>
      <c r="D2968" s="6"/>
      <c r="E2968" s="10" t="s">
        <v>2424</v>
      </c>
      <c r="F2968" s="3" t="str">
        <f>IFERROR( VLOOKUP(A2968,#REF!,2,0),"")</f>
        <v/>
      </c>
      <c r="G2968" s="3" t="str">
        <f t="array" ref="G2968">_xlfn.XLOOKUP(I2968,Base_Datos!D:D,Base_Datos!B:B,"")</f>
        <v>DFSK</v>
      </c>
      <c r="H2968" s="3" t="str">
        <f t="array" ref="H2968">IF(I2968="","",IFERROR(_xlfn.XLOOKUP(I2968,Base_Datos!$D$2:$D3876,Base_Datos!$C$2:$C3876),""))</f>
        <v>Serie C</v>
      </c>
      <c r="I2968" s="3" t="s">
        <v>343</v>
      </c>
      <c r="J2968" s="3" t="str">
        <f>IF(I2968="","",IFERROR(VLOOKUP(I2968,Base_Datos!$D$2:$E$72,2,0),""))</f>
        <v>(1.5L)</v>
      </c>
      <c r="K2968" s="3"/>
      <c r="L2968" s="3"/>
      <c r="M2968" s="7">
        <v>4</v>
      </c>
      <c r="N2968" s="7">
        <v>0</v>
      </c>
    </row>
    <row r="2969" spans="1:14" ht="14.25" x14ac:dyDescent="0.2">
      <c r="A2969" s="3">
        <v>89167</v>
      </c>
      <c r="B2969" s="3" t="s">
        <v>3403</v>
      </c>
      <c r="C2969" s="3" t="s">
        <v>16</v>
      </c>
      <c r="D2969" s="6"/>
      <c r="E2969" s="10" t="s">
        <v>371</v>
      </c>
      <c r="F2969" s="3" t="str">
        <f>IFERROR( VLOOKUP(A2969,#REF!,2,0),"")</f>
        <v/>
      </c>
      <c r="G2969" s="3" t="str">
        <f t="array" ref="G2969">_xlfn.XLOOKUP(I2969,Base_Datos!D:D,Base_Datos!B:B,"")</f>
        <v>DFSK</v>
      </c>
      <c r="H2969" s="3" t="str">
        <f t="array" ref="H2969">IF(I2969="","",IFERROR(_xlfn.XLOOKUP(I2969,Base_Datos!$D$2:$D3876,Base_Datos!$C$2:$C3876),""))</f>
        <v>Serie C</v>
      </c>
      <c r="I2969" s="3" t="s">
        <v>339</v>
      </c>
      <c r="J2969" s="3" t="str">
        <f>IF(I2969="","",IFERROR(VLOOKUP(I2969,Base_Datos!$D$2:$E$72,2,0),""))</f>
        <v>(1.5L)</v>
      </c>
      <c r="K2969" s="3"/>
      <c r="L2969" s="3"/>
      <c r="M2969" s="7">
        <v>1</v>
      </c>
      <c r="N2969" s="7">
        <v>0</v>
      </c>
    </row>
    <row r="2970" spans="1:14" ht="14.25" x14ac:dyDescent="0.2">
      <c r="A2970" s="3">
        <v>89168</v>
      </c>
      <c r="B2970" s="3" t="s">
        <v>4876</v>
      </c>
      <c r="C2970" s="3" t="s">
        <v>16</v>
      </c>
      <c r="D2970" s="6"/>
      <c r="E2970" s="10" t="s">
        <v>345</v>
      </c>
      <c r="F2970" s="3" t="str">
        <f>IFERROR( VLOOKUP(A2970,#REF!,2,0),"")</f>
        <v/>
      </c>
      <c r="G2970" s="3" t="str">
        <f t="array" ref="G2970">_xlfn.XLOOKUP(I2970,Base_Datos!D:D,Base_Datos!B:B,"")</f>
        <v>DFSK</v>
      </c>
      <c r="H2970" s="3" t="str">
        <f t="array" ref="H2970">IF(I2970="","",IFERROR(_xlfn.XLOOKUP(I2970,Base_Datos!$D$2:$D3876,Base_Datos!$C$2:$C3876),""))</f>
        <v>Serie C</v>
      </c>
      <c r="I2970" s="3" t="s">
        <v>343</v>
      </c>
      <c r="J2970" s="3" t="str">
        <f>IF(I2970="","",IFERROR(VLOOKUP(I2970,Base_Datos!$D$2:$E$72,2,0),""))</f>
        <v>(1.5L)</v>
      </c>
      <c r="K2970" s="3"/>
      <c r="L2970" s="3"/>
      <c r="M2970" s="7">
        <v>15</v>
      </c>
      <c r="N2970" s="7">
        <v>0</v>
      </c>
    </row>
    <row r="2971" spans="1:14" ht="14.25" x14ac:dyDescent="0.2">
      <c r="A2971" s="3">
        <v>89169</v>
      </c>
      <c r="B2971" s="3" t="s">
        <v>3489</v>
      </c>
      <c r="C2971" s="3" t="s">
        <v>16</v>
      </c>
      <c r="D2971" s="6"/>
      <c r="E2971" s="10" t="s">
        <v>346</v>
      </c>
      <c r="F2971" s="3" t="str">
        <f>IFERROR( VLOOKUP(A2971,#REF!,2,0),"")</f>
        <v/>
      </c>
      <c r="G2971" s="3" t="str">
        <f t="array" ref="G2971">_xlfn.XLOOKUP(I2971,Base_Datos!D:D,Base_Datos!B:B,"")</f>
        <v>DFSK</v>
      </c>
      <c r="H2971" s="3" t="str">
        <f t="array" ref="H2971">IF(I2971="","",IFERROR(_xlfn.XLOOKUP(I2971,Base_Datos!$D$2:$D3876,Base_Datos!$C$2:$C3876),""))</f>
        <v>Serie C</v>
      </c>
      <c r="I2971" s="3" t="s">
        <v>343</v>
      </c>
      <c r="J2971" s="3" t="str">
        <f>IF(I2971="","",IFERROR(VLOOKUP(I2971,Base_Datos!$D$2:$E$72,2,0),""))</f>
        <v>(1.5L)</v>
      </c>
      <c r="K2971" s="3"/>
      <c r="L2971" s="3"/>
      <c r="M2971" s="7">
        <v>2</v>
      </c>
      <c r="N2971" s="7">
        <v>0</v>
      </c>
    </row>
    <row r="2972" spans="1:14" ht="14.25" x14ac:dyDescent="0.2">
      <c r="A2972" s="3">
        <v>89171</v>
      </c>
      <c r="B2972" s="3" t="s">
        <v>2707</v>
      </c>
      <c r="C2972" s="3" t="s">
        <v>16</v>
      </c>
      <c r="D2972" s="6"/>
      <c r="E2972" s="10" t="s">
        <v>348</v>
      </c>
      <c r="F2972" s="3" t="str">
        <f>IFERROR( VLOOKUP(A2972,#REF!,2,0),"")</f>
        <v/>
      </c>
      <c r="G2972" s="3" t="str">
        <f t="array" ref="G2972">_xlfn.XLOOKUP(I2972,Base_Datos!D:D,Base_Datos!B:B,"")</f>
        <v>DFSK</v>
      </c>
      <c r="H2972" s="3" t="str">
        <f t="array" ref="H2972">IF(I2972="","",IFERROR(_xlfn.XLOOKUP(I2972,Base_Datos!$D$2:$D3876,Base_Datos!$C$2:$C3876),""))</f>
        <v>Serie C</v>
      </c>
      <c r="I2972" s="3" t="s">
        <v>343</v>
      </c>
      <c r="J2972" s="3" t="str">
        <f>IF(I2972="","",IFERROR(VLOOKUP(I2972,Base_Datos!$D$2:$E$72,2,0),""))</f>
        <v>(1.5L)</v>
      </c>
      <c r="K2972" s="3"/>
      <c r="L2972" s="3"/>
      <c r="M2972" s="7">
        <v>14</v>
      </c>
      <c r="N2972" s="7">
        <v>0</v>
      </c>
    </row>
    <row r="2973" spans="1:14" ht="14.25" x14ac:dyDescent="0.2">
      <c r="A2973" s="3">
        <v>89174</v>
      </c>
      <c r="B2973" s="3" t="s">
        <v>4877</v>
      </c>
      <c r="C2973" s="3" t="s">
        <v>16</v>
      </c>
      <c r="D2973" s="6"/>
      <c r="E2973" s="10" t="s">
        <v>351</v>
      </c>
      <c r="F2973" s="3" t="str">
        <f>IFERROR( VLOOKUP(A2973,#REF!,2,0),"")</f>
        <v/>
      </c>
      <c r="G2973" s="3" t="str">
        <f t="array" ref="G2973">_xlfn.XLOOKUP(I2973,Base_Datos!D:D,Base_Datos!B:B,"")</f>
        <v>DFSK</v>
      </c>
      <c r="H2973" s="3" t="str">
        <f t="array" ref="H2973">IF(I2973="","",IFERROR(_xlfn.XLOOKUP(I2973,Base_Datos!$D$2:$D3876,Base_Datos!$C$2:$C3876),""))</f>
        <v>Serie C</v>
      </c>
      <c r="I2973" s="3" t="s">
        <v>343</v>
      </c>
      <c r="J2973" s="3" t="str">
        <f>IF(I2973="","",IFERROR(VLOOKUP(I2973,Base_Datos!$D$2:$E$72,2,0),""))</f>
        <v>(1.5L)</v>
      </c>
      <c r="K2973" s="3"/>
      <c r="L2973" s="3"/>
      <c r="M2973" s="7">
        <v>7</v>
      </c>
      <c r="N2973" s="7">
        <v>0</v>
      </c>
    </row>
    <row r="2974" spans="1:14" ht="14.25" x14ac:dyDescent="0.2">
      <c r="A2974" s="3">
        <v>89175</v>
      </c>
      <c r="B2974" s="3" t="s">
        <v>3574</v>
      </c>
      <c r="C2974" s="3" t="s">
        <v>16</v>
      </c>
      <c r="D2974" s="6"/>
      <c r="E2974" s="10" t="s">
        <v>352</v>
      </c>
      <c r="F2974" s="3" t="str">
        <f>IFERROR( VLOOKUP(A2974,#REF!,2,0),"")</f>
        <v/>
      </c>
      <c r="G2974" s="3" t="str">
        <f t="array" ref="G2974">_xlfn.XLOOKUP(I2974,Base_Datos!D:D,Base_Datos!B:B,"")</f>
        <v>DFSK</v>
      </c>
      <c r="H2974" s="3" t="str">
        <f t="array" ref="H2974">IF(I2974="","",IFERROR(_xlfn.XLOOKUP(I2974,Base_Datos!$D$2:$D3876,Base_Datos!$C$2:$C3876),""))</f>
        <v>Serie C</v>
      </c>
      <c r="I2974" s="3" t="s">
        <v>343</v>
      </c>
      <c r="J2974" s="3" t="str">
        <f>IF(I2974="","",IFERROR(VLOOKUP(I2974,Base_Datos!$D$2:$E$72,2,0),""))</f>
        <v>(1.5L)</v>
      </c>
      <c r="K2974" s="3"/>
      <c r="L2974" s="3"/>
      <c r="M2974" s="7">
        <v>7</v>
      </c>
      <c r="N2974" s="7">
        <v>0</v>
      </c>
    </row>
    <row r="2975" spans="1:14" ht="14.25" x14ac:dyDescent="0.2">
      <c r="A2975" s="3">
        <v>89176</v>
      </c>
      <c r="B2975" s="3" t="s">
        <v>4878</v>
      </c>
      <c r="C2975" s="3" t="s">
        <v>16</v>
      </c>
      <c r="D2975" s="6"/>
      <c r="E2975" s="10" t="s">
        <v>353</v>
      </c>
      <c r="F2975" s="3" t="str">
        <f>IFERROR( VLOOKUP(A2975,#REF!,2,0),"")</f>
        <v/>
      </c>
      <c r="G2975" s="3" t="str">
        <f t="array" ref="G2975">_xlfn.XLOOKUP(I2975,Base_Datos!D:D,Base_Datos!B:B,"")</f>
        <v>DFSK</v>
      </c>
      <c r="H2975" s="3" t="str">
        <f t="array" ref="H2975">IF(I2975="","",IFERROR(_xlfn.XLOOKUP(I2975,Base_Datos!$D$2:$D3876,Base_Datos!$C$2:$C3876),""))</f>
        <v>Serie C</v>
      </c>
      <c r="I2975" s="3" t="s">
        <v>343</v>
      </c>
      <c r="J2975" s="3" t="str">
        <f>IF(I2975="","",IFERROR(VLOOKUP(I2975,Base_Datos!$D$2:$E$72,2,0),""))</f>
        <v>(1.5L)</v>
      </c>
      <c r="K2975" s="3"/>
      <c r="L2975" s="3"/>
      <c r="M2975" s="7">
        <v>18</v>
      </c>
      <c r="N2975" s="7">
        <v>0</v>
      </c>
    </row>
    <row r="2976" spans="1:14" ht="14.25" x14ac:dyDescent="0.2">
      <c r="A2976" s="3">
        <v>89178</v>
      </c>
      <c r="B2976" s="3" t="s">
        <v>4879</v>
      </c>
      <c r="C2976" s="3" t="s">
        <v>16</v>
      </c>
      <c r="D2976" s="6"/>
      <c r="E2976" s="10" t="s">
        <v>355</v>
      </c>
      <c r="F2976" s="3" t="str">
        <f>IFERROR( VLOOKUP(A2976,#REF!,2,0),"")</f>
        <v/>
      </c>
      <c r="G2976" s="3" t="str">
        <f t="array" ref="G2976">_xlfn.XLOOKUP(I2976,Base_Datos!D:D,Base_Datos!B:B,"")</f>
        <v>DFSK</v>
      </c>
      <c r="H2976" s="3" t="str">
        <f t="array" ref="H2976">IF(I2976="","",IFERROR(_xlfn.XLOOKUP(I2976,Base_Datos!$D$2:$D3876,Base_Datos!$C$2:$C3876),""))</f>
        <v>Serie C</v>
      </c>
      <c r="I2976" s="3" t="s">
        <v>343</v>
      </c>
      <c r="J2976" s="3" t="str">
        <f>IF(I2976="","",IFERROR(VLOOKUP(I2976,Base_Datos!$D$2:$E$72,2,0),""))</f>
        <v>(1.5L)</v>
      </c>
      <c r="K2976" s="3"/>
      <c r="L2976" s="3"/>
      <c r="M2976" s="7">
        <v>8</v>
      </c>
      <c r="N2976" s="7">
        <v>0</v>
      </c>
    </row>
    <row r="2977" spans="1:14" ht="14.25" x14ac:dyDescent="0.2">
      <c r="A2977" s="3">
        <v>89183</v>
      </c>
      <c r="B2977" s="3" t="s">
        <v>4880</v>
      </c>
      <c r="C2977" s="3" t="s">
        <v>16</v>
      </c>
      <c r="D2977" s="6"/>
      <c r="E2977" s="10" t="s">
        <v>360</v>
      </c>
      <c r="F2977" s="3" t="str">
        <f>IFERROR( VLOOKUP(A2977,#REF!,2,0),"")</f>
        <v/>
      </c>
      <c r="G2977" s="3" t="str">
        <f t="array" ref="G2977">_xlfn.XLOOKUP(I2977,Base_Datos!D:D,Base_Datos!B:B,"")</f>
        <v>DFSK</v>
      </c>
      <c r="H2977" s="3" t="str">
        <f t="array" ref="H2977">IF(I2977="","",IFERROR(_xlfn.XLOOKUP(I2977,Base_Datos!$D$2:$D3876,Base_Datos!$C$2:$C3876),""))</f>
        <v>Serie C</v>
      </c>
      <c r="I2977" s="3" t="s">
        <v>343</v>
      </c>
      <c r="J2977" s="3" t="str">
        <f>IF(I2977="","",IFERROR(VLOOKUP(I2977,Base_Datos!$D$2:$E$72,2,0),""))</f>
        <v>(1.5L)</v>
      </c>
      <c r="K2977" s="3"/>
      <c r="L2977" s="3"/>
      <c r="M2977" s="7">
        <v>8</v>
      </c>
      <c r="N2977" s="7">
        <v>0</v>
      </c>
    </row>
    <row r="2978" spans="1:14" ht="14.25" x14ac:dyDescent="0.2">
      <c r="A2978" s="3">
        <v>89184</v>
      </c>
      <c r="B2978" s="3" t="s">
        <v>4881</v>
      </c>
      <c r="C2978" s="3" t="s">
        <v>16</v>
      </c>
      <c r="D2978" s="6"/>
      <c r="E2978" s="10" t="s">
        <v>361</v>
      </c>
      <c r="F2978" s="3" t="str">
        <f>IFERROR( VLOOKUP(A2978,#REF!,2,0),"")</f>
        <v/>
      </c>
      <c r="G2978" s="3" t="str">
        <f t="array" ref="G2978">_xlfn.XLOOKUP(I2978,Base_Datos!D:D,Base_Datos!B:B,"")</f>
        <v>DFSK</v>
      </c>
      <c r="H2978" s="3" t="str">
        <f t="array" ref="H2978">IF(I2978="","",IFERROR(_xlfn.XLOOKUP(I2978,Base_Datos!$D$2:$D3876,Base_Datos!$C$2:$C3876),""))</f>
        <v>Serie C</v>
      </c>
      <c r="I2978" s="3" t="s">
        <v>343</v>
      </c>
      <c r="J2978" s="3" t="str">
        <f>IF(I2978="","",IFERROR(VLOOKUP(I2978,Base_Datos!$D$2:$E$72,2,0),""))</f>
        <v>(1.5L)</v>
      </c>
      <c r="K2978" s="3"/>
      <c r="L2978" s="3"/>
      <c r="M2978" s="7">
        <v>5</v>
      </c>
      <c r="N2978" s="7">
        <v>0</v>
      </c>
    </row>
    <row r="2979" spans="1:14" ht="14.25" x14ac:dyDescent="0.2">
      <c r="A2979" s="3">
        <v>89185</v>
      </c>
      <c r="B2979" s="3" t="s">
        <v>4882</v>
      </c>
      <c r="C2979" s="3" t="s">
        <v>16</v>
      </c>
      <c r="D2979" s="6"/>
      <c r="E2979" s="10" t="s">
        <v>362</v>
      </c>
      <c r="F2979" s="3" t="str">
        <f>IFERROR( VLOOKUP(A2979,#REF!,2,0),"")</f>
        <v/>
      </c>
      <c r="G2979" s="3" t="str">
        <f t="array" ref="G2979">_xlfn.XLOOKUP(I2979,Base_Datos!D:D,Base_Datos!B:B,"")</f>
        <v>DFSK</v>
      </c>
      <c r="H2979" s="3" t="str">
        <f t="array" ref="H2979">IF(I2979="","",IFERROR(_xlfn.XLOOKUP(I2979,Base_Datos!$D$2:$D3876,Base_Datos!$C$2:$C3876),""))</f>
        <v>Serie C</v>
      </c>
      <c r="I2979" s="3" t="s">
        <v>343</v>
      </c>
      <c r="J2979" s="3" t="str">
        <f>IF(I2979="","",IFERROR(VLOOKUP(I2979,Base_Datos!$D$2:$E$72,2,0),""))</f>
        <v>(1.5L)</v>
      </c>
      <c r="K2979" s="3"/>
      <c r="L2979" s="3"/>
      <c r="M2979" s="7">
        <v>5</v>
      </c>
      <c r="N2979" s="7">
        <v>0</v>
      </c>
    </row>
    <row r="2980" spans="1:14" ht="14.25" x14ac:dyDescent="0.2">
      <c r="A2980" s="3">
        <v>89186</v>
      </c>
      <c r="B2980" s="3" t="s">
        <v>4883</v>
      </c>
      <c r="C2980" s="3" t="s">
        <v>16</v>
      </c>
      <c r="D2980" s="6"/>
      <c r="E2980" s="10" t="s">
        <v>363</v>
      </c>
      <c r="F2980" s="3" t="str">
        <f>IFERROR( VLOOKUP(A2980,#REF!,2,0),"")</f>
        <v/>
      </c>
      <c r="G2980" s="3" t="str">
        <f t="array" ref="G2980">_xlfn.XLOOKUP(I2980,Base_Datos!D:D,Base_Datos!B:B,"")</f>
        <v>DFSK</v>
      </c>
      <c r="H2980" s="3" t="str">
        <f t="array" ref="H2980">IF(I2980="","",IFERROR(_xlfn.XLOOKUP(I2980,Base_Datos!$D$2:$D3876,Base_Datos!$C$2:$C3876),""))</f>
        <v>Serie C</v>
      </c>
      <c r="I2980" s="3" t="s">
        <v>343</v>
      </c>
      <c r="J2980" s="3" t="str">
        <f>IF(I2980="","",IFERROR(VLOOKUP(I2980,Base_Datos!$D$2:$E$72,2,0),""))</f>
        <v>(1.5L)</v>
      </c>
      <c r="K2980" s="3"/>
      <c r="L2980" s="3"/>
      <c r="M2980" s="7">
        <v>20</v>
      </c>
      <c r="N2980" s="7">
        <v>0</v>
      </c>
    </row>
    <row r="2981" spans="1:14" ht="14.25" x14ac:dyDescent="0.2">
      <c r="A2981" s="3">
        <v>89187</v>
      </c>
      <c r="B2981" s="3" t="s">
        <v>3739</v>
      </c>
      <c r="C2981" s="3" t="s">
        <v>16</v>
      </c>
      <c r="D2981" s="6"/>
      <c r="E2981" s="10" t="s">
        <v>364</v>
      </c>
      <c r="F2981" s="3" t="str">
        <f>IFERROR( VLOOKUP(A2981,#REF!,2,0),"")</f>
        <v/>
      </c>
      <c r="G2981" s="3" t="str">
        <f t="array" ref="G2981">_xlfn.XLOOKUP(I2981,Base_Datos!D:D,Base_Datos!B:B,"")</f>
        <v>DFSK</v>
      </c>
      <c r="H2981" s="3" t="str">
        <f t="array" ref="H2981">IF(I2981="","",IFERROR(_xlfn.XLOOKUP(I2981,Base_Datos!$D$2:$D3876,Base_Datos!$C$2:$C3876),""))</f>
        <v>Serie C</v>
      </c>
      <c r="I2981" s="3" t="s">
        <v>343</v>
      </c>
      <c r="J2981" s="3" t="str">
        <f>IF(I2981="","",IFERROR(VLOOKUP(I2981,Base_Datos!$D$2:$E$72,2,0),""))</f>
        <v>(1.5L)</v>
      </c>
      <c r="K2981" s="3"/>
      <c r="L2981" s="3"/>
      <c r="M2981" s="7">
        <v>20</v>
      </c>
      <c r="N2981" s="7">
        <v>0</v>
      </c>
    </row>
    <row r="2982" spans="1:14" ht="14.25" x14ac:dyDescent="0.2">
      <c r="A2982" s="3">
        <v>89188</v>
      </c>
      <c r="B2982" s="3" t="s">
        <v>4884</v>
      </c>
      <c r="C2982" s="3" t="s">
        <v>16</v>
      </c>
      <c r="D2982" s="6"/>
      <c r="E2982" s="10" t="s">
        <v>365</v>
      </c>
      <c r="F2982" s="3" t="str">
        <f>IFERROR( VLOOKUP(A2982,#REF!,2,0),"")</f>
        <v/>
      </c>
      <c r="G2982" s="3" t="str">
        <f t="array" ref="G2982">_xlfn.XLOOKUP(I2982,Base_Datos!D:D,Base_Datos!B:B,"")</f>
        <v>DFSK</v>
      </c>
      <c r="H2982" s="3" t="str">
        <f t="array" ref="H2982">IF(I2982="","",IFERROR(_xlfn.XLOOKUP(I2982,Base_Datos!$D$2:$D3876,Base_Datos!$C$2:$C3876),""))</f>
        <v>Serie C</v>
      </c>
      <c r="I2982" s="3" t="s">
        <v>343</v>
      </c>
      <c r="J2982" s="3" t="str">
        <f>IF(I2982="","",IFERROR(VLOOKUP(I2982,Base_Datos!$D$2:$E$72,2,0),""))</f>
        <v>(1.5L)</v>
      </c>
      <c r="K2982" s="3"/>
      <c r="L2982" s="3"/>
      <c r="M2982" s="7">
        <v>5</v>
      </c>
      <c r="N2982" s="7">
        <v>0</v>
      </c>
    </row>
    <row r="2983" spans="1:14" ht="14.25" x14ac:dyDescent="0.2">
      <c r="A2983" s="3">
        <v>89189</v>
      </c>
      <c r="B2983" s="3" t="s">
        <v>4885</v>
      </c>
      <c r="C2983" s="3" t="s">
        <v>16</v>
      </c>
      <c r="D2983" s="6"/>
      <c r="E2983" s="10" t="s">
        <v>366</v>
      </c>
      <c r="F2983" s="3" t="str">
        <f>IFERROR( VLOOKUP(A2983,#REF!,2,0),"")</f>
        <v/>
      </c>
      <c r="G2983" s="3" t="str">
        <f t="array" ref="G2983">_xlfn.XLOOKUP(I2983,Base_Datos!D:D,Base_Datos!B:B,"")</f>
        <v>DFSK</v>
      </c>
      <c r="H2983" s="3" t="str">
        <f t="array" ref="H2983">IF(I2983="","",IFERROR(_xlfn.XLOOKUP(I2983,Base_Datos!$D$2:$D3876,Base_Datos!$C$2:$C3876),""))</f>
        <v>Serie C</v>
      </c>
      <c r="I2983" s="3" t="s">
        <v>343</v>
      </c>
      <c r="J2983" s="3" t="str">
        <f>IF(I2983="","",IFERROR(VLOOKUP(I2983,Base_Datos!$D$2:$E$72,2,0),""))</f>
        <v>(1.5L)</v>
      </c>
      <c r="K2983" s="3"/>
      <c r="L2983" s="3"/>
      <c r="M2983" s="7">
        <v>15</v>
      </c>
      <c r="N2983" s="7">
        <v>0</v>
      </c>
    </row>
    <row r="2984" spans="1:14" ht="14.25" x14ac:dyDescent="0.2">
      <c r="A2984" s="3">
        <v>89191</v>
      </c>
      <c r="B2984" s="3" t="s">
        <v>3552</v>
      </c>
      <c r="C2984" s="3" t="s">
        <v>16</v>
      </c>
      <c r="D2984" s="6"/>
      <c r="E2984" s="10" t="s">
        <v>367</v>
      </c>
      <c r="F2984" s="3" t="str">
        <f>IFERROR( VLOOKUP(A2984,#REF!,2,0),"")</f>
        <v/>
      </c>
      <c r="G2984" s="3" t="str">
        <f t="array" ref="G2984">_xlfn.XLOOKUP(I2984,Base_Datos!D:D,Base_Datos!B:B,"")</f>
        <v>DFSK</v>
      </c>
      <c r="H2984" s="3" t="str">
        <f t="array" ref="H2984">IF(I2984="","",IFERROR(_xlfn.XLOOKUP(I2984,Base_Datos!$D$2:$D3876,Base_Datos!$C$2:$C3876),""))</f>
        <v>Serie C</v>
      </c>
      <c r="I2984" s="3" t="s">
        <v>343</v>
      </c>
      <c r="J2984" s="3" t="str">
        <f>IF(I2984="","",IFERROR(VLOOKUP(I2984,Base_Datos!$D$2:$E$72,2,0),""))</f>
        <v>(1.5L)</v>
      </c>
      <c r="K2984" s="3"/>
      <c r="L2984" s="3"/>
      <c r="M2984" s="7">
        <v>1</v>
      </c>
      <c r="N2984" s="7">
        <v>0</v>
      </c>
    </row>
    <row r="2985" spans="1:14" ht="14.25" x14ac:dyDescent="0.2">
      <c r="A2985" s="3">
        <v>89192</v>
      </c>
      <c r="B2985" s="3" t="s">
        <v>4886</v>
      </c>
      <c r="C2985" s="3" t="s">
        <v>16</v>
      </c>
      <c r="D2985" s="6"/>
      <c r="E2985" s="10" t="s">
        <v>368</v>
      </c>
      <c r="F2985" s="3" t="str">
        <f>IFERROR( VLOOKUP(A2985,#REF!,2,0),"")</f>
        <v/>
      </c>
      <c r="G2985" s="3" t="str">
        <f t="array" ref="G2985">_xlfn.XLOOKUP(I2985,Base_Datos!D:D,Base_Datos!B:B,"")</f>
        <v>DFSK</v>
      </c>
      <c r="H2985" s="3" t="str">
        <f t="array" ref="H2985">IF(I2985="","",IFERROR(_xlfn.XLOOKUP(I2985,Base_Datos!$D$2:$D3876,Base_Datos!$C$2:$C3876),""))</f>
        <v>Serie C</v>
      </c>
      <c r="I2985" s="3" t="s">
        <v>343</v>
      </c>
      <c r="J2985" s="3" t="str">
        <f>IF(I2985="","",IFERROR(VLOOKUP(I2985,Base_Datos!$D$2:$E$72,2,0),""))</f>
        <v>(1.5L)</v>
      </c>
      <c r="K2985" s="3"/>
      <c r="L2985" s="3"/>
      <c r="M2985" s="7">
        <v>5</v>
      </c>
      <c r="N2985" s="7">
        <v>0</v>
      </c>
    </row>
    <row r="2986" spans="1:14" ht="14.25" x14ac:dyDescent="0.2">
      <c r="A2986" s="3">
        <v>89193</v>
      </c>
      <c r="B2986" s="3" t="s">
        <v>4887</v>
      </c>
      <c r="C2986" s="3" t="s">
        <v>16</v>
      </c>
      <c r="D2986" s="6"/>
      <c r="E2986" s="10" t="s">
        <v>369</v>
      </c>
      <c r="F2986" s="3" t="str">
        <f>IFERROR( VLOOKUP(A2986,#REF!,2,0),"")</f>
        <v/>
      </c>
      <c r="G2986" s="3" t="str">
        <f t="array" ref="G2986">_xlfn.XLOOKUP(I2986,Base_Datos!D:D,Base_Datos!B:B,"")</f>
        <v>DFSK</v>
      </c>
      <c r="H2986" s="3" t="str">
        <f t="array" ref="H2986">IF(I2986="","",IFERROR(_xlfn.XLOOKUP(I2986,Base_Datos!$D$2:$D3876,Base_Datos!$C$2:$C3876),""))</f>
        <v>Serie C</v>
      </c>
      <c r="I2986" s="3" t="s">
        <v>343</v>
      </c>
      <c r="J2986" s="3" t="str">
        <f>IF(I2986="","",IFERROR(VLOOKUP(I2986,Base_Datos!$D$2:$E$72,2,0),""))</f>
        <v>(1.5L)</v>
      </c>
      <c r="K2986" s="3"/>
      <c r="L2986" s="3"/>
      <c r="M2986" s="7">
        <v>4</v>
      </c>
      <c r="N2986" s="7">
        <v>0</v>
      </c>
    </row>
    <row r="2987" spans="1:14" ht="14.25" x14ac:dyDescent="0.2">
      <c r="A2987" s="3">
        <v>89194</v>
      </c>
      <c r="B2987" s="3" t="s">
        <v>4888</v>
      </c>
      <c r="C2987" s="3" t="s">
        <v>16</v>
      </c>
      <c r="D2987" s="6"/>
      <c r="E2987" s="10" t="s">
        <v>370</v>
      </c>
      <c r="F2987" s="3" t="str">
        <f>IFERROR( VLOOKUP(A2987,#REF!,2,0),"")</f>
        <v/>
      </c>
      <c r="G2987" s="3" t="str">
        <f t="array" ref="G2987">_xlfn.XLOOKUP(I2987,Base_Datos!D:D,Base_Datos!B:B,"")</f>
        <v>DFSK</v>
      </c>
      <c r="H2987" s="3" t="str">
        <f t="array" ref="H2987">IF(I2987="","",IFERROR(_xlfn.XLOOKUP(I2987,Base_Datos!$D$2:$D3876,Base_Datos!$C$2:$C3876),""))</f>
        <v>Serie C</v>
      </c>
      <c r="I2987" s="3" t="s">
        <v>343</v>
      </c>
      <c r="J2987" s="3" t="str">
        <f>IF(I2987="","",IFERROR(VLOOKUP(I2987,Base_Datos!$D$2:$E$72,2,0),""))</f>
        <v>(1.5L)</v>
      </c>
      <c r="K2987" s="3"/>
      <c r="L2987" s="3"/>
      <c r="M2987" s="7">
        <v>4</v>
      </c>
      <c r="N2987" s="7">
        <v>0</v>
      </c>
    </row>
    <row r="2988" spans="1:14" ht="14.25" x14ac:dyDescent="0.2">
      <c r="A2988" s="3">
        <v>89195</v>
      </c>
      <c r="B2988" s="3" t="s">
        <v>4889</v>
      </c>
      <c r="C2988" s="3" t="s">
        <v>16</v>
      </c>
      <c r="D2988" s="6"/>
      <c r="E2988" s="10" t="s">
        <v>371</v>
      </c>
      <c r="F2988" s="3" t="str">
        <f>IFERROR( VLOOKUP(A2988,#REF!,2,0),"")</f>
        <v/>
      </c>
      <c r="G2988" s="3" t="str">
        <f t="array" ref="G2988">_xlfn.XLOOKUP(I2988,Base_Datos!D:D,Base_Datos!B:B,"")</f>
        <v>DFSK</v>
      </c>
      <c r="H2988" s="3" t="str">
        <f t="array" ref="H2988">IF(I2988="","",IFERROR(_xlfn.XLOOKUP(I2988,Base_Datos!$D$2:$D3876,Base_Datos!$C$2:$C3876),""))</f>
        <v>Serie C</v>
      </c>
      <c r="I2988" s="3" t="s">
        <v>343</v>
      </c>
      <c r="J2988" s="3" t="str">
        <f>IF(I2988="","",IFERROR(VLOOKUP(I2988,Base_Datos!$D$2:$E$72,2,0),""))</f>
        <v>(1.5L)</v>
      </c>
      <c r="K2988" s="3"/>
      <c r="L2988" s="3"/>
      <c r="M2988" s="7">
        <v>4</v>
      </c>
      <c r="N2988" s="7">
        <v>0</v>
      </c>
    </row>
    <row r="2989" spans="1:14" ht="14.25" x14ac:dyDescent="0.2">
      <c r="A2989" s="3">
        <v>89196</v>
      </c>
      <c r="B2989" s="3" t="s">
        <v>4890</v>
      </c>
      <c r="C2989" s="3" t="s">
        <v>16</v>
      </c>
      <c r="D2989" s="6"/>
      <c r="E2989" s="10" t="s">
        <v>372</v>
      </c>
      <c r="F2989" s="3" t="str">
        <f>IFERROR( VLOOKUP(A2989,#REF!,2,0),"")</f>
        <v/>
      </c>
      <c r="G2989" s="3" t="str">
        <f t="array" ref="G2989">_xlfn.XLOOKUP(I2989,Base_Datos!D:D,Base_Datos!B:B,"")</f>
        <v>DFSK</v>
      </c>
      <c r="H2989" s="3" t="str">
        <f t="array" ref="H2989">IF(I2989="","",IFERROR(_xlfn.XLOOKUP(I2989,Base_Datos!$D$2:$D3876,Base_Datos!$C$2:$C3876),""))</f>
        <v>Serie C</v>
      </c>
      <c r="I2989" s="3" t="s">
        <v>343</v>
      </c>
      <c r="J2989" s="3" t="str">
        <f>IF(I2989="","",IFERROR(VLOOKUP(I2989,Base_Datos!$D$2:$E$72,2,0),""))</f>
        <v>(1.5L)</v>
      </c>
      <c r="K2989" s="3"/>
      <c r="L2989" s="3"/>
      <c r="M2989" s="7">
        <v>0</v>
      </c>
      <c r="N2989" s="7">
        <v>0</v>
      </c>
    </row>
    <row r="2990" spans="1:14" ht="14.25" x14ac:dyDescent="0.2">
      <c r="A2990" s="3">
        <v>89197</v>
      </c>
      <c r="B2990" s="3" t="s">
        <v>4891</v>
      </c>
      <c r="C2990" s="3" t="s">
        <v>16</v>
      </c>
      <c r="D2990" s="6"/>
      <c r="E2990" s="10" t="s">
        <v>217</v>
      </c>
      <c r="F2990" s="3" t="str">
        <f>IFERROR( VLOOKUP(A2990,#REF!,2,0),"")</f>
        <v/>
      </c>
      <c r="G2990" s="3" t="str">
        <f t="array" ref="G2990">_xlfn.XLOOKUP(I2990,Base_Datos!D:D,Base_Datos!B:B,"")</f>
        <v>DFSK</v>
      </c>
      <c r="H2990" s="3" t="str">
        <f t="array" ref="H2990">IF(I2990="","",IFERROR(_xlfn.XLOOKUP(I2990,Base_Datos!$D$2:$D3876,Base_Datos!$C$2:$C3876),""))</f>
        <v>Serie C</v>
      </c>
      <c r="I2990" s="3" t="s">
        <v>343</v>
      </c>
      <c r="J2990" s="3" t="str">
        <f>IF(I2990="","",IFERROR(VLOOKUP(I2990,Base_Datos!$D$2:$E$72,2,0),""))</f>
        <v>(1.5L)</v>
      </c>
      <c r="K2990" s="3" t="s">
        <v>4892</v>
      </c>
      <c r="L2990" s="3"/>
      <c r="M2990" s="7">
        <v>0</v>
      </c>
      <c r="N2990" s="7">
        <v>0</v>
      </c>
    </row>
    <row r="2991" spans="1:14" ht="14.25" x14ac:dyDescent="0.2">
      <c r="A2991" s="3">
        <v>89198</v>
      </c>
      <c r="B2991" s="3" t="s">
        <v>3245</v>
      </c>
      <c r="C2991" s="3" t="s">
        <v>16</v>
      </c>
      <c r="D2991" s="6"/>
      <c r="E2991" s="10" t="s">
        <v>219</v>
      </c>
      <c r="F2991" s="3" t="str">
        <f>IFERROR( VLOOKUP(A2991,#REF!,2,0),"")</f>
        <v/>
      </c>
      <c r="G2991" s="3" t="str">
        <f t="array" ref="G2991">_xlfn.XLOOKUP(I2991,Base_Datos!D:D,Base_Datos!B:B,"")</f>
        <v>DFSK</v>
      </c>
      <c r="H2991" s="3" t="str">
        <f t="array" ref="H2991">IF(I2991="","",IFERROR(_xlfn.XLOOKUP(I2991,Base_Datos!$D$2:$D3876,Base_Datos!$C$2:$C3876),""))</f>
        <v>Serie C</v>
      </c>
      <c r="I2991" s="3" t="s">
        <v>343</v>
      </c>
      <c r="J2991" s="3" t="str">
        <f>IF(I2991="","",IFERROR(VLOOKUP(I2991,Base_Datos!$D$2:$E$72,2,0),""))</f>
        <v>(1.5L)</v>
      </c>
      <c r="K2991" s="3"/>
      <c r="L2991" s="3"/>
      <c r="M2991" s="7">
        <v>42</v>
      </c>
      <c r="N2991" s="7">
        <v>0</v>
      </c>
    </row>
    <row r="2992" spans="1:14" ht="14.25" x14ac:dyDescent="0.2">
      <c r="A2992" s="3">
        <v>89199</v>
      </c>
      <c r="B2992" s="3" t="s">
        <v>4893</v>
      </c>
      <c r="C2992" s="3" t="s">
        <v>16</v>
      </c>
      <c r="D2992" s="6"/>
      <c r="E2992" s="10" t="s">
        <v>373</v>
      </c>
      <c r="F2992" s="3" t="str">
        <f>IFERROR( VLOOKUP(A2992,#REF!,2,0),"")</f>
        <v/>
      </c>
      <c r="G2992" s="3" t="str">
        <f t="array" ref="G2992">_xlfn.XLOOKUP(I2992,Base_Datos!D:D,Base_Datos!B:B,"")</f>
        <v>DFSK</v>
      </c>
      <c r="H2992" s="3" t="str">
        <f t="array" ref="H2992">IF(I2992="","",IFERROR(_xlfn.XLOOKUP(I2992,Base_Datos!$D$2:$D3876,Base_Datos!$C$2:$C3876),""))</f>
        <v>Serie C</v>
      </c>
      <c r="I2992" s="3" t="s">
        <v>343</v>
      </c>
      <c r="J2992" s="3" t="str">
        <f>IF(I2992="","",IFERROR(VLOOKUP(I2992,Base_Datos!$D$2:$E$72,2,0),""))</f>
        <v>(1.5L)</v>
      </c>
      <c r="K2992" s="3"/>
      <c r="L2992" s="3"/>
      <c r="M2992" s="7">
        <v>31</v>
      </c>
      <c r="N2992" s="7">
        <v>0</v>
      </c>
    </row>
    <row r="2993" spans="1:14" ht="14.25" x14ac:dyDescent="0.2">
      <c r="A2993" s="3">
        <v>89200</v>
      </c>
      <c r="B2993" s="3" t="s">
        <v>1965</v>
      </c>
      <c r="C2993" s="3" t="s">
        <v>16</v>
      </c>
      <c r="D2993" s="6"/>
      <c r="E2993" s="10" t="s">
        <v>374</v>
      </c>
      <c r="F2993" s="3" t="str">
        <f>IFERROR( VLOOKUP(A2993,#REF!,2,0),"")</f>
        <v/>
      </c>
      <c r="G2993" s="3" t="str">
        <f t="array" ref="G2993">_xlfn.XLOOKUP(I2993,Base_Datos!D:D,Base_Datos!B:B,"")</f>
        <v>DFSK</v>
      </c>
      <c r="H2993" s="3" t="str">
        <f t="array" ref="H2993">IF(I2993="","",IFERROR(_xlfn.XLOOKUP(I2993,Base_Datos!$D$2:$D3876,Base_Datos!$C$2:$C3876),""))</f>
        <v>Serie C</v>
      </c>
      <c r="I2993" s="3" t="s">
        <v>343</v>
      </c>
      <c r="J2993" s="3" t="str">
        <f>IF(I2993="","",IFERROR(VLOOKUP(I2993,Base_Datos!$D$2:$E$72,2,0),""))</f>
        <v>(1.5L)</v>
      </c>
      <c r="K2993" s="3" t="s">
        <v>4894</v>
      </c>
      <c r="L2993" s="3"/>
      <c r="M2993" s="7">
        <v>0</v>
      </c>
      <c r="N2993" s="7">
        <v>0</v>
      </c>
    </row>
    <row r="2994" spans="1:14" ht="14.25" x14ac:dyDescent="0.2">
      <c r="A2994" s="3">
        <v>89201</v>
      </c>
      <c r="B2994" s="3" t="s">
        <v>4895</v>
      </c>
      <c r="C2994" s="3" t="s">
        <v>16</v>
      </c>
      <c r="D2994" s="6"/>
      <c r="E2994" s="10" t="s">
        <v>375</v>
      </c>
      <c r="F2994" s="3" t="str">
        <f>IFERROR( VLOOKUP(A2994,#REF!,2,0),"")</f>
        <v/>
      </c>
      <c r="G2994" s="3" t="str">
        <f t="array" ref="G2994">_xlfn.XLOOKUP(I2994,Base_Datos!D:D,Base_Datos!B:B,"")</f>
        <v>DFSK</v>
      </c>
      <c r="H2994" s="3" t="str">
        <f t="array" ref="H2994">IF(I2994="","",IFERROR(_xlfn.XLOOKUP(I2994,Base_Datos!$D$2:$D3876,Base_Datos!$C$2:$C3876),""))</f>
        <v>Serie C</v>
      </c>
      <c r="I2994" s="3" t="s">
        <v>343</v>
      </c>
      <c r="J2994" s="3" t="str">
        <f>IF(I2994="","",IFERROR(VLOOKUP(I2994,Base_Datos!$D$2:$E$72,2,0),""))</f>
        <v>(1.5L)</v>
      </c>
      <c r="K2994" s="3" t="s">
        <v>2391</v>
      </c>
      <c r="L2994" s="3"/>
      <c r="M2994" s="7">
        <v>4</v>
      </c>
      <c r="N2994" s="7">
        <v>0</v>
      </c>
    </row>
    <row r="2995" spans="1:14" ht="14.25" x14ac:dyDescent="0.2">
      <c r="A2995" s="3">
        <v>89206</v>
      </c>
      <c r="B2995" s="3" t="s">
        <v>4198</v>
      </c>
      <c r="C2995" s="3" t="s">
        <v>16</v>
      </c>
      <c r="D2995" s="6"/>
      <c r="E2995" s="10" t="s">
        <v>380</v>
      </c>
      <c r="F2995" s="3" t="str">
        <f>IFERROR( VLOOKUP(A2995,#REF!,2,0),"")</f>
        <v/>
      </c>
      <c r="G2995" s="3" t="str">
        <f t="array" ref="G2995">_xlfn.XLOOKUP(I2995,Base_Datos!D:D,Base_Datos!B:B,"")</f>
        <v>DFSK</v>
      </c>
      <c r="H2995" s="3" t="str">
        <f t="array" ref="H2995">IF(I2995="","",IFERROR(_xlfn.XLOOKUP(I2995,Base_Datos!$D$2:$D3876,Base_Datos!$C$2:$C3876),""))</f>
        <v>Serie C</v>
      </c>
      <c r="I2995" s="3" t="s">
        <v>343</v>
      </c>
      <c r="J2995" s="3" t="str">
        <f>IF(I2995="","",IFERROR(VLOOKUP(I2995,Base_Datos!$D$2:$E$72,2,0),""))</f>
        <v>(1.5L)</v>
      </c>
      <c r="K2995" s="3" t="s">
        <v>2395</v>
      </c>
      <c r="L2995" s="3"/>
      <c r="M2995" s="7">
        <v>20</v>
      </c>
      <c r="N2995" s="7">
        <v>0</v>
      </c>
    </row>
    <row r="2996" spans="1:14" ht="14.25" x14ac:dyDescent="0.2">
      <c r="A2996" s="3">
        <v>89211</v>
      </c>
      <c r="B2996" s="3" t="s">
        <v>4896</v>
      </c>
      <c r="C2996" s="3" t="s">
        <v>16</v>
      </c>
      <c r="D2996" s="6"/>
      <c r="E2996" s="10" t="s">
        <v>385</v>
      </c>
      <c r="F2996" s="3" t="str">
        <f>IFERROR( VLOOKUP(A2996,#REF!,2,0),"")</f>
        <v/>
      </c>
      <c r="G2996" s="3" t="str">
        <f t="array" ref="G2996">_xlfn.XLOOKUP(I2996,Base_Datos!D:D,Base_Datos!B:B,"")</f>
        <v>DFSK</v>
      </c>
      <c r="H2996" s="3" t="str">
        <f t="array" ref="H2996">IF(I2996="","",IFERROR(_xlfn.XLOOKUP(I2996,Base_Datos!$D$2:$D3876,Base_Datos!$C$2:$C3876),""))</f>
        <v>Serie C</v>
      </c>
      <c r="I2996" s="3" t="s">
        <v>339</v>
      </c>
      <c r="J2996" s="3" t="str">
        <f>IF(I2996="","",IFERROR(VLOOKUP(I2996,Base_Datos!$D$2:$E$72,2,0),""))</f>
        <v>(1.5L)</v>
      </c>
      <c r="K2996" s="3" t="s">
        <v>2439</v>
      </c>
      <c r="L2996" s="3"/>
      <c r="M2996" s="7">
        <v>23</v>
      </c>
      <c r="N2996" s="7">
        <v>0</v>
      </c>
    </row>
    <row r="2997" spans="1:14" ht="14.25" x14ac:dyDescent="0.2">
      <c r="A2997" s="3">
        <v>89212</v>
      </c>
      <c r="B2997" s="3" t="s">
        <v>4897</v>
      </c>
      <c r="C2997" s="3" t="s">
        <v>16</v>
      </c>
      <c r="D2997" s="6"/>
      <c r="E2997" s="10" t="s">
        <v>386</v>
      </c>
      <c r="F2997" s="3" t="str">
        <f>IFERROR( VLOOKUP(A2997,#REF!,2,0),"")</f>
        <v/>
      </c>
      <c r="G2997" s="3" t="str">
        <f t="array" ref="G2997">_xlfn.XLOOKUP(I2997,Base_Datos!D:D,Base_Datos!B:B,"")</f>
        <v>DFSK</v>
      </c>
      <c r="H2997" s="3" t="str">
        <f t="array" ref="H2997">IF(I2997="","",IFERROR(_xlfn.XLOOKUP(I2997,Base_Datos!$D$2:$D3876,Base_Datos!$C$2:$C3876),""))</f>
        <v>Serie C</v>
      </c>
      <c r="I2997" s="3" t="s">
        <v>339</v>
      </c>
      <c r="J2997" s="3" t="str">
        <f>IF(I2997="","",IFERROR(VLOOKUP(I2997,Base_Datos!$D$2:$E$72,2,0),""))</f>
        <v>(1.5L)</v>
      </c>
      <c r="K2997" s="3" t="s">
        <v>2439</v>
      </c>
      <c r="L2997" s="3"/>
      <c r="M2997" s="7">
        <v>23</v>
      </c>
      <c r="N2997" s="7">
        <v>0</v>
      </c>
    </row>
    <row r="2998" spans="1:14" ht="14.25" x14ac:dyDescent="0.2">
      <c r="A2998" s="3">
        <v>89213</v>
      </c>
      <c r="B2998" s="3" t="s">
        <v>3272</v>
      </c>
      <c r="C2998" s="3" t="s">
        <v>16</v>
      </c>
      <c r="D2998" s="6"/>
      <c r="E2998" s="10" t="s">
        <v>387</v>
      </c>
      <c r="F2998" s="3" t="str">
        <f>IFERROR( VLOOKUP(A2998,#REF!,2,0),"")</f>
        <v/>
      </c>
      <c r="G2998" s="3" t="str">
        <f t="array" ref="G2998">_xlfn.XLOOKUP(I2998,Base_Datos!D:D,Base_Datos!B:B,"")</f>
        <v>DFSK</v>
      </c>
      <c r="H2998" s="3" t="str">
        <f t="array" ref="H2998">IF(I2998="","",IFERROR(_xlfn.XLOOKUP(I2998,Base_Datos!$D$2:$D3876,Base_Datos!$C$2:$C3876),""))</f>
        <v>Serie C</v>
      </c>
      <c r="I2998" s="3" t="s">
        <v>339</v>
      </c>
      <c r="J2998" s="3" t="str">
        <f>IF(I2998="","",IFERROR(VLOOKUP(I2998,Base_Datos!$D$2:$E$72,2,0),""))</f>
        <v>(1.5L)</v>
      </c>
      <c r="K2998" s="3"/>
      <c r="L2998" s="3"/>
      <c r="M2998" s="7">
        <v>5</v>
      </c>
      <c r="N2998" s="7">
        <v>0</v>
      </c>
    </row>
    <row r="2999" spans="1:14" ht="14.25" x14ac:dyDescent="0.2">
      <c r="A2999" s="3">
        <v>89214</v>
      </c>
      <c r="B2999" s="3" t="s">
        <v>3847</v>
      </c>
      <c r="C2999" s="3" t="s">
        <v>16</v>
      </c>
      <c r="D2999" s="6"/>
      <c r="E2999" s="10" t="s">
        <v>4898</v>
      </c>
      <c r="F2999" s="3" t="str">
        <f>IFERROR( VLOOKUP(A2999,#REF!,2,0),"")</f>
        <v/>
      </c>
      <c r="G2999" s="3" t="str">
        <f t="array" ref="G2999">_xlfn.XLOOKUP(I2999,Base_Datos!D:D,Base_Datos!B:B,"")</f>
        <v>DFSK</v>
      </c>
      <c r="H2999" s="3" t="str">
        <f t="array" ref="H2999">IF(I2999="","",IFERROR(_xlfn.XLOOKUP(I2999,Base_Datos!$D$2:$D3876,Base_Datos!$C$2:$C3876),""))</f>
        <v>Serie C</v>
      </c>
      <c r="I2999" s="3" t="s">
        <v>343</v>
      </c>
      <c r="J2999" s="3" t="str">
        <f>IF(I2999="","",IFERROR(VLOOKUP(I2999,Base_Datos!$D$2:$E$72,2,0),""))</f>
        <v>(1.5L)</v>
      </c>
      <c r="K2999" s="3"/>
      <c r="L2999" s="3"/>
      <c r="M2999" s="7">
        <v>2</v>
      </c>
      <c r="N2999" s="7">
        <v>0</v>
      </c>
    </row>
    <row r="3000" spans="1:14" ht="14.25" x14ac:dyDescent="0.2">
      <c r="A3000" s="3">
        <v>89216</v>
      </c>
      <c r="B3000" s="3" t="s">
        <v>1790</v>
      </c>
      <c r="C3000" s="3" t="s">
        <v>16</v>
      </c>
      <c r="D3000" s="6"/>
      <c r="E3000" s="10" t="s">
        <v>389</v>
      </c>
      <c r="F3000" s="3" t="str">
        <f>IFERROR( VLOOKUP(A3000,#REF!,2,0),"")</f>
        <v/>
      </c>
      <c r="G3000" s="3" t="str">
        <f t="array" ref="G3000">_xlfn.XLOOKUP(I3000,Base_Datos!D:D,Base_Datos!B:B,"")</f>
        <v>DFSK</v>
      </c>
      <c r="H3000" s="3" t="str">
        <f t="array" ref="H3000">IF(I3000="","",IFERROR(_xlfn.XLOOKUP(I3000,Base_Datos!$D$2:$D3876,Base_Datos!$C$2:$C3876),""))</f>
        <v>Serie C</v>
      </c>
      <c r="I3000" s="3" t="s">
        <v>332</v>
      </c>
      <c r="J3000" s="3" t="str">
        <f>IF(I3000="","",IFERROR(VLOOKUP(I3000,Base_Datos!$D$2:$E$72,2,0),""))</f>
        <v>(1.5L)</v>
      </c>
      <c r="K3000" s="3"/>
      <c r="L3000" s="3"/>
      <c r="M3000" s="7">
        <v>4</v>
      </c>
      <c r="N3000" s="7">
        <v>0</v>
      </c>
    </row>
    <row r="3001" spans="1:14" ht="14.25" x14ac:dyDescent="0.2">
      <c r="A3001" s="3">
        <v>89219</v>
      </c>
      <c r="B3001" s="3" t="s">
        <v>4899</v>
      </c>
      <c r="C3001" s="3" t="s">
        <v>16</v>
      </c>
      <c r="D3001" s="6"/>
      <c r="E3001" s="10"/>
      <c r="F3001" s="3" t="str">
        <f>IFERROR( VLOOKUP(A3001,#REF!,2,0),"")</f>
        <v/>
      </c>
      <c r="G3001" s="3">
        <f t="array" ref="G3001">_xlfn.XLOOKUP(I3001,Base_Datos!D:D,Base_Datos!B:B,"")</f>
        <v>0</v>
      </c>
      <c r="H3001" s="3" t="str">
        <f t="array" ref="H3001">IF(I3001="","",IFERROR(_xlfn.XLOOKUP(I3001,Base_Datos!$D$2:$D3876,Base_Datos!$C$2:$C3876),""))</f>
        <v/>
      </c>
      <c r="I3001" s="3"/>
      <c r="J3001" s="3" t="str">
        <f>IF(I3001="","",IFERROR(VLOOKUP(I3001,Base_Datos!$D$2:$E$72,2,0),""))</f>
        <v/>
      </c>
      <c r="K3001" s="3"/>
      <c r="L3001" s="3"/>
      <c r="M3001" s="7">
        <v>2</v>
      </c>
      <c r="N3001" s="7">
        <v>0</v>
      </c>
    </row>
    <row r="3002" spans="1:14" ht="14.25" x14ac:dyDescent="0.2">
      <c r="A3002" s="3">
        <v>89220</v>
      </c>
      <c r="B3002" s="3" t="s">
        <v>4900</v>
      </c>
      <c r="C3002" s="3" t="s">
        <v>16</v>
      </c>
      <c r="D3002" s="6"/>
      <c r="E3002" s="10"/>
      <c r="F3002" s="3" t="str">
        <f>IFERROR( VLOOKUP(A3002,#REF!,2,0),"")</f>
        <v/>
      </c>
      <c r="G3002" s="3">
        <f t="array" ref="G3002">_xlfn.XLOOKUP(I3002,Base_Datos!D:D,Base_Datos!B:B,"")</f>
        <v>0</v>
      </c>
      <c r="H3002" s="3" t="str">
        <f t="array" ref="H3002">IF(I3002="","",IFERROR(_xlfn.XLOOKUP(I3002,Base_Datos!$D$2:$D3876,Base_Datos!$C$2:$C3876),""))</f>
        <v/>
      </c>
      <c r="I3002" s="3"/>
      <c r="J3002" s="3" t="str">
        <f>IF(I3002="","",IFERROR(VLOOKUP(I3002,Base_Datos!$D$2:$E$72,2,0),""))</f>
        <v/>
      </c>
      <c r="K3002" s="3"/>
      <c r="L3002" s="3"/>
      <c r="M3002" s="7">
        <v>1</v>
      </c>
      <c r="N3002" s="7">
        <v>0</v>
      </c>
    </row>
    <row r="3003" spans="1:14" ht="14.25" x14ac:dyDescent="0.2">
      <c r="A3003" s="3">
        <v>89223</v>
      </c>
      <c r="B3003" s="3" t="s">
        <v>3487</v>
      </c>
      <c r="C3003" s="3" t="s">
        <v>16</v>
      </c>
      <c r="D3003" s="6"/>
      <c r="E3003" s="10" t="s">
        <v>396</v>
      </c>
      <c r="F3003" s="3" t="str">
        <f>IFERROR( VLOOKUP(A3003,#REF!,2,0),"")</f>
        <v/>
      </c>
      <c r="G3003" s="3" t="str">
        <f t="array" ref="G3003">_xlfn.XLOOKUP(I3003,Base_Datos!D:D,Base_Datos!B:B,"")</f>
        <v>DFSK</v>
      </c>
      <c r="H3003" s="3" t="str">
        <f t="array" ref="H3003">IF(I3003="","",IFERROR(_xlfn.XLOOKUP(I3003,Base_Datos!$D$2:$D3876,Base_Datos!$C$2:$C3876),""))</f>
        <v>Serie C</v>
      </c>
      <c r="I3003" s="3" t="s">
        <v>339</v>
      </c>
      <c r="J3003" s="3" t="str">
        <f>IF(I3003="","",IFERROR(VLOOKUP(I3003,Base_Datos!$D$2:$E$72,2,0),""))</f>
        <v>(1.5L)</v>
      </c>
      <c r="K3003" s="3" t="s">
        <v>2439</v>
      </c>
      <c r="L3003" s="3"/>
      <c r="M3003" s="7">
        <v>8</v>
      </c>
      <c r="N3003" s="7">
        <v>0</v>
      </c>
    </row>
    <row r="3004" spans="1:14" ht="14.25" x14ac:dyDescent="0.2">
      <c r="A3004" s="3">
        <v>89224</v>
      </c>
      <c r="B3004" s="3" t="s">
        <v>3614</v>
      </c>
      <c r="C3004" s="3" t="s">
        <v>16</v>
      </c>
      <c r="D3004" s="6"/>
      <c r="E3004" s="10" t="s">
        <v>206</v>
      </c>
      <c r="F3004" s="3" t="str">
        <f>IFERROR( VLOOKUP(A3004,#REF!,2,0),"")</f>
        <v/>
      </c>
      <c r="G3004" s="3" t="str">
        <f t="array" ref="G3004">_xlfn.XLOOKUP(I3004,Base_Datos!D:D,Base_Datos!B:B,"")</f>
        <v>DFSK</v>
      </c>
      <c r="H3004" s="3" t="str">
        <f t="array" ref="H3004">IF(I3004="","",IFERROR(_xlfn.XLOOKUP(I3004,Base_Datos!$D$2:$D3876,Base_Datos!$C$2:$C3876),""))</f>
        <v>Serie C</v>
      </c>
      <c r="I3004" s="3" t="s">
        <v>339</v>
      </c>
      <c r="J3004" s="3" t="str">
        <f>IF(I3004="","",IFERROR(VLOOKUP(I3004,Base_Datos!$D$2:$E$72,2,0),""))</f>
        <v>(1.5L)</v>
      </c>
      <c r="K3004" s="3"/>
      <c r="L3004" s="3"/>
      <c r="M3004" s="7">
        <v>0</v>
      </c>
      <c r="N3004" s="7">
        <v>0</v>
      </c>
    </row>
    <row r="3005" spans="1:14" ht="14.25" x14ac:dyDescent="0.2">
      <c r="A3005" s="3">
        <v>89225</v>
      </c>
      <c r="B3005" s="3" t="s">
        <v>4824</v>
      </c>
      <c r="C3005" s="3" t="s">
        <v>16</v>
      </c>
      <c r="D3005" s="6"/>
      <c r="E3005" s="10" t="s">
        <v>397</v>
      </c>
      <c r="F3005" s="3" t="str">
        <f>IFERROR( VLOOKUP(A3005,#REF!,2,0),"")</f>
        <v/>
      </c>
      <c r="G3005" s="3" t="str">
        <f t="array" ref="G3005">_xlfn.XLOOKUP(I3005,Base_Datos!D:D,Base_Datos!B:B,"")</f>
        <v>DFSK</v>
      </c>
      <c r="H3005" s="3" t="str">
        <f t="array" ref="H3005">IF(I3005="","",IFERROR(_xlfn.XLOOKUP(I3005,Base_Datos!$D$2:$D3876,Base_Datos!$C$2:$C3876),""))</f>
        <v>Serie C</v>
      </c>
      <c r="I3005" s="3" t="s">
        <v>339</v>
      </c>
      <c r="J3005" s="3" t="str">
        <f>IF(I3005="","",IFERROR(VLOOKUP(I3005,Base_Datos!$D$2:$E$72,2,0),""))</f>
        <v>(1.5L)</v>
      </c>
      <c r="K3005" s="3" t="s">
        <v>2439</v>
      </c>
      <c r="L3005" s="3"/>
      <c r="M3005" s="7">
        <v>0</v>
      </c>
      <c r="N3005" s="7">
        <v>0</v>
      </c>
    </row>
    <row r="3006" spans="1:14" ht="14.25" x14ac:dyDescent="0.2">
      <c r="A3006" s="3">
        <v>89226</v>
      </c>
      <c r="B3006" s="3" t="s">
        <v>4901</v>
      </c>
      <c r="C3006" s="3" t="s">
        <v>16</v>
      </c>
      <c r="D3006" s="6"/>
      <c r="E3006" s="10" t="s">
        <v>398</v>
      </c>
      <c r="F3006" s="3" t="str">
        <f>IFERROR( VLOOKUP(A3006,#REF!,2,0),"")</f>
        <v/>
      </c>
      <c r="G3006" s="3" t="str">
        <f t="array" ref="G3006">_xlfn.XLOOKUP(I3006,Base_Datos!D:D,Base_Datos!B:B,"")</f>
        <v>DFSK</v>
      </c>
      <c r="H3006" s="3" t="str">
        <f t="array" ref="H3006">IF(I3006="","",IFERROR(_xlfn.XLOOKUP(I3006,Base_Datos!$D$2:$D3876,Base_Datos!$C$2:$C3876),""))</f>
        <v>Serie C</v>
      </c>
      <c r="I3006" s="3" t="s">
        <v>339</v>
      </c>
      <c r="J3006" s="3" t="str">
        <f>IF(I3006="","",IFERROR(VLOOKUP(I3006,Base_Datos!$D$2:$E$72,2,0),""))</f>
        <v>(1.5L)</v>
      </c>
      <c r="K3006" s="3" t="s">
        <v>2439</v>
      </c>
      <c r="L3006" s="3"/>
      <c r="M3006" s="7">
        <v>3</v>
      </c>
      <c r="N3006" s="7">
        <v>0</v>
      </c>
    </row>
    <row r="3007" spans="1:14" ht="14.25" x14ac:dyDescent="0.2">
      <c r="A3007" s="3">
        <v>89227</v>
      </c>
      <c r="B3007" s="3" t="s">
        <v>4902</v>
      </c>
      <c r="C3007" s="3" t="s">
        <v>18</v>
      </c>
      <c r="D3007" s="6"/>
      <c r="E3007" s="10" t="s">
        <v>399</v>
      </c>
      <c r="F3007" s="3" t="str">
        <f>IFERROR( VLOOKUP(A3007,#REF!,2,0),"")</f>
        <v/>
      </c>
      <c r="G3007" s="3" t="str">
        <f t="array" ref="G3007">_xlfn.XLOOKUP(I3007,Base_Datos!D:D,Base_Datos!B:B,"")</f>
        <v>DFSK</v>
      </c>
      <c r="H3007" s="3" t="str">
        <f t="array" ref="H3007">IF(I3007="","",IFERROR(_xlfn.XLOOKUP(I3007,Base_Datos!$D$2:$D3876,Base_Datos!$C$2:$C3876),""))</f>
        <v>Serie C</v>
      </c>
      <c r="I3007" s="3" t="s">
        <v>339</v>
      </c>
      <c r="J3007" s="3" t="str">
        <f>IF(I3007="","",IFERROR(VLOOKUP(I3007,Base_Datos!$D$2:$E$72,2,0),""))</f>
        <v>(1.5L)</v>
      </c>
      <c r="K3007" s="3" t="s">
        <v>2439</v>
      </c>
      <c r="L3007" s="3"/>
      <c r="M3007" s="7">
        <v>5</v>
      </c>
      <c r="N3007" s="7">
        <v>0</v>
      </c>
    </row>
    <row r="3008" spans="1:14" ht="14.25" x14ac:dyDescent="0.2">
      <c r="A3008" s="3">
        <v>89228</v>
      </c>
      <c r="B3008" s="3" t="s">
        <v>3281</v>
      </c>
      <c r="C3008" s="3" t="s">
        <v>16</v>
      </c>
      <c r="D3008" s="6"/>
      <c r="E3008" s="10" t="s">
        <v>272</v>
      </c>
      <c r="F3008" s="3" t="str">
        <f>IFERROR( VLOOKUP(A3008,#REF!,2,0),"")</f>
        <v/>
      </c>
      <c r="G3008" s="3" t="str">
        <f t="array" ref="G3008">_xlfn.XLOOKUP(I3008,Base_Datos!D:D,Base_Datos!B:B,"")</f>
        <v>DFSK</v>
      </c>
      <c r="H3008" s="3" t="str">
        <f t="array" ref="H3008">IF(I3008="","",IFERROR(_xlfn.XLOOKUP(I3008,Base_Datos!$D$2:$D3876,Base_Datos!$C$2:$C3876),""))</f>
        <v>Serie C</v>
      </c>
      <c r="I3008" s="3" t="s">
        <v>339</v>
      </c>
      <c r="J3008" s="3" t="str">
        <f>IF(I3008="","",IFERROR(VLOOKUP(I3008,Base_Datos!$D$2:$E$72,2,0),""))</f>
        <v>(1.5L)</v>
      </c>
      <c r="K3008" s="3" t="s">
        <v>2439</v>
      </c>
      <c r="L3008" s="3"/>
      <c r="M3008" s="7">
        <v>3</v>
      </c>
      <c r="N3008" s="7">
        <v>0</v>
      </c>
    </row>
    <row r="3009" spans="1:14" ht="14.25" x14ac:dyDescent="0.2">
      <c r="A3009" s="3">
        <v>89229</v>
      </c>
      <c r="B3009" s="3" t="s">
        <v>1857</v>
      </c>
      <c r="C3009" s="3" t="s">
        <v>16</v>
      </c>
      <c r="D3009" s="6"/>
      <c r="E3009" s="10" t="s">
        <v>400</v>
      </c>
      <c r="F3009" s="3" t="str">
        <f>IFERROR( VLOOKUP(A3009,#REF!,2,0),"")</f>
        <v/>
      </c>
      <c r="G3009" s="3" t="str">
        <f t="array" ref="G3009">_xlfn.XLOOKUP(I3009,Base_Datos!D:D,Base_Datos!B:B,"")</f>
        <v>DFSK</v>
      </c>
      <c r="H3009" s="3" t="str">
        <f t="array" ref="H3009">IF(I3009="","",IFERROR(_xlfn.XLOOKUP(I3009,Base_Datos!$D$2:$D3876,Base_Datos!$C$2:$C3876),""))</f>
        <v>Serie C</v>
      </c>
      <c r="I3009" s="3" t="s">
        <v>339</v>
      </c>
      <c r="J3009" s="3" t="str">
        <f>IF(I3009="","",IFERROR(VLOOKUP(I3009,Base_Datos!$D$2:$E$72,2,0),""))</f>
        <v>(1.5L)</v>
      </c>
      <c r="K3009" s="3" t="s">
        <v>2439</v>
      </c>
      <c r="L3009" s="3"/>
      <c r="M3009" s="7">
        <v>1</v>
      </c>
      <c r="N3009" s="7">
        <v>0</v>
      </c>
    </row>
    <row r="3010" spans="1:14" ht="14.25" x14ac:dyDescent="0.2">
      <c r="A3010" s="3">
        <v>89230</v>
      </c>
      <c r="B3010" s="3" t="s">
        <v>3150</v>
      </c>
      <c r="C3010" s="3" t="s">
        <v>16</v>
      </c>
      <c r="D3010" s="6"/>
      <c r="E3010" s="10" t="s">
        <v>401</v>
      </c>
      <c r="F3010" s="3" t="str">
        <f>IFERROR( VLOOKUP(A3010,#REF!,2,0),"")</f>
        <v/>
      </c>
      <c r="G3010" s="3" t="str">
        <f t="array" ref="G3010">_xlfn.XLOOKUP(I3010,Base_Datos!D:D,Base_Datos!B:B,"")</f>
        <v>DFSK</v>
      </c>
      <c r="H3010" s="3" t="str">
        <f t="array" ref="H3010">IF(I3010="","",IFERROR(_xlfn.XLOOKUP(I3010,Base_Datos!$D$2:$D3876,Base_Datos!$C$2:$C3876),""))</f>
        <v>Serie C</v>
      </c>
      <c r="I3010" s="3" t="s">
        <v>339</v>
      </c>
      <c r="J3010" s="3" t="str">
        <f>IF(I3010="","",IFERROR(VLOOKUP(I3010,Base_Datos!$D$2:$E$72,2,0),""))</f>
        <v>(1.5L)</v>
      </c>
      <c r="K3010" s="3" t="s">
        <v>2439</v>
      </c>
      <c r="L3010" s="3"/>
      <c r="M3010" s="7">
        <v>22</v>
      </c>
      <c r="N3010" s="7">
        <v>0</v>
      </c>
    </row>
    <row r="3011" spans="1:14" ht="14.25" x14ac:dyDescent="0.2">
      <c r="A3011" s="3">
        <v>89231</v>
      </c>
      <c r="B3011" s="3" t="s">
        <v>3734</v>
      </c>
      <c r="C3011" s="3" t="s">
        <v>16</v>
      </c>
      <c r="D3011" s="6"/>
      <c r="E3011" s="10" t="s">
        <v>402</v>
      </c>
      <c r="F3011" s="3" t="str">
        <f>IFERROR( VLOOKUP(A3011,#REF!,2,0),"")</f>
        <v/>
      </c>
      <c r="G3011" s="3" t="str">
        <f t="array" ref="G3011">_xlfn.XLOOKUP(I3011,Base_Datos!D:D,Base_Datos!B:B,"")</f>
        <v>DFSK</v>
      </c>
      <c r="H3011" s="3" t="str">
        <f t="array" ref="H3011">IF(I3011="","",IFERROR(_xlfn.XLOOKUP(I3011,Base_Datos!$D$2:$D3876,Base_Datos!$C$2:$C3876),""))</f>
        <v>Serie C</v>
      </c>
      <c r="I3011" s="3" t="s">
        <v>339</v>
      </c>
      <c r="J3011" s="3" t="str">
        <f>IF(I3011="","",IFERROR(VLOOKUP(I3011,Base_Datos!$D$2:$E$72,2,0),""))</f>
        <v>(1.5L)</v>
      </c>
      <c r="K3011" s="3" t="s">
        <v>2439</v>
      </c>
      <c r="L3011" s="3"/>
      <c r="M3011" s="7">
        <v>2</v>
      </c>
      <c r="N3011" s="7">
        <v>0</v>
      </c>
    </row>
    <row r="3012" spans="1:14" ht="14.25" x14ac:dyDescent="0.2">
      <c r="A3012" s="3">
        <v>89232</v>
      </c>
      <c r="B3012" s="3" t="s">
        <v>3735</v>
      </c>
      <c r="C3012" s="3" t="s">
        <v>16</v>
      </c>
      <c r="D3012" s="6"/>
      <c r="E3012" s="10" t="s">
        <v>403</v>
      </c>
      <c r="F3012" s="3" t="str">
        <f>IFERROR( VLOOKUP(A3012,#REF!,2,0),"")</f>
        <v/>
      </c>
      <c r="G3012" s="3" t="str">
        <f t="array" ref="G3012">_xlfn.XLOOKUP(I3012,Base_Datos!D:D,Base_Datos!B:B,"")</f>
        <v>DFSK</v>
      </c>
      <c r="H3012" s="3" t="str">
        <f t="array" ref="H3012">IF(I3012="","",IFERROR(_xlfn.XLOOKUP(I3012,Base_Datos!$D$2:$D3876,Base_Datos!$C$2:$C3876),""))</f>
        <v>Serie C</v>
      </c>
      <c r="I3012" s="3" t="s">
        <v>339</v>
      </c>
      <c r="J3012" s="3" t="str">
        <f>IF(I3012="","",IFERROR(VLOOKUP(I3012,Base_Datos!$D$2:$E$72,2,0),""))</f>
        <v>(1.5L)</v>
      </c>
      <c r="K3012" s="3" t="s">
        <v>2439</v>
      </c>
      <c r="L3012" s="3"/>
      <c r="M3012" s="7">
        <v>3</v>
      </c>
      <c r="N3012" s="7">
        <v>0</v>
      </c>
    </row>
    <row r="3013" spans="1:14" ht="14.25" x14ac:dyDescent="0.2">
      <c r="A3013" s="3">
        <v>89472</v>
      </c>
      <c r="B3013" s="3" t="s">
        <v>4903</v>
      </c>
      <c r="C3013" s="3" t="s">
        <v>18</v>
      </c>
      <c r="D3013" s="6"/>
      <c r="E3013" s="10" t="s">
        <v>4904</v>
      </c>
      <c r="F3013" s="3" t="str">
        <f>IFERROR( VLOOKUP(A3013,#REF!,2,0),"")</f>
        <v/>
      </c>
      <c r="G3013" s="3" t="str">
        <f t="array" ref="G3013">_xlfn.XLOOKUP(I3013,Base_Datos!D:D,Base_Datos!B:B,"")</f>
        <v>DFSK</v>
      </c>
      <c r="H3013" s="3" t="str">
        <f t="array" ref="H3013">IF(I3013="","",IFERROR(_xlfn.XLOOKUP(I3013,Base_Datos!$D$2:$D3876,Base_Datos!$C$2:$C3876),""))</f>
        <v>Serie C</v>
      </c>
      <c r="I3013" s="3" t="s">
        <v>343</v>
      </c>
      <c r="J3013" s="3" t="str">
        <f>IF(I3013="","",IFERROR(VLOOKUP(I3013,Base_Datos!$D$2:$E$72,2,0),""))</f>
        <v>(1.5L)</v>
      </c>
      <c r="K3013" s="3"/>
      <c r="L3013" s="3"/>
      <c r="M3013" s="7">
        <v>4</v>
      </c>
      <c r="N3013" s="7">
        <v>0</v>
      </c>
    </row>
    <row r="3014" spans="1:14" ht="14.25" x14ac:dyDescent="0.2">
      <c r="A3014" s="3">
        <v>89755</v>
      </c>
      <c r="B3014" s="3" t="s">
        <v>4905</v>
      </c>
      <c r="C3014" s="3" t="s">
        <v>18</v>
      </c>
      <c r="D3014" s="6"/>
      <c r="E3014" s="10" t="s">
        <v>713</v>
      </c>
      <c r="F3014" s="3" t="str">
        <f>IFERROR( VLOOKUP(A3014,#REF!,2,0),"")</f>
        <v/>
      </c>
      <c r="G3014" s="3" t="str">
        <f t="array" ref="G3014">_xlfn.XLOOKUP(I3014,Base_Datos!D:D,Base_Datos!B:B,"")</f>
        <v>DFSK</v>
      </c>
      <c r="H3014" s="3" t="str">
        <f t="array" ref="H3014">IF(I3014="","",IFERROR(_xlfn.XLOOKUP(I3014,Base_Datos!$D$2:$D3876,Base_Datos!$C$2:$C3876),""))</f>
        <v>Serie K</v>
      </c>
      <c r="I3014" s="3" t="s">
        <v>475</v>
      </c>
      <c r="J3014" s="3" t="str">
        <f>IF(I3014="","",IFERROR(VLOOKUP(I3014,Base_Datos!$D$2:$E$72,2,0),""))</f>
        <v>(1.1L)</v>
      </c>
      <c r="K3014" s="3" t="s">
        <v>3839</v>
      </c>
      <c r="L3014" s="3"/>
      <c r="M3014" s="7">
        <v>4</v>
      </c>
      <c r="N3014" s="7">
        <v>0</v>
      </c>
    </row>
    <row r="3015" spans="1:14" ht="14.25" x14ac:dyDescent="0.2">
      <c r="A3015" s="3">
        <v>89762</v>
      </c>
      <c r="B3015" s="3" t="s">
        <v>4906</v>
      </c>
      <c r="C3015" s="3" t="s">
        <v>16</v>
      </c>
      <c r="D3015" s="6"/>
      <c r="E3015" s="10" t="s">
        <v>4907</v>
      </c>
      <c r="F3015" s="3" t="str">
        <f>IFERROR( VLOOKUP(A3015,#REF!,2,0),"")</f>
        <v/>
      </c>
      <c r="G3015" s="3" t="str">
        <f t="array" ref="G3015">_xlfn.XLOOKUP(I3015,Base_Datos!D:D,Base_Datos!B:B,"")</f>
        <v>DFSK</v>
      </c>
      <c r="H3015" s="3" t="str">
        <f t="array" ref="H3015">IF(I3015="","",IFERROR(_xlfn.XLOOKUP(I3015,Base_Datos!$D$2:$D3876,Base_Datos!$C$2:$C3876),""))</f>
        <v>Serie C</v>
      </c>
      <c r="I3015" s="3" t="s">
        <v>343</v>
      </c>
      <c r="J3015" s="3" t="str">
        <f>IF(I3015="","",IFERROR(VLOOKUP(I3015,Base_Datos!$D$2:$E$72,2,0),""))</f>
        <v>(1.5L)</v>
      </c>
      <c r="K3015" s="3" t="s">
        <v>2391</v>
      </c>
      <c r="L3015" s="3"/>
      <c r="M3015" s="7">
        <v>6</v>
      </c>
      <c r="N3015" s="7">
        <v>0</v>
      </c>
    </row>
    <row r="3016" spans="1:14" ht="14.25" x14ac:dyDescent="0.2">
      <c r="A3016" s="3">
        <v>90000</v>
      </c>
      <c r="B3016" s="3" t="s">
        <v>4908</v>
      </c>
      <c r="C3016" s="3" t="s">
        <v>16</v>
      </c>
      <c r="D3016" s="6"/>
      <c r="E3016" s="10" t="s">
        <v>4909</v>
      </c>
      <c r="F3016" s="3" t="str">
        <f>IFERROR( VLOOKUP(A3016,#REF!,2,0),"")</f>
        <v/>
      </c>
      <c r="G3016" s="3">
        <f t="array" ref="G3016">_xlfn.XLOOKUP(I3016,Base_Datos!D:D,Base_Datos!B:B,"")</f>
        <v>0</v>
      </c>
      <c r="H3016" s="3" t="str">
        <f t="array" ref="H3016">IF(I3016="","",IFERROR(_xlfn.XLOOKUP(I3016,Base_Datos!$D$2:$D3876,Base_Datos!$C$2:$C3876),""))</f>
        <v/>
      </c>
      <c r="I3016" s="3"/>
      <c r="J3016" s="3" t="str">
        <f>IF(I3016="","",IFERROR(VLOOKUP(I3016,Base_Datos!$D$2:$E$72,2,0),""))</f>
        <v/>
      </c>
      <c r="K3016" s="3"/>
      <c r="L3016" s="3"/>
      <c r="M3016" s="7">
        <v>0</v>
      </c>
      <c r="N3016" s="7">
        <v>0</v>
      </c>
    </row>
    <row r="3017" spans="1:14" ht="14.25" x14ac:dyDescent="0.2">
      <c r="A3017" s="3">
        <v>90001</v>
      </c>
      <c r="B3017" s="3" t="s">
        <v>4910</v>
      </c>
      <c r="C3017" s="3" t="s">
        <v>16</v>
      </c>
      <c r="D3017" s="6"/>
      <c r="E3017" s="10" t="s">
        <v>903</v>
      </c>
      <c r="F3017" s="3" t="str">
        <f>IFERROR( VLOOKUP(A3017,#REF!,2,0),"")</f>
        <v/>
      </c>
      <c r="G3017" s="3">
        <f t="array" ref="G3017">_xlfn.XLOOKUP(I3017,Base_Datos!D:D,Base_Datos!B:B,"")</f>
        <v>0</v>
      </c>
      <c r="H3017" s="3" t="str">
        <f t="array" ref="H3017">IF(I3017="","",IFERROR(_xlfn.XLOOKUP(I3017,Base_Datos!$D$2:$D3876,Base_Datos!$C$2:$C3876),""))</f>
        <v/>
      </c>
      <c r="I3017" s="3"/>
      <c r="J3017" s="3" t="str">
        <f>IF(I3017="","",IFERROR(VLOOKUP(I3017,Base_Datos!$D$2:$E$72,2,0),""))</f>
        <v/>
      </c>
      <c r="K3017" s="3"/>
      <c r="L3017" s="3"/>
      <c r="M3017" s="7">
        <v>38</v>
      </c>
      <c r="N3017" s="7">
        <v>0</v>
      </c>
    </row>
    <row r="3018" spans="1:14" ht="14.25" x14ac:dyDescent="0.2">
      <c r="A3018" s="3">
        <v>90100</v>
      </c>
      <c r="B3018" s="3" t="s">
        <v>4911</v>
      </c>
      <c r="C3018" s="3" t="s">
        <v>1</v>
      </c>
      <c r="D3018" s="6"/>
      <c r="E3018" s="10" t="s">
        <v>906</v>
      </c>
      <c r="F3018" s="3" t="str">
        <f>IFERROR( VLOOKUP(A3018,#REF!,2,0),"")</f>
        <v/>
      </c>
      <c r="G3018" s="3">
        <f t="array" ref="G3018">_xlfn.XLOOKUP(I3018,Base_Datos!D:D,Base_Datos!B:B,"")</f>
        <v>0</v>
      </c>
      <c r="H3018" s="3" t="str">
        <f t="array" ref="H3018">IF(I3018="","",IFERROR(_xlfn.XLOOKUP(I3018,Base_Datos!$D$2:$D3876,Base_Datos!$C$2:$C3876),""))</f>
        <v/>
      </c>
      <c r="I3018" s="3"/>
      <c r="J3018" s="3" t="str">
        <f>IF(I3018="","",IFERROR(VLOOKUP(I3018,Base_Datos!$D$2:$E$72,2,0),""))</f>
        <v/>
      </c>
      <c r="K3018" s="3"/>
      <c r="L3018" s="3"/>
      <c r="M3018" s="7">
        <v>0</v>
      </c>
      <c r="N3018" s="7">
        <v>0</v>
      </c>
    </row>
    <row r="3019" spans="1:14" ht="14.25" x14ac:dyDescent="0.2">
      <c r="A3019" s="3">
        <v>90101</v>
      </c>
      <c r="B3019" s="3" t="s">
        <v>4912</v>
      </c>
      <c r="C3019" s="3" t="s">
        <v>1</v>
      </c>
      <c r="D3019" s="6"/>
      <c r="E3019" s="10"/>
      <c r="F3019" s="3" t="str">
        <f>IFERROR( VLOOKUP(A3019,#REF!,2,0),"")</f>
        <v/>
      </c>
      <c r="G3019" s="3">
        <f t="array" ref="G3019">_xlfn.XLOOKUP(I3019,Base_Datos!D:D,Base_Datos!B:B,"")</f>
        <v>0</v>
      </c>
      <c r="H3019" s="3" t="str">
        <f t="array" ref="H3019">IF(I3019="","",IFERROR(_xlfn.XLOOKUP(I3019,Base_Datos!$D$2:$D3876,Base_Datos!$C$2:$C3876),""))</f>
        <v/>
      </c>
      <c r="I3019" s="3"/>
      <c r="J3019" s="3" t="str">
        <f>IF(I3019="","",IFERROR(VLOOKUP(I3019,Base_Datos!$D$2:$E$72,2,0),""))</f>
        <v/>
      </c>
      <c r="K3019" s="3"/>
      <c r="L3019" s="3"/>
      <c r="M3019" s="7">
        <v>0</v>
      </c>
      <c r="N3019" s="7">
        <v>0</v>
      </c>
    </row>
    <row r="3020" spans="1:14" ht="14.25" x14ac:dyDescent="0.2">
      <c r="A3020" s="3">
        <v>90102</v>
      </c>
      <c r="B3020" s="3" t="s">
        <v>4913</v>
      </c>
      <c r="C3020" s="3" t="s">
        <v>16</v>
      </c>
      <c r="D3020" s="6"/>
      <c r="E3020" s="10"/>
      <c r="F3020" s="3" t="str">
        <f>IFERROR( VLOOKUP(A3020,#REF!,2,0),"")</f>
        <v/>
      </c>
      <c r="G3020" s="3" t="str">
        <f t="array" ref="G3020">_xlfn.XLOOKUP(I3020,Base_Datos!D:D,Base_Datos!B:B,"")</f>
        <v>GAC</v>
      </c>
      <c r="H3020" s="3" t="str">
        <f t="array" ref="H3020">IF(I3020="","",IFERROR(_xlfn.XLOOKUP(I3020,Base_Datos!$D$2:$D3876,Base_Datos!$C$2:$C3876),""))</f>
        <v>Serie Aion</v>
      </c>
      <c r="I3020" s="3" t="s">
        <v>4914</v>
      </c>
      <c r="J3020" s="3" t="str">
        <f>IF(I3020="","",IFERROR(VLOOKUP(I3020,Base_Datos!$D$2:$E$72,2,0),""))</f>
        <v>(EV)</v>
      </c>
      <c r="K3020" s="3"/>
      <c r="L3020" s="3"/>
      <c r="M3020" s="7">
        <v>22</v>
      </c>
      <c r="N3020" s="7">
        <v>0</v>
      </c>
    </row>
    <row r="3021" spans="1:14" ht="14.25" x14ac:dyDescent="0.2">
      <c r="A3021" s="3">
        <v>90103</v>
      </c>
      <c r="B3021" s="3" t="s">
        <v>4915</v>
      </c>
      <c r="C3021" s="3" t="s">
        <v>16</v>
      </c>
      <c r="D3021" s="6"/>
      <c r="E3021" s="10"/>
      <c r="F3021" s="3" t="str">
        <f>IFERROR( VLOOKUP(A3021,#REF!,2,0),"")</f>
        <v/>
      </c>
      <c r="G3021" s="3" t="str">
        <f t="array" ref="G3021">_xlfn.XLOOKUP(I3021,Base_Datos!D:D,Base_Datos!B:B,"")</f>
        <v>GAC</v>
      </c>
      <c r="H3021" s="3" t="str">
        <f t="array" ref="H3021">IF(I3021="","",IFERROR(_xlfn.XLOOKUP(I3021,Base_Datos!$D$2:$D3876,Base_Datos!$C$2:$C3876),""))</f>
        <v>Serie Aion</v>
      </c>
      <c r="I3021" s="3" t="s">
        <v>4914</v>
      </c>
      <c r="J3021" s="3" t="str">
        <f>IF(I3021="","",IFERROR(VLOOKUP(I3021,Base_Datos!$D$2:$E$72,2,0),""))</f>
        <v>(EV)</v>
      </c>
      <c r="K3021" s="3"/>
      <c r="L3021" s="3"/>
      <c r="M3021" s="7">
        <v>22</v>
      </c>
      <c r="N3021" s="7">
        <v>0</v>
      </c>
    </row>
    <row r="3022" spans="1:14" ht="14.25" x14ac:dyDescent="0.2">
      <c r="A3022" s="3">
        <v>90201</v>
      </c>
      <c r="B3022" s="3" t="s">
        <v>4916</v>
      </c>
      <c r="C3022" s="3" t="s">
        <v>18</v>
      </c>
      <c r="D3022" s="6"/>
      <c r="E3022" s="10"/>
      <c r="F3022" s="3" t="str">
        <f>IFERROR( VLOOKUP(A3022,#REF!,2,0),"")</f>
        <v/>
      </c>
      <c r="G3022" s="3">
        <f t="array" ref="G3022">_xlfn.XLOOKUP(I3022,Base_Datos!D:D,Base_Datos!B:B,"")</f>
        <v>0</v>
      </c>
      <c r="H3022" s="3" t="str">
        <f t="array" ref="H3022">IF(I3022="","",IFERROR(_xlfn.XLOOKUP(I3022,Base_Datos!$D$2:$D3876,Base_Datos!$C$2:$C3876),""))</f>
        <v/>
      </c>
      <c r="I3022" s="3"/>
      <c r="J3022" s="3" t="str">
        <f>IF(I3022="","",IFERROR(VLOOKUP(I3022,Base_Datos!$D$2:$E$72,2,0),""))</f>
        <v/>
      </c>
      <c r="K3022" s="3"/>
      <c r="L3022" s="3"/>
      <c r="M3022" s="7">
        <v>0</v>
      </c>
      <c r="N3022" s="7">
        <v>0</v>
      </c>
    </row>
    <row r="3023" spans="1:14" ht="14.25" x14ac:dyDescent="0.2">
      <c r="A3023" s="3">
        <v>90202</v>
      </c>
      <c r="B3023" s="3" t="s">
        <v>4917</v>
      </c>
      <c r="C3023" s="3" t="s">
        <v>18</v>
      </c>
      <c r="D3023" s="6"/>
      <c r="E3023" s="10" t="s">
        <v>4918</v>
      </c>
      <c r="F3023" s="3" t="str">
        <f>IFERROR( VLOOKUP(A3023,#REF!,2,0),"")</f>
        <v/>
      </c>
      <c r="G3023" s="3">
        <f t="array" ref="G3023">_xlfn.XLOOKUP(I3023,Base_Datos!D:D,Base_Datos!B:B,"")</f>
        <v>0</v>
      </c>
      <c r="H3023" s="3" t="str">
        <f t="array" ref="H3023">IF(I3023="","",IFERROR(_xlfn.XLOOKUP(I3023,Base_Datos!$D$2:$D3876,Base_Datos!$C$2:$C3876),""))</f>
        <v/>
      </c>
      <c r="I3023" s="3"/>
      <c r="J3023" s="3" t="str">
        <f>IF(I3023="","",IFERROR(VLOOKUP(I3023,Base_Datos!$D$2:$E$72,2,0),""))</f>
        <v/>
      </c>
      <c r="K3023" s="3"/>
      <c r="L3023" s="3"/>
      <c r="M3023" s="7">
        <v>0</v>
      </c>
      <c r="N3023" s="7">
        <v>0</v>
      </c>
    </row>
    <row r="3024" spans="1:14" ht="14.25" x14ac:dyDescent="0.2">
      <c r="A3024" s="3">
        <v>90204</v>
      </c>
      <c r="B3024" s="3" t="s">
        <v>4919</v>
      </c>
      <c r="C3024" s="3" t="s">
        <v>18</v>
      </c>
      <c r="D3024" s="6"/>
      <c r="E3024" s="10"/>
      <c r="F3024" s="3" t="str">
        <f>IFERROR( VLOOKUP(A3024,#REF!,2,0),"")</f>
        <v/>
      </c>
      <c r="G3024" s="3" t="str">
        <f t="array" ref="G3024">_xlfn.XLOOKUP(I3024,Base_Datos!D:D,Base_Datos!B:B,"")</f>
        <v>DFSK</v>
      </c>
      <c r="H3024" s="3" t="str">
        <f t="array" ref="H3024">IF(I3024="","",IFERROR(_xlfn.XLOOKUP(I3024,Base_Datos!$D$2:$D3876,Base_Datos!$C$2:$C3876),""))</f>
        <v>Serie K</v>
      </c>
      <c r="I3024" s="3" t="s">
        <v>475</v>
      </c>
      <c r="J3024" s="3" t="str">
        <f>IF(I3024="","",IFERROR(VLOOKUP(I3024,Base_Datos!$D$2:$E$72,2,0),""))</f>
        <v>(1.1L)</v>
      </c>
      <c r="K3024" s="3" t="s">
        <v>1817</v>
      </c>
      <c r="L3024" s="3"/>
      <c r="M3024" s="7">
        <v>4</v>
      </c>
      <c r="N3024" s="7">
        <v>0</v>
      </c>
    </row>
    <row r="3025" spans="1:14" ht="14.25" x14ac:dyDescent="0.2">
      <c r="A3025" s="3">
        <v>90207</v>
      </c>
      <c r="B3025" s="3" t="s">
        <v>4917</v>
      </c>
      <c r="C3025" s="3" t="s">
        <v>18</v>
      </c>
      <c r="D3025" s="6"/>
      <c r="E3025" s="10"/>
      <c r="F3025" s="3" t="str">
        <f>IFERROR( VLOOKUP(A3025,#REF!,2,0),"")</f>
        <v/>
      </c>
      <c r="G3025" s="3" t="str">
        <f t="array" ref="G3025">_xlfn.XLOOKUP(I3025,Base_Datos!D:D,Base_Datos!B:B,"")</f>
        <v>DFSK</v>
      </c>
      <c r="H3025" s="3" t="str">
        <f t="array" ref="H3025">IF(I3025="","",IFERROR(_xlfn.XLOOKUP(I3025,Base_Datos!$D$2:$D3876,Base_Datos!$C$2:$C3876),""))</f>
        <v>Serie K</v>
      </c>
      <c r="I3025" s="3" t="s">
        <v>475</v>
      </c>
      <c r="J3025" s="3" t="str">
        <f>IF(I3025="","",IFERROR(VLOOKUP(I3025,Base_Datos!$D$2:$E$72,2,0),""))</f>
        <v>(1.1L)</v>
      </c>
      <c r="K3025" s="3"/>
      <c r="L3025" s="3"/>
      <c r="M3025" s="7">
        <v>3</v>
      </c>
      <c r="N3025" s="7">
        <v>0</v>
      </c>
    </row>
    <row r="3026" spans="1:14" ht="14.25" x14ac:dyDescent="0.2">
      <c r="A3026" s="3">
        <v>90208</v>
      </c>
      <c r="B3026" s="3" t="s">
        <v>1788</v>
      </c>
      <c r="C3026" s="3" t="s">
        <v>18</v>
      </c>
      <c r="D3026" s="6"/>
      <c r="E3026" s="10"/>
      <c r="F3026" s="3" t="str">
        <f>IFERROR( VLOOKUP(A3026,#REF!,2,0),"")</f>
        <v/>
      </c>
      <c r="G3026" s="3" t="str">
        <f t="array" ref="G3026">_xlfn.XLOOKUP(I3026,Base_Datos!D:D,Base_Datos!B:B,"")</f>
        <v>DFSK</v>
      </c>
      <c r="H3026" s="3" t="str">
        <f t="array" ref="H3026">IF(I3026="","",IFERROR(_xlfn.XLOOKUP(I3026,Base_Datos!$D$2:$D3876,Base_Datos!$C$2:$C3876),""))</f>
        <v>Serie C</v>
      </c>
      <c r="I3026" s="3" t="s">
        <v>332</v>
      </c>
      <c r="J3026" s="3" t="str">
        <f>IF(I3026="","",IFERROR(VLOOKUP(I3026,Base_Datos!$D$2:$E$72,2,0),""))</f>
        <v>(1.5L)</v>
      </c>
      <c r="K3026" s="3" t="s">
        <v>2439</v>
      </c>
      <c r="L3026" s="3"/>
      <c r="M3026" s="7">
        <v>0</v>
      </c>
      <c r="N3026" s="7">
        <v>0</v>
      </c>
    </row>
    <row r="3027" spans="1:14" ht="14.25" x14ac:dyDescent="0.2">
      <c r="A3027" s="3">
        <v>90500</v>
      </c>
      <c r="B3027" s="3" t="s">
        <v>4920</v>
      </c>
      <c r="C3027" s="3" t="s">
        <v>1</v>
      </c>
      <c r="D3027" s="6"/>
      <c r="E3027" s="10" t="s">
        <v>4921</v>
      </c>
      <c r="F3027" s="3" t="str">
        <f>IFERROR( VLOOKUP(A3027,#REF!,2,0),"")</f>
        <v/>
      </c>
      <c r="G3027" s="3">
        <f t="array" ref="G3027">_xlfn.XLOOKUP(I3027,Base_Datos!D:D,Base_Datos!B:B,"")</f>
        <v>0</v>
      </c>
      <c r="H3027" s="3" t="str">
        <f t="array" ref="H3027">IF(I3027="","",IFERROR(_xlfn.XLOOKUP(I3027,Base_Datos!$D$2:$D3876,Base_Datos!$C$2:$C3876),""))</f>
        <v/>
      </c>
      <c r="I3027" s="3"/>
      <c r="J3027" s="3" t="str">
        <f>IF(I3027="","",IFERROR(VLOOKUP(I3027,Base_Datos!$D$2:$E$72,2,0),""))</f>
        <v/>
      </c>
      <c r="K3027" s="3"/>
      <c r="L3027" s="3"/>
      <c r="M3027" s="7">
        <v>0</v>
      </c>
      <c r="N3027" s="7">
        <v>0</v>
      </c>
    </row>
    <row r="3028" spans="1:14" ht="14.25" x14ac:dyDescent="0.2">
      <c r="A3028" s="3">
        <v>90501</v>
      </c>
      <c r="B3028" s="3" t="s">
        <v>4922</v>
      </c>
      <c r="C3028" s="3" t="s">
        <v>1</v>
      </c>
      <c r="D3028" s="6"/>
      <c r="E3028" s="10" t="s">
        <v>4923</v>
      </c>
      <c r="F3028" s="3" t="str">
        <f>IFERROR( VLOOKUP(A3028,#REF!,2,0),"")</f>
        <v/>
      </c>
      <c r="G3028" s="3">
        <f t="array" ref="G3028">_xlfn.XLOOKUP(I3028,Base_Datos!D:D,Base_Datos!B:B,"")</f>
        <v>0</v>
      </c>
      <c r="H3028" s="3" t="str">
        <f t="array" ref="H3028">IF(I3028="","",IFERROR(_xlfn.XLOOKUP(I3028,Base_Datos!$D$2:$D3876,Base_Datos!$C$2:$C3876),""))</f>
        <v/>
      </c>
      <c r="I3028" s="3"/>
      <c r="J3028" s="3" t="str">
        <f>IF(I3028="","",IFERROR(VLOOKUP(I3028,Base_Datos!$D$2:$E$72,2,0),""))</f>
        <v/>
      </c>
      <c r="K3028" s="3"/>
      <c r="L3028" s="3"/>
      <c r="M3028" s="7">
        <v>0</v>
      </c>
      <c r="N3028" s="7">
        <v>0</v>
      </c>
    </row>
    <row r="3029" spans="1:14" ht="14.25" x14ac:dyDescent="0.2">
      <c r="A3029" s="3">
        <v>90502</v>
      </c>
      <c r="B3029" s="3" t="s">
        <v>4924</v>
      </c>
      <c r="C3029" s="3" t="s">
        <v>1</v>
      </c>
      <c r="D3029" s="6"/>
      <c r="E3029" s="10" t="s">
        <v>4925</v>
      </c>
      <c r="F3029" s="3" t="str">
        <f>IFERROR( VLOOKUP(A3029,#REF!,2,0),"")</f>
        <v/>
      </c>
      <c r="G3029" s="3">
        <f t="array" ref="G3029">_xlfn.XLOOKUP(I3029,Base_Datos!D:D,Base_Datos!B:B,"")</f>
        <v>0</v>
      </c>
      <c r="H3029" s="3" t="str">
        <f t="array" ref="H3029">IF(I3029="","",IFERROR(_xlfn.XLOOKUP(I3029,Base_Datos!$D$2:$D3876,Base_Datos!$C$2:$C3876),""))</f>
        <v/>
      </c>
      <c r="I3029" s="3"/>
      <c r="J3029" s="3" t="str">
        <f>IF(I3029="","",IFERROR(VLOOKUP(I3029,Base_Datos!$D$2:$E$72,2,0),""))</f>
        <v/>
      </c>
      <c r="K3029" s="3"/>
      <c r="L3029" s="3"/>
      <c r="M3029" s="7">
        <v>0</v>
      </c>
      <c r="N3029" s="7">
        <v>0</v>
      </c>
    </row>
    <row r="3030" spans="1:14" ht="14.25" x14ac:dyDescent="0.2">
      <c r="A3030" s="3">
        <v>90503</v>
      </c>
      <c r="B3030" s="3" t="s">
        <v>4926</v>
      </c>
      <c r="C3030" s="3" t="s">
        <v>1</v>
      </c>
      <c r="D3030" s="6"/>
      <c r="E3030" s="10" t="s">
        <v>4927</v>
      </c>
      <c r="F3030" s="3" t="str">
        <f>IFERROR( VLOOKUP(A3030,#REF!,2,0),"")</f>
        <v/>
      </c>
      <c r="G3030" s="3">
        <f t="array" ref="G3030">_xlfn.XLOOKUP(I3030,Base_Datos!D:D,Base_Datos!B:B,"")</f>
        <v>0</v>
      </c>
      <c r="H3030" s="3" t="str">
        <f t="array" ref="H3030">IF(I3030="","",IFERROR(_xlfn.XLOOKUP(I3030,Base_Datos!$D$2:$D3876,Base_Datos!$C$2:$C3876),""))</f>
        <v/>
      </c>
      <c r="I3030" s="3"/>
      <c r="J3030" s="3" t="str">
        <f>IF(I3030="","",IFERROR(VLOOKUP(I3030,Base_Datos!$D$2:$E$72,2,0),""))</f>
        <v/>
      </c>
      <c r="K3030" s="3"/>
      <c r="L3030" s="3"/>
      <c r="M3030" s="7">
        <v>0</v>
      </c>
      <c r="N3030" s="7">
        <v>0</v>
      </c>
    </row>
    <row r="3031" spans="1:14" ht="14.25" x14ac:dyDescent="0.2">
      <c r="A3031" s="3">
        <v>90504</v>
      </c>
      <c r="B3031" s="3" t="s">
        <v>4928</v>
      </c>
      <c r="C3031" s="3" t="s">
        <v>1</v>
      </c>
      <c r="D3031" s="6"/>
      <c r="E3031" s="10" t="s">
        <v>4929</v>
      </c>
      <c r="F3031" s="3" t="str">
        <f>IFERROR( VLOOKUP(A3031,#REF!,2,0),"")</f>
        <v/>
      </c>
      <c r="G3031" s="3">
        <f t="array" ref="G3031">_xlfn.XLOOKUP(I3031,Base_Datos!D:D,Base_Datos!B:B,"")</f>
        <v>0</v>
      </c>
      <c r="H3031" s="3" t="str">
        <f t="array" ref="H3031">IF(I3031="","",IFERROR(_xlfn.XLOOKUP(I3031,Base_Datos!$D$2:$D3876,Base_Datos!$C$2:$C3876),""))</f>
        <v/>
      </c>
      <c r="I3031" s="3"/>
      <c r="J3031" s="3" t="str">
        <f>IF(I3031="","",IFERROR(VLOOKUP(I3031,Base_Datos!$D$2:$E$72,2,0),""))</f>
        <v/>
      </c>
      <c r="K3031" s="3"/>
      <c r="L3031" s="3"/>
      <c r="M3031" s="7">
        <v>0</v>
      </c>
      <c r="N3031" s="7">
        <v>0</v>
      </c>
    </row>
    <row r="3032" spans="1:14" ht="14.25" x14ac:dyDescent="0.2">
      <c r="A3032" s="3">
        <v>90505</v>
      </c>
      <c r="B3032" s="3" t="s">
        <v>4930</v>
      </c>
      <c r="C3032" s="3" t="s">
        <v>1</v>
      </c>
      <c r="D3032" s="6"/>
      <c r="E3032" s="10"/>
      <c r="F3032" s="3" t="str">
        <f>IFERROR( VLOOKUP(A3032,#REF!,2,0),"")</f>
        <v/>
      </c>
      <c r="G3032" s="3">
        <f t="array" ref="G3032">_xlfn.XLOOKUP(I3032,Base_Datos!D:D,Base_Datos!B:B,"")</f>
        <v>0</v>
      </c>
      <c r="H3032" s="3" t="str">
        <f t="array" ref="H3032">IF(I3032="","",IFERROR(_xlfn.XLOOKUP(I3032,Base_Datos!$D$2:$D3876,Base_Datos!$C$2:$C3876),""))</f>
        <v/>
      </c>
      <c r="I3032" s="3"/>
      <c r="J3032" s="3" t="str">
        <f>IF(I3032="","",IFERROR(VLOOKUP(I3032,Base_Datos!$D$2:$E$72,2,0),""))</f>
        <v/>
      </c>
      <c r="K3032" s="3"/>
      <c r="L3032" s="3"/>
      <c r="M3032" s="7">
        <v>0</v>
      </c>
      <c r="N3032" s="7">
        <v>0</v>
      </c>
    </row>
    <row r="3033" spans="1:14" ht="14.25" x14ac:dyDescent="0.2">
      <c r="A3033" s="3">
        <v>90506</v>
      </c>
      <c r="B3033" s="3" t="s">
        <v>4931</v>
      </c>
      <c r="C3033" s="3" t="s">
        <v>16</v>
      </c>
      <c r="D3033" s="6"/>
      <c r="E3033" s="10" t="s">
        <v>4932</v>
      </c>
      <c r="F3033" s="3" t="str">
        <f>IFERROR( VLOOKUP(A3033,#REF!,2,0),"")</f>
        <v/>
      </c>
      <c r="G3033" s="3">
        <f t="array" ref="G3033">_xlfn.XLOOKUP(I3033,Base_Datos!D:D,Base_Datos!B:B,"")</f>
        <v>0</v>
      </c>
      <c r="H3033" s="3" t="str">
        <f t="array" ref="H3033">IF(I3033="","",IFERROR(_xlfn.XLOOKUP(I3033,Base_Datos!$D$2:$D3876,Base_Datos!$C$2:$C3876),""))</f>
        <v/>
      </c>
      <c r="I3033" s="3"/>
      <c r="J3033" s="3" t="str">
        <f>IF(I3033="","",IFERROR(VLOOKUP(I3033,Base_Datos!$D$2:$E$72,2,0),""))</f>
        <v/>
      </c>
      <c r="K3033" s="3"/>
      <c r="L3033" s="3"/>
      <c r="M3033" s="7">
        <v>0</v>
      </c>
      <c r="N3033" s="7">
        <v>0</v>
      </c>
    </row>
    <row r="3034" spans="1:14" ht="14.25" x14ac:dyDescent="0.2">
      <c r="A3034" s="3">
        <v>90507</v>
      </c>
      <c r="B3034" s="3" t="s">
        <v>4933</v>
      </c>
      <c r="C3034" s="3" t="s">
        <v>16</v>
      </c>
      <c r="D3034" s="6"/>
      <c r="E3034" s="10" t="s">
        <v>910</v>
      </c>
      <c r="F3034" s="3" t="str">
        <f>IFERROR( VLOOKUP(A3034,#REF!,2,0),"")</f>
        <v/>
      </c>
      <c r="G3034" s="3">
        <f t="array" ref="G3034">_xlfn.XLOOKUP(I3034,Base_Datos!D:D,Base_Datos!B:B,"")</f>
        <v>0</v>
      </c>
      <c r="H3034" s="3" t="str">
        <f t="array" ref="H3034">IF(I3034="","",IFERROR(_xlfn.XLOOKUP(I3034,Base_Datos!$D$2:$D3876,Base_Datos!$C$2:$C3876),""))</f>
        <v/>
      </c>
      <c r="I3034" s="3"/>
      <c r="J3034" s="3" t="str">
        <f>IF(I3034="","",IFERROR(VLOOKUP(I3034,Base_Datos!$D$2:$E$72,2,0),""))</f>
        <v/>
      </c>
      <c r="K3034" s="3"/>
      <c r="L3034" s="3"/>
      <c r="M3034" s="7">
        <v>0</v>
      </c>
      <c r="N3034" s="7">
        <v>0</v>
      </c>
    </row>
    <row r="3035" spans="1:14" ht="14.25" x14ac:dyDescent="0.2">
      <c r="A3035" s="3">
        <v>90600</v>
      </c>
      <c r="B3035" s="3" t="s">
        <v>4934</v>
      </c>
      <c r="C3035" s="3" t="s">
        <v>1</v>
      </c>
      <c r="D3035" s="6"/>
      <c r="E3035" s="10"/>
      <c r="F3035" s="3" t="str">
        <f>IFERROR( VLOOKUP(A3035,#REF!,2,0),"")</f>
        <v/>
      </c>
      <c r="G3035" s="3">
        <f t="array" ref="G3035">_xlfn.XLOOKUP(I3035,Base_Datos!D:D,Base_Datos!B:B,"")</f>
        <v>0</v>
      </c>
      <c r="H3035" s="3" t="str">
        <f t="array" ref="H3035">IF(I3035="","",IFERROR(_xlfn.XLOOKUP(I3035,Base_Datos!$D$2:$D3876,Base_Datos!$C$2:$C3876),""))</f>
        <v/>
      </c>
      <c r="I3035" s="3"/>
      <c r="J3035" s="3" t="str">
        <f>IF(I3035="","",IFERROR(VLOOKUP(I3035,Base_Datos!$D$2:$E$72,2,0),""))</f>
        <v/>
      </c>
      <c r="K3035" s="3"/>
      <c r="L3035" s="3"/>
      <c r="M3035" s="7">
        <v>0</v>
      </c>
      <c r="N3035" s="7">
        <v>0</v>
      </c>
    </row>
    <row r="3036" spans="1:14" ht="14.25" x14ac:dyDescent="0.2">
      <c r="A3036" s="3">
        <v>90602</v>
      </c>
      <c r="B3036" s="3" t="s">
        <v>4772</v>
      </c>
      <c r="C3036" s="3" t="s">
        <v>18</v>
      </c>
      <c r="D3036" s="6"/>
      <c r="E3036" s="10"/>
      <c r="F3036" s="3" t="str">
        <f>IFERROR( VLOOKUP(A3036,#REF!,2,0),"")</f>
        <v/>
      </c>
      <c r="G3036" s="3" t="str">
        <f t="array" ref="G3036">_xlfn.XLOOKUP(I3036,Base_Datos!D:D,Base_Datos!B:B,"")</f>
        <v>DFSK</v>
      </c>
      <c r="H3036" s="3" t="str">
        <f t="array" ref="H3036">IF(I3036="","",IFERROR(_xlfn.XLOOKUP(I3036,Base_Datos!$D$2:$D3876,Base_Datos!$C$2:$C3876),""))</f>
        <v>Serie Glory</v>
      </c>
      <c r="I3036" s="3" t="s">
        <v>1765</v>
      </c>
      <c r="J3036" s="3" t="str">
        <f>IF(I3036="","",IFERROR(VLOOKUP(I3036,Base_Datos!$D$2:$E$72,2,0),""))</f>
        <v>(1.5L)</v>
      </c>
      <c r="K3036" s="3"/>
      <c r="L3036" s="3"/>
      <c r="M3036" s="7">
        <v>0</v>
      </c>
      <c r="N3036" s="7">
        <v>0</v>
      </c>
    </row>
    <row r="3037" spans="1:14" ht="14.25" x14ac:dyDescent="0.2">
      <c r="A3037" s="3">
        <v>90603</v>
      </c>
      <c r="B3037" s="3" t="s">
        <v>4772</v>
      </c>
      <c r="C3037" s="3" t="s">
        <v>18</v>
      </c>
      <c r="D3037" s="6"/>
      <c r="E3037" s="10"/>
      <c r="F3037" s="3" t="str">
        <f>IFERROR( VLOOKUP(A3037,#REF!,2,0),"")</f>
        <v/>
      </c>
      <c r="G3037" s="3" t="str">
        <f t="array" ref="G3037">_xlfn.XLOOKUP(I3037,Base_Datos!D:D,Base_Datos!B:B,"")</f>
        <v>DFSK</v>
      </c>
      <c r="H3037" s="3" t="str">
        <f t="array" ref="H3037">IF(I3037="","",IFERROR(_xlfn.XLOOKUP(I3037,Base_Datos!$D$2:$D3876,Base_Datos!$C$2:$C3876),""))</f>
        <v>Serie K</v>
      </c>
      <c r="I3037" s="3" t="s">
        <v>475</v>
      </c>
      <c r="J3037" s="3" t="str">
        <f>IF(I3037="","",IFERROR(VLOOKUP(I3037,Base_Datos!$D$2:$E$72,2,0),""))</f>
        <v>(1.1L)</v>
      </c>
      <c r="K3037" s="3" t="s">
        <v>2439</v>
      </c>
      <c r="L3037" s="3"/>
      <c r="M3037" s="7">
        <v>0</v>
      </c>
      <c r="N3037" s="7">
        <v>0</v>
      </c>
    </row>
    <row r="3038" spans="1:14" ht="14.25" x14ac:dyDescent="0.2">
      <c r="A3038" s="3">
        <v>90604</v>
      </c>
      <c r="B3038" s="3" t="s">
        <v>4935</v>
      </c>
      <c r="C3038" s="3" t="s">
        <v>1</v>
      </c>
      <c r="D3038" s="6"/>
      <c r="E3038" s="10"/>
      <c r="F3038" s="3" t="str">
        <f>IFERROR( VLOOKUP(A3038,#REF!,2,0),"")</f>
        <v/>
      </c>
      <c r="G3038" s="3">
        <f t="array" ref="G3038">_xlfn.XLOOKUP(I3038,Base_Datos!D:D,Base_Datos!B:B,"")</f>
        <v>0</v>
      </c>
      <c r="H3038" s="3" t="str">
        <f t="array" ref="H3038">IF(I3038="","",IFERROR(_xlfn.XLOOKUP(I3038,Base_Datos!$D$2:$D3876,Base_Datos!$C$2:$C3876),""))</f>
        <v/>
      </c>
      <c r="I3038" s="3"/>
      <c r="J3038" s="3" t="str">
        <f>IF(I3038="","",IFERROR(VLOOKUP(I3038,Base_Datos!$D$2:$E$72,2,0),""))</f>
        <v/>
      </c>
      <c r="K3038" s="3"/>
      <c r="L3038" s="3"/>
      <c r="M3038" s="7">
        <v>0</v>
      </c>
      <c r="N3038" s="7">
        <v>0</v>
      </c>
    </row>
    <row r="3039" spans="1:14" ht="14.25" x14ac:dyDescent="0.2">
      <c r="A3039" s="3">
        <v>90607</v>
      </c>
      <c r="B3039" s="3" t="s">
        <v>4936</v>
      </c>
      <c r="C3039" s="3" t="s">
        <v>18</v>
      </c>
      <c r="D3039" s="6"/>
      <c r="E3039" s="10"/>
      <c r="F3039" s="3" t="str">
        <f>IFERROR( VLOOKUP(A3039,#REF!,2,0),"")</f>
        <v/>
      </c>
      <c r="G3039" s="3">
        <f t="array" ref="G3039">_xlfn.XLOOKUP(I3039,Base_Datos!D:D,Base_Datos!B:B,"")</f>
        <v>0</v>
      </c>
      <c r="H3039" s="3" t="str">
        <f t="array" ref="H3039">IF(I3039="","",IFERROR(_xlfn.XLOOKUP(I3039,Base_Datos!$D$2:$D3876,Base_Datos!$C$2:$C3876),""))</f>
        <v/>
      </c>
      <c r="I3039" s="3"/>
      <c r="J3039" s="3" t="str">
        <f>IF(I3039="","",IFERROR(VLOOKUP(I3039,Base_Datos!$D$2:$E$72,2,0),""))</f>
        <v/>
      </c>
      <c r="K3039" s="3"/>
      <c r="L3039" s="3"/>
      <c r="M3039" s="7">
        <v>0</v>
      </c>
      <c r="N3039" s="7">
        <v>0</v>
      </c>
    </row>
    <row r="3040" spans="1:14" ht="14.25" x14ac:dyDescent="0.2">
      <c r="A3040" s="3">
        <v>90609</v>
      </c>
      <c r="B3040" s="3" t="s">
        <v>4772</v>
      </c>
      <c r="C3040" s="3" t="s">
        <v>18</v>
      </c>
      <c r="D3040" s="6"/>
      <c r="E3040" s="10"/>
      <c r="F3040" s="3" t="str">
        <f>IFERROR( VLOOKUP(A3040,#REF!,2,0),"")</f>
        <v/>
      </c>
      <c r="G3040" s="3" t="str">
        <f t="array" ref="G3040">_xlfn.XLOOKUP(I3040,Base_Datos!D:D,Base_Datos!B:B,"")</f>
        <v>DFSK</v>
      </c>
      <c r="H3040" s="3" t="str">
        <f t="array" ref="H3040">IF(I3040="","",IFERROR(_xlfn.XLOOKUP(I3040,Base_Datos!$D$2:$D3876,Base_Datos!$C$2:$C3876),""))</f>
        <v>Serie D</v>
      </c>
      <c r="I3040" s="3" t="s">
        <v>145</v>
      </c>
      <c r="J3040" s="3" t="str">
        <f>IF(I3040="","",IFERROR(VLOOKUP(I3040,Base_Datos!$D$2:$E$72,2,0),""))</f>
        <v>(2.4L)</v>
      </c>
      <c r="K3040" s="3"/>
      <c r="L3040" s="3"/>
      <c r="M3040" s="7">
        <v>0</v>
      </c>
      <c r="N3040" s="7">
        <v>0</v>
      </c>
    </row>
    <row r="3041" spans="1:14" ht="14.25" x14ac:dyDescent="0.2">
      <c r="A3041" s="3">
        <v>90630</v>
      </c>
      <c r="B3041" s="3" t="s">
        <v>4772</v>
      </c>
      <c r="C3041" s="3" t="s">
        <v>1</v>
      </c>
      <c r="D3041" s="6"/>
      <c r="E3041" s="10"/>
      <c r="F3041" s="3" t="str">
        <f>IFERROR( VLOOKUP(A3041,#REF!,2,0),"")</f>
        <v/>
      </c>
      <c r="G3041" s="3">
        <f t="array" ref="G3041">_xlfn.XLOOKUP(I3041,Base_Datos!D:D,Base_Datos!B:B,"")</f>
        <v>0</v>
      </c>
      <c r="H3041" s="3" t="str">
        <f t="array" ref="H3041">IF(I3041="","",IFERROR(_xlfn.XLOOKUP(I3041,Base_Datos!$D$2:$D3876,Base_Datos!$C$2:$C3876),""))</f>
        <v/>
      </c>
      <c r="I3041" s="3"/>
      <c r="J3041" s="3" t="str">
        <f>IF(I3041="","",IFERROR(VLOOKUP(I3041,Base_Datos!$D$2:$E$72,2,0),""))</f>
        <v/>
      </c>
      <c r="K3041" s="3"/>
      <c r="L3041" s="3"/>
      <c r="M3041" s="7">
        <v>0</v>
      </c>
      <c r="N3041" s="7">
        <v>0</v>
      </c>
    </row>
    <row r="3042" spans="1:14" ht="14.25" x14ac:dyDescent="0.2">
      <c r="A3042" s="3">
        <v>90631</v>
      </c>
      <c r="B3042" s="3" t="s">
        <v>4935</v>
      </c>
      <c r="C3042" s="3" t="s">
        <v>1</v>
      </c>
      <c r="D3042" s="6"/>
      <c r="E3042" s="10"/>
      <c r="F3042" s="3" t="str">
        <f>IFERROR( VLOOKUP(A3042,#REF!,2,0),"")</f>
        <v/>
      </c>
      <c r="G3042" s="3">
        <f t="array" ref="G3042">_xlfn.XLOOKUP(I3042,Base_Datos!D:D,Base_Datos!B:B,"")</f>
        <v>0</v>
      </c>
      <c r="H3042" s="3" t="str">
        <f t="array" ref="H3042">IF(I3042="","",IFERROR(_xlfn.XLOOKUP(I3042,Base_Datos!$D$2:$D3876,Base_Datos!$C$2:$C3876),""))</f>
        <v/>
      </c>
      <c r="I3042" s="3"/>
      <c r="J3042" s="3" t="str">
        <f>IF(I3042="","",IFERROR(VLOOKUP(I3042,Base_Datos!$D$2:$E$72,2,0),""))</f>
        <v/>
      </c>
      <c r="K3042" s="3"/>
      <c r="L3042" s="3"/>
      <c r="M3042" s="7">
        <v>1</v>
      </c>
      <c r="N3042" s="7">
        <v>0</v>
      </c>
    </row>
    <row r="3043" spans="1:14" ht="14.25" x14ac:dyDescent="0.2">
      <c r="A3043" s="3">
        <v>99666</v>
      </c>
      <c r="B3043" s="3" t="s">
        <v>1807</v>
      </c>
      <c r="C3043" s="3" t="s">
        <v>18</v>
      </c>
      <c r="D3043" s="6"/>
      <c r="E3043" s="10" t="s">
        <v>3048</v>
      </c>
      <c r="F3043" s="3" t="str">
        <f>IFERROR( VLOOKUP(A3043,#REF!,2,0),"")</f>
        <v/>
      </c>
      <c r="G3043" s="3" t="str">
        <f t="array" ref="G3043">_xlfn.XLOOKUP(I3043,Base_Datos!D:D,Base_Datos!B:B,"")</f>
        <v>DFSK</v>
      </c>
      <c r="H3043" s="3" t="str">
        <f t="array" ref="H3043">IF(I3043="","",IFERROR(_xlfn.XLOOKUP(I3043,Base_Datos!$D$2:$D3876,Base_Datos!$C$2:$C3876),""))</f>
        <v>Serie Glory</v>
      </c>
      <c r="I3043" s="3" t="s">
        <v>112</v>
      </c>
      <c r="J3043" s="3" t="str">
        <f>IF(I3043="","",IFERROR(VLOOKUP(I3043,Base_Datos!$D$2:$E$72,2,0),""))</f>
        <v>(1.8L)</v>
      </c>
      <c r="K3043" s="3" t="s">
        <v>1842</v>
      </c>
      <c r="L3043" s="3"/>
      <c r="M3043" s="7">
        <v>0</v>
      </c>
      <c r="N3043" s="7">
        <v>0</v>
      </c>
    </row>
    <row r="3044" spans="1:14" ht="14.25" x14ac:dyDescent="0.2">
      <c r="A3044" s="3">
        <v>99667</v>
      </c>
      <c r="B3044" s="3" t="s">
        <v>4937</v>
      </c>
      <c r="C3044" s="3" t="s">
        <v>18</v>
      </c>
      <c r="D3044" s="6"/>
      <c r="E3044" s="10" t="s">
        <v>4938</v>
      </c>
      <c r="F3044" s="3" t="str">
        <f>IFERROR( VLOOKUP(A3044,#REF!,2,0),"")</f>
        <v/>
      </c>
      <c r="G3044" s="3" t="str">
        <f t="array" ref="G3044">_xlfn.XLOOKUP(I3044,Base_Datos!D:D,Base_Datos!B:B,"")</f>
        <v>DFSK</v>
      </c>
      <c r="H3044" s="3" t="str">
        <f t="array" ref="H3044">IF(I3044="","",IFERROR(_xlfn.XLOOKUP(I3044,Base_Datos!$D$2:$D3876,Base_Datos!$C$2:$C3876),""))</f>
        <v>Serie Glory</v>
      </c>
      <c r="I3044" s="3" t="s">
        <v>1767</v>
      </c>
      <c r="J3044" s="3" t="str">
        <f>IF(I3044="","",IFERROR(VLOOKUP(I3044,Base_Datos!$D$2:$E$72,2,0),""))</f>
        <v>(1.5L)</v>
      </c>
      <c r="K3044" s="3"/>
      <c r="L3044" s="3"/>
      <c r="M3044" s="7">
        <v>0</v>
      </c>
      <c r="N3044" s="7">
        <v>0</v>
      </c>
    </row>
    <row r="3045" spans="1:14" ht="14.25" x14ac:dyDescent="0.2">
      <c r="A3045" s="3">
        <v>99668</v>
      </c>
      <c r="B3045" s="3" t="s">
        <v>4939</v>
      </c>
      <c r="C3045" s="3" t="s">
        <v>18</v>
      </c>
      <c r="D3045" s="6"/>
      <c r="E3045" s="10"/>
      <c r="F3045" s="3" t="str">
        <f>IFERROR( VLOOKUP(A3045,#REF!,2,0),"")</f>
        <v/>
      </c>
      <c r="G3045" s="3" t="str">
        <f t="array" ref="G3045">_xlfn.XLOOKUP(I3045,Base_Datos!D:D,Base_Datos!B:B,"")</f>
        <v>DFSK</v>
      </c>
      <c r="H3045" s="3" t="str">
        <f t="array" ref="H3045">IF(I3045="","",IFERROR(_xlfn.XLOOKUP(I3045,Base_Datos!$D$2:$D3876,Base_Datos!$C$2:$C3876),""))</f>
        <v>Serie Glory</v>
      </c>
      <c r="I3045" s="3" t="s">
        <v>1754</v>
      </c>
      <c r="J3045" s="3" t="str">
        <f>IF(I3045="","",IFERROR(VLOOKUP(I3045,Base_Datos!$D$2:$E$72,2,0),""))</f>
        <v>(1.5L)</v>
      </c>
      <c r="K3045" s="3" t="s">
        <v>1860</v>
      </c>
      <c r="L3045" s="3"/>
      <c r="M3045" s="7">
        <v>0</v>
      </c>
      <c r="N3045" s="7">
        <v>0</v>
      </c>
    </row>
    <row r="3046" spans="1:14" ht="14.25" x14ac:dyDescent="0.2">
      <c r="A3046" s="3">
        <v>99669</v>
      </c>
      <c r="B3046" s="3" t="s">
        <v>4940</v>
      </c>
      <c r="C3046" s="3" t="s">
        <v>18</v>
      </c>
      <c r="D3046" s="6"/>
      <c r="E3046" s="10"/>
      <c r="F3046" s="3" t="str">
        <f>IFERROR( VLOOKUP(A3046,#REF!,2,0),"")</f>
        <v/>
      </c>
      <c r="G3046" s="3" t="str">
        <f t="array" ref="G3046">_xlfn.XLOOKUP(I3046,Base_Datos!D:D,Base_Datos!B:B,"")</f>
        <v>DFSK</v>
      </c>
      <c r="H3046" s="3" t="str">
        <f t="array" ref="H3046">IF(I3046="","",IFERROR(_xlfn.XLOOKUP(I3046,Base_Datos!$D$2:$D3876,Base_Datos!$C$2:$C3876),""))</f>
        <v>Serie Glory</v>
      </c>
      <c r="I3046" s="3" t="s">
        <v>404</v>
      </c>
      <c r="J3046" s="3" t="str">
        <f>IF(I3046="","",IFERROR(VLOOKUP(I3046,Base_Datos!$D$2:$E$72,2,0),""))</f>
        <v>(1.5L)</v>
      </c>
      <c r="K3046" s="3"/>
      <c r="L3046" s="3"/>
      <c r="M3046" s="7">
        <v>0</v>
      </c>
      <c r="N3046" s="7">
        <v>0</v>
      </c>
    </row>
    <row r="3047" spans="1:14" ht="14.25" x14ac:dyDescent="0.2">
      <c r="A3047" s="3">
        <v>99672</v>
      </c>
      <c r="B3047" s="3" t="s">
        <v>3150</v>
      </c>
      <c r="C3047" s="3" t="s">
        <v>18</v>
      </c>
      <c r="D3047" s="6"/>
      <c r="E3047" s="10"/>
      <c r="F3047" s="3" t="str">
        <f>IFERROR( VLOOKUP(A3047,#REF!,2,0),"")</f>
        <v/>
      </c>
      <c r="G3047" s="3" t="str">
        <f t="array" ref="G3047">_xlfn.XLOOKUP(I3047,Base_Datos!D:D,Base_Datos!B:B,"")</f>
        <v>DFSK</v>
      </c>
      <c r="H3047" s="3" t="str">
        <f t="array" ref="H3047">IF(I3047="","",IFERROR(_xlfn.XLOOKUP(I3047,Base_Datos!$D$2:$D3876,Base_Datos!$C$2:$C3876),""))</f>
        <v>Serie D</v>
      </c>
      <c r="I3047" s="3" t="s">
        <v>145</v>
      </c>
      <c r="J3047" s="3" t="str">
        <f>IF(I3047="","",IFERROR(VLOOKUP(I3047,Base_Datos!$D$2:$E$72,2,0),""))</f>
        <v>(2.4L)</v>
      </c>
      <c r="K3047" s="3" t="s">
        <v>2439</v>
      </c>
      <c r="L3047" s="3"/>
      <c r="M3047" s="7">
        <v>0</v>
      </c>
      <c r="N3047" s="7">
        <v>0</v>
      </c>
    </row>
    <row r="3048" spans="1:14" ht="14.25" x14ac:dyDescent="0.2">
      <c r="A3048" s="3">
        <v>99673</v>
      </c>
      <c r="B3048" s="3" t="s">
        <v>3148</v>
      </c>
      <c r="C3048" s="3" t="s">
        <v>18</v>
      </c>
      <c r="D3048" s="6"/>
      <c r="E3048" s="10"/>
      <c r="F3048" s="3" t="str">
        <f>IFERROR( VLOOKUP(A3048,#REF!,2,0),"")</f>
        <v/>
      </c>
      <c r="G3048" s="3" t="str">
        <f t="array" ref="G3048">_xlfn.XLOOKUP(I3048,Base_Datos!D:D,Base_Datos!B:B,"")</f>
        <v>DFSK</v>
      </c>
      <c r="H3048" s="3" t="str">
        <f t="array" ref="H3048">IF(I3048="","",IFERROR(_xlfn.XLOOKUP(I3048,Base_Datos!$D$2:$D3876,Base_Datos!$C$2:$C3876),""))</f>
        <v>Serie D</v>
      </c>
      <c r="I3048" s="3" t="s">
        <v>145</v>
      </c>
      <c r="J3048" s="3" t="str">
        <f>IF(I3048="","",IFERROR(VLOOKUP(I3048,Base_Datos!$D$2:$E$72,2,0),""))</f>
        <v>(2.4L)</v>
      </c>
      <c r="K3048" s="3" t="s">
        <v>2439</v>
      </c>
      <c r="L3048" s="3"/>
      <c r="M3048" s="7">
        <v>0</v>
      </c>
      <c r="N3048" s="7">
        <v>0</v>
      </c>
    </row>
    <row r="3049" spans="1:14" ht="14.25" x14ac:dyDescent="0.2">
      <c r="A3049" s="3">
        <v>99674</v>
      </c>
      <c r="B3049" s="3" t="s">
        <v>4941</v>
      </c>
      <c r="C3049" s="3" t="s">
        <v>18</v>
      </c>
      <c r="D3049" s="6"/>
      <c r="E3049" s="10"/>
      <c r="F3049" s="3" t="str">
        <f>IFERROR( VLOOKUP(A3049,#REF!,2,0),"")</f>
        <v/>
      </c>
      <c r="G3049" s="3" t="str">
        <f t="array" ref="G3049">_xlfn.XLOOKUP(I3049,Base_Datos!D:D,Base_Datos!B:B,"")</f>
        <v>DFSK</v>
      </c>
      <c r="H3049" s="3" t="str">
        <f t="array" ref="H3049">IF(I3049="","",IFERROR(_xlfn.XLOOKUP(I3049,Base_Datos!$D$2:$D3876,Base_Datos!$C$2:$C3876),""))</f>
        <v>Serie D</v>
      </c>
      <c r="I3049" s="3" t="s">
        <v>145</v>
      </c>
      <c r="J3049" s="3" t="str">
        <f>IF(I3049="","",IFERROR(VLOOKUP(I3049,Base_Datos!$D$2:$E$72,2,0),""))</f>
        <v>(2.4L)</v>
      </c>
      <c r="K3049" s="3" t="s">
        <v>2439</v>
      </c>
      <c r="L3049" s="3"/>
      <c r="M3049" s="7">
        <v>0</v>
      </c>
      <c r="N3049" s="7">
        <v>0</v>
      </c>
    </row>
    <row r="3050" spans="1:14" ht="14.25" x14ac:dyDescent="0.2">
      <c r="A3050" s="3">
        <v>99675</v>
      </c>
      <c r="B3050" s="3" t="s">
        <v>4942</v>
      </c>
      <c r="C3050" s="3" t="s">
        <v>18</v>
      </c>
      <c r="D3050" s="6"/>
      <c r="E3050" s="10" t="s">
        <v>4943</v>
      </c>
      <c r="F3050" s="3" t="str">
        <f>IFERROR( VLOOKUP(A3050,#REF!,2,0),"")</f>
        <v/>
      </c>
      <c r="G3050" s="3" t="str">
        <f t="array" ref="G3050">_xlfn.XLOOKUP(I3050,Base_Datos!D:D,Base_Datos!B:B,"")</f>
        <v>DFSK</v>
      </c>
      <c r="H3050" s="3" t="str">
        <f t="array" ref="H3050">IF(I3050="","",IFERROR(_xlfn.XLOOKUP(I3050,Base_Datos!$D$2:$D3876,Base_Datos!$C$2:$C3876),""))</f>
        <v>Serie D</v>
      </c>
      <c r="I3050" s="3" t="s">
        <v>973</v>
      </c>
      <c r="J3050" s="3" t="str">
        <f>IF(I3050="","",IFERROR(VLOOKUP(I3050,Base_Datos!$D$2:$E$72,2,0),""))</f>
        <v>(1.5L)</v>
      </c>
      <c r="K3050" s="3" t="s">
        <v>3884</v>
      </c>
      <c r="L3050" s="3"/>
      <c r="M3050" s="7">
        <v>0</v>
      </c>
      <c r="N3050" s="7">
        <v>0</v>
      </c>
    </row>
    <row r="3051" spans="1:14" ht="14.25" x14ac:dyDescent="0.2">
      <c r="A3051" s="3">
        <v>99943</v>
      </c>
      <c r="B3051" s="3" t="s">
        <v>2245</v>
      </c>
      <c r="C3051" s="3" t="s">
        <v>16</v>
      </c>
      <c r="D3051" s="6"/>
      <c r="E3051" s="10" t="s">
        <v>376</v>
      </c>
      <c r="F3051" s="3" t="str">
        <f>IFERROR( VLOOKUP(A3051,#REF!,2,0),"")</f>
        <v/>
      </c>
      <c r="G3051" s="3" t="str">
        <f t="array" ref="G3051">_xlfn.XLOOKUP(I3051,Base_Datos!D:D,Base_Datos!B:B,"")</f>
        <v>DFSK</v>
      </c>
      <c r="H3051" s="3" t="str">
        <f t="array" ref="H3051">IF(I3051="","",IFERROR(_xlfn.XLOOKUP(I3051,Base_Datos!$D$2:$D3876,Base_Datos!$C$2:$C3876),""))</f>
        <v>Serie C</v>
      </c>
      <c r="I3051" s="3" t="s">
        <v>339</v>
      </c>
      <c r="J3051" s="3" t="str">
        <f>IF(I3051="","",IFERROR(VLOOKUP(I3051,Base_Datos!$D$2:$E$72,2,0),""))</f>
        <v>(1.5L)</v>
      </c>
      <c r="K3051" s="3"/>
      <c r="L3051" s="3"/>
      <c r="M3051" s="7">
        <v>0</v>
      </c>
      <c r="N3051" s="7">
        <v>0</v>
      </c>
    </row>
    <row r="3052" spans="1:14" ht="14.25" x14ac:dyDescent="0.2">
      <c r="A3052" s="3">
        <v>99944</v>
      </c>
      <c r="B3052" s="3" t="s">
        <v>4944</v>
      </c>
      <c r="C3052" s="3" t="s">
        <v>1</v>
      </c>
      <c r="D3052" s="6"/>
      <c r="E3052" s="10"/>
      <c r="F3052" s="3" t="str">
        <f>IFERROR( VLOOKUP(A3052,#REF!,2,0),"")</f>
        <v/>
      </c>
      <c r="G3052" s="3">
        <f t="array" ref="G3052">_xlfn.XLOOKUP(I3052,Base_Datos!D:D,Base_Datos!B:B,"")</f>
        <v>0</v>
      </c>
      <c r="H3052" s="3" t="str">
        <f t="array" ref="H3052">IF(I3052="","",IFERROR(_xlfn.XLOOKUP(I3052,Base_Datos!$D$2:$D3876,Base_Datos!$C$2:$C3876),""))</f>
        <v/>
      </c>
      <c r="I3052" s="3"/>
      <c r="J3052" s="3" t="str">
        <f>IF(I3052="","",IFERROR(VLOOKUP(I3052,Base_Datos!$D$2:$E$72,2,0),""))</f>
        <v/>
      </c>
      <c r="K3052" s="3"/>
      <c r="L3052" s="3"/>
      <c r="M3052" s="7">
        <v>0</v>
      </c>
      <c r="N3052" s="7">
        <v>0</v>
      </c>
    </row>
    <row r="3053" spans="1:14" ht="14.25" x14ac:dyDescent="0.2">
      <c r="A3053" s="3">
        <v>99962</v>
      </c>
      <c r="B3053" s="8" t="s">
        <v>1925</v>
      </c>
      <c r="C3053" s="3" t="s">
        <v>18</v>
      </c>
      <c r="D3053" s="6"/>
      <c r="E3053" s="10"/>
      <c r="F3053" s="3" t="str">
        <f>IFERROR( VLOOKUP(A3053,#REF!,2,0),"")</f>
        <v/>
      </c>
      <c r="G3053" s="3" t="str">
        <f t="array" ref="G3053">_xlfn.XLOOKUP(I3053,Base_Datos!D:D,Base_Datos!B:B,"")</f>
        <v>DFSK</v>
      </c>
      <c r="H3053" s="3" t="str">
        <f t="array" ref="H3053">IF(I3053="","",IFERROR(_xlfn.XLOOKUP(I3053,Base_Datos!$D$2:$D3876,Base_Datos!$C$2:$C3876),""))</f>
        <v>Serie D</v>
      </c>
      <c r="I3053" s="3" t="s">
        <v>145</v>
      </c>
      <c r="J3053" s="3" t="str">
        <f>IF(I3053="","",IFERROR(VLOOKUP(I3053,Base_Datos!$D$2:$E$72,2,0),""))</f>
        <v>(2.4L)</v>
      </c>
      <c r="K3053" s="3"/>
      <c r="L3053" s="3"/>
      <c r="M3053" s="7">
        <v>1</v>
      </c>
      <c r="N3053" s="7">
        <v>0</v>
      </c>
    </row>
    <row r="3054" spans="1:14" ht="14.25" x14ac:dyDescent="0.2">
      <c r="A3054" s="3">
        <v>99165</v>
      </c>
      <c r="B3054" s="8" t="s">
        <v>1925</v>
      </c>
      <c r="C3054" s="3" t="s">
        <v>4945</v>
      </c>
      <c r="D3054" s="6"/>
      <c r="E3054" s="10"/>
      <c r="F3054" s="3" t="str">
        <f>IFERROR( VLOOKUP(A3054,#REF!,2,0),"")</f>
        <v/>
      </c>
      <c r="G3054" s="3" t="str">
        <f t="array" ref="G3054">_xlfn.XLOOKUP(I3054,Base_Datos!D:D,Base_Datos!B:B,"")</f>
        <v>DFSK</v>
      </c>
      <c r="H3054" s="3" t="s">
        <v>4946</v>
      </c>
      <c r="I3054" s="3" t="s">
        <v>343</v>
      </c>
      <c r="J3054" s="3" t="str">
        <f>IF(I3054="","",IFERROR(VLOOKUP(I3054,Base_Datos!$D$2:$E$72,2,0),""))</f>
        <v>(1.5L)</v>
      </c>
      <c r="K3054" s="3" t="s">
        <v>4947</v>
      </c>
      <c r="L3054" s="3"/>
      <c r="M3054" s="3">
        <v>5</v>
      </c>
      <c r="N3054" s="7">
        <v>0</v>
      </c>
    </row>
    <row r="3055" spans="1:14" ht="14.25" x14ac:dyDescent="0.2">
      <c r="A3055" s="3">
        <v>88386</v>
      </c>
      <c r="B3055" s="8" t="s">
        <v>1945</v>
      </c>
      <c r="C3055" s="3" t="s">
        <v>18</v>
      </c>
      <c r="D3055" s="6" t="s">
        <v>4948</v>
      </c>
      <c r="E3055" s="10"/>
      <c r="F3055" s="3" t="str">
        <f>IFERROR( VLOOKUP(A3055,#REF!,2,0),"")</f>
        <v/>
      </c>
      <c r="G3055" s="3" t="str">
        <f t="array" ref="G3055">_xlfn.XLOOKUP(I3055,Base_Datos!D:D,Base_Datos!B:B,"")</f>
        <v>DFSK</v>
      </c>
      <c r="H3055" s="3" t="str">
        <f t="array" ref="H3055">IF(I3055="","",IFERROR(_xlfn.XLOOKUP(I3055,Base_Datos!$D$2:$D3876,Base_Datos!$C$2:$C3876),""))</f>
        <v>Serie D</v>
      </c>
      <c r="I3055" s="3" t="s">
        <v>145</v>
      </c>
      <c r="J3055" s="3" t="str">
        <f>IF(I3055="","",IFERROR(VLOOKUP(I3055,Base_Datos!$D$2:$E$72,2,0),""))</f>
        <v>(2.4L)</v>
      </c>
      <c r="K3055" s="3"/>
      <c r="L3055" s="3"/>
      <c r="M3055" s="3">
        <v>160</v>
      </c>
      <c r="N3055" s="7">
        <v>0</v>
      </c>
    </row>
    <row r="3056" spans="1:14" ht="14.25" x14ac:dyDescent="0.2">
      <c r="A3056" s="3">
        <v>99164</v>
      </c>
      <c r="B3056" s="8" t="s">
        <v>1928</v>
      </c>
      <c r="C3056" s="3" t="s">
        <v>16</v>
      </c>
      <c r="D3056" s="6"/>
      <c r="E3056" s="10"/>
      <c r="F3056" s="3" t="str">
        <f>IFERROR( VLOOKUP(A3056,#REF!,2,0),"")</f>
        <v/>
      </c>
      <c r="G3056" s="3" t="str">
        <f t="array" ref="G3056">_xlfn.XLOOKUP(I3056,Base_Datos!D:D,Base_Datos!B:B,"")</f>
        <v>GAC</v>
      </c>
      <c r="H3056" s="3" t="str">
        <f t="array" ref="H3056">IF(I3056="","",IFERROR(_xlfn.XLOOKUP(I3056,Base_Datos!$D$2:$D3876,Base_Datos!$C$2:$C3876),""))</f>
        <v>Serie Smilodon</v>
      </c>
      <c r="I3056" s="3" t="s">
        <v>1764</v>
      </c>
      <c r="J3056" s="3" t="str">
        <f>IF(I3056="","",IFERROR(VLOOKUP(I3056,Base_Datos!$D$2:$E$72,2,0),""))</f>
        <v>(2.4L)</v>
      </c>
      <c r="K3056" s="3"/>
      <c r="L3056" s="3"/>
      <c r="M3056" s="3">
        <v>30</v>
      </c>
      <c r="N3056" s="7">
        <v>0</v>
      </c>
    </row>
    <row r="3057" spans="1:14" ht="14.25" x14ac:dyDescent="0.2">
      <c r="A3057" s="3">
        <v>90005</v>
      </c>
      <c r="B3057" s="8" t="s">
        <v>3552</v>
      </c>
      <c r="C3057" s="3" t="s">
        <v>18</v>
      </c>
      <c r="D3057" s="6" t="s">
        <v>905</v>
      </c>
      <c r="E3057" s="10"/>
      <c r="F3057" s="3" t="str">
        <f>IFERROR( VLOOKUP(A3057,#REF!,2,0),"")</f>
        <v/>
      </c>
      <c r="G3057" s="3" t="str">
        <f t="array" ref="G3057">_xlfn.XLOOKUP(I3057,Base_Datos!D:D,Base_Datos!B:B,"")</f>
        <v>DFSK</v>
      </c>
      <c r="H3057" s="3" t="str">
        <f t="array" ref="H3057">IF(I3057="","",IFERROR(_xlfn.XLOOKUP(I3057,Base_Datos!$D$2:$D3876,Base_Datos!$C$2:$C3876),""))</f>
        <v>Serie Glory</v>
      </c>
      <c r="I3057" s="3" t="s">
        <v>112</v>
      </c>
      <c r="J3057" s="3" t="str">
        <f>IF(I3057="","",IFERROR(VLOOKUP(I3057,Base_Datos!$D$2:$E$72,2,0),""))</f>
        <v>(1.8L)</v>
      </c>
      <c r="K3057" s="3"/>
      <c r="L3057" s="3"/>
      <c r="M3057" s="3">
        <v>5</v>
      </c>
      <c r="N3057" s="7">
        <v>0</v>
      </c>
    </row>
    <row r="3058" spans="1:14" ht="14.25" x14ac:dyDescent="0.2">
      <c r="A3058" s="3"/>
      <c r="B3058" s="3"/>
      <c r="C3058" s="3"/>
      <c r="D3058" s="6"/>
      <c r="E3058" s="10"/>
      <c r="F3058" s="3" t="str">
        <f>IFERROR( VLOOKUP(A3058,#REF!,2,0),"")</f>
        <v/>
      </c>
      <c r="G3058" s="3">
        <f t="array" ref="G3058">_xlfn.XLOOKUP(I3058,Base_Datos!D:D,Base_Datos!B:B,"")</f>
        <v>0</v>
      </c>
      <c r="H3058" s="3" t="str">
        <f t="array" ref="H3058">IF(I3058="","",IFERROR(_xlfn.XLOOKUP(I3058,Base_Datos!$D$2:$D3876,Base_Datos!$C$2:$C3876),""))</f>
        <v/>
      </c>
      <c r="I3058" s="3"/>
      <c r="J3058" s="3" t="str">
        <f>IF(I3058="","",IFERROR(VLOOKUP(I3058,Base_Datos!$D$2:$E$72,2,0),""))</f>
        <v/>
      </c>
      <c r="K3058" s="3"/>
      <c r="L3058" s="3"/>
      <c r="M3058" s="3"/>
      <c r="N3058" s="3"/>
    </row>
    <row r="3059" spans="1:14" ht="14.25" x14ac:dyDescent="0.2">
      <c r="A3059" s="3"/>
      <c r="B3059" s="3"/>
      <c r="C3059" s="3"/>
      <c r="D3059" s="6"/>
      <c r="E3059" s="10"/>
      <c r="F3059" s="3" t="str">
        <f>IFERROR( VLOOKUP(A3059,#REF!,2,0),"")</f>
        <v/>
      </c>
      <c r="G3059" s="3">
        <f t="array" ref="G3059">_xlfn.XLOOKUP(I3059,Base_Datos!D:D,Base_Datos!B:B,"")</f>
        <v>0</v>
      </c>
      <c r="H3059" s="3" t="str">
        <f t="array" ref="H3059">IF(I3059="","",IFERROR(_xlfn.XLOOKUP(I3059,Base_Datos!$D$2:$D3876,Base_Datos!$C$2:$C3876),""))</f>
        <v/>
      </c>
      <c r="I3059" s="3"/>
      <c r="J3059" s="3" t="str">
        <f>IF(I3059="","",IFERROR(VLOOKUP(I3059,Base_Datos!$D$2:$E$72,2,0),""))</f>
        <v/>
      </c>
      <c r="K3059" s="3"/>
      <c r="L3059" s="3"/>
      <c r="M3059" s="3"/>
      <c r="N3059" s="3"/>
    </row>
    <row r="3060" spans="1:14" ht="14.25" x14ac:dyDescent="0.2">
      <c r="A3060" s="3"/>
      <c r="B3060" s="3"/>
      <c r="C3060" s="3"/>
      <c r="D3060" s="6"/>
      <c r="E3060" s="10"/>
      <c r="F3060" s="3" t="str">
        <f>IFERROR( VLOOKUP(A3060,#REF!,2,0),"")</f>
        <v/>
      </c>
      <c r="G3060" s="3">
        <f t="array" ref="G3060">_xlfn.XLOOKUP(I3060,Base_Datos!D:D,Base_Datos!B:B,"")</f>
        <v>0</v>
      </c>
      <c r="H3060" s="3" t="str">
        <f t="array" ref="H3060">IF(I3060="","",IFERROR(_xlfn.XLOOKUP(I3060,Base_Datos!$D$2:$D3876,Base_Datos!$C$2:$C3876),""))</f>
        <v/>
      </c>
      <c r="I3060" s="3"/>
      <c r="J3060" s="3" t="str">
        <f>IF(I3060="","",IFERROR(VLOOKUP(I3060,Base_Datos!$D$2:$E$72,2,0),""))</f>
        <v/>
      </c>
      <c r="K3060" s="3"/>
      <c r="L3060" s="3"/>
      <c r="M3060" s="3"/>
      <c r="N3060" s="3"/>
    </row>
    <row r="3061" spans="1:14" ht="14.25" x14ac:dyDescent="0.2">
      <c r="A3061" s="3"/>
      <c r="B3061" s="3"/>
      <c r="C3061" s="3"/>
      <c r="D3061" s="6"/>
      <c r="E3061" s="10"/>
      <c r="F3061" s="3" t="str">
        <f>IFERROR( VLOOKUP(A3061,#REF!,2,0),"")</f>
        <v/>
      </c>
      <c r="G3061" s="3">
        <f t="array" ref="G3061">_xlfn.XLOOKUP(I3061,Base_Datos!D:D,Base_Datos!B:B,"")</f>
        <v>0</v>
      </c>
      <c r="H3061" s="3" t="str">
        <f t="array" ref="H3061">IF(I3061="","",IFERROR(_xlfn.XLOOKUP(I3061,Base_Datos!$D$2:$D3876,Base_Datos!$C$2:$C3876),""))</f>
        <v/>
      </c>
      <c r="I3061" s="3"/>
      <c r="J3061" s="3" t="str">
        <f>IF(I3061="","",IFERROR(VLOOKUP(I3061,Base_Datos!$D$2:$E$72,2,0),""))</f>
        <v/>
      </c>
      <c r="K3061" s="3"/>
      <c r="L3061" s="3"/>
      <c r="M3061" s="3"/>
      <c r="N3061" s="3"/>
    </row>
    <row r="3062" spans="1:14" ht="14.25" x14ac:dyDescent="0.2">
      <c r="A3062" s="3"/>
      <c r="B3062" s="3"/>
      <c r="C3062" s="3"/>
      <c r="D3062" s="6"/>
      <c r="E3062" s="10"/>
      <c r="F3062" s="3" t="str">
        <f>IFERROR( VLOOKUP(A3062,#REF!,2,0),"")</f>
        <v/>
      </c>
      <c r="G3062" s="3">
        <f t="array" ref="G3062">_xlfn.XLOOKUP(I3062,Base_Datos!D:D,Base_Datos!B:B,"")</f>
        <v>0</v>
      </c>
      <c r="H3062" s="3" t="str">
        <f t="array" ref="H3062">IF(I3062="","",IFERROR(_xlfn.XLOOKUP(I3062,Base_Datos!$D$2:$D3876,Base_Datos!$C$2:$C3876),""))</f>
        <v/>
      </c>
      <c r="I3062" s="3"/>
      <c r="J3062" s="3" t="str">
        <f>IF(I3062="","",IFERROR(VLOOKUP(I3062,Base_Datos!$D$2:$E$72,2,0),""))</f>
        <v/>
      </c>
      <c r="K3062" s="3"/>
      <c r="L3062" s="3"/>
      <c r="M3062" s="3"/>
      <c r="N3062" s="3"/>
    </row>
    <row r="3063" spans="1:14" ht="14.25" x14ac:dyDescent="0.2">
      <c r="A3063" s="3"/>
      <c r="B3063" s="3"/>
      <c r="C3063" s="3"/>
      <c r="D3063" s="6"/>
      <c r="E3063" s="10"/>
      <c r="F3063" s="3" t="str">
        <f>IFERROR( VLOOKUP(A3063,#REF!,2,0),"")</f>
        <v/>
      </c>
      <c r="G3063" s="3">
        <f t="array" ref="G3063">_xlfn.XLOOKUP(I3063,Base_Datos!D:D,Base_Datos!B:B,"")</f>
        <v>0</v>
      </c>
      <c r="H3063" s="3" t="str">
        <f t="array" ref="H3063">IF(I3063="","",IFERROR(_xlfn.XLOOKUP(I3063,Base_Datos!$D$2:$D3876,Base_Datos!$C$2:$C3876),""))</f>
        <v/>
      </c>
      <c r="I3063" s="3"/>
      <c r="J3063" s="3" t="str">
        <f>IF(I3063="","",IFERROR(VLOOKUP(I3063,Base_Datos!$D$2:$E$72,2,0),""))</f>
        <v/>
      </c>
      <c r="K3063" s="3"/>
      <c r="L3063" s="3"/>
      <c r="M3063" s="3"/>
      <c r="N3063" s="3"/>
    </row>
    <row r="3064" spans="1:14" ht="14.25" x14ac:dyDescent="0.2">
      <c r="A3064" s="3"/>
      <c r="B3064" s="3"/>
      <c r="C3064" s="3"/>
      <c r="D3064" s="6"/>
      <c r="E3064" s="10"/>
      <c r="F3064" s="3" t="str">
        <f>IFERROR( VLOOKUP(A3064,#REF!,2,0),"")</f>
        <v/>
      </c>
      <c r="G3064" s="3">
        <f t="array" ref="G3064">_xlfn.XLOOKUP(I3064,Base_Datos!D:D,Base_Datos!B:B,"")</f>
        <v>0</v>
      </c>
      <c r="H3064" s="3" t="str">
        <f t="array" ref="H3064">IF(I3064="","",IFERROR(_xlfn.XLOOKUP(I3064,Base_Datos!$D$2:$D3876,Base_Datos!$C$2:$C3876),""))</f>
        <v/>
      </c>
      <c r="I3064" s="3"/>
      <c r="J3064" s="3" t="str">
        <f>IF(I3064="","",IFERROR(VLOOKUP(I3064,Base_Datos!$D$2:$E$72,2,0),""))</f>
        <v/>
      </c>
      <c r="K3064" s="3"/>
      <c r="L3064" s="3"/>
      <c r="M3064" s="3"/>
      <c r="N3064" s="3"/>
    </row>
    <row r="3065" spans="1:14" ht="14.25" x14ac:dyDescent="0.2">
      <c r="A3065" s="3"/>
      <c r="B3065" s="3"/>
      <c r="C3065" s="3"/>
      <c r="D3065" s="6"/>
      <c r="E3065" s="10"/>
      <c r="F3065" s="3" t="str">
        <f>IFERROR( VLOOKUP(A3065,#REF!,2,0),"")</f>
        <v/>
      </c>
      <c r="G3065" s="3">
        <f t="array" ref="G3065">_xlfn.XLOOKUP(I3065,Base_Datos!D:D,Base_Datos!B:B,"")</f>
        <v>0</v>
      </c>
      <c r="H3065" s="3" t="str">
        <f t="array" ref="H3065">IF(I3065="","",IFERROR(_xlfn.XLOOKUP(I3065,Base_Datos!$D$2:$D3876,Base_Datos!$C$2:$C3876),""))</f>
        <v/>
      </c>
      <c r="I3065" s="3"/>
      <c r="J3065" s="3" t="str">
        <f>IF(I3065="","",IFERROR(VLOOKUP(I3065,Base_Datos!$D$2:$E$72,2,0),""))</f>
        <v/>
      </c>
      <c r="K3065" s="3"/>
      <c r="L3065" s="3"/>
      <c r="M3065" s="3"/>
      <c r="N3065" s="3"/>
    </row>
    <row r="3066" spans="1:14" ht="14.25" x14ac:dyDescent="0.2">
      <c r="A3066" s="3"/>
      <c r="B3066" s="3"/>
      <c r="C3066" s="3"/>
      <c r="D3066" s="6"/>
      <c r="E3066" s="10"/>
      <c r="F3066" s="3" t="str">
        <f>IFERROR( VLOOKUP(A3066,#REF!,2,0),"")</f>
        <v/>
      </c>
      <c r="G3066" s="3">
        <f t="array" ref="G3066">_xlfn.XLOOKUP(I3066,Base_Datos!D:D,Base_Datos!B:B,"")</f>
        <v>0</v>
      </c>
      <c r="H3066" s="3" t="str">
        <f t="array" ref="H3066">IF(I3066="","",IFERROR(_xlfn.XLOOKUP(I3066,Base_Datos!$D$2:$D3876,Base_Datos!$C$2:$C3876),""))</f>
        <v/>
      </c>
      <c r="I3066" s="3"/>
      <c r="J3066" s="3" t="str">
        <f>IF(I3066="","",IFERROR(VLOOKUP(I3066,Base_Datos!$D$2:$E$72,2,0),""))</f>
        <v/>
      </c>
      <c r="K3066" s="3"/>
      <c r="L3066" s="3"/>
      <c r="M3066" s="3"/>
      <c r="N3066" s="3"/>
    </row>
    <row r="3067" spans="1:14" ht="14.25" x14ac:dyDescent="0.2">
      <c r="A3067" s="3"/>
      <c r="B3067" s="3"/>
      <c r="C3067" s="3"/>
      <c r="D3067" s="6"/>
      <c r="E3067" s="10"/>
      <c r="F3067" s="3" t="str">
        <f>IFERROR( VLOOKUP(A3067,#REF!,2,0),"")</f>
        <v/>
      </c>
      <c r="G3067" s="3">
        <f t="array" ref="G3067">_xlfn.XLOOKUP(I3067,Base_Datos!D:D,Base_Datos!B:B,"")</f>
        <v>0</v>
      </c>
      <c r="H3067" s="3" t="str">
        <f t="array" ref="H3067">IF(I3067="","",IFERROR(_xlfn.XLOOKUP(I3067,Base_Datos!$D$2:$D3876,Base_Datos!$C$2:$C3876),""))</f>
        <v/>
      </c>
      <c r="I3067" s="3"/>
      <c r="J3067" s="3" t="str">
        <f>IF(I3067="","",IFERROR(VLOOKUP(I3067,Base_Datos!$D$2:$E$72,2,0),""))</f>
        <v/>
      </c>
      <c r="K3067" s="3"/>
      <c r="L3067" s="3"/>
      <c r="M3067" s="3"/>
      <c r="N3067" s="3"/>
    </row>
    <row r="3068" spans="1:14" ht="14.25" x14ac:dyDescent="0.2">
      <c r="A3068" s="3"/>
      <c r="B3068" s="3"/>
      <c r="C3068" s="3"/>
      <c r="D3068" s="6"/>
      <c r="E3068" s="10"/>
      <c r="F3068" s="3" t="str">
        <f>IFERROR( VLOOKUP(A3068,#REF!,2,0),"")</f>
        <v/>
      </c>
      <c r="G3068" s="3">
        <f t="array" ref="G3068">_xlfn.XLOOKUP(I3068,Base_Datos!D:D,Base_Datos!B:B,"")</f>
        <v>0</v>
      </c>
      <c r="H3068" s="3" t="str">
        <f t="array" ref="H3068">IF(I3068="","",IFERROR(_xlfn.XLOOKUP(I3068,Base_Datos!$D$2:$D3876,Base_Datos!$C$2:$C3876),""))</f>
        <v/>
      </c>
      <c r="I3068" s="3"/>
      <c r="J3068" s="3" t="str">
        <f>IF(I3068="","",IFERROR(VLOOKUP(I3068,Base_Datos!$D$2:$E$72,2,0),""))</f>
        <v/>
      </c>
      <c r="K3068" s="3"/>
      <c r="L3068" s="3"/>
      <c r="M3068" s="3"/>
      <c r="N3068" s="3"/>
    </row>
    <row r="3069" spans="1:14" ht="14.25" x14ac:dyDescent="0.2">
      <c r="A3069" s="3"/>
      <c r="B3069" s="3"/>
      <c r="C3069" s="3"/>
      <c r="D3069" s="6"/>
      <c r="E3069" s="10"/>
      <c r="F3069" s="3" t="str">
        <f>IFERROR( VLOOKUP(A3069,#REF!,2,0),"")</f>
        <v/>
      </c>
      <c r="G3069" s="3">
        <f t="array" ref="G3069">_xlfn.XLOOKUP(I3069,Base_Datos!D:D,Base_Datos!B:B,"")</f>
        <v>0</v>
      </c>
      <c r="H3069" s="3" t="str">
        <f t="array" ref="H3069">IF(I3069="","",IFERROR(_xlfn.XLOOKUP(I3069,Base_Datos!$D$2:$D3876,Base_Datos!$C$2:$C3876),""))</f>
        <v/>
      </c>
      <c r="I3069" s="3"/>
      <c r="J3069" s="3" t="str">
        <f>IF(I3069="","",IFERROR(VLOOKUP(I3069,Base_Datos!$D$2:$E$72,2,0),""))</f>
        <v/>
      </c>
      <c r="K3069" s="3"/>
      <c r="L3069" s="3"/>
      <c r="M3069" s="3"/>
      <c r="N3069" s="3"/>
    </row>
    <row r="3070" spans="1:14" ht="14.25" x14ac:dyDescent="0.2">
      <c r="A3070" s="3"/>
      <c r="B3070" s="3"/>
      <c r="C3070" s="3"/>
      <c r="D3070" s="6"/>
      <c r="E3070" s="10"/>
      <c r="F3070" s="3" t="str">
        <f>IFERROR( VLOOKUP(A3070,#REF!,2,0),"")</f>
        <v/>
      </c>
      <c r="G3070" s="3">
        <f t="array" ref="G3070">_xlfn.XLOOKUP(I3070,Base_Datos!D:D,Base_Datos!B:B,"")</f>
        <v>0</v>
      </c>
      <c r="H3070" s="3" t="str">
        <f t="array" ref="H3070">IF(I3070="","",IFERROR(_xlfn.XLOOKUP(I3070,Base_Datos!$D$2:$D3876,Base_Datos!$C$2:$C3876),""))</f>
        <v/>
      </c>
      <c r="I3070" s="3"/>
      <c r="J3070" s="3" t="str">
        <f>IF(I3070="","",IFERROR(VLOOKUP(I3070,Base_Datos!$D$2:$E$72,2,0),""))</f>
        <v/>
      </c>
      <c r="K3070" s="3"/>
      <c r="L3070" s="3"/>
      <c r="M3070" s="3"/>
      <c r="N3070" s="3"/>
    </row>
    <row r="3071" spans="1:14" ht="14.25" x14ac:dyDescent="0.2">
      <c r="A3071" s="3"/>
      <c r="B3071" s="3"/>
      <c r="C3071" s="3"/>
      <c r="D3071" s="6"/>
      <c r="E3071" s="10"/>
      <c r="F3071" s="3" t="str">
        <f>IFERROR( VLOOKUP(A3071,#REF!,2,0),"")</f>
        <v/>
      </c>
      <c r="G3071" s="3">
        <f t="array" ref="G3071">_xlfn.XLOOKUP(I3071,Base_Datos!D:D,Base_Datos!B:B,"")</f>
        <v>0</v>
      </c>
      <c r="H3071" s="3" t="str">
        <f t="array" ref="H3071">IF(I3071="","",IFERROR(_xlfn.XLOOKUP(I3071,Base_Datos!$D$2:$D3876,Base_Datos!$C$2:$C3876),""))</f>
        <v/>
      </c>
      <c r="I3071" s="3"/>
      <c r="J3071" s="3" t="str">
        <f>IF(I3071="","",IFERROR(VLOOKUP(I3071,Base_Datos!$D$2:$E$72,2,0),""))</f>
        <v/>
      </c>
      <c r="K3071" s="3"/>
      <c r="L3071" s="3"/>
      <c r="M3071" s="3"/>
      <c r="N3071" s="3"/>
    </row>
    <row r="3072" spans="1:14" ht="14.25" x14ac:dyDescent="0.2">
      <c r="A3072" s="3"/>
      <c r="B3072" s="3"/>
      <c r="C3072" s="3"/>
      <c r="D3072" s="6"/>
      <c r="E3072" s="10"/>
      <c r="F3072" s="3" t="str">
        <f>IFERROR( VLOOKUP(A3072,#REF!,2,0),"")</f>
        <v/>
      </c>
      <c r="G3072" s="3">
        <f t="array" ref="G3072">_xlfn.XLOOKUP(I3072,Base_Datos!D:D,Base_Datos!B:B,"")</f>
        <v>0</v>
      </c>
      <c r="H3072" s="3" t="str">
        <f t="array" ref="H3072">IF(I3072="","",IFERROR(_xlfn.XLOOKUP(I3072,Base_Datos!$D$2:$D3876,Base_Datos!$C$2:$C3876),""))</f>
        <v/>
      </c>
      <c r="I3072" s="3"/>
      <c r="J3072" s="3" t="str">
        <f>IF(I3072="","",IFERROR(VLOOKUP(I3072,Base_Datos!$D$2:$E$72,2,0),""))</f>
        <v/>
      </c>
      <c r="K3072" s="3"/>
      <c r="L3072" s="3"/>
      <c r="M3072" s="3"/>
      <c r="N3072" s="3"/>
    </row>
    <row r="3073" spans="1:14" ht="14.25" x14ac:dyDescent="0.2">
      <c r="A3073" s="3"/>
      <c r="B3073" s="3"/>
      <c r="C3073" s="3"/>
      <c r="D3073" s="6"/>
      <c r="E3073" s="10"/>
      <c r="F3073" s="3" t="str">
        <f>IFERROR( VLOOKUP(A3073,#REF!,2,0),"")</f>
        <v/>
      </c>
      <c r="G3073" s="3">
        <f t="array" ref="G3073">_xlfn.XLOOKUP(I3073,Base_Datos!D:D,Base_Datos!B:B,"")</f>
        <v>0</v>
      </c>
      <c r="H3073" s="3" t="str">
        <f t="array" ref="H3073">IF(I3073="","",IFERROR(_xlfn.XLOOKUP(I3073,Base_Datos!$D$2:$D3876,Base_Datos!$C$2:$C3876),""))</f>
        <v/>
      </c>
      <c r="I3073" s="3"/>
      <c r="J3073" s="3" t="str">
        <f>IF(I3073="","",IFERROR(VLOOKUP(I3073,Base_Datos!$D$2:$E$72,2,0),""))</f>
        <v/>
      </c>
      <c r="K3073" s="3"/>
      <c r="L3073" s="3"/>
      <c r="M3073" s="3"/>
      <c r="N3073" s="3"/>
    </row>
    <row r="3074" spans="1:14" ht="14.25" x14ac:dyDescent="0.2">
      <c r="A3074" s="3"/>
      <c r="B3074" s="3"/>
      <c r="C3074" s="3"/>
      <c r="D3074" s="6"/>
      <c r="E3074" s="10"/>
      <c r="F3074" s="3" t="str">
        <f>IFERROR( VLOOKUP(A3074,#REF!,2,0),"")</f>
        <v/>
      </c>
      <c r="G3074" s="3">
        <f t="array" ref="G3074">_xlfn.XLOOKUP(I3074,Base_Datos!D:D,Base_Datos!B:B,"")</f>
        <v>0</v>
      </c>
      <c r="H3074" s="3" t="str">
        <f t="array" ref="H3074">IF(I3074="","",IFERROR(_xlfn.XLOOKUP(I3074,Base_Datos!$D$2:$D3876,Base_Datos!$C$2:$C3876),""))</f>
        <v/>
      </c>
      <c r="I3074" s="3"/>
      <c r="J3074" s="3" t="str">
        <f>IF(I3074="","",IFERROR(VLOOKUP(I3074,Base_Datos!$D$2:$E$72,2,0),""))</f>
        <v/>
      </c>
      <c r="K3074" s="3"/>
      <c r="L3074" s="3"/>
      <c r="M3074" s="3"/>
      <c r="N3074" s="3"/>
    </row>
    <row r="3075" spans="1:14" ht="14.25" x14ac:dyDescent="0.2">
      <c r="A3075" s="3"/>
      <c r="B3075" s="3"/>
      <c r="C3075" s="3"/>
      <c r="D3075" s="6"/>
      <c r="E3075" s="10"/>
      <c r="F3075" s="3" t="str">
        <f>IFERROR( VLOOKUP(A3075,#REF!,2,0),"")</f>
        <v/>
      </c>
      <c r="G3075" s="3">
        <f t="array" ref="G3075">_xlfn.XLOOKUP(I3075,Base_Datos!D:D,Base_Datos!B:B,"")</f>
        <v>0</v>
      </c>
      <c r="H3075" s="3" t="str">
        <f t="array" ref="H3075">IF(I3075="","",IFERROR(_xlfn.XLOOKUP(I3075,Base_Datos!$D$2:$D3876,Base_Datos!$C$2:$C3876),""))</f>
        <v/>
      </c>
      <c r="I3075" s="3"/>
      <c r="J3075" s="3" t="str">
        <f>IF(I3075="","",IFERROR(VLOOKUP(I3075,Base_Datos!$D$2:$E$72,2,0),""))</f>
        <v/>
      </c>
      <c r="K3075" s="3"/>
      <c r="L3075" s="3"/>
      <c r="M3075" s="3"/>
      <c r="N3075" s="3"/>
    </row>
    <row r="3076" spans="1:14" ht="14.25" x14ac:dyDescent="0.2">
      <c r="A3076" s="3"/>
      <c r="B3076" s="3"/>
      <c r="C3076" s="3"/>
      <c r="D3076" s="6"/>
      <c r="E3076" s="10"/>
      <c r="F3076" s="3" t="str">
        <f>IFERROR( VLOOKUP(A3076,#REF!,2,0),"")</f>
        <v/>
      </c>
      <c r="G3076" s="3">
        <f t="array" ref="G3076">_xlfn.XLOOKUP(I3076,Base_Datos!D:D,Base_Datos!B:B,"")</f>
        <v>0</v>
      </c>
      <c r="H3076" s="3" t="str">
        <f t="array" ref="H3076">IF(I3076="","",IFERROR(_xlfn.XLOOKUP(I3076,Base_Datos!$D$2:$D3876,Base_Datos!$C$2:$C3876),""))</f>
        <v/>
      </c>
      <c r="I3076" s="3"/>
      <c r="J3076" s="3" t="str">
        <f>IF(I3076="","",IFERROR(VLOOKUP(I3076,Base_Datos!$D$2:$E$72,2,0),""))</f>
        <v/>
      </c>
      <c r="K3076" s="3"/>
      <c r="L3076" s="3"/>
      <c r="M3076" s="3"/>
      <c r="N3076" s="3"/>
    </row>
    <row r="3077" spans="1:14" ht="14.25" x14ac:dyDescent="0.2">
      <c r="A3077" s="3"/>
      <c r="B3077" s="3"/>
      <c r="C3077" s="3"/>
      <c r="D3077" s="6"/>
      <c r="E3077" s="10"/>
      <c r="F3077" s="3" t="str">
        <f>IFERROR( VLOOKUP(A3077,#REF!,2,0),"")</f>
        <v/>
      </c>
      <c r="G3077" s="3">
        <f t="array" ref="G3077">_xlfn.XLOOKUP(I3077,Base_Datos!D:D,Base_Datos!B:B,"")</f>
        <v>0</v>
      </c>
      <c r="H3077" s="3" t="str">
        <f t="array" ref="H3077">IF(I3077="","",IFERROR(_xlfn.XLOOKUP(I3077,Base_Datos!$D$2:$D3876,Base_Datos!$C$2:$C3876),""))</f>
        <v/>
      </c>
      <c r="I3077" s="3"/>
      <c r="J3077" s="3" t="str">
        <f>IF(I3077="","",IFERROR(VLOOKUP(I3077,Base_Datos!$D$2:$E$72,2,0),""))</f>
        <v/>
      </c>
      <c r="K3077" s="3"/>
      <c r="L3077" s="3"/>
      <c r="M3077" s="3"/>
      <c r="N3077" s="3"/>
    </row>
    <row r="3078" spans="1:14" ht="14.25" x14ac:dyDescent="0.2">
      <c r="A3078" s="3"/>
      <c r="B3078" s="3"/>
      <c r="C3078" s="3"/>
      <c r="D3078" s="6"/>
      <c r="E3078" s="10"/>
      <c r="F3078" s="3" t="str">
        <f>IFERROR( VLOOKUP(A3078,#REF!,2,0),"")</f>
        <v/>
      </c>
      <c r="G3078" s="3">
        <f t="array" ref="G3078">_xlfn.XLOOKUP(I3078,Base_Datos!D:D,Base_Datos!B:B,"")</f>
        <v>0</v>
      </c>
      <c r="H3078" s="3" t="str">
        <f t="array" ref="H3078">IF(I3078="","",IFERROR(_xlfn.XLOOKUP(I3078,Base_Datos!$D$2:$D3876,Base_Datos!$C$2:$C3876),""))</f>
        <v/>
      </c>
      <c r="I3078" s="3"/>
      <c r="J3078" s="3" t="str">
        <f>IF(I3078="","",IFERROR(VLOOKUP(I3078,Base_Datos!$D$2:$E$72,2,0),""))</f>
        <v/>
      </c>
      <c r="K3078" s="3"/>
      <c r="L3078" s="3"/>
      <c r="M3078" s="3"/>
      <c r="N3078" s="3"/>
    </row>
    <row r="3079" spans="1:14" ht="14.25" x14ac:dyDescent="0.2">
      <c r="A3079" s="3"/>
      <c r="B3079" s="3"/>
      <c r="C3079" s="3"/>
      <c r="D3079" s="6"/>
      <c r="E3079" s="10"/>
      <c r="F3079" s="3" t="str">
        <f>IFERROR( VLOOKUP(A3079,#REF!,2,0),"")</f>
        <v/>
      </c>
      <c r="G3079" s="3">
        <f t="array" ref="G3079">_xlfn.XLOOKUP(I3079,Base_Datos!D:D,Base_Datos!B:B,"")</f>
        <v>0</v>
      </c>
      <c r="H3079" s="3" t="str">
        <f t="array" ref="H3079">IF(I3079="","",IFERROR(_xlfn.XLOOKUP(I3079,Base_Datos!$D$2:$D3876,Base_Datos!$C$2:$C3876),""))</f>
        <v/>
      </c>
      <c r="I3079" s="3"/>
      <c r="J3079" s="3" t="str">
        <f>IF(I3079="","",IFERROR(VLOOKUP(I3079,Base_Datos!$D$2:$E$72,2,0),""))</f>
        <v/>
      </c>
      <c r="K3079" s="3"/>
      <c r="L3079" s="3"/>
      <c r="M3079" s="3"/>
      <c r="N3079" s="3"/>
    </row>
    <row r="3080" spans="1:14" ht="14.25" x14ac:dyDescent="0.2">
      <c r="A3080" s="3"/>
      <c r="B3080" s="3"/>
      <c r="C3080" s="3"/>
      <c r="D3080" s="6"/>
      <c r="E3080" s="10"/>
      <c r="F3080" s="3" t="str">
        <f>IFERROR( VLOOKUP(A3080,#REF!,2,0),"")</f>
        <v/>
      </c>
      <c r="G3080" s="3">
        <f t="array" ref="G3080">_xlfn.XLOOKUP(I3080,Base_Datos!D:D,Base_Datos!B:B,"")</f>
        <v>0</v>
      </c>
      <c r="H3080" s="3" t="str">
        <f t="array" ref="H3080">IF(I3080="","",IFERROR(_xlfn.XLOOKUP(I3080,Base_Datos!$D$2:$D3876,Base_Datos!$C$2:$C3876),""))</f>
        <v/>
      </c>
      <c r="I3080" s="3"/>
      <c r="J3080" s="3" t="str">
        <f>IF(I3080="","",IFERROR(VLOOKUP(I3080,Base_Datos!$D$2:$E$72,2,0),""))</f>
        <v/>
      </c>
      <c r="K3080" s="3"/>
      <c r="L3080" s="3"/>
      <c r="M3080" s="3"/>
      <c r="N3080" s="3"/>
    </row>
    <row r="3081" spans="1:14" ht="14.25" x14ac:dyDescent="0.2">
      <c r="A3081" s="3"/>
      <c r="B3081" s="3"/>
      <c r="C3081" s="3"/>
      <c r="D3081" s="6"/>
      <c r="E3081" s="10"/>
      <c r="F3081" s="3" t="str">
        <f>IFERROR( VLOOKUP(A3081,#REF!,2,0),"")</f>
        <v/>
      </c>
      <c r="G3081" s="3">
        <f t="array" ref="G3081">_xlfn.XLOOKUP(I3081,Base_Datos!D:D,Base_Datos!B:B,"")</f>
        <v>0</v>
      </c>
      <c r="H3081" s="3" t="str">
        <f t="array" ref="H3081">IF(I3081="","",IFERROR(_xlfn.XLOOKUP(I3081,Base_Datos!$D$2:$D3876,Base_Datos!$C$2:$C3876),""))</f>
        <v/>
      </c>
      <c r="I3081" s="3"/>
      <c r="J3081" s="3" t="str">
        <f>IF(I3081="","",IFERROR(VLOOKUP(I3081,Base_Datos!$D$2:$E$72,2,0),""))</f>
        <v/>
      </c>
      <c r="K3081" s="3"/>
      <c r="L3081" s="3"/>
      <c r="M3081" s="3"/>
      <c r="N3081" s="3"/>
    </row>
    <row r="3082" spans="1:14" ht="14.25" x14ac:dyDescent="0.2">
      <c r="A3082" s="3"/>
      <c r="B3082" s="3"/>
      <c r="C3082" s="3"/>
      <c r="D3082" s="6"/>
      <c r="E3082" s="10"/>
      <c r="F3082" s="3" t="str">
        <f>IFERROR( VLOOKUP(A3082,#REF!,2,0),"")</f>
        <v/>
      </c>
      <c r="G3082" s="3">
        <f t="array" ref="G3082">_xlfn.XLOOKUP(I3082,Base_Datos!D:D,Base_Datos!B:B,"")</f>
        <v>0</v>
      </c>
      <c r="H3082" s="3" t="str">
        <f t="array" ref="H3082">IF(I3082="","",IFERROR(_xlfn.XLOOKUP(I3082,Base_Datos!$D$2:$D3876,Base_Datos!$C$2:$C3876),""))</f>
        <v/>
      </c>
      <c r="I3082" s="3"/>
      <c r="J3082" s="3" t="str">
        <f>IF(I3082="","",IFERROR(VLOOKUP(I3082,Base_Datos!$D$2:$E$72,2,0),""))</f>
        <v/>
      </c>
      <c r="K3082" s="3"/>
      <c r="L3082" s="3"/>
      <c r="M3082" s="3"/>
      <c r="N3082" s="3"/>
    </row>
    <row r="3083" spans="1:14" ht="14.25" x14ac:dyDescent="0.2">
      <c r="A3083" s="3"/>
      <c r="B3083" s="3"/>
      <c r="C3083" s="3"/>
      <c r="D3083" s="6"/>
      <c r="E3083" s="10"/>
      <c r="F3083" s="3" t="str">
        <f>IFERROR( VLOOKUP(A3083,#REF!,2,0),"")</f>
        <v/>
      </c>
      <c r="G3083" s="3">
        <f t="array" ref="G3083">_xlfn.XLOOKUP(I3083,Base_Datos!D:D,Base_Datos!B:B,"")</f>
        <v>0</v>
      </c>
      <c r="H3083" s="3" t="str">
        <f t="array" ref="H3083">IF(I3083="","",IFERROR(_xlfn.XLOOKUP(I3083,Base_Datos!$D$2:$D3876,Base_Datos!$C$2:$C3876),""))</f>
        <v/>
      </c>
      <c r="I3083" s="3"/>
      <c r="J3083" s="3" t="str">
        <f>IF(I3083="","",IFERROR(VLOOKUP(I3083,Base_Datos!$D$2:$E$72,2,0),""))</f>
        <v/>
      </c>
      <c r="K3083" s="3"/>
      <c r="L3083" s="3"/>
      <c r="M3083" s="3"/>
      <c r="N3083" s="3"/>
    </row>
    <row r="3084" spans="1:14" ht="14.25" x14ac:dyDescent="0.2">
      <c r="A3084" s="3"/>
      <c r="B3084" s="3"/>
      <c r="C3084" s="3"/>
      <c r="D3084" s="6"/>
      <c r="E3084" s="10"/>
      <c r="F3084" s="3" t="str">
        <f>IFERROR( VLOOKUP(A3084,#REF!,2,0),"")</f>
        <v/>
      </c>
      <c r="G3084" s="3">
        <f t="array" ref="G3084">_xlfn.XLOOKUP(I3084,Base_Datos!D:D,Base_Datos!B:B,"")</f>
        <v>0</v>
      </c>
      <c r="H3084" s="3" t="str">
        <f t="array" ref="H3084">IF(I3084="","",IFERROR(_xlfn.XLOOKUP(I3084,Base_Datos!$D$2:$D3876,Base_Datos!$C$2:$C3876),""))</f>
        <v/>
      </c>
      <c r="I3084" s="3"/>
      <c r="J3084" s="3" t="str">
        <f>IF(I3084="","",IFERROR(VLOOKUP(I3084,Base_Datos!$D$2:$E$72,2,0),""))</f>
        <v/>
      </c>
      <c r="K3084" s="3"/>
      <c r="L3084" s="3"/>
      <c r="M3084" s="3"/>
      <c r="N3084" s="3"/>
    </row>
    <row r="3085" spans="1:14" ht="14.25" x14ac:dyDescent="0.2">
      <c r="A3085" s="3"/>
      <c r="B3085" s="3"/>
      <c r="C3085" s="3"/>
      <c r="D3085" s="6"/>
      <c r="E3085" s="10"/>
      <c r="F3085" s="3" t="str">
        <f>IFERROR( VLOOKUP(A3085,#REF!,2,0),"")</f>
        <v/>
      </c>
      <c r="G3085" s="3">
        <f t="array" ref="G3085">_xlfn.XLOOKUP(I3085,Base_Datos!D:D,Base_Datos!B:B,"")</f>
        <v>0</v>
      </c>
      <c r="H3085" s="3" t="str">
        <f t="array" ref="H3085">IF(I3085="","",IFERROR(_xlfn.XLOOKUP(I3085,Base_Datos!$D$2:$D3876,Base_Datos!$C$2:$C3876),""))</f>
        <v/>
      </c>
      <c r="I3085" s="3"/>
      <c r="J3085" s="3" t="str">
        <f>IF(I3085="","",IFERROR(VLOOKUP(I3085,Base_Datos!$D$2:$E$72,2,0),""))</f>
        <v/>
      </c>
      <c r="K3085" s="3"/>
      <c r="L3085" s="3"/>
      <c r="M3085" s="3"/>
      <c r="N3085" s="3"/>
    </row>
    <row r="3086" spans="1:14" ht="14.25" x14ac:dyDescent="0.2">
      <c r="A3086" s="3"/>
      <c r="B3086" s="3"/>
      <c r="C3086" s="3"/>
      <c r="D3086" s="6"/>
      <c r="E3086" s="10"/>
      <c r="F3086" s="3" t="str">
        <f>IFERROR( VLOOKUP(A3086,#REF!,2,0),"")</f>
        <v/>
      </c>
      <c r="G3086" s="3">
        <f t="array" ref="G3086">_xlfn.XLOOKUP(I3086,Base_Datos!D:D,Base_Datos!B:B,"")</f>
        <v>0</v>
      </c>
      <c r="H3086" s="3" t="str">
        <f t="array" ref="H3086">IF(I3086="","",IFERROR(_xlfn.XLOOKUP(I3086,Base_Datos!$D$2:$D3876,Base_Datos!$C$2:$C3876),""))</f>
        <v/>
      </c>
      <c r="I3086" s="3"/>
      <c r="J3086" s="3" t="str">
        <f>IF(I3086="","",IFERROR(VLOOKUP(I3086,Base_Datos!$D$2:$E$72,2,0),""))</f>
        <v/>
      </c>
      <c r="K3086" s="3"/>
      <c r="L3086" s="3"/>
      <c r="M3086" s="3"/>
      <c r="N3086" s="3"/>
    </row>
    <row r="3087" spans="1:14" ht="14.25" x14ac:dyDescent="0.2">
      <c r="A3087" s="3"/>
      <c r="B3087" s="3"/>
      <c r="C3087" s="3"/>
      <c r="D3087" s="6"/>
      <c r="E3087" s="10"/>
      <c r="F3087" s="3" t="str">
        <f>IFERROR( VLOOKUP(A3087,#REF!,2,0),"")</f>
        <v/>
      </c>
      <c r="G3087" s="3">
        <f t="array" ref="G3087">_xlfn.XLOOKUP(I3087,Base_Datos!D:D,Base_Datos!B:B,"")</f>
        <v>0</v>
      </c>
      <c r="H3087" s="3" t="str">
        <f t="array" ref="H3087">IF(I3087="","",IFERROR(_xlfn.XLOOKUP(I3087,Base_Datos!$D$2:$D3876,Base_Datos!$C$2:$C3876),""))</f>
        <v/>
      </c>
      <c r="I3087" s="3"/>
      <c r="J3087" s="3" t="str">
        <f>IF(I3087="","",IFERROR(VLOOKUP(I3087,Base_Datos!$D$2:$E$72,2,0),""))</f>
        <v/>
      </c>
      <c r="K3087" s="3"/>
      <c r="L3087" s="3"/>
      <c r="M3087" s="3"/>
      <c r="N3087" s="3"/>
    </row>
    <row r="3088" spans="1:14" ht="14.25" x14ac:dyDescent="0.2">
      <c r="A3088" s="3"/>
      <c r="B3088" s="3"/>
      <c r="C3088" s="3"/>
      <c r="D3088" s="6"/>
      <c r="E3088" s="10"/>
      <c r="F3088" s="3" t="str">
        <f>IFERROR( VLOOKUP(A3088,#REF!,2,0),"")</f>
        <v/>
      </c>
      <c r="G3088" s="3">
        <f t="array" ref="G3088">_xlfn.XLOOKUP(I3088,Base_Datos!D:D,Base_Datos!B:B,"")</f>
        <v>0</v>
      </c>
      <c r="H3088" s="3" t="str">
        <f t="array" ref="H3088">IF(I3088="","",IFERROR(_xlfn.XLOOKUP(I3088,Base_Datos!$D$2:$D3876,Base_Datos!$C$2:$C3876),""))</f>
        <v/>
      </c>
      <c r="I3088" s="3"/>
      <c r="J3088" s="3" t="str">
        <f>IF(I3088="","",IFERROR(VLOOKUP(I3088,Base_Datos!$D$2:$E$72,2,0),""))</f>
        <v/>
      </c>
      <c r="K3088" s="3"/>
      <c r="L3088" s="3"/>
      <c r="M3088" s="3"/>
      <c r="N3088" s="3"/>
    </row>
    <row r="3089" spans="1:14" ht="14.25" x14ac:dyDescent="0.2">
      <c r="A3089" s="3"/>
      <c r="B3089" s="3"/>
      <c r="C3089" s="3"/>
      <c r="D3089" s="6"/>
      <c r="E3089" s="10"/>
      <c r="F3089" s="3" t="str">
        <f>IFERROR( VLOOKUP(A3089,#REF!,2,0),"")</f>
        <v/>
      </c>
      <c r="G3089" s="3">
        <f t="array" ref="G3089">_xlfn.XLOOKUP(I3089,Base_Datos!D:D,Base_Datos!B:B,"")</f>
        <v>0</v>
      </c>
      <c r="H3089" s="3" t="str">
        <f t="array" ref="H3089">IF(I3089="","",IFERROR(_xlfn.XLOOKUP(I3089,Base_Datos!$D$2:$D3876,Base_Datos!$C$2:$C3876),""))</f>
        <v/>
      </c>
      <c r="I3089" s="3"/>
      <c r="J3089" s="3" t="str">
        <f>IF(I3089="","",IFERROR(VLOOKUP(I3089,Base_Datos!$D$2:$E$72,2,0),""))</f>
        <v/>
      </c>
      <c r="K3089" s="3"/>
      <c r="L3089" s="3"/>
      <c r="M3089" s="3"/>
      <c r="N3089" s="3"/>
    </row>
    <row r="3090" spans="1:14" ht="14.25" x14ac:dyDescent="0.2">
      <c r="A3090" s="3"/>
      <c r="B3090" s="3"/>
      <c r="C3090" s="3"/>
      <c r="D3090" s="6"/>
      <c r="E3090" s="10"/>
      <c r="F3090" s="3" t="str">
        <f>IFERROR( VLOOKUP(A3090,#REF!,2,0),"")</f>
        <v/>
      </c>
      <c r="G3090" s="3">
        <f t="array" ref="G3090">_xlfn.XLOOKUP(I3090,Base_Datos!D:D,Base_Datos!B:B,"")</f>
        <v>0</v>
      </c>
      <c r="H3090" s="3" t="str">
        <f t="array" ref="H3090">IF(I3090="","",IFERROR(_xlfn.XLOOKUP(I3090,Base_Datos!$D$2:$D3876,Base_Datos!$C$2:$C3876),""))</f>
        <v/>
      </c>
      <c r="I3090" s="3"/>
      <c r="J3090" s="3" t="str">
        <f>IF(I3090="","",IFERROR(VLOOKUP(I3090,Base_Datos!$D$2:$E$72,2,0),""))</f>
        <v/>
      </c>
      <c r="K3090" s="3"/>
      <c r="L3090" s="3"/>
      <c r="M3090" s="3"/>
      <c r="N3090" s="3"/>
    </row>
    <row r="3091" spans="1:14" ht="14.25" x14ac:dyDescent="0.2">
      <c r="A3091" s="3"/>
      <c r="B3091" s="3"/>
      <c r="C3091" s="3"/>
      <c r="D3091" s="6"/>
      <c r="E3091" s="10"/>
      <c r="F3091" s="3" t="str">
        <f>IFERROR( VLOOKUP(A3091,#REF!,2,0),"")</f>
        <v/>
      </c>
      <c r="G3091" s="3">
        <f t="array" ref="G3091">_xlfn.XLOOKUP(I3091,Base_Datos!D:D,Base_Datos!B:B,"")</f>
        <v>0</v>
      </c>
      <c r="H3091" s="3" t="str">
        <f t="array" ref="H3091">IF(I3091="","",IFERROR(_xlfn.XLOOKUP(I3091,Base_Datos!$D$2:$D3876,Base_Datos!$C$2:$C3876),""))</f>
        <v/>
      </c>
      <c r="I3091" s="3"/>
      <c r="J3091" s="3" t="str">
        <f>IF(I3091="","",IFERROR(VLOOKUP(I3091,Base_Datos!$D$2:$E$72,2,0),""))</f>
        <v/>
      </c>
      <c r="K3091" s="3"/>
      <c r="L3091" s="3"/>
      <c r="M3091" s="3"/>
      <c r="N3091" s="3"/>
    </row>
    <row r="3092" spans="1:14" ht="14.25" x14ac:dyDescent="0.2">
      <c r="A3092" s="3"/>
      <c r="B3092" s="3"/>
      <c r="C3092" s="3"/>
      <c r="D3092" s="6"/>
      <c r="E3092" s="10"/>
      <c r="F3092" s="3" t="str">
        <f>IFERROR( VLOOKUP(A3092,#REF!,2,0),"")</f>
        <v/>
      </c>
      <c r="G3092" s="3">
        <f t="array" ref="G3092">_xlfn.XLOOKUP(I3092,Base_Datos!D:D,Base_Datos!B:B,"")</f>
        <v>0</v>
      </c>
      <c r="H3092" s="3" t="str">
        <f t="array" ref="H3092">IF(I3092="","",IFERROR(_xlfn.XLOOKUP(I3092,Base_Datos!$D$2:$D3876,Base_Datos!$C$2:$C3876),""))</f>
        <v/>
      </c>
      <c r="I3092" s="3"/>
      <c r="J3092" s="3" t="str">
        <f>IF(I3092="","",IFERROR(VLOOKUP(I3092,Base_Datos!$D$2:$E$72,2,0),""))</f>
        <v/>
      </c>
      <c r="K3092" s="3"/>
      <c r="L3092" s="3"/>
      <c r="M3092" s="3"/>
      <c r="N3092" s="3"/>
    </row>
    <row r="3093" spans="1:14" ht="14.25" x14ac:dyDescent="0.2">
      <c r="A3093" s="3"/>
      <c r="B3093" s="3"/>
      <c r="C3093" s="3"/>
      <c r="D3093" s="6"/>
      <c r="E3093" s="10"/>
      <c r="F3093" s="3" t="str">
        <f>IFERROR( VLOOKUP(A3093,#REF!,2,0),"")</f>
        <v/>
      </c>
      <c r="G3093" s="3">
        <f t="array" ref="G3093">_xlfn.XLOOKUP(I3093,Base_Datos!D:D,Base_Datos!B:B,"")</f>
        <v>0</v>
      </c>
      <c r="H3093" s="3" t="str">
        <f t="array" ref="H3093">IF(I3093="","",IFERROR(_xlfn.XLOOKUP(I3093,Base_Datos!$D$2:$D3876,Base_Datos!$C$2:$C3876),""))</f>
        <v/>
      </c>
      <c r="I3093" s="3"/>
      <c r="J3093" s="3" t="str">
        <f>IF(I3093="","",IFERROR(VLOOKUP(I3093,Base_Datos!$D$2:$E$72,2,0),""))</f>
        <v/>
      </c>
      <c r="K3093" s="3"/>
      <c r="L3093" s="3"/>
      <c r="M3093" s="3"/>
      <c r="N3093" s="3"/>
    </row>
    <row r="3094" spans="1:14" ht="14.25" x14ac:dyDescent="0.2">
      <c r="A3094" s="3"/>
      <c r="B3094" s="3"/>
      <c r="C3094" s="3"/>
      <c r="D3094" s="6"/>
      <c r="E3094" s="10"/>
      <c r="F3094" s="3" t="str">
        <f>IFERROR( VLOOKUP(A3094,#REF!,2,0),"")</f>
        <v/>
      </c>
      <c r="G3094" s="3">
        <f t="array" ref="G3094">_xlfn.XLOOKUP(I3094,Base_Datos!D:D,Base_Datos!B:B,"")</f>
        <v>0</v>
      </c>
      <c r="H3094" s="3" t="str">
        <f t="array" ref="H3094">IF(I3094="","",IFERROR(_xlfn.XLOOKUP(I3094,Base_Datos!$D$2:$D3876,Base_Datos!$C$2:$C3876),""))</f>
        <v/>
      </c>
      <c r="I3094" s="3"/>
      <c r="J3094" s="3" t="str">
        <f>IF(I3094="","",IFERROR(VLOOKUP(I3094,Base_Datos!$D$2:$E$72,2,0),""))</f>
        <v/>
      </c>
      <c r="K3094" s="3"/>
      <c r="L3094" s="3"/>
      <c r="M3094" s="3"/>
      <c r="N3094" s="3"/>
    </row>
    <row r="3095" spans="1:14" ht="14.25" x14ac:dyDescent="0.2">
      <c r="A3095" s="3"/>
      <c r="B3095" s="3"/>
      <c r="C3095" s="3"/>
      <c r="D3095" s="6"/>
      <c r="E3095" s="10"/>
      <c r="F3095" s="3" t="str">
        <f>IFERROR( VLOOKUP(A3095,#REF!,2,0),"")</f>
        <v/>
      </c>
      <c r="G3095" s="3">
        <f t="array" ref="G3095">_xlfn.XLOOKUP(I3095,Base_Datos!D:D,Base_Datos!B:B,"")</f>
        <v>0</v>
      </c>
      <c r="H3095" s="3" t="str">
        <f t="array" ref="H3095">IF(I3095="","",IFERROR(_xlfn.XLOOKUP(I3095,Base_Datos!$D$2:$D3876,Base_Datos!$C$2:$C3876),""))</f>
        <v/>
      </c>
      <c r="I3095" s="3"/>
      <c r="J3095" s="3" t="str">
        <f>IF(I3095="","",IFERROR(VLOOKUP(I3095,Base_Datos!$D$2:$E$72,2,0),""))</f>
        <v/>
      </c>
      <c r="K3095" s="3"/>
      <c r="L3095" s="3"/>
      <c r="M3095" s="3"/>
      <c r="N3095" s="3"/>
    </row>
    <row r="3096" spans="1:14" ht="14.25" x14ac:dyDescent="0.2">
      <c r="A3096" s="3"/>
      <c r="B3096" s="3"/>
      <c r="C3096" s="3"/>
      <c r="D3096" s="6"/>
      <c r="E3096" s="10"/>
      <c r="F3096" s="3" t="str">
        <f>IFERROR( VLOOKUP(A3096,#REF!,2,0),"")</f>
        <v/>
      </c>
      <c r="G3096" s="3">
        <f t="array" ref="G3096">_xlfn.XLOOKUP(I3096,Base_Datos!D:D,Base_Datos!B:B,"")</f>
        <v>0</v>
      </c>
      <c r="H3096" s="3" t="str">
        <f t="array" ref="H3096">IF(I3096="","",IFERROR(_xlfn.XLOOKUP(I3096,Base_Datos!$D$2:$D3876,Base_Datos!$C$2:$C3876),""))</f>
        <v/>
      </c>
      <c r="I3096" s="3"/>
      <c r="J3096" s="3" t="str">
        <f>IF(I3096="","",IFERROR(VLOOKUP(I3096,Base_Datos!$D$2:$E$72,2,0),""))</f>
        <v/>
      </c>
      <c r="K3096" s="3"/>
      <c r="L3096" s="3"/>
      <c r="M3096" s="3"/>
      <c r="N3096" s="3"/>
    </row>
    <row r="3097" spans="1:14" ht="14.25" x14ac:dyDescent="0.2">
      <c r="A3097" s="3"/>
      <c r="B3097" s="3"/>
      <c r="C3097" s="3"/>
      <c r="D3097" s="6"/>
      <c r="E3097" s="10"/>
      <c r="F3097" s="3" t="str">
        <f>IFERROR( VLOOKUP(A3097,#REF!,2,0),"")</f>
        <v/>
      </c>
      <c r="G3097" s="3">
        <f t="array" ref="G3097">_xlfn.XLOOKUP(I3097,Base_Datos!D:D,Base_Datos!B:B,"")</f>
        <v>0</v>
      </c>
      <c r="H3097" s="3" t="str">
        <f t="array" ref="H3097">IF(I3097="","",IFERROR(_xlfn.XLOOKUP(I3097,Base_Datos!$D$2:$D3876,Base_Datos!$C$2:$C3876),""))</f>
        <v/>
      </c>
      <c r="I3097" s="3"/>
      <c r="J3097" s="3" t="str">
        <f>IF(I3097="","",IFERROR(VLOOKUP(I3097,Base_Datos!$D$2:$E$72,2,0),""))</f>
        <v/>
      </c>
      <c r="K3097" s="3"/>
      <c r="L3097" s="3"/>
      <c r="M3097" s="3"/>
      <c r="N3097" s="3"/>
    </row>
    <row r="3098" spans="1:14" ht="14.25" x14ac:dyDescent="0.2">
      <c r="A3098" s="3"/>
      <c r="B3098" s="3"/>
      <c r="C3098" s="3"/>
      <c r="D3098" s="6"/>
      <c r="E3098" s="10"/>
      <c r="F3098" s="3" t="str">
        <f>IFERROR( VLOOKUP(A3098,#REF!,2,0),"")</f>
        <v/>
      </c>
      <c r="G3098" s="3">
        <f t="array" ref="G3098">_xlfn.XLOOKUP(I3098,Base_Datos!D:D,Base_Datos!B:B,"")</f>
        <v>0</v>
      </c>
      <c r="H3098" s="3" t="str">
        <f t="array" ref="H3098">IF(I3098="","",IFERROR(_xlfn.XLOOKUP(I3098,Base_Datos!$D$2:$D3876,Base_Datos!$C$2:$C3876),""))</f>
        <v/>
      </c>
      <c r="I3098" s="3"/>
      <c r="J3098" s="3" t="str">
        <f>IF(I3098="","",IFERROR(VLOOKUP(I3098,Base_Datos!$D$2:$E$72,2,0),""))</f>
        <v/>
      </c>
      <c r="K3098" s="3"/>
      <c r="L3098" s="3"/>
      <c r="M3098" s="3"/>
      <c r="N3098" s="3"/>
    </row>
    <row r="3099" spans="1:14" ht="14.25" x14ac:dyDescent="0.2">
      <c r="A3099" s="3"/>
      <c r="B3099" s="3"/>
      <c r="C3099" s="3"/>
      <c r="D3099" s="6"/>
      <c r="E3099" s="10"/>
      <c r="F3099" s="3" t="str">
        <f>IFERROR( VLOOKUP(A3099,#REF!,2,0),"")</f>
        <v/>
      </c>
      <c r="G3099" s="3">
        <f t="array" ref="G3099">_xlfn.XLOOKUP(I3099,Base_Datos!D:D,Base_Datos!B:B,"")</f>
        <v>0</v>
      </c>
      <c r="H3099" s="3" t="str">
        <f t="array" ref="H3099">IF(I3099="","",IFERROR(_xlfn.XLOOKUP(I3099,Base_Datos!$D$2:$D3876,Base_Datos!$C$2:$C3876),""))</f>
        <v/>
      </c>
      <c r="I3099" s="3"/>
      <c r="J3099" s="3" t="str">
        <f>IF(I3099="","",IFERROR(VLOOKUP(I3099,Base_Datos!$D$2:$E$72,2,0),""))</f>
        <v/>
      </c>
      <c r="K3099" s="3"/>
      <c r="L3099" s="3"/>
      <c r="M3099" s="3"/>
      <c r="N3099" s="3"/>
    </row>
    <row r="3100" spans="1:14" ht="14.25" x14ac:dyDescent="0.2">
      <c r="A3100" s="3"/>
      <c r="B3100" s="3"/>
      <c r="C3100" s="3"/>
      <c r="D3100" s="6"/>
      <c r="E3100" s="10"/>
      <c r="F3100" s="3" t="str">
        <f>IFERROR( VLOOKUP(A3100,#REF!,2,0),"")</f>
        <v/>
      </c>
      <c r="G3100" s="3">
        <f t="array" ref="G3100">_xlfn.XLOOKUP(I3100,Base_Datos!D:D,Base_Datos!B:B,"")</f>
        <v>0</v>
      </c>
      <c r="H3100" s="3" t="str">
        <f t="array" ref="H3100">IF(I3100="","",IFERROR(_xlfn.XLOOKUP(I3100,Base_Datos!$D$2:$D3876,Base_Datos!$C$2:$C3876),""))</f>
        <v/>
      </c>
      <c r="I3100" s="3"/>
      <c r="J3100" s="3" t="str">
        <f>IF(I3100="","",IFERROR(VLOOKUP(I3100,Base_Datos!$D$2:$E$72,2,0),""))</f>
        <v/>
      </c>
      <c r="K3100" s="3"/>
      <c r="L3100" s="3"/>
      <c r="M3100" s="3"/>
      <c r="N3100" s="3"/>
    </row>
    <row r="3101" spans="1:14" ht="14.25" x14ac:dyDescent="0.2">
      <c r="A3101" s="3"/>
      <c r="B3101" s="3"/>
      <c r="C3101" s="3"/>
      <c r="D3101" s="6"/>
      <c r="E3101" s="10"/>
      <c r="F3101" s="3" t="str">
        <f>IFERROR( VLOOKUP(A3101,#REF!,2,0),"")</f>
        <v/>
      </c>
      <c r="G3101" s="3">
        <f t="array" ref="G3101">_xlfn.XLOOKUP(I3101,Base_Datos!D:D,Base_Datos!B:B,"")</f>
        <v>0</v>
      </c>
      <c r="H3101" s="3" t="str">
        <f t="array" ref="H3101">IF(I3101="","",IFERROR(_xlfn.XLOOKUP(I3101,Base_Datos!$D$2:$D3876,Base_Datos!$C$2:$C3876),""))</f>
        <v/>
      </c>
      <c r="I3101" s="3"/>
      <c r="J3101" s="3" t="str">
        <f>IF(I3101="","",IFERROR(VLOOKUP(I3101,Base_Datos!$D$2:$E$72,2,0),""))</f>
        <v/>
      </c>
      <c r="K3101" s="3"/>
      <c r="L3101" s="3"/>
      <c r="M3101" s="3"/>
      <c r="N3101" s="3"/>
    </row>
    <row r="3102" spans="1:14" ht="14.25" x14ac:dyDescent="0.2">
      <c r="A3102" s="3"/>
      <c r="B3102" s="3"/>
      <c r="C3102" s="3"/>
      <c r="D3102" s="6"/>
      <c r="E3102" s="10"/>
      <c r="F3102" s="3" t="str">
        <f>IFERROR( VLOOKUP(A3102,#REF!,2,0),"")</f>
        <v/>
      </c>
      <c r="G3102" s="3">
        <f t="array" ref="G3102">_xlfn.XLOOKUP(I3102,Base_Datos!D:D,Base_Datos!B:B,"")</f>
        <v>0</v>
      </c>
      <c r="H3102" s="3" t="str">
        <f t="array" ref="H3102">IF(I3102="","",IFERROR(_xlfn.XLOOKUP(I3102,Base_Datos!$D$2:$D3876,Base_Datos!$C$2:$C3876),""))</f>
        <v/>
      </c>
      <c r="I3102" s="3"/>
      <c r="J3102" s="3" t="str">
        <f>IF(I3102="","",IFERROR(VLOOKUP(I3102,Base_Datos!$D$2:$E$72,2,0),""))</f>
        <v/>
      </c>
      <c r="K3102" s="3"/>
      <c r="L3102" s="3"/>
      <c r="M3102" s="3"/>
      <c r="N3102" s="3"/>
    </row>
    <row r="3103" spans="1:14" ht="14.25" x14ac:dyDescent="0.2">
      <c r="A3103" s="3"/>
      <c r="B3103" s="3"/>
      <c r="C3103" s="3"/>
      <c r="D3103" s="6"/>
      <c r="E3103" s="10"/>
      <c r="F3103" s="3" t="str">
        <f>IFERROR( VLOOKUP(A3103,#REF!,2,0),"")</f>
        <v/>
      </c>
      <c r="G3103" s="3">
        <f t="array" ref="G3103">_xlfn.XLOOKUP(I3103,Base_Datos!D:D,Base_Datos!B:B,"")</f>
        <v>0</v>
      </c>
      <c r="H3103" s="3" t="str">
        <f t="array" ref="H3103">IF(I3103="","",IFERROR(_xlfn.XLOOKUP(I3103,Base_Datos!$D$2:$D3876,Base_Datos!$C$2:$C3876),""))</f>
        <v/>
      </c>
      <c r="I3103" s="3"/>
      <c r="J3103" s="3" t="str">
        <f>IF(I3103="","",IFERROR(VLOOKUP(I3103,Base_Datos!$D$2:$E$72,2,0),""))</f>
        <v/>
      </c>
      <c r="K3103" s="3"/>
      <c r="L3103" s="3"/>
      <c r="M3103" s="3"/>
      <c r="N3103" s="3"/>
    </row>
    <row r="3104" spans="1:14" ht="14.25" x14ac:dyDescent="0.2">
      <c r="A3104" s="3"/>
      <c r="B3104" s="3"/>
      <c r="C3104" s="3"/>
      <c r="D3104" s="6"/>
      <c r="E3104" s="10"/>
      <c r="F3104" s="3" t="str">
        <f>IFERROR( VLOOKUP(A3104,#REF!,2,0),"")</f>
        <v/>
      </c>
      <c r="G3104" s="3">
        <f t="array" ref="G3104">_xlfn.XLOOKUP(I3104,Base_Datos!D:D,Base_Datos!B:B,"")</f>
        <v>0</v>
      </c>
      <c r="H3104" s="3" t="str">
        <f t="array" ref="H3104">IF(I3104="","",IFERROR(_xlfn.XLOOKUP(I3104,Base_Datos!$D$2:$D3876,Base_Datos!$C$2:$C3876),""))</f>
        <v/>
      </c>
      <c r="I3104" s="3"/>
      <c r="J3104" s="3" t="str">
        <f>IF(I3104="","",IFERROR(VLOOKUP(I3104,Base_Datos!$D$2:$E$72,2,0),""))</f>
        <v/>
      </c>
      <c r="K3104" s="3"/>
      <c r="L3104" s="3"/>
      <c r="M3104" s="3"/>
      <c r="N3104" s="3"/>
    </row>
    <row r="3105" spans="1:14" ht="14.25" x14ac:dyDescent="0.2">
      <c r="A3105" s="3"/>
      <c r="B3105" s="3"/>
      <c r="C3105" s="3"/>
      <c r="D3105" s="6"/>
      <c r="E3105" s="10"/>
      <c r="F3105" s="3" t="str">
        <f>IFERROR( VLOOKUP(A3105,#REF!,2,0),"")</f>
        <v/>
      </c>
      <c r="G3105" s="3">
        <f t="array" ref="G3105">_xlfn.XLOOKUP(I3105,Base_Datos!D:D,Base_Datos!B:B,"")</f>
        <v>0</v>
      </c>
      <c r="H3105" s="3" t="str">
        <f t="array" ref="H3105">IF(I3105="","",IFERROR(_xlfn.XLOOKUP(I3105,Base_Datos!$D$2:$D3876,Base_Datos!$C$2:$C3876),""))</f>
        <v/>
      </c>
      <c r="I3105" s="3"/>
      <c r="J3105" s="3" t="str">
        <f>IF(I3105="","",IFERROR(VLOOKUP(I3105,Base_Datos!$D$2:$E$72,2,0),""))</f>
        <v/>
      </c>
      <c r="K3105" s="3"/>
      <c r="L3105" s="3"/>
      <c r="M3105" s="3"/>
      <c r="N3105" s="3"/>
    </row>
    <row r="3106" spans="1:14" ht="14.25" x14ac:dyDescent="0.2">
      <c r="A3106" s="3"/>
      <c r="B3106" s="3"/>
      <c r="C3106" s="3"/>
      <c r="D3106" s="6"/>
      <c r="E3106" s="10"/>
      <c r="F3106" s="3" t="str">
        <f>IFERROR( VLOOKUP(A3106,#REF!,2,0),"")</f>
        <v/>
      </c>
      <c r="G3106" s="3">
        <f t="array" ref="G3106">_xlfn.XLOOKUP(I3106,Base_Datos!D:D,Base_Datos!B:B,"")</f>
        <v>0</v>
      </c>
      <c r="H3106" s="3" t="str">
        <f t="array" ref="H3106">IF(I3106="","",IFERROR(_xlfn.XLOOKUP(I3106,Base_Datos!$D$2:$D3876,Base_Datos!$C$2:$C3876),""))</f>
        <v/>
      </c>
      <c r="I3106" s="3"/>
      <c r="J3106" s="3" t="str">
        <f>IF(I3106="","",IFERROR(VLOOKUP(I3106,Base_Datos!$D$2:$E$72,2,0),""))</f>
        <v/>
      </c>
      <c r="K3106" s="3"/>
      <c r="L3106" s="3"/>
      <c r="M3106" s="3"/>
      <c r="N3106" s="3"/>
    </row>
    <row r="3107" spans="1:14" ht="14.25" x14ac:dyDescent="0.2">
      <c r="A3107" s="3"/>
      <c r="B3107" s="3"/>
      <c r="C3107" s="3"/>
      <c r="D3107" s="6"/>
      <c r="E3107" s="10"/>
      <c r="F3107" s="3" t="str">
        <f>IFERROR( VLOOKUP(A3107,#REF!,2,0),"")</f>
        <v/>
      </c>
      <c r="G3107" s="3">
        <f t="array" ref="G3107">_xlfn.XLOOKUP(I3107,Base_Datos!D:D,Base_Datos!B:B,"")</f>
        <v>0</v>
      </c>
      <c r="H3107" s="3" t="str">
        <f t="array" ref="H3107">IF(I3107="","",IFERROR(_xlfn.XLOOKUP(I3107,Base_Datos!$D$2:$D3876,Base_Datos!$C$2:$C3876),""))</f>
        <v/>
      </c>
      <c r="I3107" s="3"/>
      <c r="J3107" s="3" t="str">
        <f>IF(I3107="","",IFERROR(VLOOKUP(I3107,Base_Datos!$D$2:$E$72,2,0),""))</f>
        <v/>
      </c>
      <c r="K3107" s="3"/>
      <c r="L3107" s="3"/>
      <c r="M3107" s="3"/>
      <c r="N3107" s="3"/>
    </row>
    <row r="3108" spans="1:14" ht="14.25" x14ac:dyDescent="0.2">
      <c r="A3108" s="3"/>
      <c r="B3108" s="3"/>
      <c r="C3108" s="3"/>
      <c r="D3108" s="6"/>
      <c r="E3108" s="10"/>
      <c r="F3108" s="3" t="str">
        <f>IFERROR( VLOOKUP(A3108,#REF!,2,0),"")</f>
        <v/>
      </c>
      <c r="G3108" s="3">
        <f t="array" ref="G3108">_xlfn.XLOOKUP(I3108,Base_Datos!D:D,Base_Datos!B:B,"")</f>
        <v>0</v>
      </c>
      <c r="H3108" s="3" t="str">
        <f t="array" ref="H3108">IF(I3108="","",IFERROR(_xlfn.XLOOKUP(I3108,Base_Datos!$D$2:$D3876,Base_Datos!$C$2:$C3876),""))</f>
        <v/>
      </c>
      <c r="I3108" s="3"/>
      <c r="J3108" s="3" t="str">
        <f>IF(I3108="","",IFERROR(VLOOKUP(I3108,Base_Datos!$D$2:$E$72,2,0),""))</f>
        <v/>
      </c>
      <c r="K3108" s="3"/>
      <c r="L3108" s="3"/>
      <c r="M3108" s="3"/>
      <c r="N3108" s="3"/>
    </row>
    <row r="3109" spans="1:14" ht="14.25" x14ac:dyDescent="0.2">
      <c r="A3109" s="3"/>
      <c r="B3109" s="3"/>
      <c r="C3109" s="3"/>
      <c r="D3109" s="6"/>
      <c r="E3109" s="10"/>
      <c r="F3109" s="3" t="str">
        <f>IFERROR( VLOOKUP(A3109,#REF!,2,0),"")</f>
        <v/>
      </c>
      <c r="G3109" s="3">
        <f t="array" ref="G3109">_xlfn.XLOOKUP(I3109,Base_Datos!D:D,Base_Datos!B:B,"")</f>
        <v>0</v>
      </c>
      <c r="H3109" s="3" t="str">
        <f t="array" ref="H3109">IF(I3109="","",IFERROR(_xlfn.XLOOKUP(I3109,Base_Datos!$D$2:$D3876,Base_Datos!$C$2:$C3876),""))</f>
        <v/>
      </c>
      <c r="I3109" s="3"/>
      <c r="J3109" s="3" t="str">
        <f>IF(I3109="","",IFERROR(VLOOKUP(I3109,Base_Datos!$D$2:$E$72,2,0),""))</f>
        <v/>
      </c>
      <c r="K3109" s="3"/>
      <c r="L3109" s="3"/>
      <c r="M3109" s="3"/>
      <c r="N3109" s="3"/>
    </row>
    <row r="3110" spans="1:14" ht="14.25" x14ac:dyDescent="0.2">
      <c r="A3110" s="3"/>
      <c r="B3110" s="3"/>
      <c r="C3110" s="3"/>
      <c r="D3110" s="6"/>
      <c r="E3110" s="10"/>
      <c r="F3110" s="3" t="str">
        <f>IFERROR( VLOOKUP(A3110,#REF!,2,0),"")</f>
        <v/>
      </c>
      <c r="G3110" s="3">
        <f t="array" ref="G3110">_xlfn.XLOOKUP(I3110,Base_Datos!D:D,Base_Datos!B:B,"")</f>
        <v>0</v>
      </c>
      <c r="H3110" s="3" t="str">
        <f t="array" ref="H3110">IF(I3110="","",IFERROR(_xlfn.XLOOKUP(I3110,Base_Datos!$D$2:$D3876,Base_Datos!$C$2:$C3876),""))</f>
        <v/>
      </c>
      <c r="I3110" s="3"/>
      <c r="J3110" s="3" t="str">
        <f>IF(I3110="","",IFERROR(VLOOKUP(I3110,Base_Datos!$D$2:$E$72,2,0),""))</f>
        <v/>
      </c>
      <c r="K3110" s="3"/>
      <c r="L3110" s="3"/>
      <c r="M3110" s="3"/>
      <c r="N3110" s="3"/>
    </row>
    <row r="3111" spans="1:14" ht="14.25" x14ac:dyDescent="0.2">
      <c r="A3111" s="3"/>
      <c r="B3111" s="3"/>
      <c r="C3111" s="3"/>
      <c r="D3111" s="6"/>
      <c r="E3111" s="10"/>
      <c r="F3111" s="3" t="str">
        <f>IFERROR( VLOOKUP(A3111,#REF!,2,0),"")</f>
        <v/>
      </c>
      <c r="G3111" s="3">
        <f t="array" ref="G3111">_xlfn.XLOOKUP(I3111,Base_Datos!D:D,Base_Datos!B:B,"")</f>
        <v>0</v>
      </c>
      <c r="H3111" s="3" t="str">
        <f t="array" ref="H3111">IF(I3111="","",IFERROR(_xlfn.XLOOKUP(I3111,Base_Datos!$D$2:$D3876,Base_Datos!$C$2:$C3876),""))</f>
        <v/>
      </c>
      <c r="I3111" s="3"/>
      <c r="J3111" s="3" t="str">
        <f>IF(I3111="","",IFERROR(VLOOKUP(I3111,Base_Datos!$D$2:$E$72,2,0),""))</f>
        <v/>
      </c>
      <c r="K3111" s="3"/>
      <c r="L3111" s="3"/>
      <c r="M3111" s="3"/>
      <c r="N3111" s="3"/>
    </row>
    <row r="3112" spans="1:14" ht="14.25" x14ac:dyDescent="0.2">
      <c r="A3112" s="3"/>
      <c r="B3112" s="3"/>
      <c r="C3112" s="3"/>
      <c r="D3112" s="6"/>
      <c r="E3112" s="10"/>
      <c r="F3112" s="3" t="str">
        <f>IFERROR( VLOOKUP(A3112,#REF!,2,0),"")</f>
        <v/>
      </c>
      <c r="G3112" s="3">
        <f t="array" ref="G3112">_xlfn.XLOOKUP(I3112,Base_Datos!D:D,Base_Datos!B:B,"")</f>
        <v>0</v>
      </c>
      <c r="H3112" s="3" t="str">
        <f t="array" ref="H3112">IF(I3112="","",IFERROR(_xlfn.XLOOKUP(I3112,Base_Datos!$D$2:$D3876,Base_Datos!$C$2:$C3876),""))</f>
        <v/>
      </c>
      <c r="I3112" s="3"/>
      <c r="J3112" s="3" t="str">
        <f>IF(I3112="","",IFERROR(VLOOKUP(I3112,Base_Datos!$D$2:$E$72,2,0),""))</f>
        <v/>
      </c>
      <c r="K3112" s="3"/>
      <c r="L3112" s="3"/>
      <c r="M3112" s="3"/>
      <c r="N3112" s="3"/>
    </row>
    <row r="3113" spans="1:14" ht="14.25" x14ac:dyDescent="0.2">
      <c r="A3113" s="3"/>
      <c r="B3113" s="3"/>
      <c r="C3113" s="3"/>
      <c r="D3113" s="6"/>
      <c r="E3113" s="10"/>
      <c r="F3113" s="3" t="str">
        <f>IFERROR( VLOOKUP(A3113,#REF!,2,0),"")</f>
        <v/>
      </c>
      <c r="G3113" s="3">
        <f t="array" ref="G3113">_xlfn.XLOOKUP(I3113,Base_Datos!D:D,Base_Datos!B:B,"")</f>
        <v>0</v>
      </c>
      <c r="H3113" s="3" t="str">
        <f t="array" ref="H3113">IF(I3113="","",IFERROR(_xlfn.XLOOKUP(I3113,Base_Datos!$D$2:$D3876,Base_Datos!$C$2:$C3876),""))</f>
        <v/>
      </c>
      <c r="I3113" s="3"/>
      <c r="J3113" s="3" t="str">
        <f>IF(I3113="","",IFERROR(VLOOKUP(I3113,Base_Datos!$D$2:$E$72,2,0),""))</f>
        <v/>
      </c>
      <c r="K3113" s="3"/>
      <c r="L3113" s="3"/>
      <c r="M3113" s="3"/>
      <c r="N3113" s="3"/>
    </row>
    <row r="3114" spans="1:14" ht="14.25" x14ac:dyDescent="0.2">
      <c r="A3114" s="3"/>
      <c r="B3114" s="3"/>
      <c r="C3114" s="3"/>
      <c r="D3114" s="6"/>
      <c r="E3114" s="10"/>
      <c r="F3114" s="3" t="str">
        <f>IFERROR( VLOOKUP(A3114,#REF!,2,0),"")</f>
        <v/>
      </c>
      <c r="G3114" s="3">
        <f t="array" ref="G3114">_xlfn.XLOOKUP(I3114,Base_Datos!D:D,Base_Datos!B:B,"")</f>
        <v>0</v>
      </c>
      <c r="H3114" s="3" t="str">
        <f t="array" ref="H3114">IF(I3114="","",IFERROR(_xlfn.XLOOKUP(I3114,Base_Datos!$D$2:$D3876,Base_Datos!$C$2:$C3876),""))</f>
        <v/>
      </c>
      <c r="I3114" s="3"/>
      <c r="J3114" s="3" t="str">
        <f>IF(I3114="","",IFERROR(VLOOKUP(I3114,Base_Datos!$D$2:$E$72,2,0),""))</f>
        <v/>
      </c>
      <c r="K3114" s="3"/>
      <c r="L3114" s="3"/>
      <c r="M3114" s="3"/>
      <c r="N3114" s="3"/>
    </row>
    <row r="3115" spans="1:14" ht="14.25" x14ac:dyDescent="0.2">
      <c r="A3115" s="3"/>
      <c r="B3115" s="3"/>
      <c r="C3115" s="3"/>
      <c r="D3115" s="6"/>
      <c r="E3115" s="10"/>
      <c r="F3115" s="3" t="str">
        <f>IFERROR( VLOOKUP(A3115,#REF!,2,0),"")</f>
        <v/>
      </c>
      <c r="G3115" s="3">
        <f t="array" ref="G3115">_xlfn.XLOOKUP(I3115,Base_Datos!D:D,Base_Datos!B:B,"")</f>
        <v>0</v>
      </c>
      <c r="H3115" s="3" t="str">
        <f t="array" ref="H3115">IF(I3115="","",IFERROR(_xlfn.XLOOKUP(I3115,Base_Datos!$D$2:$D3876,Base_Datos!$C$2:$C3876),""))</f>
        <v/>
      </c>
      <c r="I3115" s="3"/>
      <c r="J3115" s="3" t="str">
        <f>IF(I3115="","",IFERROR(VLOOKUP(I3115,Base_Datos!$D$2:$E$72,2,0),""))</f>
        <v/>
      </c>
      <c r="K3115" s="3"/>
      <c r="L3115" s="3"/>
      <c r="M3115" s="3"/>
      <c r="N3115" s="3"/>
    </row>
    <row r="3116" spans="1:14" ht="14.25" x14ac:dyDescent="0.2">
      <c r="A3116" s="3"/>
      <c r="B3116" s="3"/>
      <c r="C3116" s="3"/>
      <c r="D3116" s="6"/>
      <c r="E3116" s="10"/>
      <c r="F3116" s="3" t="str">
        <f>IFERROR( VLOOKUP(A3116,#REF!,2,0),"")</f>
        <v/>
      </c>
      <c r="G3116" s="3">
        <f t="array" ref="G3116">_xlfn.XLOOKUP(I3116,Base_Datos!D:D,Base_Datos!B:B,"")</f>
        <v>0</v>
      </c>
      <c r="H3116" s="3" t="str">
        <f t="array" ref="H3116">IF(I3116="","",IFERROR(_xlfn.XLOOKUP(I3116,Base_Datos!$D$2:$D3876,Base_Datos!$C$2:$C3876),""))</f>
        <v/>
      </c>
      <c r="I3116" s="3"/>
      <c r="J3116" s="3" t="str">
        <f>IF(I3116="","",IFERROR(VLOOKUP(I3116,Base_Datos!$D$2:$E$72,2,0),""))</f>
        <v/>
      </c>
      <c r="K3116" s="3"/>
      <c r="L3116" s="3"/>
      <c r="M3116" s="3"/>
      <c r="N3116" s="3"/>
    </row>
    <row r="3117" spans="1:14" ht="14.25" x14ac:dyDescent="0.2">
      <c r="A3117" s="3"/>
      <c r="B3117" s="3"/>
      <c r="C3117" s="3"/>
      <c r="D3117" s="6"/>
      <c r="E3117" s="10"/>
      <c r="F3117" s="3" t="str">
        <f>IFERROR( VLOOKUP(A3117,#REF!,2,0),"")</f>
        <v/>
      </c>
      <c r="G3117" s="3">
        <f t="array" ref="G3117">_xlfn.XLOOKUP(I3117,Base_Datos!D:D,Base_Datos!B:B,"")</f>
        <v>0</v>
      </c>
      <c r="H3117" s="3" t="str">
        <f t="array" ref="H3117">IF(I3117="","",IFERROR(_xlfn.XLOOKUP(I3117,Base_Datos!$D$2:$D3876,Base_Datos!$C$2:$C3876),""))</f>
        <v/>
      </c>
      <c r="I3117" s="3"/>
      <c r="J3117" s="3" t="str">
        <f>IF(I3117="","",IFERROR(VLOOKUP(I3117,Base_Datos!$D$2:$E$72,2,0),""))</f>
        <v/>
      </c>
      <c r="K3117" s="3"/>
      <c r="L3117" s="3"/>
      <c r="M3117" s="3"/>
      <c r="N3117" s="3"/>
    </row>
    <row r="3118" spans="1:14" ht="14.25" x14ac:dyDescent="0.2">
      <c r="A3118" s="3"/>
      <c r="B3118" s="3"/>
      <c r="C3118" s="3"/>
      <c r="D3118" s="6"/>
      <c r="E3118" s="10"/>
      <c r="F3118" s="3" t="str">
        <f>IFERROR( VLOOKUP(A3118,#REF!,2,0),"")</f>
        <v/>
      </c>
      <c r="G3118" s="3">
        <f t="array" ref="G3118">_xlfn.XLOOKUP(I3118,Base_Datos!D:D,Base_Datos!B:B,"")</f>
        <v>0</v>
      </c>
      <c r="H3118" s="3" t="str">
        <f t="array" ref="H3118">IF(I3118="","",IFERROR(_xlfn.XLOOKUP(I3118,Base_Datos!$D$2:$D3876,Base_Datos!$C$2:$C3876),""))</f>
        <v/>
      </c>
      <c r="I3118" s="3"/>
      <c r="J3118" s="3" t="str">
        <f>IF(I3118="","",IFERROR(VLOOKUP(I3118,Base_Datos!$D$2:$E$72,2,0),""))</f>
        <v/>
      </c>
      <c r="K3118" s="3"/>
      <c r="L3118" s="3"/>
      <c r="M3118" s="3"/>
      <c r="N3118" s="3"/>
    </row>
    <row r="3119" spans="1:14" ht="14.25" x14ac:dyDescent="0.2">
      <c r="A3119" s="3"/>
      <c r="B3119" s="3"/>
      <c r="C3119" s="3"/>
      <c r="D3119" s="6"/>
      <c r="E3119" s="10"/>
      <c r="F3119" s="3" t="str">
        <f>IFERROR( VLOOKUP(A3119,#REF!,2,0),"")</f>
        <v/>
      </c>
      <c r="G3119" s="3">
        <f t="array" ref="G3119">_xlfn.XLOOKUP(I3119,Base_Datos!D:D,Base_Datos!B:B,"")</f>
        <v>0</v>
      </c>
      <c r="H3119" s="3" t="str">
        <f t="array" ref="H3119">IF(I3119="","",IFERROR(_xlfn.XLOOKUP(I3119,Base_Datos!$D$2:$D3876,Base_Datos!$C$2:$C3876),""))</f>
        <v/>
      </c>
      <c r="I3119" s="3"/>
      <c r="J3119" s="3" t="str">
        <f>IF(I3119="","",IFERROR(VLOOKUP(I3119,Base_Datos!$D$2:$E$72,2,0),""))</f>
        <v/>
      </c>
      <c r="K3119" s="3"/>
      <c r="L3119" s="3"/>
      <c r="M3119" s="3"/>
      <c r="N3119" s="3"/>
    </row>
    <row r="3120" spans="1:14" ht="14.25" x14ac:dyDescent="0.2">
      <c r="A3120" s="3"/>
      <c r="B3120" s="3"/>
      <c r="C3120" s="3"/>
      <c r="D3120" s="6"/>
      <c r="E3120" s="10"/>
      <c r="F3120" s="3" t="str">
        <f>IFERROR( VLOOKUP(A3120,#REF!,2,0),"")</f>
        <v/>
      </c>
      <c r="G3120" s="3">
        <f t="array" ref="G3120">_xlfn.XLOOKUP(I3120,Base_Datos!D:D,Base_Datos!B:B,"")</f>
        <v>0</v>
      </c>
      <c r="H3120" s="3" t="str">
        <f t="array" ref="H3120">IF(I3120="","",IFERROR(_xlfn.XLOOKUP(I3120,Base_Datos!$D$2:$D3876,Base_Datos!$C$2:$C3876),""))</f>
        <v/>
      </c>
      <c r="I3120" s="3"/>
      <c r="J3120" s="3" t="str">
        <f>IF(I3120="","",IFERROR(VLOOKUP(I3120,Base_Datos!$D$2:$E$72,2,0),""))</f>
        <v/>
      </c>
      <c r="K3120" s="3"/>
      <c r="L3120" s="3"/>
      <c r="M3120" s="3"/>
      <c r="N3120" s="3"/>
    </row>
    <row r="3121" spans="1:14" ht="14.25" x14ac:dyDescent="0.2">
      <c r="A3121" s="3"/>
      <c r="B3121" s="3"/>
      <c r="C3121" s="3"/>
      <c r="D3121" s="6"/>
      <c r="E3121" s="10"/>
      <c r="F3121" s="3" t="str">
        <f>IFERROR( VLOOKUP(A3121,#REF!,2,0),"")</f>
        <v/>
      </c>
      <c r="G3121" s="3">
        <f t="array" ref="G3121">_xlfn.XLOOKUP(I3121,Base_Datos!D:D,Base_Datos!B:B,"")</f>
        <v>0</v>
      </c>
      <c r="H3121" s="3" t="str">
        <f t="array" ref="H3121">IF(I3121="","",IFERROR(_xlfn.XLOOKUP(I3121,Base_Datos!$D$2:$D3876,Base_Datos!$C$2:$C3876),""))</f>
        <v/>
      </c>
      <c r="I3121" s="3"/>
      <c r="J3121" s="3" t="str">
        <f>IF(I3121="","",IFERROR(VLOOKUP(I3121,Base_Datos!$D$2:$E$72,2,0),""))</f>
        <v/>
      </c>
      <c r="K3121" s="3"/>
      <c r="L3121" s="3"/>
      <c r="M3121" s="3"/>
      <c r="N3121" s="3"/>
    </row>
    <row r="3122" spans="1:14" ht="14.25" x14ac:dyDescent="0.2">
      <c r="A3122" s="3"/>
      <c r="B3122" s="3"/>
      <c r="C3122" s="3"/>
      <c r="D3122" s="6"/>
      <c r="E3122" s="10"/>
      <c r="F3122" s="3" t="str">
        <f>IFERROR( VLOOKUP(A3122,#REF!,2,0),"")</f>
        <v/>
      </c>
      <c r="G3122" s="3">
        <f t="array" ref="G3122">_xlfn.XLOOKUP(I3122,Base_Datos!D:D,Base_Datos!B:B,"")</f>
        <v>0</v>
      </c>
      <c r="H3122" s="3" t="str">
        <f t="array" ref="H3122">IF(I3122="","",IFERROR(_xlfn.XLOOKUP(I3122,Base_Datos!$D$2:$D3876,Base_Datos!$C$2:$C3876),""))</f>
        <v/>
      </c>
      <c r="I3122" s="3"/>
      <c r="J3122" s="3" t="str">
        <f>IF(I3122="","",IFERROR(VLOOKUP(I3122,Base_Datos!$D$2:$E$72,2,0),""))</f>
        <v/>
      </c>
      <c r="K3122" s="3"/>
      <c r="L3122" s="3"/>
      <c r="M3122" s="3"/>
      <c r="N3122" s="3"/>
    </row>
    <row r="3123" spans="1:14" ht="14.25" x14ac:dyDescent="0.2">
      <c r="A3123" s="3"/>
      <c r="B3123" s="3"/>
      <c r="C3123" s="3"/>
      <c r="D3123" s="6"/>
      <c r="E3123" s="10"/>
      <c r="F3123" s="3" t="str">
        <f>IFERROR( VLOOKUP(A3123,#REF!,2,0),"")</f>
        <v/>
      </c>
      <c r="G3123" s="3">
        <f t="array" ref="G3123">_xlfn.XLOOKUP(I3123,Base_Datos!D:D,Base_Datos!B:B,"")</f>
        <v>0</v>
      </c>
      <c r="H3123" s="3" t="str">
        <f t="array" ref="H3123">IF(I3123="","",IFERROR(_xlfn.XLOOKUP(I3123,Base_Datos!$D$2:$D3876,Base_Datos!$C$2:$C3876),""))</f>
        <v/>
      </c>
      <c r="I3123" s="3"/>
      <c r="J3123" s="3" t="str">
        <f>IF(I3123="","",IFERROR(VLOOKUP(I3123,Base_Datos!$D$2:$E$72,2,0),""))</f>
        <v/>
      </c>
      <c r="K3123" s="3"/>
      <c r="L3123" s="3"/>
      <c r="M3123" s="3"/>
      <c r="N3123" s="3"/>
    </row>
    <row r="3124" spans="1:14" ht="14.25" x14ac:dyDescent="0.2">
      <c r="A3124" s="3"/>
      <c r="B3124" s="3"/>
      <c r="C3124" s="3"/>
      <c r="D3124" s="6"/>
      <c r="E3124" s="10"/>
      <c r="F3124" s="3" t="str">
        <f>IFERROR( VLOOKUP(A3124,#REF!,2,0),"")</f>
        <v/>
      </c>
      <c r="G3124" s="3">
        <f t="array" ref="G3124">_xlfn.XLOOKUP(I3124,Base_Datos!D:D,Base_Datos!B:B,"")</f>
        <v>0</v>
      </c>
      <c r="H3124" s="3" t="str">
        <f t="array" ref="H3124">IF(I3124="","",IFERROR(_xlfn.XLOOKUP(I3124,Base_Datos!$D$2:$D3876,Base_Datos!$C$2:$C3876),""))</f>
        <v/>
      </c>
      <c r="I3124" s="3"/>
      <c r="J3124" s="3" t="str">
        <f>IF(I3124="","",IFERROR(VLOOKUP(I3124,Base_Datos!$D$2:$E$72,2,0),""))</f>
        <v/>
      </c>
      <c r="K3124" s="3"/>
      <c r="L3124" s="3"/>
      <c r="M3124" s="3"/>
      <c r="N3124" s="3"/>
    </row>
    <row r="3125" spans="1:14" ht="14.25" x14ac:dyDescent="0.2">
      <c r="A3125" s="3"/>
      <c r="B3125" s="3"/>
      <c r="C3125" s="3"/>
      <c r="D3125" s="6"/>
      <c r="E3125" s="10"/>
      <c r="F3125" s="3" t="str">
        <f>IFERROR( VLOOKUP(A3125,#REF!,2,0),"")</f>
        <v/>
      </c>
      <c r="G3125" s="3">
        <f t="array" ref="G3125">_xlfn.XLOOKUP(I3125,Base_Datos!D:D,Base_Datos!B:B,"")</f>
        <v>0</v>
      </c>
      <c r="H3125" s="3" t="str">
        <f t="array" ref="H3125">IF(I3125="","",IFERROR(_xlfn.XLOOKUP(I3125,Base_Datos!$D$2:$D3876,Base_Datos!$C$2:$C3876),""))</f>
        <v/>
      </c>
      <c r="I3125" s="3"/>
      <c r="J3125" s="3" t="str">
        <f>IF(I3125="","",IFERROR(VLOOKUP(I3125,Base_Datos!$D$2:$E$72,2,0),""))</f>
        <v/>
      </c>
      <c r="K3125" s="3"/>
      <c r="L3125" s="3"/>
      <c r="M3125" s="3"/>
      <c r="N3125" s="3"/>
    </row>
    <row r="3126" spans="1:14" ht="14.25" x14ac:dyDescent="0.2">
      <c r="A3126" s="3"/>
      <c r="B3126" s="3"/>
      <c r="C3126" s="3"/>
      <c r="D3126" s="6"/>
      <c r="E3126" s="10"/>
      <c r="F3126" s="3" t="str">
        <f>IFERROR( VLOOKUP(A3126,#REF!,2,0),"")</f>
        <v/>
      </c>
      <c r="G3126" s="3">
        <f t="array" ref="G3126">_xlfn.XLOOKUP(I3126,Base_Datos!D:D,Base_Datos!B:B,"")</f>
        <v>0</v>
      </c>
      <c r="H3126" s="3" t="str">
        <f t="array" ref="H3126">IF(I3126="","",IFERROR(_xlfn.XLOOKUP(I3126,Base_Datos!$D$2:$D3876,Base_Datos!$C$2:$C3876),""))</f>
        <v/>
      </c>
      <c r="I3126" s="3"/>
      <c r="J3126" s="3" t="str">
        <f>IF(I3126="","",IFERROR(VLOOKUP(I3126,Base_Datos!$D$2:$E$72,2,0),""))</f>
        <v/>
      </c>
      <c r="K3126" s="3"/>
      <c r="L3126" s="3"/>
      <c r="M3126" s="3"/>
      <c r="N3126" s="3"/>
    </row>
    <row r="3127" spans="1:14" ht="14.25" x14ac:dyDescent="0.2">
      <c r="A3127" s="3"/>
      <c r="B3127" s="3"/>
      <c r="C3127" s="3"/>
      <c r="D3127" s="6"/>
      <c r="E3127" s="10"/>
      <c r="F3127" s="3" t="str">
        <f>IFERROR( VLOOKUP(A3127,#REF!,2,0),"")</f>
        <v/>
      </c>
      <c r="G3127" s="3">
        <f t="array" ref="G3127">_xlfn.XLOOKUP(I3127,Base_Datos!D:D,Base_Datos!B:B,"")</f>
        <v>0</v>
      </c>
      <c r="H3127" s="3" t="str">
        <f t="array" ref="H3127">IF(I3127="","",IFERROR(_xlfn.XLOOKUP(I3127,Base_Datos!$D$2:$D3876,Base_Datos!$C$2:$C3876),""))</f>
        <v/>
      </c>
      <c r="I3127" s="3"/>
      <c r="J3127" s="3" t="str">
        <f>IF(I3127="","",IFERROR(VLOOKUP(I3127,Base_Datos!$D$2:$E$72,2,0),""))</f>
        <v/>
      </c>
      <c r="K3127" s="3"/>
      <c r="L3127" s="3"/>
      <c r="M3127" s="3"/>
      <c r="N3127" s="3"/>
    </row>
    <row r="3128" spans="1:14" ht="14.25" x14ac:dyDescent="0.2">
      <c r="A3128" s="3"/>
      <c r="B3128" s="3"/>
      <c r="C3128" s="3"/>
      <c r="D3128" s="6"/>
      <c r="E3128" s="10"/>
      <c r="F3128" s="3" t="str">
        <f>IFERROR( VLOOKUP(A3128,#REF!,2,0),"")</f>
        <v/>
      </c>
      <c r="G3128" s="3">
        <f t="array" ref="G3128">_xlfn.XLOOKUP(I3128,Base_Datos!D:D,Base_Datos!B:B,"")</f>
        <v>0</v>
      </c>
      <c r="H3128" s="3" t="str">
        <f t="array" ref="H3128">IF(I3128="","",IFERROR(_xlfn.XLOOKUP(I3128,Base_Datos!$D$2:$D3876,Base_Datos!$C$2:$C3876),""))</f>
        <v/>
      </c>
      <c r="I3128" s="3"/>
      <c r="J3128" s="3" t="str">
        <f>IF(I3128="","",IFERROR(VLOOKUP(I3128,Base_Datos!$D$2:$E$72,2,0),""))</f>
        <v/>
      </c>
      <c r="K3128" s="3"/>
      <c r="L3128" s="3"/>
      <c r="M3128" s="3"/>
      <c r="N3128" s="3"/>
    </row>
    <row r="3129" spans="1:14" ht="14.25" x14ac:dyDescent="0.2">
      <c r="A3129" s="3"/>
      <c r="B3129" s="3"/>
      <c r="C3129" s="3"/>
      <c r="D3129" s="6"/>
      <c r="E3129" s="10"/>
      <c r="F3129" s="3" t="str">
        <f>IFERROR( VLOOKUP(A3129,#REF!,2,0),"")</f>
        <v/>
      </c>
      <c r="G3129" s="3">
        <f t="array" ref="G3129">_xlfn.XLOOKUP(I3129,Base_Datos!D:D,Base_Datos!B:B,"")</f>
        <v>0</v>
      </c>
      <c r="H3129" s="3" t="str">
        <f t="array" ref="H3129">IF(I3129="","",IFERROR(_xlfn.XLOOKUP(I3129,Base_Datos!$D$2:$D3876,Base_Datos!$C$2:$C3876),""))</f>
        <v/>
      </c>
      <c r="I3129" s="3"/>
      <c r="J3129" s="3" t="str">
        <f>IF(I3129="","",IFERROR(VLOOKUP(I3129,Base_Datos!$D$2:$E$72,2,0),""))</f>
        <v/>
      </c>
      <c r="K3129" s="3"/>
      <c r="L3129" s="3"/>
      <c r="M3129" s="3"/>
      <c r="N3129" s="3"/>
    </row>
    <row r="3130" spans="1:14" ht="14.25" x14ac:dyDescent="0.2">
      <c r="A3130" s="3"/>
      <c r="B3130" s="3"/>
      <c r="C3130" s="3"/>
      <c r="D3130" s="6"/>
      <c r="E3130" s="10"/>
      <c r="F3130" s="3" t="str">
        <f>IFERROR( VLOOKUP(A3130,#REF!,2,0),"")</f>
        <v/>
      </c>
      <c r="G3130" s="3">
        <f t="array" ref="G3130">_xlfn.XLOOKUP(I3130,Base_Datos!D:D,Base_Datos!B:B,"")</f>
        <v>0</v>
      </c>
      <c r="H3130" s="3" t="str">
        <f t="array" ref="H3130">IF(I3130="","",IFERROR(_xlfn.XLOOKUP(I3130,Base_Datos!$D$2:$D3876,Base_Datos!$C$2:$C3876),""))</f>
        <v/>
      </c>
      <c r="I3130" s="3"/>
      <c r="J3130" s="3" t="str">
        <f>IF(I3130="","",IFERROR(VLOOKUP(I3130,Base_Datos!$D$2:$E$72,2,0),""))</f>
        <v/>
      </c>
      <c r="K3130" s="3"/>
      <c r="L3130" s="3"/>
      <c r="M3130" s="3"/>
      <c r="N3130" s="3"/>
    </row>
    <row r="3131" spans="1:14" ht="14.25" x14ac:dyDescent="0.2">
      <c r="A3131" s="3"/>
      <c r="B3131" s="3"/>
      <c r="C3131" s="3"/>
      <c r="D3131" s="6"/>
      <c r="E3131" s="10"/>
      <c r="F3131" s="3" t="str">
        <f>IFERROR( VLOOKUP(A3131,#REF!,2,0),"")</f>
        <v/>
      </c>
      <c r="G3131" s="3">
        <f t="array" ref="G3131">_xlfn.XLOOKUP(I3131,Base_Datos!D:D,Base_Datos!B:B,"")</f>
        <v>0</v>
      </c>
      <c r="H3131" s="3" t="str">
        <f t="array" ref="H3131">IF(I3131="","",IFERROR(_xlfn.XLOOKUP(I3131,Base_Datos!$D$2:$D3876,Base_Datos!$C$2:$C3876),""))</f>
        <v/>
      </c>
      <c r="I3131" s="3"/>
      <c r="J3131" s="3" t="str">
        <f>IF(I3131="","",IFERROR(VLOOKUP(I3131,Base_Datos!$D$2:$E$72,2,0),""))</f>
        <v/>
      </c>
      <c r="K3131" s="3"/>
      <c r="L3131" s="3"/>
      <c r="M3131" s="3"/>
      <c r="N3131" s="3"/>
    </row>
    <row r="3132" spans="1:14" ht="14.25" x14ac:dyDescent="0.2">
      <c r="A3132" s="3"/>
      <c r="B3132" s="3"/>
      <c r="C3132" s="3"/>
      <c r="D3132" s="6"/>
      <c r="E3132" s="10"/>
      <c r="F3132" s="3" t="str">
        <f>IFERROR( VLOOKUP(A3132,#REF!,2,0),"")</f>
        <v/>
      </c>
      <c r="G3132" s="3">
        <f t="array" ref="G3132">_xlfn.XLOOKUP(I3132,Base_Datos!D:D,Base_Datos!B:B,"")</f>
        <v>0</v>
      </c>
      <c r="H3132" s="3" t="str">
        <f t="array" ref="H3132">IF(I3132="","",IFERROR(_xlfn.XLOOKUP(I3132,Base_Datos!$D$2:$D3876,Base_Datos!$C$2:$C3876),""))</f>
        <v/>
      </c>
      <c r="I3132" s="3"/>
      <c r="J3132" s="3" t="str">
        <f>IF(I3132="","",IFERROR(VLOOKUP(I3132,Base_Datos!$D$2:$E$72,2,0),""))</f>
        <v/>
      </c>
      <c r="K3132" s="3"/>
      <c r="L3132" s="3"/>
      <c r="M3132" s="3"/>
      <c r="N3132" s="3"/>
    </row>
    <row r="3133" spans="1:14" ht="14.25" x14ac:dyDescent="0.2">
      <c r="A3133" s="3"/>
      <c r="B3133" s="3"/>
      <c r="C3133" s="3"/>
      <c r="D3133" s="6"/>
      <c r="E3133" s="10"/>
      <c r="F3133" s="3" t="str">
        <f>IFERROR( VLOOKUP(A3133,#REF!,2,0),"")</f>
        <v/>
      </c>
      <c r="G3133" s="3">
        <f t="array" ref="G3133">_xlfn.XLOOKUP(I3133,Base_Datos!D:D,Base_Datos!B:B,"")</f>
        <v>0</v>
      </c>
      <c r="H3133" s="3" t="str">
        <f t="array" ref="H3133">IF(I3133="","",IFERROR(_xlfn.XLOOKUP(I3133,Base_Datos!$D$2:$D3876,Base_Datos!$C$2:$C3876),""))</f>
        <v/>
      </c>
      <c r="I3133" s="3"/>
      <c r="J3133" s="3" t="str">
        <f>IF(I3133="","",IFERROR(VLOOKUP(I3133,Base_Datos!$D$2:$E$72,2,0),""))</f>
        <v/>
      </c>
      <c r="K3133" s="3"/>
      <c r="L3133" s="3"/>
      <c r="M3133" s="3"/>
      <c r="N3133" s="3"/>
    </row>
    <row r="3134" spans="1:14" ht="14.25" x14ac:dyDescent="0.2">
      <c r="A3134" s="3"/>
      <c r="B3134" s="3"/>
      <c r="C3134" s="3"/>
      <c r="D3134" s="6"/>
      <c r="E3134" s="10"/>
      <c r="F3134" s="3" t="str">
        <f>IFERROR( VLOOKUP(A3134,#REF!,2,0),"")</f>
        <v/>
      </c>
      <c r="G3134" s="3">
        <f t="array" ref="G3134">_xlfn.XLOOKUP(I3134,Base_Datos!D:D,Base_Datos!B:B,"")</f>
        <v>0</v>
      </c>
      <c r="H3134" s="3" t="str">
        <f t="array" ref="H3134">IF(I3134="","",IFERROR(_xlfn.XLOOKUP(I3134,Base_Datos!$D$2:$D3876,Base_Datos!$C$2:$C3876),""))</f>
        <v/>
      </c>
      <c r="I3134" s="3"/>
      <c r="J3134" s="3" t="str">
        <f>IF(I3134="","",IFERROR(VLOOKUP(I3134,Base_Datos!$D$2:$E$72,2,0),""))</f>
        <v/>
      </c>
      <c r="K3134" s="3"/>
      <c r="L3134" s="3"/>
      <c r="M3134" s="3"/>
      <c r="N3134" s="3"/>
    </row>
    <row r="3135" spans="1:14" ht="14.25" x14ac:dyDescent="0.2">
      <c r="A3135" s="3"/>
      <c r="B3135" s="3"/>
      <c r="C3135" s="3"/>
      <c r="D3135" s="6"/>
      <c r="E3135" s="10"/>
      <c r="F3135" s="3" t="str">
        <f>IFERROR( VLOOKUP(A3135,#REF!,2,0),"")</f>
        <v/>
      </c>
      <c r="G3135" s="3">
        <f t="array" ref="G3135">_xlfn.XLOOKUP(I3135,Base_Datos!D:D,Base_Datos!B:B,"")</f>
        <v>0</v>
      </c>
      <c r="H3135" s="3" t="str">
        <f t="array" ref="H3135">IF(I3135="","",IFERROR(_xlfn.XLOOKUP(I3135,Base_Datos!$D$2:$D3876,Base_Datos!$C$2:$C3876),""))</f>
        <v/>
      </c>
      <c r="I3135" s="3"/>
      <c r="J3135" s="3" t="str">
        <f>IF(I3135="","",IFERROR(VLOOKUP(I3135,Base_Datos!$D$2:$E$72,2,0),""))</f>
        <v/>
      </c>
      <c r="K3135" s="3"/>
      <c r="L3135" s="3"/>
      <c r="M3135" s="3"/>
      <c r="N3135" s="3"/>
    </row>
    <row r="3136" spans="1:14" ht="14.25" x14ac:dyDescent="0.2">
      <c r="A3136" s="3"/>
      <c r="B3136" s="3"/>
      <c r="C3136" s="3"/>
      <c r="D3136" s="6"/>
      <c r="E3136" s="10"/>
      <c r="F3136" s="3" t="str">
        <f>IFERROR( VLOOKUP(A3136,#REF!,2,0),"")</f>
        <v/>
      </c>
      <c r="G3136" s="3">
        <f t="array" ref="G3136">_xlfn.XLOOKUP(I3136,Base_Datos!D:D,Base_Datos!B:B,"")</f>
        <v>0</v>
      </c>
      <c r="H3136" s="3" t="str">
        <f t="array" ref="H3136">IF(I3136="","",IFERROR(_xlfn.XLOOKUP(I3136,Base_Datos!$D$2:$D3876,Base_Datos!$C$2:$C3876),""))</f>
        <v/>
      </c>
      <c r="I3136" s="3"/>
      <c r="J3136" s="3" t="str">
        <f>IF(I3136="","",IFERROR(VLOOKUP(I3136,Base_Datos!$D$2:$E$72,2,0),""))</f>
        <v/>
      </c>
      <c r="K3136" s="3"/>
      <c r="L3136" s="3"/>
      <c r="M3136" s="3"/>
      <c r="N3136" s="3"/>
    </row>
    <row r="3137" spans="1:14" ht="14.25" x14ac:dyDescent="0.2">
      <c r="A3137" s="3"/>
      <c r="B3137" s="3"/>
      <c r="C3137" s="3"/>
      <c r="D3137" s="6"/>
      <c r="E3137" s="10"/>
      <c r="F3137" s="3" t="str">
        <f>IFERROR( VLOOKUP(A3137,#REF!,2,0),"")</f>
        <v/>
      </c>
      <c r="G3137" s="3">
        <f t="array" ref="G3137">_xlfn.XLOOKUP(I3137,Base_Datos!D:D,Base_Datos!B:B,"")</f>
        <v>0</v>
      </c>
      <c r="H3137" s="3" t="str">
        <f t="array" ref="H3137">IF(I3137="","",IFERROR(_xlfn.XLOOKUP(I3137,Base_Datos!$D$2:$D3876,Base_Datos!$C$2:$C3876),""))</f>
        <v/>
      </c>
      <c r="I3137" s="3"/>
      <c r="J3137" s="3" t="str">
        <f>IF(I3137="","",IFERROR(VLOOKUP(I3137,Base_Datos!$D$2:$E$72,2,0),""))</f>
        <v/>
      </c>
      <c r="K3137" s="3"/>
      <c r="L3137" s="3"/>
      <c r="M3137" s="3"/>
      <c r="N3137" s="3"/>
    </row>
    <row r="3138" spans="1:14" ht="14.25" x14ac:dyDescent="0.2">
      <c r="A3138" s="3"/>
      <c r="B3138" s="3"/>
      <c r="C3138" s="3"/>
      <c r="D3138" s="6"/>
      <c r="E3138" s="10"/>
      <c r="F3138" s="3" t="str">
        <f>IFERROR( VLOOKUP(A3138,#REF!,2,0),"")</f>
        <v/>
      </c>
      <c r="G3138" s="3">
        <f t="array" ref="G3138">_xlfn.XLOOKUP(I3138,Base_Datos!D:D,Base_Datos!B:B,"")</f>
        <v>0</v>
      </c>
      <c r="H3138" s="3" t="str">
        <f t="array" ref="H3138">IF(I3138="","",IFERROR(_xlfn.XLOOKUP(I3138,Base_Datos!$D$2:$D3876,Base_Datos!$C$2:$C3876),""))</f>
        <v/>
      </c>
      <c r="I3138" s="3"/>
      <c r="J3138" s="3" t="str">
        <f>IF(I3138="","",IFERROR(VLOOKUP(I3138,Base_Datos!$D$2:$E$72,2,0),""))</f>
        <v/>
      </c>
      <c r="K3138" s="3"/>
      <c r="L3138" s="3"/>
      <c r="M3138" s="3"/>
      <c r="N3138" s="3"/>
    </row>
    <row r="3139" spans="1:14" ht="14.25" x14ac:dyDescent="0.2">
      <c r="A3139" s="3"/>
      <c r="B3139" s="3"/>
      <c r="C3139" s="3"/>
      <c r="D3139" s="6"/>
      <c r="E3139" s="10"/>
      <c r="F3139" s="3" t="str">
        <f>IFERROR( VLOOKUP(A3139,#REF!,2,0),"")</f>
        <v/>
      </c>
      <c r="G3139" s="3">
        <f t="array" ref="G3139">_xlfn.XLOOKUP(I3139,Base_Datos!D:D,Base_Datos!B:B,"")</f>
        <v>0</v>
      </c>
      <c r="H3139" s="3" t="str">
        <f t="array" ref="H3139">IF(I3139="","",IFERROR(_xlfn.XLOOKUP(I3139,Base_Datos!$D$2:$D3876,Base_Datos!$C$2:$C3876),""))</f>
        <v/>
      </c>
      <c r="I3139" s="3"/>
      <c r="J3139" s="3" t="str">
        <f>IF(I3139="","",IFERROR(VLOOKUP(I3139,Base_Datos!$D$2:$E$72,2,0),""))</f>
        <v/>
      </c>
      <c r="K3139" s="3"/>
      <c r="L3139" s="3"/>
      <c r="M3139" s="3"/>
      <c r="N3139" s="3"/>
    </row>
    <row r="3140" spans="1:14" ht="14.25" x14ac:dyDescent="0.2">
      <c r="A3140" s="3"/>
      <c r="B3140" s="3"/>
      <c r="C3140" s="3"/>
      <c r="D3140" s="6"/>
      <c r="E3140" s="10"/>
      <c r="F3140" s="3" t="str">
        <f>IFERROR( VLOOKUP(A3140,#REF!,2,0),"")</f>
        <v/>
      </c>
      <c r="G3140" s="3">
        <f t="array" ref="G3140">_xlfn.XLOOKUP(I3140,Base_Datos!D:D,Base_Datos!B:B,"")</f>
        <v>0</v>
      </c>
      <c r="H3140" s="3" t="str">
        <f t="array" ref="H3140">IF(I3140="","",IFERROR(_xlfn.XLOOKUP(I3140,Base_Datos!$D$2:$D3876,Base_Datos!$C$2:$C3876),""))</f>
        <v/>
      </c>
      <c r="I3140" s="3"/>
      <c r="J3140" s="3" t="str">
        <f>IF(I3140="","",IFERROR(VLOOKUP(I3140,Base_Datos!$D$2:$E$72,2,0),""))</f>
        <v/>
      </c>
      <c r="K3140" s="3"/>
      <c r="L3140" s="3"/>
      <c r="M3140" s="3"/>
      <c r="N3140" s="3"/>
    </row>
    <row r="3141" spans="1:14" ht="14.25" x14ac:dyDescent="0.2">
      <c r="A3141" s="3"/>
      <c r="B3141" s="3"/>
      <c r="C3141" s="3"/>
      <c r="D3141" s="6"/>
      <c r="E3141" s="10"/>
      <c r="F3141" s="3" t="str">
        <f>IFERROR( VLOOKUP(A3141,#REF!,2,0),"")</f>
        <v/>
      </c>
      <c r="G3141" s="3">
        <f t="array" ref="G3141">_xlfn.XLOOKUP(I3141,Base_Datos!D:D,Base_Datos!B:B,"")</f>
        <v>0</v>
      </c>
      <c r="H3141" s="3" t="str">
        <f t="array" ref="H3141">IF(I3141="","",IFERROR(_xlfn.XLOOKUP(I3141,Base_Datos!$D$2:$D3876,Base_Datos!$C$2:$C3876),""))</f>
        <v/>
      </c>
      <c r="I3141" s="3"/>
      <c r="J3141" s="3" t="str">
        <f>IF(I3141="","",IFERROR(VLOOKUP(I3141,Base_Datos!$D$2:$E$72,2,0),""))</f>
        <v/>
      </c>
      <c r="K3141" s="3"/>
      <c r="L3141" s="3"/>
      <c r="M3141" s="3"/>
      <c r="N3141" s="3"/>
    </row>
    <row r="3142" spans="1:14" ht="14.25" x14ac:dyDescent="0.2">
      <c r="A3142" s="3"/>
      <c r="B3142" s="3"/>
      <c r="C3142" s="3"/>
      <c r="D3142" s="6"/>
      <c r="E3142" s="10"/>
      <c r="F3142" s="3" t="str">
        <f>IFERROR( VLOOKUP(A3142,#REF!,2,0),"")</f>
        <v/>
      </c>
      <c r="G3142" s="3">
        <f t="array" ref="G3142">_xlfn.XLOOKUP(I3142,Base_Datos!D:D,Base_Datos!B:B,"")</f>
        <v>0</v>
      </c>
      <c r="H3142" s="3" t="str">
        <f t="array" ref="H3142">IF(I3142="","",IFERROR(_xlfn.XLOOKUP(I3142,Base_Datos!$D$2:$D3876,Base_Datos!$C$2:$C3876),""))</f>
        <v/>
      </c>
      <c r="I3142" s="3"/>
      <c r="J3142" s="3" t="str">
        <f>IF(I3142="","",IFERROR(VLOOKUP(I3142,Base_Datos!$D$2:$E$72,2,0),""))</f>
        <v/>
      </c>
      <c r="K3142" s="3"/>
      <c r="L3142" s="3"/>
      <c r="M3142" s="3"/>
      <c r="N3142" s="3"/>
    </row>
    <row r="3143" spans="1:14" ht="14.25" x14ac:dyDescent="0.2">
      <c r="A3143" s="3"/>
      <c r="B3143" s="3"/>
      <c r="C3143" s="3"/>
      <c r="D3143" s="6"/>
      <c r="E3143" s="10"/>
      <c r="F3143" s="3" t="str">
        <f>IFERROR( VLOOKUP(A3143,#REF!,2,0),"")</f>
        <v/>
      </c>
      <c r="G3143" s="3">
        <f t="array" ref="G3143">_xlfn.XLOOKUP(I3143,Base_Datos!D:D,Base_Datos!B:B,"")</f>
        <v>0</v>
      </c>
      <c r="H3143" s="3" t="str">
        <f t="array" ref="H3143">IF(I3143="","",IFERROR(_xlfn.XLOOKUP(I3143,Base_Datos!$D$2:$D3876,Base_Datos!$C$2:$C3876),""))</f>
        <v/>
      </c>
      <c r="I3143" s="3"/>
      <c r="J3143" s="3" t="str">
        <f>IF(I3143="","",IFERROR(VLOOKUP(I3143,Base_Datos!$D$2:$E$72,2,0),""))</f>
        <v/>
      </c>
      <c r="K3143" s="3"/>
      <c r="L3143" s="3"/>
      <c r="M3143" s="3"/>
      <c r="N3143" s="3"/>
    </row>
    <row r="3144" spans="1:14" ht="14.25" x14ac:dyDescent="0.2">
      <c r="A3144" s="3"/>
      <c r="B3144" s="3"/>
      <c r="C3144" s="3"/>
      <c r="D3144" s="6"/>
      <c r="E3144" s="10"/>
      <c r="F3144" s="3" t="str">
        <f>IFERROR( VLOOKUP(A3144,#REF!,2,0),"")</f>
        <v/>
      </c>
      <c r="G3144" s="3">
        <f t="array" ref="G3144">_xlfn.XLOOKUP(I3144,Base_Datos!D:D,Base_Datos!B:B,"")</f>
        <v>0</v>
      </c>
      <c r="H3144" s="3" t="str">
        <f t="array" ref="H3144">IF(I3144="","",IFERROR(_xlfn.XLOOKUP(I3144,Base_Datos!$D$2:$D3876,Base_Datos!$C$2:$C3876),""))</f>
        <v/>
      </c>
      <c r="I3144" s="3"/>
      <c r="J3144" s="3" t="str">
        <f>IF(I3144="","",IFERROR(VLOOKUP(I3144,Base_Datos!$D$2:$E$72,2,0),""))</f>
        <v/>
      </c>
      <c r="K3144" s="3"/>
      <c r="L3144" s="3"/>
      <c r="M3144" s="3"/>
      <c r="N3144" s="3"/>
    </row>
    <row r="3145" spans="1:14" ht="14.25" x14ac:dyDescent="0.2">
      <c r="A3145" s="3"/>
      <c r="B3145" s="3"/>
      <c r="C3145" s="3"/>
      <c r="D3145" s="6"/>
      <c r="E3145" s="10"/>
      <c r="F3145" s="3" t="str">
        <f>IFERROR( VLOOKUP(A3145,#REF!,2,0),"")</f>
        <v/>
      </c>
      <c r="G3145" s="3">
        <f t="array" ref="G3145">_xlfn.XLOOKUP(I3145,Base_Datos!D:D,Base_Datos!B:B,"")</f>
        <v>0</v>
      </c>
      <c r="H3145" s="3" t="str">
        <f t="array" ref="H3145">IF(I3145="","",IFERROR(_xlfn.XLOOKUP(I3145,Base_Datos!$D$2:$D3876,Base_Datos!$C$2:$C3876),""))</f>
        <v/>
      </c>
      <c r="I3145" s="3"/>
      <c r="J3145" s="3" t="str">
        <f>IF(I3145="","",IFERROR(VLOOKUP(I3145,Base_Datos!$D$2:$E$72,2,0),""))</f>
        <v/>
      </c>
      <c r="K3145" s="3"/>
      <c r="L3145" s="3"/>
      <c r="M3145" s="3"/>
      <c r="N3145" s="3"/>
    </row>
    <row r="3146" spans="1:14" ht="14.25" x14ac:dyDescent="0.2">
      <c r="A3146" s="3"/>
      <c r="B3146" s="3"/>
      <c r="C3146" s="3"/>
      <c r="D3146" s="6"/>
      <c r="E3146" s="10"/>
      <c r="F3146" s="3" t="str">
        <f>IFERROR( VLOOKUP(A3146,#REF!,2,0),"")</f>
        <v/>
      </c>
      <c r="G3146" s="3">
        <f t="array" ref="G3146">_xlfn.XLOOKUP(I3146,Base_Datos!D:D,Base_Datos!B:B,"")</f>
        <v>0</v>
      </c>
      <c r="H3146" s="3" t="str">
        <f t="array" ref="H3146">IF(I3146="","",IFERROR(_xlfn.XLOOKUP(I3146,Base_Datos!$D$2:$D3876,Base_Datos!$C$2:$C3876),""))</f>
        <v/>
      </c>
      <c r="I3146" s="3"/>
      <c r="J3146" s="3" t="str">
        <f>IF(I3146="","",IFERROR(VLOOKUP(I3146,Base_Datos!$D$2:$E$72,2,0),""))</f>
        <v/>
      </c>
      <c r="K3146" s="3"/>
      <c r="L3146" s="3"/>
      <c r="M3146" s="3"/>
      <c r="N3146" s="3"/>
    </row>
    <row r="3147" spans="1:14" ht="14.25" x14ac:dyDescent="0.2">
      <c r="A3147" s="3"/>
      <c r="B3147" s="3"/>
      <c r="C3147" s="3"/>
      <c r="D3147" s="6"/>
      <c r="E3147" s="10"/>
      <c r="F3147" s="3" t="str">
        <f>IFERROR( VLOOKUP(A3147,#REF!,2,0),"")</f>
        <v/>
      </c>
      <c r="G3147" s="3">
        <f t="array" ref="G3147">_xlfn.XLOOKUP(I3147,Base_Datos!D:D,Base_Datos!B:B,"")</f>
        <v>0</v>
      </c>
      <c r="H3147" s="3" t="str">
        <f t="array" ref="H3147">IF(I3147="","",IFERROR(_xlfn.XLOOKUP(I3147,Base_Datos!$D$2:$D3876,Base_Datos!$C$2:$C3876),""))</f>
        <v/>
      </c>
      <c r="I3147" s="3"/>
      <c r="J3147" s="3" t="str">
        <f>IF(I3147="","",IFERROR(VLOOKUP(I3147,Base_Datos!$D$2:$E$72,2,0),""))</f>
        <v/>
      </c>
      <c r="K3147" s="3"/>
      <c r="L3147" s="3"/>
      <c r="M3147" s="3"/>
      <c r="N3147" s="3"/>
    </row>
    <row r="3148" spans="1:14" ht="14.25" x14ac:dyDescent="0.2">
      <c r="A3148" s="3"/>
      <c r="B3148" s="3"/>
      <c r="C3148" s="3"/>
      <c r="D3148" s="6"/>
      <c r="E3148" s="10"/>
      <c r="F3148" s="3" t="str">
        <f>IFERROR( VLOOKUP(A3148,#REF!,2,0),"")</f>
        <v/>
      </c>
      <c r="G3148" s="3">
        <f t="array" ref="G3148">_xlfn.XLOOKUP(I3148,Base_Datos!D:D,Base_Datos!B:B,"")</f>
        <v>0</v>
      </c>
      <c r="H3148" s="3" t="str">
        <f t="array" ref="H3148">IF(I3148="","",IFERROR(_xlfn.XLOOKUP(I3148,Base_Datos!$D$2:$D3876,Base_Datos!$C$2:$C3876),""))</f>
        <v/>
      </c>
      <c r="I3148" s="3"/>
      <c r="J3148" s="3" t="str">
        <f>IF(I3148="","",IFERROR(VLOOKUP(I3148,Base_Datos!$D$2:$E$72,2,0),""))</f>
        <v/>
      </c>
      <c r="K3148" s="3"/>
      <c r="L3148" s="3"/>
      <c r="M3148" s="3"/>
      <c r="N3148" s="3"/>
    </row>
    <row r="3149" spans="1:14" ht="14.25" x14ac:dyDescent="0.2">
      <c r="A3149" s="3"/>
      <c r="B3149" s="3"/>
      <c r="C3149" s="3"/>
      <c r="D3149" s="6"/>
      <c r="E3149" s="10"/>
      <c r="F3149" s="3" t="str">
        <f>IFERROR( VLOOKUP(A3149,#REF!,2,0),"")</f>
        <v/>
      </c>
      <c r="G3149" s="3">
        <f t="array" ref="G3149">_xlfn.XLOOKUP(I3149,Base_Datos!D:D,Base_Datos!B:B,"")</f>
        <v>0</v>
      </c>
      <c r="H3149" s="3" t="str">
        <f t="array" ref="H3149">IF(I3149="","",IFERROR(_xlfn.XLOOKUP(I3149,Base_Datos!$D$2:$D3876,Base_Datos!$C$2:$C3876),""))</f>
        <v/>
      </c>
      <c r="I3149" s="3"/>
      <c r="J3149" s="3" t="str">
        <f>IF(I3149="","",IFERROR(VLOOKUP(I3149,Base_Datos!$D$2:$E$72,2,0),""))</f>
        <v/>
      </c>
      <c r="K3149" s="3"/>
      <c r="L3149" s="3"/>
      <c r="M3149" s="3"/>
      <c r="N3149" s="3"/>
    </row>
    <row r="3150" spans="1:14" ht="14.25" x14ac:dyDescent="0.2">
      <c r="A3150" s="3"/>
      <c r="B3150" s="3"/>
      <c r="C3150" s="3"/>
      <c r="D3150" s="6"/>
      <c r="E3150" s="10"/>
      <c r="F3150" s="3" t="str">
        <f>IFERROR( VLOOKUP(A3150,#REF!,2,0),"")</f>
        <v/>
      </c>
      <c r="G3150" s="3">
        <f t="array" ref="G3150">_xlfn.XLOOKUP(I3150,Base_Datos!D:D,Base_Datos!B:B,"")</f>
        <v>0</v>
      </c>
      <c r="H3150" s="3" t="str">
        <f t="array" ref="H3150">IF(I3150="","",IFERROR(_xlfn.XLOOKUP(I3150,Base_Datos!$D$2:$D3876,Base_Datos!$C$2:$C3876),""))</f>
        <v/>
      </c>
      <c r="I3150" s="3"/>
      <c r="J3150" s="3" t="str">
        <f>IF(I3150="","",IFERROR(VLOOKUP(I3150,Base_Datos!$D$2:$E$72,2,0),""))</f>
        <v/>
      </c>
      <c r="K3150" s="3"/>
      <c r="L3150" s="3"/>
      <c r="M3150" s="3"/>
      <c r="N3150" s="3"/>
    </row>
    <row r="3151" spans="1:14" ht="14.25" x14ac:dyDescent="0.2">
      <c r="A3151" s="3"/>
      <c r="B3151" s="3"/>
      <c r="C3151" s="3"/>
      <c r="D3151" s="6"/>
      <c r="E3151" s="10"/>
      <c r="F3151" s="3" t="str">
        <f>IFERROR( VLOOKUP(A3151,#REF!,2,0),"")</f>
        <v/>
      </c>
      <c r="G3151" s="3">
        <f t="array" ref="G3151">_xlfn.XLOOKUP(I3151,Base_Datos!D:D,Base_Datos!B:B,"")</f>
        <v>0</v>
      </c>
      <c r="H3151" s="3" t="str">
        <f t="array" ref="H3151">IF(I3151="","",IFERROR(_xlfn.XLOOKUP(I3151,Base_Datos!$D$2:$D3876,Base_Datos!$C$2:$C3876),""))</f>
        <v/>
      </c>
      <c r="I3151" s="3"/>
      <c r="J3151" s="3" t="str">
        <f>IF(I3151="","",IFERROR(VLOOKUP(I3151,Base_Datos!$D$2:$E$72,2,0),""))</f>
        <v/>
      </c>
      <c r="K3151" s="3"/>
      <c r="L3151" s="3"/>
      <c r="M3151" s="3"/>
      <c r="N3151" s="3"/>
    </row>
    <row r="3152" spans="1:14" ht="14.25" x14ac:dyDescent="0.2">
      <c r="A3152" s="3"/>
      <c r="B3152" s="3"/>
      <c r="C3152" s="3"/>
      <c r="D3152" s="6"/>
      <c r="E3152" s="10"/>
      <c r="F3152" s="3" t="str">
        <f>IFERROR( VLOOKUP(A3152,#REF!,2,0),"")</f>
        <v/>
      </c>
      <c r="G3152" s="3">
        <f t="array" ref="G3152">_xlfn.XLOOKUP(I3152,Base_Datos!D:D,Base_Datos!B:B,"")</f>
        <v>0</v>
      </c>
      <c r="H3152" s="3" t="str">
        <f t="array" ref="H3152">IF(I3152="","",IFERROR(_xlfn.XLOOKUP(I3152,Base_Datos!$D$2:$D3876,Base_Datos!$C$2:$C3876),""))</f>
        <v/>
      </c>
      <c r="I3152" s="3"/>
      <c r="J3152" s="3" t="str">
        <f>IF(I3152="","",IFERROR(VLOOKUP(I3152,Base_Datos!$D$2:$E$72,2,0),""))</f>
        <v/>
      </c>
      <c r="K3152" s="3"/>
      <c r="L3152" s="3"/>
      <c r="M3152" s="3"/>
      <c r="N3152" s="3"/>
    </row>
    <row r="3153" spans="1:14" ht="14.25" x14ac:dyDescent="0.2">
      <c r="A3153" s="3"/>
      <c r="B3153" s="3"/>
      <c r="C3153" s="3"/>
      <c r="D3153" s="6"/>
      <c r="E3153" s="10"/>
      <c r="F3153" s="3" t="str">
        <f>IFERROR( VLOOKUP(A3153,#REF!,2,0),"")</f>
        <v/>
      </c>
      <c r="G3153" s="3">
        <f t="array" ref="G3153">_xlfn.XLOOKUP(I3153,Base_Datos!D:D,Base_Datos!B:B,"")</f>
        <v>0</v>
      </c>
      <c r="H3153" s="3" t="str">
        <f t="array" ref="H3153">IF(I3153="","",IFERROR(_xlfn.XLOOKUP(I3153,Base_Datos!$D$2:$D3876,Base_Datos!$C$2:$C3876),""))</f>
        <v/>
      </c>
      <c r="I3153" s="3"/>
      <c r="J3153" s="3" t="str">
        <f>IF(I3153="","",IFERROR(VLOOKUP(I3153,Base_Datos!$D$2:$E$72,2,0),""))</f>
        <v/>
      </c>
      <c r="K3153" s="3"/>
      <c r="L3153" s="3"/>
      <c r="M3153" s="3"/>
      <c r="N3153" s="3"/>
    </row>
    <row r="3154" spans="1:14" ht="14.25" x14ac:dyDescent="0.2">
      <c r="A3154" s="3"/>
      <c r="B3154" s="3"/>
      <c r="C3154" s="3"/>
      <c r="D3154" s="6"/>
      <c r="E3154" s="10"/>
      <c r="F3154" s="3" t="str">
        <f>IFERROR( VLOOKUP(A3154,#REF!,2,0),"")</f>
        <v/>
      </c>
      <c r="G3154" s="3">
        <f t="array" ref="G3154">_xlfn.XLOOKUP(I3154,Base_Datos!D:D,Base_Datos!B:B,"")</f>
        <v>0</v>
      </c>
      <c r="H3154" s="3" t="str">
        <f t="array" ref="H3154">IF(I3154="","",IFERROR(_xlfn.XLOOKUP(I3154,Base_Datos!$D$2:$D3876,Base_Datos!$C$2:$C3876),""))</f>
        <v/>
      </c>
      <c r="I3154" s="3"/>
      <c r="J3154" s="3" t="str">
        <f>IF(I3154="","",IFERROR(VLOOKUP(I3154,Base_Datos!$D$2:$E$72,2,0),""))</f>
        <v/>
      </c>
      <c r="K3154" s="3"/>
      <c r="L3154" s="3"/>
      <c r="M3154" s="3"/>
      <c r="N3154" s="3"/>
    </row>
    <row r="3155" spans="1:14" ht="14.25" x14ac:dyDescent="0.2">
      <c r="A3155" s="3"/>
      <c r="B3155" s="3"/>
      <c r="C3155" s="3"/>
      <c r="D3155" s="6"/>
      <c r="E3155" s="10"/>
      <c r="F3155" s="3" t="str">
        <f>IFERROR( VLOOKUP(A3155,#REF!,2,0),"")</f>
        <v/>
      </c>
      <c r="G3155" s="3">
        <f t="array" ref="G3155">_xlfn.XLOOKUP(I3155,Base_Datos!D:D,Base_Datos!B:B,"")</f>
        <v>0</v>
      </c>
      <c r="H3155" s="3" t="str">
        <f t="array" ref="H3155">IF(I3155="","",IFERROR(_xlfn.XLOOKUP(I3155,Base_Datos!$D$2:$D3876,Base_Datos!$C$2:$C3876),""))</f>
        <v/>
      </c>
      <c r="I3155" s="3"/>
      <c r="J3155" s="3" t="str">
        <f>IF(I3155="","",IFERROR(VLOOKUP(I3155,Base_Datos!$D$2:$E$72,2,0),""))</f>
        <v/>
      </c>
      <c r="K3155" s="3"/>
      <c r="L3155" s="3"/>
      <c r="M3155" s="3"/>
      <c r="N3155" s="3"/>
    </row>
    <row r="3156" spans="1:14" ht="14.25" x14ac:dyDescent="0.2">
      <c r="A3156" s="3"/>
      <c r="B3156" s="3"/>
      <c r="C3156" s="3"/>
      <c r="D3156" s="6"/>
      <c r="E3156" s="10"/>
      <c r="F3156" s="3" t="str">
        <f>IFERROR( VLOOKUP(A3156,#REF!,2,0),"")</f>
        <v/>
      </c>
      <c r="G3156" s="3">
        <f t="array" ref="G3156">_xlfn.XLOOKUP(I3156,Base_Datos!D:D,Base_Datos!B:B,"")</f>
        <v>0</v>
      </c>
      <c r="H3156" s="3" t="str">
        <f t="array" ref="H3156">IF(I3156="","",IFERROR(_xlfn.XLOOKUP(I3156,Base_Datos!$D$2:$D3876,Base_Datos!$C$2:$C3876),""))</f>
        <v/>
      </c>
      <c r="I3156" s="3"/>
      <c r="J3156" s="3" t="str">
        <f>IF(I3156="","",IFERROR(VLOOKUP(I3156,Base_Datos!$D$2:$E$72,2,0),""))</f>
        <v/>
      </c>
      <c r="K3156" s="3"/>
      <c r="L3156" s="3"/>
      <c r="M3156" s="3"/>
      <c r="N3156" s="3"/>
    </row>
    <row r="3157" spans="1:14" ht="14.25" x14ac:dyDescent="0.2">
      <c r="A3157" s="3"/>
      <c r="B3157" s="3"/>
      <c r="C3157" s="3"/>
      <c r="D3157" s="6"/>
      <c r="E3157" s="10"/>
      <c r="F3157" s="3" t="str">
        <f>IFERROR( VLOOKUP(A3157,#REF!,2,0),"")</f>
        <v/>
      </c>
      <c r="G3157" s="3">
        <f t="array" ref="G3157">_xlfn.XLOOKUP(I3157,Base_Datos!D:D,Base_Datos!B:B,"")</f>
        <v>0</v>
      </c>
      <c r="H3157" s="3" t="str">
        <f t="array" ref="H3157">IF(I3157="","",IFERROR(_xlfn.XLOOKUP(I3157,Base_Datos!$D$2:$D3876,Base_Datos!$C$2:$C3876),""))</f>
        <v/>
      </c>
      <c r="I3157" s="3"/>
      <c r="J3157" s="3" t="str">
        <f>IF(I3157="","",IFERROR(VLOOKUP(I3157,Base_Datos!$D$2:$E$72,2,0),""))</f>
        <v/>
      </c>
      <c r="K3157" s="3"/>
      <c r="L3157" s="3"/>
      <c r="M3157" s="3"/>
      <c r="N3157" s="3"/>
    </row>
    <row r="3158" spans="1:14" ht="14.25" x14ac:dyDescent="0.2">
      <c r="A3158" s="3"/>
      <c r="B3158" s="3"/>
      <c r="C3158" s="3"/>
      <c r="D3158" s="6"/>
      <c r="E3158" s="10"/>
      <c r="F3158" s="3" t="str">
        <f>IFERROR( VLOOKUP(A3158,#REF!,2,0),"")</f>
        <v/>
      </c>
      <c r="G3158" s="3">
        <f t="array" ref="G3158">_xlfn.XLOOKUP(I3158,Base_Datos!D:D,Base_Datos!B:B,"")</f>
        <v>0</v>
      </c>
      <c r="H3158" s="3" t="str">
        <f t="array" ref="H3158">IF(I3158="","",IFERROR(_xlfn.XLOOKUP(I3158,Base_Datos!$D$2:$D3876,Base_Datos!$C$2:$C3876),""))</f>
        <v/>
      </c>
      <c r="I3158" s="3"/>
      <c r="J3158" s="3" t="str">
        <f>IF(I3158="","",IFERROR(VLOOKUP(I3158,Base_Datos!$D$2:$E$72,2,0),""))</f>
        <v/>
      </c>
      <c r="K3158" s="3"/>
      <c r="L3158" s="3"/>
      <c r="M3158" s="3"/>
      <c r="N3158" s="3"/>
    </row>
    <row r="3159" spans="1:14" ht="14.25" x14ac:dyDescent="0.2">
      <c r="A3159" s="3"/>
      <c r="B3159" s="3"/>
      <c r="C3159" s="3"/>
      <c r="D3159" s="6"/>
      <c r="E3159" s="10"/>
      <c r="F3159" s="3" t="str">
        <f>IFERROR( VLOOKUP(A3159,#REF!,2,0),"")</f>
        <v/>
      </c>
      <c r="G3159" s="3">
        <f t="array" ref="G3159">_xlfn.XLOOKUP(I3159,Base_Datos!D:D,Base_Datos!B:B,"")</f>
        <v>0</v>
      </c>
      <c r="H3159" s="3" t="str">
        <f t="array" ref="H3159">IF(I3159="","",IFERROR(_xlfn.XLOOKUP(I3159,Base_Datos!$D$2:$D3876,Base_Datos!$C$2:$C3876),""))</f>
        <v/>
      </c>
      <c r="I3159" s="3"/>
      <c r="J3159" s="3" t="str">
        <f>IF(I3159="","",IFERROR(VLOOKUP(I3159,Base_Datos!$D$2:$E$72,2,0),""))</f>
        <v/>
      </c>
      <c r="K3159" s="3"/>
      <c r="L3159" s="3"/>
      <c r="M3159" s="3"/>
      <c r="N3159" s="3"/>
    </row>
    <row r="3160" spans="1:14" ht="14.25" x14ac:dyDescent="0.2">
      <c r="A3160" s="3"/>
      <c r="B3160" s="3"/>
      <c r="C3160" s="3"/>
      <c r="D3160" s="6"/>
      <c r="E3160" s="10"/>
      <c r="F3160" s="3" t="str">
        <f>IFERROR( VLOOKUP(A3160,#REF!,2,0),"")</f>
        <v/>
      </c>
      <c r="G3160" s="3">
        <f t="array" ref="G3160">_xlfn.XLOOKUP(I3160,Base_Datos!D:D,Base_Datos!B:B,"")</f>
        <v>0</v>
      </c>
      <c r="H3160" s="3" t="str">
        <f t="array" ref="H3160">IF(I3160="","",IFERROR(_xlfn.XLOOKUP(I3160,Base_Datos!$D$2:$D3876,Base_Datos!$C$2:$C3876),""))</f>
        <v/>
      </c>
      <c r="I3160" s="3"/>
      <c r="J3160" s="3" t="str">
        <f>IF(I3160="","",IFERROR(VLOOKUP(I3160,Base_Datos!$D$2:$E$72,2,0),""))</f>
        <v/>
      </c>
      <c r="K3160" s="3"/>
      <c r="L3160" s="3"/>
      <c r="M3160" s="3"/>
      <c r="N3160" s="3"/>
    </row>
    <row r="3161" spans="1:14" ht="14.25" x14ac:dyDescent="0.2">
      <c r="A3161" s="3"/>
      <c r="B3161" s="3"/>
      <c r="C3161" s="3"/>
      <c r="D3161" s="6"/>
      <c r="E3161" s="10"/>
      <c r="F3161" s="3" t="str">
        <f>IFERROR( VLOOKUP(A3161,#REF!,2,0),"")</f>
        <v/>
      </c>
      <c r="G3161" s="3">
        <f t="array" ref="G3161">_xlfn.XLOOKUP(I3161,Base_Datos!D:D,Base_Datos!B:B,"")</f>
        <v>0</v>
      </c>
      <c r="H3161" s="3" t="str">
        <f t="array" ref="H3161">IF(I3161="","",IFERROR(_xlfn.XLOOKUP(I3161,Base_Datos!$D$2:$D3876,Base_Datos!$C$2:$C3876),""))</f>
        <v/>
      </c>
      <c r="I3161" s="3"/>
      <c r="J3161" s="3" t="str">
        <f>IF(I3161="","",IFERROR(VLOOKUP(I3161,Base_Datos!$D$2:$E$72,2,0),""))</f>
        <v/>
      </c>
      <c r="K3161" s="3"/>
      <c r="L3161" s="3"/>
      <c r="M3161" s="3"/>
      <c r="N3161" s="3"/>
    </row>
    <row r="3162" spans="1:14" ht="14.25" x14ac:dyDescent="0.2">
      <c r="A3162" s="3"/>
      <c r="B3162" s="3"/>
      <c r="C3162" s="3"/>
      <c r="D3162" s="6"/>
      <c r="E3162" s="10"/>
      <c r="F3162" s="3" t="str">
        <f>IFERROR( VLOOKUP(A3162,#REF!,2,0),"")</f>
        <v/>
      </c>
      <c r="G3162" s="3">
        <f t="array" ref="G3162">_xlfn.XLOOKUP(I3162,Base_Datos!D:D,Base_Datos!B:B,"")</f>
        <v>0</v>
      </c>
      <c r="H3162" s="3" t="str">
        <f t="array" ref="H3162">IF(I3162="","",IFERROR(_xlfn.XLOOKUP(I3162,Base_Datos!$D$2:$D3876,Base_Datos!$C$2:$C3876),""))</f>
        <v/>
      </c>
      <c r="I3162" s="3"/>
      <c r="J3162" s="3" t="str">
        <f>IF(I3162="","",IFERROR(VLOOKUP(I3162,Base_Datos!$D$2:$E$72,2,0),""))</f>
        <v/>
      </c>
      <c r="K3162" s="3"/>
      <c r="L3162" s="3"/>
      <c r="M3162" s="3"/>
      <c r="N3162" s="3"/>
    </row>
    <row r="3163" spans="1:14" ht="14.25" x14ac:dyDescent="0.2">
      <c r="A3163" s="3"/>
      <c r="B3163" s="3"/>
      <c r="C3163" s="3"/>
      <c r="D3163" s="6"/>
      <c r="E3163" s="10"/>
      <c r="F3163" s="3" t="str">
        <f>IFERROR( VLOOKUP(A3163,#REF!,2,0),"")</f>
        <v/>
      </c>
      <c r="G3163" s="3">
        <f t="array" ref="G3163">_xlfn.XLOOKUP(I3163,Base_Datos!D:D,Base_Datos!B:B,"")</f>
        <v>0</v>
      </c>
      <c r="H3163" s="3" t="str">
        <f t="array" ref="H3163">IF(I3163="","",IFERROR(_xlfn.XLOOKUP(I3163,Base_Datos!$D$2:$D3876,Base_Datos!$C$2:$C3876),""))</f>
        <v/>
      </c>
      <c r="I3163" s="3"/>
      <c r="J3163" s="3" t="str">
        <f>IF(I3163="","",IFERROR(VLOOKUP(I3163,Base_Datos!$D$2:$E$72,2,0),""))</f>
        <v/>
      </c>
      <c r="K3163" s="3"/>
      <c r="L3163" s="3"/>
      <c r="M3163" s="3"/>
      <c r="N3163" s="3"/>
    </row>
    <row r="3164" spans="1:14" ht="14.25" x14ac:dyDescent="0.2">
      <c r="A3164" s="3"/>
      <c r="B3164" s="3"/>
      <c r="C3164" s="3"/>
      <c r="D3164" s="6"/>
      <c r="E3164" s="10"/>
      <c r="F3164" s="3" t="str">
        <f>IFERROR( VLOOKUP(A3164,#REF!,2,0),"")</f>
        <v/>
      </c>
      <c r="G3164" s="3">
        <f t="array" ref="G3164">_xlfn.XLOOKUP(I3164,Base_Datos!D:D,Base_Datos!B:B,"")</f>
        <v>0</v>
      </c>
      <c r="H3164" s="3" t="str">
        <f t="array" ref="H3164">IF(I3164="","",IFERROR(_xlfn.XLOOKUP(I3164,Base_Datos!$D$2:$D3876,Base_Datos!$C$2:$C3876),""))</f>
        <v/>
      </c>
      <c r="I3164" s="3"/>
      <c r="J3164" s="3" t="str">
        <f>IF(I3164="","",IFERROR(VLOOKUP(I3164,Base_Datos!$D$2:$E$72,2,0),""))</f>
        <v/>
      </c>
      <c r="K3164" s="3"/>
      <c r="L3164" s="3"/>
      <c r="M3164" s="3"/>
      <c r="N3164" s="3"/>
    </row>
    <row r="3165" spans="1:14" ht="14.25" x14ac:dyDescent="0.2">
      <c r="A3165" s="3"/>
      <c r="B3165" s="3"/>
      <c r="C3165" s="3"/>
      <c r="D3165" s="6"/>
      <c r="E3165" s="10"/>
      <c r="F3165" s="3" t="str">
        <f>IFERROR( VLOOKUP(A3165,#REF!,2,0),"")</f>
        <v/>
      </c>
      <c r="G3165" s="3">
        <f t="array" ref="G3165">_xlfn.XLOOKUP(I3165,Base_Datos!D:D,Base_Datos!B:B,"")</f>
        <v>0</v>
      </c>
      <c r="H3165" s="3" t="str">
        <f t="array" ref="H3165">IF(I3165="","",IFERROR(_xlfn.XLOOKUP(I3165,Base_Datos!$D$2:$D3876,Base_Datos!$C$2:$C3876),""))</f>
        <v/>
      </c>
      <c r="I3165" s="3"/>
      <c r="J3165" s="3" t="str">
        <f>IF(I3165="","",IFERROR(VLOOKUP(I3165,Base_Datos!$D$2:$E$72,2,0),""))</f>
        <v/>
      </c>
      <c r="K3165" s="3"/>
      <c r="L3165" s="3"/>
      <c r="M3165" s="3"/>
      <c r="N3165" s="3"/>
    </row>
    <row r="3166" spans="1:14" ht="14.25" x14ac:dyDescent="0.2">
      <c r="A3166" s="3"/>
      <c r="B3166" s="3"/>
      <c r="C3166" s="3"/>
      <c r="D3166" s="6"/>
      <c r="E3166" s="10"/>
      <c r="F3166" s="3" t="str">
        <f>IFERROR( VLOOKUP(A3166,#REF!,2,0),"")</f>
        <v/>
      </c>
      <c r="G3166" s="3">
        <f t="array" ref="G3166">_xlfn.XLOOKUP(I3166,Base_Datos!D:D,Base_Datos!B:B,"")</f>
        <v>0</v>
      </c>
      <c r="H3166" s="3" t="str">
        <f t="array" ref="H3166">IF(I3166="","",IFERROR(_xlfn.XLOOKUP(I3166,Base_Datos!$D$2:$D3876,Base_Datos!$C$2:$C3876),""))</f>
        <v/>
      </c>
      <c r="I3166" s="3"/>
      <c r="J3166" s="3" t="str">
        <f>IF(I3166="","",IFERROR(VLOOKUP(I3166,Base_Datos!$D$2:$E$72,2,0),""))</f>
        <v/>
      </c>
      <c r="K3166" s="3"/>
      <c r="L3166" s="3"/>
      <c r="M3166" s="3"/>
      <c r="N3166" s="3"/>
    </row>
    <row r="3167" spans="1:14" ht="14.25" x14ac:dyDescent="0.2">
      <c r="A3167" s="3"/>
      <c r="B3167" s="3"/>
      <c r="C3167" s="3"/>
      <c r="D3167" s="6"/>
      <c r="E3167" s="10"/>
      <c r="F3167" s="3" t="str">
        <f>IFERROR( VLOOKUP(A3167,#REF!,2,0),"")</f>
        <v/>
      </c>
      <c r="G3167" s="3">
        <f t="array" ref="G3167">_xlfn.XLOOKUP(I3167,Base_Datos!D:D,Base_Datos!B:B,"")</f>
        <v>0</v>
      </c>
      <c r="H3167" s="3" t="str">
        <f t="array" ref="H3167">IF(I3167="","",IFERROR(_xlfn.XLOOKUP(I3167,Base_Datos!$D$2:$D3876,Base_Datos!$C$2:$C3876),""))</f>
        <v/>
      </c>
      <c r="I3167" s="3"/>
      <c r="J3167" s="3" t="str">
        <f>IF(I3167="","",IFERROR(VLOOKUP(I3167,Base_Datos!$D$2:$E$72,2,0),""))</f>
        <v/>
      </c>
      <c r="K3167" s="3"/>
      <c r="L3167" s="3"/>
      <c r="M3167" s="3"/>
      <c r="N3167" s="3"/>
    </row>
    <row r="3168" spans="1:14" ht="14.25" x14ac:dyDescent="0.2">
      <c r="A3168" s="3"/>
      <c r="B3168" s="3"/>
      <c r="C3168" s="3"/>
      <c r="D3168" s="6"/>
      <c r="E3168" s="10"/>
      <c r="F3168" s="3" t="str">
        <f>IFERROR( VLOOKUP(A3168,#REF!,2,0),"")</f>
        <v/>
      </c>
      <c r="G3168" s="3">
        <f t="array" ref="G3168">_xlfn.XLOOKUP(I3168,Base_Datos!D:D,Base_Datos!B:B,"")</f>
        <v>0</v>
      </c>
      <c r="H3168" s="3" t="str">
        <f t="array" ref="H3168">IF(I3168="","",IFERROR(_xlfn.XLOOKUP(I3168,Base_Datos!$D$2:$D3876,Base_Datos!$C$2:$C3876),""))</f>
        <v/>
      </c>
      <c r="I3168" s="3"/>
      <c r="J3168" s="3" t="str">
        <f>IF(I3168="","",IFERROR(VLOOKUP(I3168,Base_Datos!$D$2:$E$72,2,0),""))</f>
        <v/>
      </c>
      <c r="K3168" s="3"/>
      <c r="L3168" s="3"/>
      <c r="M3168" s="3"/>
      <c r="N3168" s="3"/>
    </row>
    <row r="3169" spans="1:14" ht="14.25" x14ac:dyDescent="0.2">
      <c r="A3169" s="3"/>
      <c r="B3169" s="3"/>
      <c r="C3169" s="3"/>
      <c r="D3169" s="6"/>
      <c r="E3169" s="10"/>
      <c r="F3169" s="3" t="str">
        <f>IFERROR( VLOOKUP(A3169,#REF!,2,0),"")</f>
        <v/>
      </c>
      <c r="G3169" s="3">
        <f t="array" ref="G3169">_xlfn.XLOOKUP(I3169,Base_Datos!D:D,Base_Datos!B:B,"")</f>
        <v>0</v>
      </c>
      <c r="H3169" s="3" t="str">
        <f t="array" ref="H3169">IF(I3169="","",IFERROR(_xlfn.XLOOKUP(I3169,Base_Datos!$D$2:$D3876,Base_Datos!$C$2:$C3876),""))</f>
        <v/>
      </c>
      <c r="I3169" s="3"/>
      <c r="J3169" s="3" t="str">
        <f>IF(I3169="","",IFERROR(VLOOKUP(I3169,Base_Datos!$D$2:$E$72,2,0),""))</f>
        <v/>
      </c>
      <c r="K3169" s="3"/>
      <c r="L3169" s="3"/>
      <c r="M3169" s="3"/>
      <c r="N3169" s="3"/>
    </row>
    <row r="3170" spans="1:14" ht="14.25" x14ac:dyDescent="0.2">
      <c r="A3170" s="3"/>
      <c r="B3170" s="3"/>
      <c r="C3170" s="3"/>
      <c r="D3170" s="6"/>
      <c r="E3170" s="10"/>
      <c r="F3170" s="3" t="str">
        <f>IFERROR( VLOOKUP(A3170,#REF!,2,0),"")</f>
        <v/>
      </c>
      <c r="G3170" s="3">
        <f t="array" ref="G3170">_xlfn.XLOOKUP(I3170,Base_Datos!D:D,Base_Datos!B:B,"")</f>
        <v>0</v>
      </c>
      <c r="H3170" s="3" t="str">
        <f t="array" ref="H3170">IF(I3170="","",IFERROR(_xlfn.XLOOKUP(I3170,Base_Datos!$D$2:$D3876,Base_Datos!$C$2:$C3876),""))</f>
        <v/>
      </c>
      <c r="I3170" s="3"/>
      <c r="J3170" s="3" t="str">
        <f>IF(I3170="","",IFERROR(VLOOKUP(I3170,Base_Datos!$D$2:$E$72,2,0),""))</f>
        <v/>
      </c>
      <c r="K3170" s="3"/>
      <c r="L3170" s="3"/>
      <c r="M3170" s="3"/>
      <c r="N3170" s="3"/>
    </row>
    <row r="3171" spans="1:14" ht="14.25" x14ac:dyDescent="0.2">
      <c r="A3171" s="3"/>
      <c r="B3171" s="3"/>
      <c r="C3171" s="3"/>
      <c r="D3171" s="6"/>
      <c r="E3171" s="10"/>
      <c r="F3171" s="3" t="str">
        <f>IFERROR( VLOOKUP(A3171,#REF!,2,0),"")</f>
        <v/>
      </c>
      <c r="G3171" s="3">
        <f t="array" ref="G3171">_xlfn.XLOOKUP(I3171,Base_Datos!D:D,Base_Datos!B:B,"")</f>
        <v>0</v>
      </c>
      <c r="H3171" s="3" t="str">
        <f t="array" ref="H3171">IF(I3171="","",IFERROR(_xlfn.XLOOKUP(I3171,Base_Datos!$D$2:$D3876,Base_Datos!$C$2:$C3876),""))</f>
        <v/>
      </c>
      <c r="I3171" s="3"/>
      <c r="J3171" s="3" t="str">
        <f>IF(I3171="","",IFERROR(VLOOKUP(I3171,Base_Datos!$D$2:$E$72,2,0),""))</f>
        <v/>
      </c>
      <c r="K3171" s="3"/>
      <c r="L3171" s="3"/>
      <c r="M3171" s="3"/>
      <c r="N3171" s="3"/>
    </row>
    <row r="3172" spans="1:14" ht="14.25" x14ac:dyDescent="0.2">
      <c r="A3172" s="3"/>
      <c r="B3172" s="3"/>
      <c r="C3172" s="3"/>
      <c r="D3172" s="6"/>
      <c r="E3172" s="10"/>
      <c r="F3172" s="3" t="str">
        <f>IFERROR( VLOOKUP(A3172,#REF!,2,0),"")</f>
        <v/>
      </c>
      <c r="G3172" s="3">
        <f t="array" ref="G3172">_xlfn.XLOOKUP(I3172,Base_Datos!D:D,Base_Datos!B:B,"")</f>
        <v>0</v>
      </c>
      <c r="H3172" s="3" t="str">
        <f t="array" ref="H3172">IF(I3172="","",IFERROR(_xlfn.XLOOKUP(I3172,Base_Datos!$D$2:$D3876,Base_Datos!$C$2:$C3876),""))</f>
        <v/>
      </c>
      <c r="I3172" s="3"/>
      <c r="J3172" s="3" t="str">
        <f>IF(I3172="","",IFERROR(VLOOKUP(I3172,Base_Datos!$D$2:$E$72,2,0),""))</f>
        <v/>
      </c>
      <c r="K3172" s="3"/>
      <c r="L3172" s="3"/>
      <c r="M3172" s="3"/>
      <c r="N3172" s="3"/>
    </row>
    <row r="3173" spans="1:14" ht="14.25" x14ac:dyDescent="0.2">
      <c r="A3173" s="3"/>
      <c r="B3173" s="3"/>
      <c r="C3173" s="3"/>
      <c r="D3173" s="6"/>
      <c r="E3173" s="10"/>
      <c r="F3173" s="3" t="str">
        <f>IFERROR( VLOOKUP(A3173,#REF!,2,0),"")</f>
        <v/>
      </c>
      <c r="G3173" s="3">
        <f t="array" ref="G3173">_xlfn.XLOOKUP(I3173,Base_Datos!D:D,Base_Datos!B:B,"")</f>
        <v>0</v>
      </c>
      <c r="H3173" s="3" t="str">
        <f t="array" ref="H3173">IF(I3173="","",IFERROR(_xlfn.XLOOKUP(I3173,Base_Datos!$D$2:$D3876,Base_Datos!$C$2:$C3876),""))</f>
        <v/>
      </c>
      <c r="I3173" s="3"/>
      <c r="J3173" s="3" t="str">
        <f>IF(I3173="","",IFERROR(VLOOKUP(I3173,Base_Datos!$D$2:$E$72,2,0),""))</f>
        <v/>
      </c>
      <c r="K3173" s="3"/>
      <c r="L3173" s="3"/>
      <c r="M3173" s="3"/>
      <c r="N3173" s="3"/>
    </row>
    <row r="3174" spans="1:14" ht="14.25" x14ac:dyDescent="0.2">
      <c r="A3174" s="3"/>
      <c r="B3174" s="3"/>
      <c r="C3174" s="3"/>
      <c r="D3174" s="6"/>
      <c r="E3174" s="10"/>
      <c r="F3174" s="3" t="str">
        <f>IFERROR( VLOOKUP(A3174,#REF!,2,0),"")</f>
        <v/>
      </c>
      <c r="G3174" s="3">
        <f t="array" ref="G3174">_xlfn.XLOOKUP(I3174,Base_Datos!D:D,Base_Datos!B:B,"")</f>
        <v>0</v>
      </c>
      <c r="H3174" s="3" t="str">
        <f t="array" ref="H3174">IF(I3174="","",IFERROR(_xlfn.XLOOKUP(I3174,Base_Datos!$D$2:$D3876,Base_Datos!$C$2:$C3876),""))</f>
        <v/>
      </c>
      <c r="I3174" s="3"/>
      <c r="J3174" s="3" t="str">
        <f>IF(I3174="","",IFERROR(VLOOKUP(I3174,Base_Datos!$D$2:$E$72,2,0),""))</f>
        <v/>
      </c>
      <c r="K3174" s="3"/>
      <c r="L3174" s="3"/>
      <c r="M3174" s="3"/>
      <c r="N3174" s="3"/>
    </row>
    <row r="3175" spans="1:14" ht="14.25" x14ac:dyDescent="0.2">
      <c r="A3175" s="3"/>
      <c r="B3175" s="3"/>
      <c r="C3175" s="3"/>
      <c r="D3175" s="6"/>
      <c r="E3175" s="10"/>
      <c r="F3175" s="3" t="str">
        <f>IFERROR( VLOOKUP(A3175,#REF!,2,0),"")</f>
        <v/>
      </c>
      <c r="G3175" s="3">
        <f t="array" ref="G3175">_xlfn.XLOOKUP(I3175,Base_Datos!D:D,Base_Datos!B:B,"")</f>
        <v>0</v>
      </c>
      <c r="H3175" s="3" t="str">
        <f t="array" ref="H3175">IF(I3175="","",IFERROR(_xlfn.XLOOKUP(I3175,Base_Datos!$D$2:$D3876,Base_Datos!$C$2:$C3876),""))</f>
        <v/>
      </c>
      <c r="I3175" s="3"/>
      <c r="J3175" s="3" t="str">
        <f>IF(I3175="","",IFERROR(VLOOKUP(I3175,Base_Datos!$D$2:$E$72,2,0),""))</f>
        <v/>
      </c>
      <c r="K3175" s="3"/>
      <c r="L3175" s="3"/>
      <c r="M3175" s="3"/>
      <c r="N3175" s="3"/>
    </row>
    <row r="3176" spans="1:14" ht="14.25" x14ac:dyDescent="0.2">
      <c r="A3176" s="3"/>
      <c r="B3176" s="3"/>
      <c r="C3176" s="3"/>
      <c r="D3176" s="6"/>
      <c r="E3176" s="10"/>
      <c r="F3176" s="3" t="str">
        <f>IFERROR( VLOOKUP(A3176,#REF!,2,0),"")</f>
        <v/>
      </c>
      <c r="G3176" s="3">
        <f t="array" ref="G3176">_xlfn.XLOOKUP(I3176,Base_Datos!D:D,Base_Datos!B:B,"")</f>
        <v>0</v>
      </c>
      <c r="H3176" s="3" t="str">
        <f t="array" ref="H3176">IF(I3176="","",IFERROR(_xlfn.XLOOKUP(I3176,Base_Datos!$D$2:$D3876,Base_Datos!$C$2:$C3876),""))</f>
        <v/>
      </c>
      <c r="I3176" s="3"/>
      <c r="J3176" s="3" t="str">
        <f>IF(I3176="","",IFERROR(VLOOKUP(I3176,Base_Datos!$D$2:$E$72,2,0),""))</f>
        <v/>
      </c>
      <c r="K3176" s="3"/>
      <c r="L3176" s="3"/>
      <c r="M3176" s="3"/>
      <c r="N3176" s="3"/>
    </row>
    <row r="3177" spans="1:14" ht="14.25" x14ac:dyDescent="0.2">
      <c r="A3177" s="3"/>
      <c r="B3177" s="3"/>
      <c r="C3177" s="3"/>
      <c r="D3177" s="6"/>
      <c r="E3177" s="10"/>
      <c r="F3177" s="3" t="str">
        <f>IFERROR( VLOOKUP(A3177,#REF!,2,0),"")</f>
        <v/>
      </c>
      <c r="G3177" s="3">
        <f t="array" ref="G3177">_xlfn.XLOOKUP(I3177,Base_Datos!D:D,Base_Datos!B:B,"")</f>
        <v>0</v>
      </c>
      <c r="H3177" s="3" t="str">
        <f t="array" ref="H3177">IF(I3177="","",IFERROR(_xlfn.XLOOKUP(I3177,Base_Datos!$D$2:$D3876,Base_Datos!$C$2:$C3876),""))</f>
        <v/>
      </c>
      <c r="I3177" s="3"/>
      <c r="J3177" s="3" t="str">
        <f>IF(I3177="","",IFERROR(VLOOKUP(I3177,Base_Datos!$D$2:$E$72,2,0),""))</f>
        <v/>
      </c>
      <c r="K3177" s="3"/>
      <c r="L3177" s="3"/>
      <c r="M3177" s="3"/>
      <c r="N3177" s="3"/>
    </row>
    <row r="3178" spans="1:14" ht="14.25" x14ac:dyDescent="0.2">
      <c r="A3178" s="3"/>
      <c r="B3178" s="3"/>
      <c r="C3178" s="3"/>
      <c r="D3178" s="6"/>
      <c r="E3178" s="10"/>
      <c r="F3178" s="3" t="str">
        <f>IFERROR( VLOOKUP(A3178,#REF!,2,0),"")</f>
        <v/>
      </c>
      <c r="G3178" s="3">
        <f t="array" ref="G3178">_xlfn.XLOOKUP(I3178,Base_Datos!D:D,Base_Datos!B:B,"")</f>
        <v>0</v>
      </c>
      <c r="H3178" s="3" t="str">
        <f t="array" ref="H3178">IF(I3178="","",IFERROR(_xlfn.XLOOKUP(I3178,Base_Datos!$D$2:$D3876,Base_Datos!$C$2:$C3876),""))</f>
        <v/>
      </c>
      <c r="I3178" s="3"/>
      <c r="J3178" s="3" t="str">
        <f>IF(I3178="","",IFERROR(VLOOKUP(I3178,Base_Datos!$D$2:$E$72,2,0),""))</f>
        <v/>
      </c>
      <c r="K3178" s="3"/>
      <c r="L3178" s="3"/>
      <c r="M3178" s="3"/>
      <c r="N3178" s="3"/>
    </row>
    <row r="3179" spans="1:14" ht="14.25" x14ac:dyDescent="0.2">
      <c r="A3179" s="3"/>
      <c r="B3179" s="3"/>
      <c r="C3179" s="3"/>
      <c r="D3179" s="6"/>
      <c r="E3179" s="10"/>
      <c r="F3179" s="3" t="str">
        <f>IFERROR( VLOOKUP(A3179,#REF!,2,0),"")</f>
        <v/>
      </c>
      <c r="G3179" s="3">
        <f t="array" ref="G3179">_xlfn.XLOOKUP(I3179,Base_Datos!D:D,Base_Datos!B:B,"")</f>
        <v>0</v>
      </c>
      <c r="H3179" s="3" t="str">
        <f t="array" ref="H3179">IF(I3179="","",IFERROR(_xlfn.XLOOKUP(I3179,Base_Datos!$D$2:$D3876,Base_Datos!$C$2:$C3876),""))</f>
        <v/>
      </c>
      <c r="I3179" s="3"/>
      <c r="J3179" s="3" t="str">
        <f>IF(I3179="","",IFERROR(VLOOKUP(I3179,Base_Datos!$D$2:$E$72,2,0),""))</f>
        <v/>
      </c>
      <c r="K3179" s="3"/>
      <c r="L3179" s="3"/>
      <c r="M3179" s="3"/>
      <c r="N3179" s="3"/>
    </row>
    <row r="3180" spans="1:14" ht="14.25" x14ac:dyDescent="0.2">
      <c r="A3180" s="3"/>
      <c r="B3180" s="3"/>
      <c r="C3180" s="3"/>
      <c r="D3180" s="6"/>
      <c r="E3180" s="10"/>
      <c r="F3180" s="3" t="str">
        <f>IFERROR( VLOOKUP(A3180,#REF!,2,0),"")</f>
        <v/>
      </c>
      <c r="G3180" s="3">
        <f t="array" ref="G3180">_xlfn.XLOOKUP(I3180,Base_Datos!D:D,Base_Datos!B:B,"")</f>
        <v>0</v>
      </c>
      <c r="H3180" s="3" t="str">
        <f t="array" ref="H3180">IF(I3180="","",IFERROR(_xlfn.XLOOKUP(I3180,Base_Datos!$D$2:$D3876,Base_Datos!$C$2:$C3876),""))</f>
        <v/>
      </c>
      <c r="I3180" s="3"/>
      <c r="J3180" s="3" t="str">
        <f>IF(I3180="","",IFERROR(VLOOKUP(I3180,Base_Datos!$D$2:$E$72,2,0),""))</f>
        <v/>
      </c>
      <c r="K3180" s="3"/>
      <c r="L3180" s="3"/>
      <c r="M3180" s="3"/>
      <c r="N3180" s="3"/>
    </row>
    <row r="3181" spans="1:14" ht="14.25" x14ac:dyDescent="0.2">
      <c r="A3181" s="3"/>
      <c r="B3181" s="3"/>
      <c r="C3181" s="3"/>
      <c r="D3181" s="6"/>
      <c r="E3181" s="10"/>
      <c r="F3181" s="3" t="str">
        <f>IFERROR( VLOOKUP(A3181,#REF!,2,0),"")</f>
        <v/>
      </c>
      <c r="G3181" s="3">
        <f t="array" ref="G3181">_xlfn.XLOOKUP(I3181,Base_Datos!D:D,Base_Datos!B:B,"")</f>
        <v>0</v>
      </c>
      <c r="H3181" s="3" t="str">
        <f t="array" ref="H3181">IF(I3181="","",IFERROR(_xlfn.XLOOKUP(I3181,Base_Datos!$D$2:$D3876,Base_Datos!$C$2:$C3876),""))</f>
        <v/>
      </c>
      <c r="I3181" s="3"/>
      <c r="J3181" s="3" t="str">
        <f>IF(I3181="","",IFERROR(VLOOKUP(I3181,Base_Datos!$D$2:$E$72,2,0),""))</f>
        <v/>
      </c>
      <c r="K3181" s="3"/>
      <c r="L3181" s="3"/>
      <c r="M3181" s="3"/>
      <c r="N3181" s="3"/>
    </row>
    <row r="3182" spans="1:14" ht="14.25" x14ac:dyDescent="0.2">
      <c r="A3182" s="3"/>
      <c r="B3182" s="3"/>
      <c r="C3182" s="3"/>
      <c r="D3182" s="6"/>
      <c r="E3182" s="10"/>
      <c r="F3182" s="3" t="str">
        <f>IFERROR( VLOOKUP(A3182,#REF!,2,0),"")</f>
        <v/>
      </c>
      <c r="G3182" s="3">
        <f t="array" ref="G3182">_xlfn.XLOOKUP(I3182,Base_Datos!D:D,Base_Datos!B:B,"")</f>
        <v>0</v>
      </c>
      <c r="H3182" s="3" t="str">
        <f t="array" ref="H3182">IF(I3182="","",IFERROR(_xlfn.XLOOKUP(I3182,Base_Datos!$D$2:$D3876,Base_Datos!$C$2:$C3876),""))</f>
        <v/>
      </c>
      <c r="I3182" s="3"/>
      <c r="J3182" s="3" t="str">
        <f>IF(I3182="","",IFERROR(VLOOKUP(I3182,Base_Datos!$D$2:$E$72,2,0),""))</f>
        <v/>
      </c>
      <c r="K3182" s="3"/>
      <c r="L3182" s="3"/>
      <c r="M3182" s="3"/>
      <c r="N3182" s="3"/>
    </row>
    <row r="3183" spans="1:14" ht="14.25" x14ac:dyDescent="0.2">
      <c r="A3183" s="3"/>
      <c r="B3183" s="3"/>
      <c r="C3183" s="3"/>
      <c r="D3183" s="6"/>
      <c r="E3183" s="10"/>
      <c r="F3183" s="3" t="str">
        <f>IFERROR( VLOOKUP(A3183,#REF!,2,0),"")</f>
        <v/>
      </c>
      <c r="G3183" s="3">
        <f t="array" ref="G3183">_xlfn.XLOOKUP(I3183,Base_Datos!D:D,Base_Datos!B:B,"")</f>
        <v>0</v>
      </c>
      <c r="H3183" s="3" t="str">
        <f t="array" ref="H3183">IF(I3183="","",IFERROR(_xlfn.XLOOKUP(I3183,Base_Datos!$D$2:$D3876,Base_Datos!$C$2:$C3876),""))</f>
        <v/>
      </c>
      <c r="I3183" s="3"/>
      <c r="J3183" s="3" t="str">
        <f>IF(I3183="","",IFERROR(VLOOKUP(I3183,Base_Datos!$D$2:$E$72,2,0),""))</f>
        <v/>
      </c>
      <c r="K3183" s="3"/>
      <c r="L3183" s="3"/>
      <c r="M3183" s="3"/>
      <c r="N3183" s="3"/>
    </row>
    <row r="3184" spans="1:14" ht="14.25" x14ac:dyDescent="0.2">
      <c r="A3184" s="3"/>
      <c r="B3184" s="3"/>
      <c r="C3184" s="3"/>
      <c r="D3184" s="6"/>
      <c r="E3184" s="10"/>
      <c r="F3184" s="3" t="str">
        <f>IFERROR( VLOOKUP(A3184,#REF!,2,0),"")</f>
        <v/>
      </c>
      <c r="G3184" s="3">
        <f t="array" ref="G3184">_xlfn.XLOOKUP(I3184,Base_Datos!D:D,Base_Datos!B:B,"")</f>
        <v>0</v>
      </c>
      <c r="H3184" s="3" t="str">
        <f t="array" ref="H3184">IF(I3184="","",IFERROR(_xlfn.XLOOKUP(I3184,Base_Datos!$D$2:$D3876,Base_Datos!$C$2:$C3876),""))</f>
        <v/>
      </c>
      <c r="I3184" s="3"/>
      <c r="J3184" s="3" t="str">
        <f>IF(I3184="","",IFERROR(VLOOKUP(I3184,Base_Datos!$D$2:$E$72,2,0),""))</f>
        <v/>
      </c>
      <c r="K3184" s="3"/>
      <c r="L3184" s="3"/>
      <c r="M3184" s="3"/>
      <c r="N3184" s="3"/>
    </row>
    <row r="3185" spans="1:14" ht="14.25" x14ac:dyDescent="0.2">
      <c r="A3185" s="3"/>
      <c r="B3185" s="3"/>
      <c r="C3185" s="3"/>
      <c r="D3185" s="6"/>
      <c r="E3185" s="10"/>
      <c r="F3185" s="3" t="str">
        <f>IFERROR( VLOOKUP(A3185,#REF!,2,0),"")</f>
        <v/>
      </c>
      <c r="G3185" s="3">
        <f t="array" ref="G3185">_xlfn.XLOOKUP(I3185,Base_Datos!D:D,Base_Datos!B:B,"")</f>
        <v>0</v>
      </c>
      <c r="H3185" s="3" t="str">
        <f t="array" ref="H3185">IF(I3185="","",IFERROR(_xlfn.XLOOKUP(I3185,Base_Datos!$D$2:$D3876,Base_Datos!$C$2:$C3876),""))</f>
        <v/>
      </c>
      <c r="I3185" s="3"/>
      <c r="J3185" s="3" t="str">
        <f>IF(I3185="","",IFERROR(VLOOKUP(I3185,Base_Datos!$D$2:$E$72,2,0),""))</f>
        <v/>
      </c>
      <c r="K3185" s="3"/>
      <c r="L3185" s="3"/>
      <c r="M3185" s="3"/>
      <c r="N3185" s="3"/>
    </row>
    <row r="3186" spans="1:14" ht="14.25" x14ac:dyDescent="0.2">
      <c r="A3186" s="3"/>
      <c r="B3186" s="3"/>
      <c r="C3186" s="3"/>
      <c r="D3186" s="6"/>
      <c r="E3186" s="10"/>
      <c r="F3186" s="3" t="str">
        <f>IFERROR( VLOOKUP(A3186,#REF!,2,0),"")</f>
        <v/>
      </c>
      <c r="G3186" s="3">
        <f t="array" ref="G3186">_xlfn.XLOOKUP(I3186,Base_Datos!D:D,Base_Datos!B:B,"")</f>
        <v>0</v>
      </c>
      <c r="H3186" s="3" t="str">
        <f t="array" ref="H3186">IF(I3186="","",IFERROR(_xlfn.XLOOKUP(I3186,Base_Datos!$D$2:$D3876,Base_Datos!$C$2:$C3876),""))</f>
        <v/>
      </c>
      <c r="I3186" s="3"/>
      <c r="J3186" s="3" t="str">
        <f>IF(I3186="","",IFERROR(VLOOKUP(I3186,Base_Datos!$D$2:$E$72,2,0),""))</f>
        <v/>
      </c>
      <c r="K3186" s="3"/>
      <c r="L3186" s="3"/>
      <c r="M3186" s="3"/>
      <c r="N3186" s="3"/>
    </row>
    <row r="3187" spans="1:14" ht="14.25" x14ac:dyDescent="0.2">
      <c r="A3187" s="3"/>
      <c r="B3187" s="3"/>
      <c r="C3187" s="3"/>
      <c r="D3187" s="6"/>
      <c r="E3187" s="10"/>
      <c r="F3187" s="3" t="str">
        <f>IFERROR( VLOOKUP(A3187,#REF!,2,0),"")</f>
        <v/>
      </c>
      <c r="G3187" s="3">
        <f t="array" ref="G3187">_xlfn.XLOOKUP(I3187,Base_Datos!D:D,Base_Datos!B:B,"")</f>
        <v>0</v>
      </c>
      <c r="H3187" s="3" t="str">
        <f t="array" ref="H3187">IF(I3187="","",IFERROR(_xlfn.XLOOKUP(I3187,Base_Datos!$D$2:$D3876,Base_Datos!$C$2:$C3876),""))</f>
        <v/>
      </c>
      <c r="I3187" s="3"/>
      <c r="J3187" s="3" t="str">
        <f>IF(I3187="","",IFERROR(VLOOKUP(I3187,Base_Datos!$D$2:$E$72,2,0),""))</f>
        <v/>
      </c>
      <c r="K3187" s="3"/>
      <c r="L3187" s="3"/>
      <c r="M3187" s="3"/>
      <c r="N3187" s="3"/>
    </row>
    <row r="3188" spans="1:14" ht="14.25" x14ac:dyDescent="0.2">
      <c r="A3188" s="3"/>
      <c r="B3188" s="3"/>
      <c r="C3188" s="3"/>
      <c r="D3188" s="6"/>
      <c r="E3188" s="10"/>
      <c r="F3188" s="3" t="str">
        <f>IFERROR( VLOOKUP(A3188,#REF!,2,0),"")</f>
        <v/>
      </c>
      <c r="G3188" s="3">
        <f t="array" ref="G3188">_xlfn.XLOOKUP(I3188,Base_Datos!D:D,Base_Datos!B:B,"")</f>
        <v>0</v>
      </c>
      <c r="H3188" s="3" t="str">
        <f t="array" ref="H3188">IF(I3188="","",IFERROR(_xlfn.XLOOKUP(I3188,Base_Datos!$D$2:$D3876,Base_Datos!$C$2:$C3876),""))</f>
        <v/>
      </c>
      <c r="I3188" s="3"/>
      <c r="J3188" s="3" t="str">
        <f>IF(I3188="","",IFERROR(VLOOKUP(I3188,Base_Datos!$D$2:$E$72,2,0),""))</f>
        <v/>
      </c>
      <c r="K3188" s="3"/>
      <c r="L3188" s="3"/>
      <c r="M3188" s="3"/>
      <c r="N3188" s="3"/>
    </row>
    <row r="3189" spans="1:14" ht="14.25" x14ac:dyDescent="0.2">
      <c r="A3189" s="3"/>
      <c r="B3189" s="3"/>
      <c r="C3189" s="3"/>
      <c r="D3189" s="6"/>
      <c r="E3189" s="10"/>
      <c r="F3189" s="3" t="str">
        <f>IFERROR( VLOOKUP(A3189,#REF!,2,0),"")</f>
        <v/>
      </c>
      <c r="G3189" s="3">
        <f t="array" ref="G3189">_xlfn.XLOOKUP(I3189,Base_Datos!D:D,Base_Datos!B:B,"")</f>
        <v>0</v>
      </c>
      <c r="H3189" s="3" t="str">
        <f t="array" ref="H3189">IF(I3189="","",IFERROR(_xlfn.XLOOKUP(I3189,Base_Datos!$D$2:$D3876,Base_Datos!$C$2:$C3876),""))</f>
        <v/>
      </c>
      <c r="I3189" s="3"/>
      <c r="J3189" s="3" t="str">
        <f>IF(I3189="","",IFERROR(VLOOKUP(I3189,Base_Datos!$D$2:$E$72,2,0),""))</f>
        <v/>
      </c>
      <c r="K3189" s="3"/>
      <c r="L3189" s="3"/>
      <c r="M3189" s="3"/>
      <c r="N3189" s="3"/>
    </row>
    <row r="3190" spans="1:14" ht="14.25" x14ac:dyDescent="0.2">
      <c r="A3190" s="3"/>
      <c r="B3190" s="3"/>
      <c r="C3190" s="3"/>
      <c r="D3190" s="6"/>
      <c r="E3190" s="10"/>
      <c r="F3190" s="3" t="str">
        <f>IFERROR( VLOOKUP(A3190,#REF!,2,0),"")</f>
        <v/>
      </c>
      <c r="G3190" s="3">
        <f t="array" ref="G3190">_xlfn.XLOOKUP(I3190,Base_Datos!D:D,Base_Datos!B:B,"")</f>
        <v>0</v>
      </c>
      <c r="H3190" s="3" t="str">
        <f t="array" ref="H3190">IF(I3190="","",IFERROR(_xlfn.XLOOKUP(I3190,Base_Datos!$D$2:$D3876,Base_Datos!$C$2:$C3876),""))</f>
        <v/>
      </c>
      <c r="I3190" s="3"/>
      <c r="J3190" s="3" t="str">
        <f>IF(I3190="","",IFERROR(VLOOKUP(I3190,Base_Datos!$D$2:$E$72,2,0),""))</f>
        <v/>
      </c>
      <c r="K3190" s="3"/>
      <c r="L3190" s="3"/>
      <c r="M3190" s="3"/>
      <c r="N3190" s="3"/>
    </row>
    <row r="3191" spans="1:14" ht="14.25" x14ac:dyDescent="0.2">
      <c r="A3191" s="3"/>
      <c r="B3191" s="3"/>
      <c r="C3191" s="3"/>
      <c r="D3191" s="6"/>
      <c r="E3191" s="10"/>
      <c r="F3191" s="3" t="str">
        <f>IFERROR( VLOOKUP(A3191,#REF!,2,0),"")</f>
        <v/>
      </c>
      <c r="G3191" s="3">
        <f t="array" ref="G3191">_xlfn.XLOOKUP(I3191,Base_Datos!D:D,Base_Datos!B:B,"")</f>
        <v>0</v>
      </c>
      <c r="H3191" s="3" t="str">
        <f t="array" ref="H3191">IF(I3191="","",IFERROR(_xlfn.XLOOKUP(I3191,Base_Datos!$D$2:$D3876,Base_Datos!$C$2:$C3876),""))</f>
        <v/>
      </c>
      <c r="I3191" s="3"/>
      <c r="J3191" s="3" t="str">
        <f>IF(I3191="","",IFERROR(VLOOKUP(I3191,Base_Datos!$D$2:$E$72,2,0),""))</f>
        <v/>
      </c>
      <c r="K3191" s="3"/>
      <c r="L3191" s="3"/>
      <c r="M3191" s="3"/>
      <c r="N3191" s="3"/>
    </row>
    <row r="3192" spans="1:14" ht="14.25" x14ac:dyDescent="0.2">
      <c r="A3192" s="3"/>
      <c r="B3192" s="3"/>
      <c r="C3192" s="3"/>
      <c r="D3192" s="6"/>
      <c r="E3192" s="10"/>
      <c r="F3192" s="3" t="str">
        <f>IFERROR( VLOOKUP(A3192,#REF!,2,0),"")</f>
        <v/>
      </c>
      <c r="G3192" s="3">
        <f t="array" ref="G3192">_xlfn.XLOOKUP(I3192,Base_Datos!D:D,Base_Datos!B:B,"")</f>
        <v>0</v>
      </c>
      <c r="H3192" s="3" t="str">
        <f t="array" ref="H3192">IF(I3192="","",IFERROR(_xlfn.XLOOKUP(I3192,Base_Datos!$D$2:$D3876,Base_Datos!$C$2:$C3876),""))</f>
        <v/>
      </c>
      <c r="I3192" s="3"/>
      <c r="J3192" s="3" t="str">
        <f>IF(I3192="","",IFERROR(VLOOKUP(I3192,Base_Datos!$D$2:$E$72,2,0),""))</f>
        <v/>
      </c>
      <c r="K3192" s="3"/>
      <c r="L3192" s="3"/>
      <c r="M3192" s="3"/>
      <c r="N3192" s="3"/>
    </row>
    <row r="3193" spans="1:14" ht="14.25" x14ac:dyDescent="0.2">
      <c r="A3193" s="3"/>
      <c r="B3193" s="3"/>
      <c r="C3193" s="3"/>
      <c r="D3193" s="6"/>
      <c r="E3193" s="10"/>
      <c r="F3193" s="3" t="str">
        <f>IFERROR( VLOOKUP(A3193,#REF!,2,0),"")</f>
        <v/>
      </c>
      <c r="G3193" s="3">
        <f t="array" ref="G3193">_xlfn.XLOOKUP(I3193,Base_Datos!D:D,Base_Datos!B:B,"")</f>
        <v>0</v>
      </c>
      <c r="H3193" s="3" t="str">
        <f t="array" ref="H3193">IF(I3193="","",IFERROR(_xlfn.XLOOKUP(I3193,Base_Datos!$D$2:$D3876,Base_Datos!$C$2:$C3876),""))</f>
        <v/>
      </c>
      <c r="I3193" s="3"/>
      <c r="J3193" s="3" t="str">
        <f>IF(I3193="","",IFERROR(VLOOKUP(I3193,Base_Datos!$D$2:$E$72,2,0),""))</f>
        <v/>
      </c>
      <c r="K3193" s="3"/>
      <c r="L3193" s="3"/>
      <c r="M3193" s="3"/>
      <c r="N3193" s="3"/>
    </row>
    <row r="3194" spans="1:14" ht="14.25" x14ac:dyDescent="0.2">
      <c r="A3194" s="3"/>
      <c r="B3194" s="3"/>
      <c r="C3194" s="3"/>
      <c r="D3194" s="6"/>
      <c r="E3194" s="10"/>
      <c r="F3194" s="3" t="str">
        <f>IFERROR( VLOOKUP(A3194,#REF!,2,0),"")</f>
        <v/>
      </c>
      <c r="G3194" s="3">
        <f t="array" ref="G3194">_xlfn.XLOOKUP(I3194,Base_Datos!D:D,Base_Datos!B:B,"")</f>
        <v>0</v>
      </c>
      <c r="H3194" s="3" t="str">
        <f t="array" ref="H3194">IF(I3194="","",IFERROR(_xlfn.XLOOKUP(I3194,Base_Datos!$D$2:$D3876,Base_Datos!$C$2:$C3876),""))</f>
        <v/>
      </c>
      <c r="I3194" s="3"/>
      <c r="J3194" s="3" t="str">
        <f>IF(I3194="","",IFERROR(VLOOKUP(I3194,Base_Datos!$D$2:$E$72,2,0),""))</f>
        <v/>
      </c>
      <c r="K3194" s="3"/>
      <c r="L3194" s="3"/>
      <c r="M3194" s="3"/>
      <c r="N3194" s="3"/>
    </row>
    <row r="3195" spans="1:14" ht="14.25" x14ac:dyDescent="0.2">
      <c r="A3195" s="3"/>
      <c r="B3195" s="3"/>
      <c r="C3195" s="3"/>
      <c r="D3195" s="6"/>
      <c r="E3195" s="10"/>
      <c r="F3195" s="3" t="str">
        <f>IFERROR( VLOOKUP(A3195,#REF!,2,0),"")</f>
        <v/>
      </c>
      <c r="G3195" s="3">
        <f t="array" ref="G3195">_xlfn.XLOOKUP(I3195,Base_Datos!D:D,Base_Datos!B:B,"")</f>
        <v>0</v>
      </c>
      <c r="H3195" s="3" t="str">
        <f t="array" ref="H3195">IF(I3195="","",IFERROR(_xlfn.XLOOKUP(I3195,Base_Datos!$D$2:$D3876,Base_Datos!$C$2:$C3876),""))</f>
        <v/>
      </c>
      <c r="I3195" s="3"/>
      <c r="J3195" s="3" t="str">
        <f>IF(I3195="","",IFERROR(VLOOKUP(I3195,Base_Datos!$D$2:$E$72,2,0),""))</f>
        <v/>
      </c>
      <c r="K3195" s="3"/>
      <c r="L3195" s="3"/>
      <c r="M3195" s="3"/>
      <c r="N3195" s="3"/>
    </row>
    <row r="3196" spans="1:14" ht="14.25" x14ac:dyDescent="0.2">
      <c r="A3196" s="3"/>
      <c r="B3196" s="3"/>
      <c r="C3196" s="3"/>
      <c r="D3196" s="6"/>
      <c r="E3196" s="10"/>
      <c r="F3196" s="3" t="str">
        <f>IFERROR( VLOOKUP(A3196,#REF!,2,0),"")</f>
        <v/>
      </c>
      <c r="G3196" s="3">
        <f t="array" ref="G3196">_xlfn.XLOOKUP(I3196,Base_Datos!D:D,Base_Datos!B:B,"")</f>
        <v>0</v>
      </c>
      <c r="H3196" s="3" t="str">
        <f t="array" ref="H3196">IF(I3196="","",IFERROR(_xlfn.XLOOKUP(I3196,Base_Datos!$D$2:$D3876,Base_Datos!$C$2:$C3876),""))</f>
        <v/>
      </c>
      <c r="I3196" s="3"/>
      <c r="J3196" s="3" t="str">
        <f>IF(I3196="","",IFERROR(VLOOKUP(I3196,Base_Datos!$D$2:$E$72,2,0),""))</f>
        <v/>
      </c>
      <c r="K3196" s="3"/>
      <c r="L3196" s="3"/>
      <c r="M3196" s="3"/>
      <c r="N3196" s="3"/>
    </row>
    <row r="3197" spans="1:14" ht="14.25" x14ac:dyDescent="0.2">
      <c r="A3197" s="3"/>
      <c r="B3197" s="3"/>
      <c r="C3197" s="3"/>
      <c r="D3197" s="6"/>
      <c r="E3197" s="10"/>
      <c r="F3197" s="3" t="str">
        <f>IFERROR( VLOOKUP(A3197,#REF!,2,0),"")</f>
        <v/>
      </c>
      <c r="G3197" s="3">
        <f t="array" ref="G3197">_xlfn.XLOOKUP(I3197,Base_Datos!D:D,Base_Datos!B:B,"")</f>
        <v>0</v>
      </c>
      <c r="H3197" s="3" t="str">
        <f t="array" ref="H3197">IF(I3197="","",IFERROR(_xlfn.XLOOKUP(I3197,Base_Datos!$D$2:$D3876,Base_Datos!$C$2:$C3876),""))</f>
        <v/>
      </c>
      <c r="I3197" s="3"/>
      <c r="J3197" s="3" t="str">
        <f>IF(I3197="","",IFERROR(VLOOKUP(I3197,Base_Datos!$D$2:$E$72,2,0),""))</f>
        <v/>
      </c>
      <c r="K3197" s="3"/>
      <c r="L3197" s="3"/>
      <c r="M3197" s="3"/>
      <c r="N3197" s="3"/>
    </row>
    <row r="3198" spans="1:14" ht="14.25" x14ac:dyDescent="0.2">
      <c r="A3198" s="3"/>
      <c r="B3198" s="3"/>
      <c r="C3198" s="3"/>
      <c r="D3198" s="6"/>
      <c r="E3198" s="10"/>
      <c r="F3198" s="3" t="str">
        <f>IFERROR( VLOOKUP(A3198,#REF!,2,0),"")</f>
        <v/>
      </c>
      <c r="G3198" s="3">
        <f t="array" ref="G3198">_xlfn.XLOOKUP(I3198,Base_Datos!D:D,Base_Datos!B:B,"")</f>
        <v>0</v>
      </c>
      <c r="H3198" s="3" t="str">
        <f t="array" ref="H3198">IF(I3198="","",IFERROR(_xlfn.XLOOKUP(I3198,Base_Datos!$D$2:$D3876,Base_Datos!$C$2:$C3876),""))</f>
        <v/>
      </c>
      <c r="I3198" s="3"/>
      <c r="J3198" s="3" t="str">
        <f>IF(I3198="","",IFERROR(VLOOKUP(I3198,Base_Datos!$D$2:$E$72,2,0),""))</f>
        <v/>
      </c>
      <c r="K3198" s="3"/>
      <c r="L3198" s="3"/>
      <c r="M3198" s="3"/>
      <c r="N3198" s="3"/>
    </row>
    <row r="3199" spans="1:14" ht="14.25" x14ac:dyDescent="0.2">
      <c r="A3199" s="3"/>
      <c r="B3199" s="3"/>
      <c r="C3199" s="3"/>
      <c r="D3199" s="6"/>
      <c r="E3199" s="10"/>
      <c r="F3199" s="3" t="str">
        <f>IFERROR( VLOOKUP(A3199,#REF!,2,0),"")</f>
        <v/>
      </c>
      <c r="G3199" s="3">
        <f t="array" ref="G3199">_xlfn.XLOOKUP(I3199,Base_Datos!D:D,Base_Datos!B:B,"")</f>
        <v>0</v>
      </c>
      <c r="H3199" s="3" t="str">
        <f t="array" ref="H3199">IF(I3199="","",IFERROR(_xlfn.XLOOKUP(I3199,Base_Datos!$D$2:$D3876,Base_Datos!$C$2:$C3876),""))</f>
        <v/>
      </c>
      <c r="I3199" s="3"/>
      <c r="J3199" s="3" t="str">
        <f>IF(I3199="","",IFERROR(VLOOKUP(I3199,Base_Datos!$D$2:$E$72,2,0),""))</f>
        <v/>
      </c>
      <c r="K3199" s="3"/>
      <c r="L3199" s="3"/>
      <c r="M3199" s="3"/>
      <c r="N3199" s="3"/>
    </row>
    <row r="3200" spans="1:14" ht="14.25" x14ac:dyDescent="0.2">
      <c r="A3200" s="3"/>
      <c r="B3200" s="3"/>
      <c r="C3200" s="3"/>
      <c r="D3200" s="6"/>
      <c r="E3200" s="10"/>
      <c r="F3200" s="3" t="str">
        <f>IFERROR( VLOOKUP(A3200,#REF!,2,0),"")</f>
        <v/>
      </c>
      <c r="G3200" s="3">
        <f t="array" ref="G3200">_xlfn.XLOOKUP(I3200,Base_Datos!D:D,Base_Datos!B:B,"")</f>
        <v>0</v>
      </c>
      <c r="H3200" s="3" t="str">
        <f t="array" ref="H3200">IF(I3200="","",IFERROR(_xlfn.XLOOKUP(I3200,Base_Datos!$D$2:$D3876,Base_Datos!$C$2:$C3876),""))</f>
        <v/>
      </c>
      <c r="I3200" s="3"/>
      <c r="J3200" s="3" t="str">
        <f>IF(I3200="","",IFERROR(VLOOKUP(I3200,Base_Datos!$D$2:$E$72,2,0),""))</f>
        <v/>
      </c>
      <c r="K3200" s="3"/>
      <c r="L3200" s="3"/>
      <c r="M3200" s="3"/>
      <c r="N3200" s="3"/>
    </row>
    <row r="3201" spans="1:14" ht="14.25" x14ac:dyDescent="0.2">
      <c r="A3201" s="3"/>
      <c r="B3201" s="3"/>
      <c r="C3201" s="3"/>
      <c r="D3201" s="6"/>
      <c r="E3201" s="10"/>
      <c r="F3201" s="3" t="str">
        <f>IFERROR( VLOOKUP(A3201,#REF!,2,0),"")</f>
        <v/>
      </c>
      <c r="G3201" s="3">
        <f t="array" ref="G3201">_xlfn.XLOOKUP(I3201,Base_Datos!D:D,Base_Datos!B:B,"")</f>
        <v>0</v>
      </c>
      <c r="H3201" s="3" t="str">
        <f t="array" ref="H3201">IF(I3201="","",IFERROR(_xlfn.XLOOKUP(I3201,Base_Datos!$D$2:$D3876,Base_Datos!$C$2:$C3876),""))</f>
        <v/>
      </c>
      <c r="I3201" s="3"/>
      <c r="J3201" s="3" t="str">
        <f>IF(I3201="","",IFERROR(VLOOKUP(I3201,Base_Datos!$D$2:$E$72,2,0),""))</f>
        <v/>
      </c>
      <c r="K3201" s="3"/>
      <c r="L3201" s="3"/>
      <c r="M3201" s="3"/>
      <c r="N3201" s="3"/>
    </row>
    <row r="3202" spans="1:14" ht="14.25" x14ac:dyDescent="0.2">
      <c r="A3202" s="3"/>
      <c r="B3202" s="3"/>
      <c r="C3202" s="3"/>
      <c r="D3202" s="6"/>
      <c r="E3202" s="10"/>
      <c r="F3202" s="3" t="str">
        <f>IFERROR( VLOOKUP(A3202,#REF!,2,0),"")</f>
        <v/>
      </c>
      <c r="G3202" s="3">
        <f t="array" ref="G3202">_xlfn.XLOOKUP(I3202,Base_Datos!D:D,Base_Datos!B:B,"")</f>
        <v>0</v>
      </c>
      <c r="H3202" s="3" t="str">
        <f t="array" ref="H3202">IF(I3202="","",IFERROR(_xlfn.XLOOKUP(I3202,Base_Datos!$D$2:$D3876,Base_Datos!$C$2:$C3876),""))</f>
        <v/>
      </c>
      <c r="I3202" s="3"/>
      <c r="J3202" s="3" t="str">
        <f>IF(I3202="","",IFERROR(VLOOKUP(I3202,Base_Datos!$D$2:$E$72,2,0),""))</f>
        <v/>
      </c>
      <c r="K3202" s="3"/>
      <c r="L3202" s="3"/>
      <c r="M3202" s="3"/>
      <c r="N3202" s="3"/>
    </row>
    <row r="3203" spans="1:14" ht="14.25" x14ac:dyDescent="0.2">
      <c r="A3203" s="3"/>
      <c r="B3203" s="3"/>
      <c r="C3203" s="3"/>
      <c r="D3203" s="6"/>
      <c r="E3203" s="10"/>
      <c r="F3203" s="3" t="str">
        <f>IFERROR( VLOOKUP(A3203,#REF!,2,0),"")</f>
        <v/>
      </c>
      <c r="G3203" s="3">
        <f t="array" ref="G3203">_xlfn.XLOOKUP(I3203,Base_Datos!D:D,Base_Datos!B:B,"")</f>
        <v>0</v>
      </c>
      <c r="H3203" s="3" t="str">
        <f t="array" ref="H3203">IF(I3203="","",IFERROR(_xlfn.XLOOKUP(I3203,Base_Datos!$D$2:$D3876,Base_Datos!$C$2:$C3876),""))</f>
        <v/>
      </c>
      <c r="I3203" s="3"/>
      <c r="J3203" s="3" t="str">
        <f>IF(I3203="","",IFERROR(VLOOKUP(I3203,Base_Datos!$D$2:$E$72,2,0),""))</f>
        <v/>
      </c>
      <c r="K3203" s="3"/>
      <c r="L3203" s="3"/>
      <c r="M3203" s="3"/>
      <c r="N3203" s="3"/>
    </row>
    <row r="3204" spans="1:14" ht="14.25" x14ac:dyDescent="0.2">
      <c r="A3204" s="3"/>
      <c r="B3204" s="3"/>
      <c r="C3204" s="3"/>
      <c r="D3204" s="6"/>
      <c r="E3204" s="10"/>
      <c r="F3204" s="3" t="str">
        <f>IFERROR( VLOOKUP(A3204,#REF!,2,0),"")</f>
        <v/>
      </c>
      <c r="G3204" s="3">
        <f t="array" ref="G3204">_xlfn.XLOOKUP(I3204,Base_Datos!D:D,Base_Datos!B:B,"")</f>
        <v>0</v>
      </c>
      <c r="H3204" s="3" t="str">
        <f t="array" ref="H3204">IF(I3204="","",IFERROR(_xlfn.XLOOKUP(I3204,Base_Datos!$D$2:$D3876,Base_Datos!$C$2:$C3876),""))</f>
        <v/>
      </c>
      <c r="I3204" s="3"/>
      <c r="J3204" s="3" t="str">
        <f>IF(I3204="","",IFERROR(VLOOKUP(I3204,Base_Datos!$D$2:$E$72,2,0),""))</f>
        <v/>
      </c>
      <c r="K3204" s="3"/>
      <c r="L3204" s="3"/>
      <c r="M3204" s="3"/>
      <c r="N3204" s="3"/>
    </row>
    <row r="3205" spans="1:14" ht="14.25" x14ac:dyDescent="0.2">
      <c r="A3205" s="3"/>
      <c r="B3205" s="3"/>
      <c r="C3205" s="3"/>
      <c r="D3205" s="6"/>
      <c r="E3205" s="10"/>
      <c r="F3205" s="3" t="str">
        <f>IFERROR( VLOOKUP(A3205,#REF!,2,0),"")</f>
        <v/>
      </c>
      <c r="G3205" s="3">
        <f t="array" ref="G3205">_xlfn.XLOOKUP(I3205,Base_Datos!D:D,Base_Datos!B:B,"")</f>
        <v>0</v>
      </c>
      <c r="H3205" s="3" t="str">
        <f t="array" ref="H3205">IF(I3205="","",IFERROR(_xlfn.XLOOKUP(I3205,Base_Datos!$D$2:$D3876,Base_Datos!$C$2:$C3876),""))</f>
        <v/>
      </c>
      <c r="I3205" s="3"/>
      <c r="J3205" s="3" t="str">
        <f>IF(I3205="","",IFERROR(VLOOKUP(I3205,Base_Datos!$D$2:$E$72,2,0),""))</f>
        <v/>
      </c>
      <c r="K3205" s="3"/>
      <c r="L3205" s="3"/>
      <c r="M3205" s="3"/>
      <c r="N3205" s="3"/>
    </row>
    <row r="3206" spans="1:14" ht="14.25" x14ac:dyDescent="0.2">
      <c r="A3206" s="3"/>
      <c r="B3206" s="3"/>
      <c r="C3206" s="3"/>
      <c r="D3206" s="6"/>
      <c r="E3206" s="10"/>
      <c r="F3206" s="3" t="str">
        <f>IFERROR( VLOOKUP(A3206,#REF!,2,0),"")</f>
        <v/>
      </c>
      <c r="G3206" s="3">
        <f t="array" ref="G3206">_xlfn.XLOOKUP(I3206,Base_Datos!D:D,Base_Datos!B:B,"")</f>
        <v>0</v>
      </c>
      <c r="H3206" s="3" t="str">
        <f t="array" ref="H3206">IF(I3206="","",IFERROR(_xlfn.XLOOKUP(I3206,Base_Datos!$D$2:$D3876,Base_Datos!$C$2:$C3876),""))</f>
        <v/>
      </c>
      <c r="I3206" s="3"/>
      <c r="J3206" s="3" t="str">
        <f>IF(I3206="","",IFERROR(VLOOKUP(I3206,Base_Datos!$D$2:$E$72,2,0),""))</f>
        <v/>
      </c>
      <c r="K3206" s="3"/>
      <c r="L3206" s="3"/>
      <c r="M3206" s="3"/>
      <c r="N3206" s="3"/>
    </row>
    <row r="3207" spans="1:14" ht="14.25" x14ac:dyDescent="0.2">
      <c r="A3207" s="3"/>
      <c r="B3207" s="3"/>
      <c r="C3207" s="3"/>
      <c r="D3207" s="6"/>
      <c r="E3207" s="10"/>
      <c r="F3207" s="3" t="str">
        <f>IFERROR( VLOOKUP(A3207,#REF!,2,0),"")</f>
        <v/>
      </c>
      <c r="G3207" s="3">
        <f t="array" ref="G3207">_xlfn.XLOOKUP(I3207,Base_Datos!D:D,Base_Datos!B:B,"")</f>
        <v>0</v>
      </c>
      <c r="H3207" s="3" t="str">
        <f t="array" ref="H3207">IF(I3207="","",IFERROR(_xlfn.XLOOKUP(I3207,Base_Datos!$D$2:$D3876,Base_Datos!$C$2:$C3876),""))</f>
        <v/>
      </c>
      <c r="I3207" s="3"/>
      <c r="J3207" s="3" t="str">
        <f>IF(I3207="","",IFERROR(VLOOKUP(I3207,Base_Datos!$D$2:$E$72,2,0),""))</f>
        <v/>
      </c>
      <c r="K3207" s="3"/>
      <c r="L3207" s="3"/>
      <c r="M3207" s="3"/>
      <c r="N3207" s="3"/>
    </row>
    <row r="3208" spans="1:14" ht="14.25" x14ac:dyDescent="0.2">
      <c r="A3208" s="3"/>
      <c r="B3208" s="3"/>
      <c r="C3208" s="3"/>
      <c r="D3208" s="6"/>
      <c r="E3208" s="10"/>
      <c r="F3208" s="3" t="str">
        <f>IFERROR( VLOOKUP(A3208,#REF!,2,0),"")</f>
        <v/>
      </c>
      <c r="G3208" s="3">
        <f t="array" ref="G3208">_xlfn.XLOOKUP(I3208,Base_Datos!D:D,Base_Datos!B:B,"")</f>
        <v>0</v>
      </c>
      <c r="H3208" s="3" t="str">
        <f t="array" ref="H3208">IF(I3208="","",IFERROR(_xlfn.XLOOKUP(I3208,Base_Datos!$D$2:$D3876,Base_Datos!$C$2:$C3876),""))</f>
        <v/>
      </c>
      <c r="I3208" s="3"/>
      <c r="J3208" s="3" t="str">
        <f>IF(I3208="","",IFERROR(VLOOKUP(I3208,Base_Datos!$D$2:$E$72,2,0),""))</f>
        <v/>
      </c>
      <c r="K3208" s="3"/>
      <c r="L3208" s="3"/>
      <c r="M3208" s="3"/>
      <c r="N3208" s="3"/>
    </row>
    <row r="3209" spans="1:14" ht="14.25" x14ac:dyDescent="0.2">
      <c r="A3209" s="3"/>
      <c r="B3209" s="3"/>
      <c r="C3209" s="3"/>
      <c r="D3209" s="6"/>
      <c r="E3209" s="10"/>
      <c r="F3209" s="3" t="str">
        <f>IFERROR( VLOOKUP(A3209,#REF!,2,0),"")</f>
        <v/>
      </c>
      <c r="G3209" s="3">
        <f t="array" ref="G3209">_xlfn.XLOOKUP(I3209,Base_Datos!D:D,Base_Datos!B:B,"")</f>
        <v>0</v>
      </c>
      <c r="H3209" s="3" t="str">
        <f t="array" ref="H3209">IF(I3209="","",IFERROR(_xlfn.XLOOKUP(I3209,Base_Datos!$D$2:$D3876,Base_Datos!$C$2:$C3876),""))</f>
        <v/>
      </c>
      <c r="I3209" s="3"/>
      <c r="J3209" s="3" t="str">
        <f>IF(I3209="","",IFERROR(VLOOKUP(I3209,Base_Datos!$D$2:$E$72,2,0),""))</f>
        <v/>
      </c>
      <c r="K3209" s="3"/>
      <c r="L3209" s="3"/>
      <c r="M3209" s="3"/>
      <c r="N3209" s="3"/>
    </row>
    <row r="3210" spans="1:14" ht="14.25" x14ac:dyDescent="0.2">
      <c r="A3210" s="3"/>
      <c r="B3210" s="3"/>
      <c r="C3210" s="3"/>
      <c r="D3210" s="6"/>
      <c r="E3210" s="10"/>
      <c r="F3210" s="3" t="str">
        <f>IFERROR( VLOOKUP(A3210,#REF!,2,0),"")</f>
        <v/>
      </c>
      <c r="G3210" s="3">
        <f t="array" ref="G3210">_xlfn.XLOOKUP(I3210,Base_Datos!D:D,Base_Datos!B:B,"")</f>
        <v>0</v>
      </c>
      <c r="H3210" s="3" t="str">
        <f t="array" ref="H3210">IF(I3210="","",IFERROR(_xlfn.XLOOKUP(I3210,Base_Datos!$D$2:$D3876,Base_Datos!$C$2:$C3876),""))</f>
        <v/>
      </c>
      <c r="I3210" s="3"/>
      <c r="J3210" s="3" t="str">
        <f>IF(I3210="","",IFERROR(VLOOKUP(I3210,Base_Datos!$D$2:$E$72,2,0),""))</f>
        <v/>
      </c>
      <c r="K3210" s="3"/>
      <c r="L3210" s="3"/>
      <c r="M3210" s="3"/>
      <c r="N3210" s="3"/>
    </row>
    <row r="3211" spans="1:14" ht="14.25" x14ac:dyDescent="0.2">
      <c r="A3211" s="3"/>
      <c r="B3211" s="3"/>
      <c r="C3211" s="3"/>
      <c r="D3211" s="6"/>
      <c r="E3211" s="10"/>
      <c r="F3211" s="3" t="str">
        <f>IFERROR( VLOOKUP(A3211,#REF!,2,0),"")</f>
        <v/>
      </c>
      <c r="G3211" s="3">
        <f t="array" ref="G3211">_xlfn.XLOOKUP(I3211,Base_Datos!D:D,Base_Datos!B:B,"")</f>
        <v>0</v>
      </c>
      <c r="H3211" s="3" t="str">
        <f t="array" ref="H3211">IF(I3211="","",IFERROR(_xlfn.XLOOKUP(I3211,Base_Datos!$D$2:$D3876,Base_Datos!$C$2:$C3876),""))</f>
        <v/>
      </c>
      <c r="I3211" s="3"/>
      <c r="J3211" s="3" t="str">
        <f>IF(I3211="","",IFERROR(VLOOKUP(I3211,Base_Datos!$D$2:$E$72,2,0),""))</f>
        <v/>
      </c>
      <c r="K3211" s="3"/>
      <c r="L3211" s="3"/>
      <c r="M3211" s="3"/>
      <c r="N3211" s="3"/>
    </row>
    <row r="3212" spans="1:14" ht="14.25" x14ac:dyDescent="0.2">
      <c r="A3212" s="3"/>
      <c r="B3212" s="3"/>
      <c r="C3212" s="3"/>
      <c r="D3212" s="6"/>
      <c r="E3212" s="10"/>
      <c r="F3212" s="3" t="str">
        <f>IFERROR( VLOOKUP(A3212,#REF!,2,0),"")</f>
        <v/>
      </c>
      <c r="G3212" s="3">
        <f t="array" ref="G3212">_xlfn.XLOOKUP(I3212,Base_Datos!D:D,Base_Datos!B:B,"")</f>
        <v>0</v>
      </c>
      <c r="H3212" s="3" t="str">
        <f t="array" ref="H3212">IF(I3212="","",IFERROR(_xlfn.XLOOKUP(I3212,Base_Datos!$D$2:$D3876,Base_Datos!$C$2:$C3876),""))</f>
        <v/>
      </c>
      <c r="I3212" s="3"/>
      <c r="J3212" s="3" t="str">
        <f>IF(I3212="","",IFERROR(VLOOKUP(I3212,Base_Datos!$D$2:$E$72,2,0),""))</f>
        <v/>
      </c>
      <c r="K3212" s="3"/>
      <c r="L3212" s="3"/>
      <c r="M3212" s="3"/>
      <c r="N3212" s="3"/>
    </row>
    <row r="3213" spans="1:14" ht="14.25" x14ac:dyDescent="0.2">
      <c r="A3213" s="3"/>
      <c r="B3213" s="3"/>
      <c r="C3213" s="3"/>
      <c r="D3213" s="6"/>
      <c r="E3213" s="10"/>
      <c r="F3213" s="3" t="str">
        <f>IFERROR( VLOOKUP(A3213,#REF!,2,0),"")</f>
        <v/>
      </c>
      <c r="G3213" s="3">
        <f t="array" ref="G3213">_xlfn.XLOOKUP(I3213,Base_Datos!D:D,Base_Datos!B:B,"")</f>
        <v>0</v>
      </c>
      <c r="H3213" s="3" t="str">
        <f t="array" ref="H3213">IF(I3213="","",IFERROR(_xlfn.XLOOKUP(I3213,Base_Datos!$D$2:$D3876,Base_Datos!$C$2:$C3876),""))</f>
        <v/>
      </c>
      <c r="I3213" s="3"/>
      <c r="J3213" s="3" t="str">
        <f>IF(I3213="","",IFERROR(VLOOKUP(I3213,Base_Datos!$D$2:$E$72,2,0),""))</f>
        <v/>
      </c>
      <c r="K3213" s="3"/>
      <c r="L3213" s="3"/>
      <c r="M3213" s="3"/>
      <c r="N3213" s="3"/>
    </row>
    <row r="3214" spans="1:14" ht="14.25" x14ac:dyDescent="0.2">
      <c r="A3214" s="3"/>
      <c r="B3214" s="3"/>
      <c r="C3214" s="3"/>
      <c r="D3214" s="6"/>
      <c r="E3214" s="10"/>
      <c r="F3214" s="3" t="str">
        <f>IFERROR( VLOOKUP(A3214,#REF!,2,0),"")</f>
        <v/>
      </c>
      <c r="G3214" s="3">
        <f t="array" ref="G3214">_xlfn.XLOOKUP(I3214,Base_Datos!D:D,Base_Datos!B:B,"")</f>
        <v>0</v>
      </c>
      <c r="H3214" s="3" t="str">
        <f t="array" ref="H3214">IF(I3214="","",IFERROR(_xlfn.XLOOKUP(I3214,Base_Datos!$D$2:$D3876,Base_Datos!$C$2:$C3876),""))</f>
        <v/>
      </c>
      <c r="I3214" s="3"/>
      <c r="J3214" s="3" t="str">
        <f>IF(I3214="","",IFERROR(VLOOKUP(I3214,Base_Datos!$D$2:$E$72,2,0),""))</f>
        <v/>
      </c>
      <c r="K3214" s="3"/>
      <c r="L3214" s="3"/>
      <c r="M3214" s="3"/>
      <c r="N3214" s="3"/>
    </row>
    <row r="3215" spans="1:14" ht="14.25" x14ac:dyDescent="0.2">
      <c r="A3215" s="3"/>
      <c r="B3215" s="3"/>
      <c r="C3215" s="3"/>
      <c r="D3215" s="6"/>
      <c r="E3215" s="10"/>
      <c r="F3215" s="3" t="str">
        <f>IFERROR( VLOOKUP(A3215,#REF!,2,0),"")</f>
        <v/>
      </c>
      <c r="G3215" s="3">
        <f t="array" ref="G3215">_xlfn.XLOOKUP(I3215,Base_Datos!D:D,Base_Datos!B:B,"")</f>
        <v>0</v>
      </c>
      <c r="H3215" s="3" t="str">
        <f t="array" ref="H3215">IF(I3215="","",IFERROR(_xlfn.XLOOKUP(I3215,Base_Datos!$D$2:$D3876,Base_Datos!$C$2:$C3876),""))</f>
        <v/>
      </c>
      <c r="I3215" s="3"/>
      <c r="J3215" s="3" t="str">
        <f>IF(I3215="","",IFERROR(VLOOKUP(I3215,Base_Datos!$D$2:$E$72,2,0),""))</f>
        <v/>
      </c>
      <c r="K3215" s="3"/>
      <c r="L3215" s="3"/>
      <c r="M3215" s="3"/>
      <c r="N3215" s="3"/>
    </row>
    <row r="3216" spans="1:14" ht="14.25" x14ac:dyDescent="0.2">
      <c r="A3216" s="3"/>
      <c r="B3216" s="3"/>
      <c r="C3216" s="3"/>
      <c r="D3216" s="6"/>
      <c r="E3216" s="10"/>
      <c r="F3216" s="3" t="str">
        <f>IFERROR( VLOOKUP(A3216,#REF!,2,0),"")</f>
        <v/>
      </c>
      <c r="G3216" s="3">
        <f t="array" ref="G3216">_xlfn.XLOOKUP(I3216,Base_Datos!D:D,Base_Datos!B:B,"")</f>
        <v>0</v>
      </c>
      <c r="H3216" s="3" t="str">
        <f t="array" ref="H3216">IF(I3216="","",IFERROR(_xlfn.XLOOKUP(I3216,Base_Datos!$D$2:$D3876,Base_Datos!$C$2:$C3876),""))</f>
        <v/>
      </c>
      <c r="I3216" s="3"/>
      <c r="J3216" s="3" t="str">
        <f>IF(I3216="","",IFERROR(VLOOKUP(I3216,Base_Datos!$D$2:$E$72,2,0),""))</f>
        <v/>
      </c>
      <c r="K3216" s="3"/>
      <c r="L3216" s="3"/>
      <c r="M3216" s="3"/>
      <c r="N3216" s="3"/>
    </row>
    <row r="3217" spans="1:14" ht="14.25" x14ac:dyDescent="0.2">
      <c r="A3217" s="3"/>
      <c r="B3217" s="3"/>
      <c r="C3217" s="3"/>
      <c r="D3217" s="6"/>
      <c r="E3217" s="10"/>
      <c r="F3217" s="3" t="str">
        <f>IFERROR( VLOOKUP(A3217,#REF!,2,0),"")</f>
        <v/>
      </c>
      <c r="G3217" s="3">
        <f t="array" ref="G3217">_xlfn.XLOOKUP(I3217,Base_Datos!D:D,Base_Datos!B:B,"")</f>
        <v>0</v>
      </c>
      <c r="H3217" s="3" t="str">
        <f t="array" ref="H3217">IF(I3217="","",IFERROR(_xlfn.XLOOKUP(I3217,Base_Datos!$D$2:$D3876,Base_Datos!$C$2:$C3876),""))</f>
        <v/>
      </c>
      <c r="I3217" s="3"/>
      <c r="J3217" s="3" t="str">
        <f>IF(I3217="","",IFERROR(VLOOKUP(I3217,Base_Datos!$D$2:$E$72,2,0),""))</f>
        <v/>
      </c>
      <c r="K3217" s="3"/>
      <c r="L3217" s="3"/>
      <c r="M3217" s="3"/>
      <c r="N3217" s="3"/>
    </row>
    <row r="3218" spans="1:14" ht="14.25" x14ac:dyDescent="0.2">
      <c r="A3218" s="3"/>
      <c r="B3218" s="3"/>
      <c r="C3218" s="3"/>
      <c r="D3218" s="6"/>
      <c r="E3218" s="10"/>
      <c r="F3218" s="3" t="str">
        <f>IFERROR( VLOOKUP(A3218,#REF!,2,0),"")</f>
        <v/>
      </c>
      <c r="G3218" s="3">
        <f t="array" ref="G3218">_xlfn.XLOOKUP(I3218,Base_Datos!D:D,Base_Datos!B:B,"")</f>
        <v>0</v>
      </c>
      <c r="H3218" s="3" t="str">
        <f t="array" ref="H3218">IF(I3218="","",IFERROR(_xlfn.XLOOKUP(I3218,Base_Datos!$D$2:$D3876,Base_Datos!$C$2:$C3876),""))</f>
        <v/>
      </c>
      <c r="I3218" s="3"/>
      <c r="J3218" s="3" t="str">
        <f>IF(I3218="","",IFERROR(VLOOKUP(I3218,Base_Datos!$D$2:$E$72,2,0),""))</f>
        <v/>
      </c>
      <c r="K3218" s="3"/>
      <c r="L3218" s="3"/>
      <c r="M3218" s="3"/>
      <c r="N3218" s="3"/>
    </row>
    <row r="3219" spans="1:14" ht="14.25" x14ac:dyDescent="0.2">
      <c r="A3219" s="3"/>
      <c r="B3219" s="3"/>
      <c r="C3219" s="3"/>
      <c r="D3219" s="6"/>
      <c r="E3219" s="10"/>
      <c r="F3219" s="3" t="str">
        <f>IFERROR( VLOOKUP(A3219,#REF!,2,0),"")</f>
        <v/>
      </c>
      <c r="G3219" s="3">
        <f t="array" ref="G3219">_xlfn.XLOOKUP(I3219,Base_Datos!D:D,Base_Datos!B:B,"")</f>
        <v>0</v>
      </c>
      <c r="H3219" s="3" t="str">
        <f t="array" ref="H3219">IF(I3219="","",IFERROR(_xlfn.XLOOKUP(I3219,Base_Datos!$D$2:$D3876,Base_Datos!$C$2:$C3876),""))</f>
        <v/>
      </c>
      <c r="I3219" s="3"/>
      <c r="J3219" s="3" t="str">
        <f>IF(I3219="","",IFERROR(VLOOKUP(I3219,Base_Datos!$D$2:$E$72,2,0),""))</f>
        <v/>
      </c>
      <c r="K3219" s="3"/>
      <c r="L3219" s="3"/>
      <c r="M3219" s="3"/>
      <c r="N3219" s="3"/>
    </row>
    <row r="3220" spans="1:14" ht="14.25" x14ac:dyDescent="0.2">
      <c r="A3220" s="3"/>
      <c r="B3220" s="3"/>
      <c r="C3220" s="3"/>
      <c r="D3220" s="6"/>
      <c r="E3220" s="10"/>
      <c r="F3220" s="3" t="str">
        <f>IFERROR( VLOOKUP(A3220,#REF!,2,0),"")</f>
        <v/>
      </c>
      <c r="G3220" s="3">
        <f t="array" ref="G3220">_xlfn.XLOOKUP(I3220,Base_Datos!D:D,Base_Datos!B:B,"")</f>
        <v>0</v>
      </c>
      <c r="H3220" s="3" t="str">
        <f t="array" ref="H3220">IF(I3220="","",IFERROR(_xlfn.XLOOKUP(I3220,Base_Datos!$D$2:$D3876,Base_Datos!$C$2:$C3876),""))</f>
        <v/>
      </c>
      <c r="I3220" s="3"/>
      <c r="J3220" s="3" t="str">
        <f>IF(I3220="","",IFERROR(VLOOKUP(I3220,Base_Datos!$D$2:$E$72,2,0),""))</f>
        <v/>
      </c>
      <c r="K3220" s="3"/>
      <c r="L3220" s="3"/>
      <c r="M3220" s="3"/>
      <c r="N3220" s="3"/>
    </row>
    <row r="3221" spans="1:14" ht="14.25" x14ac:dyDescent="0.2">
      <c r="A3221" s="3"/>
      <c r="B3221" s="3"/>
      <c r="C3221" s="3"/>
      <c r="D3221" s="6"/>
      <c r="E3221" s="10"/>
      <c r="F3221" s="3" t="str">
        <f>IFERROR( VLOOKUP(A3221,#REF!,2,0),"")</f>
        <v/>
      </c>
      <c r="G3221" s="3">
        <f t="array" ref="G3221">_xlfn.XLOOKUP(I3221,Base_Datos!D:D,Base_Datos!B:B,"")</f>
        <v>0</v>
      </c>
      <c r="H3221" s="3" t="str">
        <f t="array" ref="H3221">IF(I3221="","",IFERROR(_xlfn.XLOOKUP(I3221,Base_Datos!$D$2:$D3876,Base_Datos!$C$2:$C3876),""))</f>
        <v/>
      </c>
      <c r="I3221" s="3"/>
      <c r="J3221" s="3" t="str">
        <f>IF(I3221="","",IFERROR(VLOOKUP(I3221,Base_Datos!$D$2:$E$72,2,0),""))</f>
        <v/>
      </c>
      <c r="K3221" s="3"/>
      <c r="L3221" s="3"/>
      <c r="M3221" s="3"/>
      <c r="N3221" s="3"/>
    </row>
    <row r="3222" spans="1:14" ht="14.25" x14ac:dyDescent="0.2">
      <c r="A3222" s="3"/>
      <c r="B3222" s="3"/>
      <c r="C3222" s="3"/>
      <c r="D3222" s="6"/>
      <c r="E3222" s="10"/>
      <c r="F3222" s="3" t="str">
        <f>IFERROR( VLOOKUP(A3222,#REF!,2,0),"")</f>
        <v/>
      </c>
      <c r="G3222" s="3">
        <f t="array" ref="G3222">_xlfn.XLOOKUP(I3222,Base_Datos!D:D,Base_Datos!B:B,"")</f>
        <v>0</v>
      </c>
      <c r="H3222" s="3" t="str">
        <f t="array" ref="H3222">IF(I3222="","",IFERROR(_xlfn.XLOOKUP(I3222,Base_Datos!$D$2:$D3876,Base_Datos!$C$2:$C3876),""))</f>
        <v/>
      </c>
      <c r="I3222" s="3"/>
      <c r="J3222" s="3" t="str">
        <f>IF(I3222="","",IFERROR(VLOOKUP(I3222,Base_Datos!$D$2:$E$72,2,0),""))</f>
        <v/>
      </c>
      <c r="K3222" s="3"/>
      <c r="L3222" s="3"/>
      <c r="M3222" s="3"/>
      <c r="N3222" s="3"/>
    </row>
    <row r="3223" spans="1:14" ht="14.25" x14ac:dyDescent="0.2">
      <c r="A3223" s="3"/>
      <c r="B3223" s="3"/>
      <c r="C3223" s="3"/>
      <c r="D3223" s="6"/>
      <c r="E3223" s="10"/>
      <c r="F3223" s="3" t="str">
        <f>IFERROR( VLOOKUP(A3223,#REF!,2,0),"")</f>
        <v/>
      </c>
      <c r="G3223" s="3">
        <f t="array" ref="G3223">_xlfn.XLOOKUP(I3223,Base_Datos!D:D,Base_Datos!B:B,"")</f>
        <v>0</v>
      </c>
      <c r="H3223" s="3" t="str">
        <f t="array" ref="H3223">IF(I3223="","",IFERROR(_xlfn.XLOOKUP(I3223,Base_Datos!$D$2:$D3876,Base_Datos!$C$2:$C3876),""))</f>
        <v/>
      </c>
      <c r="I3223" s="3"/>
      <c r="J3223" s="3" t="str">
        <f>IF(I3223="","",IFERROR(VLOOKUP(I3223,Base_Datos!$D$2:$E$72,2,0),""))</f>
        <v/>
      </c>
      <c r="K3223" s="3"/>
      <c r="L3223" s="3"/>
      <c r="M3223" s="3"/>
      <c r="N3223" s="3"/>
    </row>
    <row r="3224" spans="1:14" ht="14.25" x14ac:dyDescent="0.2">
      <c r="A3224" s="3"/>
      <c r="B3224" s="3"/>
      <c r="C3224" s="3"/>
      <c r="D3224" s="6"/>
      <c r="E3224" s="10"/>
      <c r="F3224" s="3" t="str">
        <f>IFERROR( VLOOKUP(A3224,#REF!,2,0),"")</f>
        <v/>
      </c>
      <c r="G3224" s="3">
        <f t="array" ref="G3224">_xlfn.XLOOKUP(I3224,Base_Datos!D:D,Base_Datos!B:B,"")</f>
        <v>0</v>
      </c>
      <c r="H3224" s="3" t="str">
        <f t="array" ref="H3224">IF(I3224="","",IFERROR(_xlfn.XLOOKUP(I3224,Base_Datos!$D$2:$D3876,Base_Datos!$C$2:$C3876),""))</f>
        <v/>
      </c>
      <c r="I3224" s="3"/>
      <c r="J3224" s="3" t="str">
        <f>IF(I3224="","",IFERROR(VLOOKUP(I3224,Base_Datos!$D$2:$E$72,2,0),""))</f>
        <v/>
      </c>
      <c r="K3224" s="3"/>
      <c r="L3224" s="3"/>
      <c r="M3224" s="3"/>
      <c r="N3224" s="3"/>
    </row>
    <row r="3225" spans="1:14" ht="14.25" x14ac:dyDescent="0.2">
      <c r="A3225" s="3"/>
      <c r="B3225" s="3"/>
      <c r="C3225" s="3"/>
      <c r="D3225" s="6"/>
      <c r="E3225" s="10"/>
      <c r="F3225" s="3" t="str">
        <f>IFERROR( VLOOKUP(A3225,#REF!,2,0),"")</f>
        <v/>
      </c>
      <c r="G3225" s="3">
        <f t="array" ref="G3225">_xlfn.XLOOKUP(I3225,Base_Datos!D:D,Base_Datos!B:B,"")</f>
        <v>0</v>
      </c>
      <c r="H3225" s="3" t="str">
        <f t="array" ref="H3225">IF(I3225="","",IFERROR(_xlfn.XLOOKUP(I3225,Base_Datos!$D$2:$D3876,Base_Datos!$C$2:$C3876),""))</f>
        <v/>
      </c>
      <c r="I3225" s="3"/>
      <c r="J3225" s="3" t="str">
        <f>IF(I3225="","",IFERROR(VLOOKUP(I3225,Base_Datos!$D$2:$E$72,2,0),""))</f>
        <v/>
      </c>
      <c r="K3225" s="3"/>
      <c r="L3225" s="3"/>
      <c r="M3225" s="3"/>
      <c r="N3225" s="3"/>
    </row>
    <row r="3226" spans="1:14" ht="14.25" x14ac:dyDescent="0.2">
      <c r="A3226" s="3"/>
      <c r="B3226" s="3"/>
      <c r="C3226" s="3"/>
      <c r="D3226" s="6"/>
      <c r="E3226" s="10"/>
      <c r="F3226" s="3" t="str">
        <f>IFERROR( VLOOKUP(A3226,#REF!,2,0),"")</f>
        <v/>
      </c>
      <c r="G3226" s="3">
        <f t="array" ref="G3226">_xlfn.XLOOKUP(I3226,Base_Datos!D:D,Base_Datos!B:B,"")</f>
        <v>0</v>
      </c>
      <c r="H3226" s="3" t="str">
        <f t="array" ref="H3226">IF(I3226="","",IFERROR(_xlfn.XLOOKUP(I3226,Base_Datos!$D$2:$D3876,Base_Datos!$C$2:$C3876),""))</f>
        <v/>
      </c>
      <c r="I3226" s="3"/>
      <c r="J3226" s="3" t="str">
        <f>IF(I3226="","",IFERROR(VLOOKUP(I3226,Base_Datos!$D$2:$E$72,2,0),""))</f>
        <v/>
      </c>
      <c r="K3226" s="3"/>
      <c r="L3226" s="3"/>
      <c r="M3226" s="3"/>
      <c r="N3226" s="3"/>
    </row>
    <row r="3227" spans="1:14" ht="14.25" x14ac:dyDescent="0.2">
      <c r="A3227" s="3"/>
      <c r="B3227" s="3"/>
      <c r="C3227" s="3"/>
      <c r="D3227" s="6"/>
      <c r="E3227" s="10"/>
      <c r="F3227" s="3" t="str">
        <f>IFERROR( VLOOKUP(A3227,#REF!,2,0),"")</f>
        <v/>
      </c>
      <c r="G3227" s="3">
        <f t="array" ref="G3227">_xlfn.XLOOKUP(I3227,Base_Datos!D:D,Base_Datos!B:B,"")</f>
        <v>0</v>
      </c>
      <c r="H3227" s="3" t="str">
        <f t="array" ref="H3227">IF(I3227="","",IFERROR(_xlfn.XLOOKUP(I3227,Base_Datos!$D$2:$D3876,Base_Datos!$C$2:$C3876),""))</f>
        <v/>
      </c>
      <c r="I3227" s="3"/>
      <c r="J3227" s="3" t="str">
        <f>IF(I3227="","",IFERROR(VLOOKUP(I3227,Base_Datos!$D$2:$E$72,2,0),""))</f>
        <v/>
      </c>
      <c r="K3227" s="3"/>
      <c r="L3227" s="3"/>
      <c r="M3227" s="3"/>
      <c r="N3227" s="3"/>
    </row>
    <row r="3228" spans="1:14" ht="14.25" x14ac:dyDescent="0.2">
      <c r="A3228" s="3"/>
      <c r="B3228" s="3"/>
      <c r="C3228" s="3"/>
      <c r="D3228" s="6"/>
      <c r="E3228" s="10"/>
      <c r="F3228" s="3" t="str">
        <f>IFERROR( VLOOKUP(A3228,#REF!,2,0),"")</f>
        <v/>
      </c>
      <c r="G3228" s="3">
        <f t="array" ref="G3228">_xlfn.XLOOKUP(I3228,Base_Datos!D:D,Base_Datos!B:B,"")</f>
        <v>0</v>
      </c>
      <c r="H3228" s="3" t="str">
        <f t="array" ref="H3228">IF(I3228="","",IFERROR(_xlfn.XLOOKUP(I3228,Base_Datos!$D$2:$D3876,Base_Datos!$C$2:$C3876),""))</f>
        <v/>
      </c>
      <c r="I3228" s="3"/>
      <c r="J3228" s="3" t="str">
        <f>IF(I3228="","",IFERROR(VLOOKUP(I3228,Base_Datos!$D$2:$E$72,2,0),""))</f>
        <v/>
      </c>
      <c r="K3228" s="3"/>
      <c r="L3228" s="3"/>
      <c r="M3228" s="3"/>
      <c r="N3228" s="3"/>
    </row>
    <row r="3229" spans="1:14" ht="14.25" x14ac:dyDescent="0.2">
      <c r="A3229" s="3"/>
      <c r="B3229" s="3"/>
      <c r="C3229" s="3"/>
      <c r="D3229" s="6"/>
      <c r="E3229" s="10"/>
      <c r="F3229" s="3" t="str">
        <f>IFERROR( VLOOKUP(A3229,#REF!,2,0),"")</f>
        <v/>
      </c>
      <c r="G3229" s="3">
        <f t="array" ref="G3229">_xlfn.XLOOKUP(I3229,Base_Datos!D:D,Base_Datos!B:B,"")</f>
        <v>0</v>
      </c>
      <c r="H3229" s="3" t="str">
        <f t="array" ref="H3229">IF(I3229="","",IFERROR(_xlfn.XLOOKUP(I3229,Base_Datos!$D$2:$D3876,Base_Datos!$C$2:$C3876),""))</f>
        <v/>
      </c>
      <c r="I3229" s="3"/>
      <c r="J3229" s="3" t="str">
        <f>IF(I3229="","",IFERROR(VLOOKUP(I3229,Base_Datos!$D$2:$E$72,2,0),""))</f>
        <v/>
      </c>
      <c r="K3229" s="3"/>
      <c r="L3229" s="3"/>
      <c r="M3229" s="3"/>
      <c r="N3229" s="3"/>
    </row>
    <row r="3230" spans="1:14" ht="14.25" x14ac:dyDescent="0.2">
      <c r="A3230" s="3"/>
      <c r="B3230" s="3"/>
      <c r="C3230" s="3"/>
      <c r="D3230" s="6"/>
      <c r="E3230" s="10"/>
      <c r="F3230" s="3" t="str">
        <f>IFERROR( VLOOKUP(A3230,#REF!,2,0),"")</f>
        <v/>
      </c>
      <c r="G3230" s="3">
        <f t="array" ref="G3230">_xlfn.XLOOKUP(I3230,Base_Datos!D:D,Base_Datos!B:B,"")</f>
        <v>0</v>
      </c>
      <c r="H3230" s="3" t="str">
        <f t="array" ref="H3230">IF(I3230="","",IFERROR(_xlfn.XLOOKUP(I3230,Base_Datos!$D$2:$D3876,Base_Datos!$C$2:$C3876),""))</f>
        <v/>
      </c>
      <c r="I3230" s="3"/>
      <c r="J3230" s="3" t="str">
        <f>IF(I3230="","",IFERROR(VLOOKUP(I3230,Base_Datos!$D$2:$E$72,2,0),""))</f>
        <v/>
      </c>
      <c r="K3230" s="3"/>
      <c r="L3230" s="3"/>
      <c r="M3230" s="3"/>
      <c r="N3230" s="3"/>
    </row>
    <row r="3231" spans="1:14" ht="14.25" x14ac:dyDescent="0.2">
      <c r="A3231" s="3"/>
      <c r="B3231" s="3"/>
      <c r="C3231" s="3"/>
      <c r="D3231" s="6"/>
      <c r="E3231" s="10"/>
      <c r="F3231" s="3" t="str">
        <f>IFERROR( VLOOKUP(A3231,#REF!,2,0),"")</f>
        <v/>
      </c>
      <c r="G3231" s="3">
        <f t="array" ref="G3231">_xlfn.XLOOKUP(I3231,Base_Datos!D:D,Base_Datos!B:B,"")</f>
        <v>0</v>
      </c>
      <c r="H3231" s="3" t="str">
        <f t="array" ref="H3231">IF(I3231="","",IFERROR(_xlfn.XLOOKUP(I3231,Base_Datos!$D$2:$D3876,Base_Datos!$C$2:$C3876),""))</f>
        <v/>
      </c>
      <c r="I3231" s="3"/>
      <c r="J3231" s="3" t="str">
        <f>IF(I3231="","",IFERROR(VLOOKUP(I3231,Base_Datos!$D$2:$E$72,2,0),""))</f>
        <v/>
      </c>
      <c r="K3231" s="3"/>
      <c r="L3231" s="3"/>
      <c r="M3231" s="3"/>
      <c r="N3231" s="3"/>
    </row>
    <row r="3232" spans="1:14" ht="14.25" x14ac:dyDescent="0.2">
      <c r="A3232" s="3"/>
      <c r="B3232" s="3"/>
      <c r="C3232" s="3"/>
      <c r="D3232" s="6"/>
      <c r="E3232" s="10"/>
      <c r="F3232" s="3" t="str">
        <f>IFERROR( VLOOKUP(A3232,#REF!,2,0),"")</f>
        <v/>
      </c>
      <c r="G3232" s="3">
        <f t="array" ref="G3232">_xlfn.XLOOKUP(I3232,Base_Datos!D:D,Base_Datos!B:B,"")</f>
        <v>0</v>
      </c>
      <c r="H3232" s="3" t="str">
        <f t="array" ref="H3232">IF(I3232="","",IFERROR(_xlfn.XLOOKUP(I3232,Base_Datos!$D$2:$D3876,Base_Datos!$C$2:$C3876),""))</f>
        <v/>
      </c>
      <c r="I3232" s="3"/>
      <c r="J3232" s="3" t="str">
        <f>IF(I3232="","",IFERROR(VLOOKUP(I3232,Base_Datos!$D$2:$E$72,2,0),""))</f>
        <v/>
      </c>
      <c r="K3232" s="3"/>
      <c r="L3232" s="3"/>
      <c r="M3232" s="3"/>
      <c r="N3232" s="3"/>
    </row>
    <row r="3233" spans="1:14" ht="14.25" x14ac:dyDescent="0.2">
      <c r="A3233" s="3"/>
      <c r="B3233" s="3"/>
      <c r="C3233" s="3"/>
      <c r="D3233" s="6"/>
      <c r="E3233" s="10"/>
      <c r="F3233" s="3" t="str">
        <f>IFERROR( VLOOKUP(A3233,#REF!,2,0),"")</f>
        <v/>
      </c>
      <c r="G3233" s="3">
        <f t="array" ref="G3233">_xlfn.XLOOKUP(I3233,Base_Datos!D:D,Base_Datos!B:B,"")</f>
        <v>0</v>
      </c>
      <c r="H3233" s="3" t="str">
        <f t="array" ref="H3233">IF(I3233="","",IFERROR(_xlfn.XLOOKUP(I3233,Base_Datos!$D$2:$D3876,Base_Datos!$C$2:$C3876),""))</f>
        <v/>
      </c>
      <c r="I3233" s="3"/>
      <c r="J3233" s="3" t="str">
        <f>IF(I3233="","",IFERROR(VLOOKUP(I3233,Base_Datos!$D$2:$E$72,2,0),""))</f>
        <v/>
      </c>
      <c r="K3233" s="3"/>
      <c r="L3233" s="3"/>
      <c r="M3233" s="3"/>
      <c r="N3233" s="3"/>
    </row>
    <row r="3234" spans="1:14" ht="14.25" x14ac:dyDescent="0.2">
      <c r="A3234" s="3"/>
      <c r="B3234" s="3"/>
      <c r="C3234" s="3"/>
      <c r="D3234" s="6"/>
      <c r="E3234" s="10"/>
      <c r="F3234" s="3" t="str">
        <f>IFERROR( VLOOKUP(A3234,#REF!,2,0),"")</f>
        <v/>
      </c>
      <c r="G3234" s="3">
        <f t="array" ref="G3234">_xlfn.XLOOKUP(I3234,Base_Datos!D:D,Base_Datos!B:B,"")</f>
        <v>0</v>
      </c>
      <c r="H3234" s="3" t="str">
        <f t="array" ref="H3234">IF(I3234="","",IFERROR(_xlfn.XLOOKUP(I3234,Base_Datos!$D$2:$D3876,Base_Datos!$C$2:$C3876),""))</f>
        <v/>
      </c>
      <c r="I3234" s="3"/>
      <c r="J3234" s="3" t="str">
        <f>IF(I3234="","",IFERROR(VLOOKUP(I3234,Base_Datos!$D$2:$E$72,2,0),""))</f>
        <v/>
      </c>
      <c r="K3234" s="3"/>
      <c r="L3234" s="3"/>
      <c r="M3234" s="3"/>
      <c r="N3234" s="3"/>
    </row>
    <row r="3235" spans="1:14" ht="14.25" x14ac:dyDescent="0.2">
      <c r="A3235" s="3"/>
      <c r="B3235" s="3"/>
      <c r="C3235" s="3"/>
      <c r="D3235" s="6"/>
      <c r="E3235" s="10"/>
      <c r="F3235" s="3" t="str">
        <f>IFERROR( VLOOKUP(A3235,#REF!,2,0),"")</f>
        <v/>
      </c>
      <c r="G3235" s="3">
        <f t="array" ref="G3235">_xlfn.XLOOKUP(I3235,Base_Datos!D:D,Base_Datos!B:B,"")</f>
        <v>0</v>
      </c>
      <c r="H3235" s="3" t="str">
        <f t="array" ref="H3235">IF(I3235="","",IFERROR(_xlfn.XLOOKUP(I3235,Base_Datos!$D$2:$D3876,Base_Datos!$C$2:$C3876),""))</f>
        <v/>
      </c>
      <c r="I3235" s="3"/>
      <c r="J3235" s="3" t="str">
        <f>IF(I3235="","",IFERROR(VLOOKUP(I3235,Base_Datos!$D$2:$E$72,2,0),""))</f>
        <v/>
      </c>
      <c r="K3235" s="3"/>
      <c r="L3235" s="3"/>
      <c r="M3235" s="3"/>
      <c r="N3235" s="3"/>
    </row>
    <row r="3236" spans="1:14" ht="14.25" x14ac:dyDescent="0.2">
      <c r="A3236" s="3"/>
      <c r="B3236" s="3"/>
      <c r="C3236" s="3"/>
      <c r="D3236" s="6"/>
      <c r="E3236" s="10"/>
      <c r="F3236" s="3" t="str">
        <f>IFERROR( VLOOKUP(A3236,#REF!,2,0),"")</f>
        <v/>
      </c>
      <c r="G3236" s="3">
        <f t="array" ref="G3236">_xlfn.XLOOKUP(I3236,Base_Datos!D:D,Base_Datos!B:B,"")</f>
        <v>0</v>
      </c>
      <c r="H3236" s="3" t="str">
        <f t="array" ref="H3236">IF(I3236="","",IFERROR(_xlfn.XLOOKUP(I3236,Base_Datos!$D$2:$D3876,Base_Datos!$C$2:$C3876),""))</f>
        <v/>
      </c>
      <c r="I3236" s="3"/>
      <c r="J3236" s="3" t="str">
        <f>IF(I3236="","",IFERROR(VLOOKUP(I3236,Base_Datos!$D$2:$E$72,2,0),""))</f>
        <v/>
      </c>
      <c r="K3236" s="3"/>
      <c r="L3236" s="3"/>
      <c r="M3236" s="3"/>
      <c r="N3236" s="3"/>
    </row>
    <row r="3237" spans="1:14" ht="14.25" x14ac:dyDescent="0.2">
      <c r="A3237" s="3"/>
      <c r="B3237" s="3"/>
      <c r="C3237" s="3"/>
      <c r="D3237" s="6"/>
      <c r="E3237" s="10"/>
      <c r="F3237" s="3" t="str">
        <f>IFERROR( VLOOKUP(A3237,#REF!,2,0),"")</f>
        <v/>
      </c>
      <c r="G3237" s="3">
        <f t="array" ref="G3237">_xlfn.XLOOKUP(I3237,Base_Datos!D:D,Base_Datos!B:B,"")</f>
        <v>0</v>
      </c>
      <c r="H3237" s="3" t="str">
        <f t="array" ref="H3237">IF(I3237="","",IFERROR(_xlfn.XLOOKUP(I3237,Base_Datos!$D$2:$D3876,Base_Datos!$C$2:$C3876),""))</f>
        <v/>
      </c>
      <c r="I3237" s="3"/>
      <c r="J3237" s="3" t="str">
        <f>IF(I3237="","",IFERROR(VLOOKUP(I3237,Base_Datos!$D$2:$E$72,2,0),""))</f>
        <v/>
      </c>
      <c r="K3237" s="3"/>
      <c r="L3237" s="3"/>
      <c r="M3237" s="3"/>
      <c r="N3237" s="3"/>
    </row>
    <row r="3238" spans="1:14" ht="14.25" x14ac:dyDescent="0.2">
      <c r="A3238" s="3"/>
      <c r="B3238" s="3"/>
      <c r="C3238" s="3"/>
      <c r="D3238" s="6"/>
      <c r="E3238" s="10"/>
      <c r="F3238" s="3" t="str">
        <f>IFERROR( VLOOKUP(A3238,#REF!,2,0),"")</f>
        <v/>
      </c>
      <c r="G3238" s="3">
        <f t="array" ref="G3238">_xlfn.XLOOKUP(I3238,Base_Datos!D:D,Base_Datos!B:B,"")</f>
        <v>0</v>
      </c>
      <c r="H3238" s="3" t="str">
        <f t="array" ref="H3238">IF(I3238="","",IFERROR(_xlfn.XLOOKUP(I3238,Base_Datos!$D$2:$D3876,Base_Datos!$C$2:$C3876),""))</f>
        <v/>
      </c>
      <c r="I3238" s="3"/>
      <c r="J3238" s="3" t="str">
        <f>IF(I3238="","",IFERROR(VLOOKUP(I3238,Base_Datos!$D$2:$E$72,2,0),""))</f>
        <v/>
      </c>
      <c r="K3238" s="3"/>
      <c r="L3238" s="3"/>
      <c r="M3238" s="3"/>
      <c r="N3238" s="3"/>
    </row>
    <row r="3239" spans="1:14" ht="14.25" x14ac:dyDescent="0.2">
      <c r="A3239" s="3"/>
      <c r="B3239" s="3"/>
      <c r="C3239" s="3"/>
      <c r="D3239" s="6"/>
      <c r="E3239" s="10"/>
      <c r="F3239" s="3" t="str">
        <f>IFERROR( VLOOKUP(A3239,#REF!,2,0),"")</f>
        <v/>
      </c>
      <c r="G3239" s="3">
        <f t="array" ref="G3239">_xlfn.XLOOKUP(I3239,Base_Datos!D:D,Base_Datos!B:B,"")</f>
        <v>0</v>
      </c>
      <c r="H3239" s="3" t="str">
        <f t="array" ref="H3239">IF(I3239="","",IFERROR(_xlfn.XLOOKUP(I3239,Base_Datos!$D$2:$D3876,Base_Datos!$C$2:$C3876),""))</f>
        <v/>
      </c>
      <c r="I3239" s="3"/>
      <c r="J3239" s="3" t="str">
        <f>IF(I3239="","",IFERROR(VLOOKUP(I3239,Base_Datos!$D$2:$E$72,2,0),""))</f>
        <v/>
      </c>
      <c r="K3239" s="3"/>
      <c r="L3239" s="3"/>
      <c r="M3239" s="3"/>
      <c r="N3239" s="3"/>
    </row>
    <row r="3240" spans="1:14" ht="14.25" x14ac:dyDescent="0.2">
      <c r="A3240" s="3"/>
      <c r="B3240" s="3"/>
      <c r="C3240" s="3"/>
      <c r="D3240" s="6"/>
      <c r="E3240" s="10"/>
      <c r="F3240" s="3" t="str">
        <f>IFERROR( VLOOKUP(A3240,#REF!,2,0),"")</f>
        <v/>
      </c>
      <c r="G3240" s="3">
        <f t="array" ref="G3240">_xlfn.XLOOKUP(I3240,Base_Datos!D:D,Base_Datos!B:B,"")</f>
        <v>0</v>
      </c>
      <c r="H3240" s="3" t="str">
        <f t="array" ref="H3240">IF(I3240="","",IFERROR(_xlfn.XLOOKUP(I3240,Base_Datos!$D$2:$D3876,Base_Datos!$C$2:$C3876),""))</f>
        <v/>
      </c>
      <c r="I3240" s="3"/>
      <c r="J3240" s="3" t="str">
        <f>IF(I3240="","",IFERROR(VLOOKUP(I3240,Base_Datos!$D$2:$E$72,2,0),""))</f>
        <v/>
      </c>
      <c r="K3240" s="3"/>
      <c r="L3240" s="3"/>
      <c r="M3240" s="3"/>
      <c r="N3240" s="3"/>
    </row>
    <row r="3241" spans="1:14" ht="14.25" x14ac:dyDescent="0.2">
      <c r="A3241" s="3"/>
      <c r="B3241" s="3"/>
      <c r="C3241" s="3"/>
      <c r="D3241" s="6"/>
      <c r="E3241" s="10"/>
      <c r="F3241" s="3" t="str">
        <f>IFERROR( VLOOKUP(A3241,#REF!,2,0),"")</f>
        <v/>
      </c>
      <c r="G3241" s="3">
        <f t="array" ref="G3241">_xlfn.XLOOKUP(I3241,Base_Datos!D:D,Base_Datos!B:B,"")</f>
        <v>0</v>
      </c>
      <c r="H3241" s="3" t="str">
        <f t="array" ref="H3241">IF(I3241="","",IFERROR(_xlfn.XLOOKUP(I3241,Base_Datos!$D$2:$D3876,Base_Datos!$C$2:$C3876),""))</f>
        <v/>
      </c>
      <c r="I3241" s="3"/>
      <c r="J3241" s="3" t="str">
        <f>IF(I3241="","",IFERROR(VLOOKUP(I3241,Base_Datos!$D$2:$E$72,2,0),""))</f>
        <v/>
      </c>
      <c r="K3241" s="3"/>
      <c r="L3241" s="3"/>
      <c r="M3241" s="3"/>
      <c r="N3241" s="3"/>
    </row>
    <row r="3242" spans="1:14" ht="14.25" x14ac:dyDescent="0.2">
      <c r="A3242" s="3"/>
      <c r="B3242" s="3"/>
      <c r="C3242" s="3"/>
      <c r="D3242" s="6"/>
      <c r="E3242" s="10"/>
      <c r="F3242" s="3" t="str">
        <f>IFERROR( VLOOKUP(A3242,#REF!,2,0),"")</f>
        <v/>
      </c>
      <c r="G3242" s="3">
        <f t="array" ref="G3242">_xlfn.XLOOKUP(I3242,Base_Datos!D:D,Base_Datos!B:B,"")</f>
        <v>0</v>
      </c>
      <c r="H3242" s="3" t="str">
        <f t="array" ref="H3242">IF(I3242="","",IFERROR(_xlfn.XLOOKUP(I3242,Base_Datos!$D$2:$D3876,Base_Datos!$C$2:$C3876),""))</f>
        <v/>
      </c>
      <c r="I3242" s="3"/>
      <c r="J3242" s="3" t="str">
        <f>IF(I3242="","",IFERROR(VLOOKUP(I3242,Base_Datos!$D$2:$E$72,2,0),""))</f>
        <v/>
      </c>
      <c r="K3242" s="3"/>
      <c r="L3242" s="3"/>
      <c r="M3242" s="3"/>
      <c r="N3242" s="3"/>
    </row>
    <row r="3243" spans="1:14" ht="14.25" x14ac:dyDescent="0.2">
      <c r="A3243" s="3"/>
      <c r="B3243" s="3"/>
      <c r="C3243" s="3"/>
      <c r="D3243" s="6"/>
      <c r="E3243" s="10"/>
      <c r="F3243" s="3" t="str">
        <f>IFERROR( VLOOKUP(A3243,#REF!,2,0),"")</f>
        <v/>
      </c>
      <c r="G3243" s="3">
        <f t="array" ref="G3243">_xlfn.XLOOKUP(I3243,Base_Datos!D:D,Base_Datos!B:B,"")</f>
        <v>0</v>
      </c>
      <c r="H3243" s="3" t="str">
        <f t="array" ref="H3243">IF(I3243="","",IFERROR(_xlfn.XLOOKUP(I3243,Base_Datos!$D$2:$D3876,Base_Datos!$C$2:$C3876),""))</f>
        <v/>
      </c>
      <c r="I3243" s="3"/>
      <c r="J3243" s="3" t="str">
        <f>IF(I3243="","",IFERROR(VLOOKUP(I3243,Base_Datos!$D$2:$E$72,2,0),""))</f>
        <v/>
      </c>
      <c r="K3243" s="3"/>
      <c r="L3243" s="3"/>
      <c r="M3243" s="3"/>
      <c r="N3243" s="3"/>
    </row>
    <row r="3244" spans="1:14" ht="14.25" x14ac:dyDescent="0.2">
      <c r="A3244" s="3"/>
      <c r="B3244" s="3"/>
      <c r="C3244" s="3"/>
      <c r="D3244" s="6"/>
      <c r="E3244" s="10"/>
      <c r="F3244" s="3" t="str">
        <f>IFERROR( VLOOKUP(A3244,#REF!,2,0),"")</f>
        <v/>
      </c>
      <c r="G3244" s="3">
        <f t="array" ref="G3244">_xlfn.XLOOKUP(I3244,Base_Datos!D:D,Base_Datos!B:B,"")</f>
        <v>0</v>
      </c>
      <c r="H3244" s="3" t="str">
        <f t="array" ref="H3244">IF(I3244="","",IFERROR(_xlfn.XLOOKUP(I3244,Base_Datos!$D$2:$D3876,Base_Datos!$C$2:$C3876),""))</f>
        <v/>
      </c>
      <c r="I3244" s="3"/>
      <c r="J3244" s="3" t="str">
        <f>IF(I3244="","",IFERROR(VLOOKUP(I3244,Base_Datos!$D$2:$E$72,2,0),""))</f>
        <v/>
      </c>
      <c r="K3244" s="3"/>
      <c r="L3244" s="3"/>
      <c r="M3244" s="3"/>
      <c r="N3244" s="3"/>
    </row>
    <row r="3245" spans="1:14" ht="14.25" x14ac:dyDescent="0.2">
      <c r="A3245" s="3"/>
      <c r="B3245" s="3"/>
      <c r="C3245" s="3"/>
      <c r="D3245" s="6"/>
      <c r="E3245" s="10"/>
      <c r="F3245" s="3" t="str">
        <f>IFERROR( VLOOKUP(A3245,#REF!,2,0),"")</f>
        <v/>
      </c>
      <c r="G3245" s="3">
        <f t="array" ref="G3245">_xlfn.XLOOKUP(I3245,Base_Datos!D:D,Base_Datos!B:B,"")</f>
        <v>0</v>
      </c>
      <c r="H3245" s="3" t="str">
        <f t="array" ref="H3245">IF(I3245="","",IFERROR(_xlfn.XLOOKUP(I3245,Base_Datos!$D$2:$D3876,Base_Datos!$C$2:$C3876),""))</f>
        <v/>
      </c>
      <c r="I3245" s="3"/>
      <c r="J3245" s="3" t="str">
        <f>IF(I3245="","",IFERROR(VLOOKUP(I3245,Base_Datos!$D$2:$E$72,2,0),""))</f>
        <v/>
      </c>
      <c r="K3245" s="3"/>
      <c r="L3245" s="3"/>
      <c r="M3245" s="3"/>
      <c r="N3245" s="3"/>
    </row>
    <row r="3246" spans="1:14" ht="14.25" x14ac:dyDescent="0.2">
      <c r="A3246" s="3"/>
      <c r="B3246" s="3"/>
      <c r="C3246" s="3"/>
      <c r="D3246" s="6"/>
      <c r="E3246" s="10"/>
      <c r="F3246" s="3" t="str">
        <f>IFERROR( VLOOKUP(A3246,#REF!,2,0),"")</f>
        <v/>
      </c>
      <c r="G3246" s="3">
        <f t="array" ref="G3246">_xlfn.XLOOKUP(I3246,Base_Datos!D:D,Base_Datos!B:B,"")</f>
        <v>0</v>
      </c>
      <c r="H3246" s="3" t="str">
        <f t="array" ref="H3246">IF(I3246="","",IFERROR(_xlfn.XLOOKUP(I3246,Base_Datos!$D$2:$D3876,Base_Datos!$C$2:$C3876),""))</f>
        <v/>
      </c>
      <c r="I3246" s="3"/>
      <c r="J3246" s="3" t="str">
        <f>IF(I3246="","",IFERROR(VLOOKUP(I3246,Base_Datos!$D$2:$E$72,2,0),""))</f>
        <v/>
      </c>
      <c r="K3246" s="3"/>
      <c r="L3246" s="3"/>
      <c r="M3246" s="3"/>
      <c r="N3246" s="3"/>
    </row>
    <row r="3247" spans="1:14" ht="14.25" x14ac:dyDescent="0.2">
      <c r="A3247" s="3"/>
      <c r="B3247" s="3"/>
      <c r="C3247" s="3"/>
      <c r="D3247" s="6"/>
      <c r="E3247" s="10"/>
      <c r="F3247" s="3" t="str">
        <f>IFERROR( VLOOKUP(A3247,#REF!,2,0),"")</f>
        <v/>
      </c>
      <c r="G3247" s="3">
        <f t="array" ref="G3247">_xlfn.XLOOKUP(I3247,Base_Datos!D:D,Base_Datos!B:B,"")</f>
        <v>0</v>
      </c>
      <c r="H3247" s="3" t="str">
        <f t="array" ref="H3247">IF(I3247="","",IFERROR(_xlfn.XLOOKUP(I3247,Base_Datos!$D$2:$D3876,Base_Datos!$C$2:$C3876),""))</f>
        <v/>
      </c>
      <c r="I3247" s="3"/>
      <c r="J3247" s="3" t="str">
        <f>IF(I3247="","",IFERROR(VLOOKUP(I3247,Base_Datos!$D$2:$E$72,2,0),""))</f>
        <v/>
      </c>
      <c r="K3247" s="3"/>
      <c r="L3247" s="3"/>
      <c r="M3247" s="3"/>
      <c r="N3247" s="3"/>
    </row>
    <row r="3248" spans="1:14" ht="14.25" x14ac:dyDescent="0.2">
      <c r="A3248" s="3"/>
      <c r="B3248" s="3"/>
      <c r="C3248" s="3"/>
      <c r="D3248" s="6"/>
      <c r="E3248" s="10"/>
      <c r="F3248" s="3" t="str">
        <f>IFERROR( VLOOKUP(A3248,#REF!,2,0),"")</f>
        <v/>
      </c>
      <c r="G3248" s="3">
        <f t="array" ref="G3248">_xlfn.XLOOKUP(I3248,Base_Datos!D:D,Base_Datos!B:B,"")</f>
        <v>0</v>
      </c>
      <c r="H3248" s="3" t="str">
        <f t="array" ref="H3248">IF(I3248="","",IFERROR(_xlfn.XLOOKUP(I3248,Base_Datos!$D$2:$D3876,Base_Datos!$C$2:$C3876),""))</f>
        <v/>
      </c>
      <c r="I3248" s="3"/>
      <c r="J3248" s="3" t="str">
        <f>IF(I3248="","",IFERROR(VLOOKUP(I3248,Base_Datos!$D$2:$E$72,2,0),""))</f>
        <v/>
      </c>
      <c r="K3248" s="3"/>
      <c r="L3248" s="3"/>
      <c r="M3248" s="3"/>
      <c r="N3248" s="3"/>
    </row>
    <row r="3249" spans="1:14" ht="14.25" x14ac:dyDescent="0.2">
      <c r="A3249" s="3"/>
      <c r="B3249" s="3"/>
      <c r="C3249" s="3"/>
      <c r="D3249" s="6"/>
      <c r="E3249" s="10"/>
      <c r="F3249" s="3" t="str">
        <f>IFERROR( VLOOKUP(A3249,#REF!,2,0),"")</f>
        <v/>
      </c>
      <c r="G3249" s="3">
        <f t="array" ref="G3249">_xlfn.XLOOKUP(I3249,Base_Datos!D:D,Base_Datos!B:B,"")</f>
        <v>0</v>
      </c>
      <c r="H3249" s="3" t="str">
        <f t="array" ref="H3249">IF(I3249="","",IFERROR(_xlfn.XLOOKUP(I3249,Base_Datos!$D$2:$D3876,Base_Datos!$C$2:$C3876),""))</f>
        <v/>
      </c>
      <c r="I3249" s="3"/>
      <c r="J3249" s="3" t="str">
        <f>IF(I3249="","",IFERROR(VLOOKUP(I3249,Base_Datos!$D$2:$E$72,2,0),""))</f>
        <v/>
      </c>
      <c r="K3249" s="3"/>
      <c r="L3249" s="3"/>
      <c r="M3249" s="3"/>
      <c r="N3249" s="3"/>
    </row>
    <row r="3250" spans="1:14" ht="14.25" x14ac:dyDescent="0.2">
      <c r="A3250" s="3"/>
      <c r="B3250" s="3"/>
      <c r="C3250" s="3"/>
      <c r="D3250" s="6"/>
      <c r="E3250" s="10"/>
      <c r="F3250" s="3" t="str">
        <f>IFERROR( VLOOKUP(A3250,#REF!,2,0),"")</f>
        <v/>
      </c>
      <c r="G3250" s="3">
        <f t="array" ref="G3250">_xlfn.XLOOKUP(I3250,Base_Datos!D:D,Base_Datos!B:B,"")</f>
        <v>0</v>
      </c>
      <c r="H3250" s="3" t="str">
        <f t="array" ref="H3250">IF(I3250="","",IFERROR(_xlfn.XLOOKUP(I3250,Base_Datos!$D$2:$D3876,Base_Datos!$C$2:$C3876),""))</f>
        <v/>
      </c>
      <c r="I3250" s="3"/>
      <c r="J3250" s="3" t="str">
        <f>IF(I3250="","",IFERROR(VLOOKUP(I3250,Base_Datos!$D$2:$E$72,2,0),""))</f>
        <v/>
      </c>
      <c r="K3250" s="3"/>
      <c r="L3250" s="3"/>
      <c r="M3250" s="3"/>
      <c r="N3250" s="3"/>
    </row>
    <row r="3251" spans="1:14" ht="14.25" x14ac:dyDescent="0.2">
      <c r="A3251" s="3"/>
      <c r="B3251" s="3"/>
      <c r="C3251" s="3"/>
      <c r="D3251" s="6"/>
      <c r="E3251" s="10"/>
      <c r="F3251" s="3" t="str">
        <f>IFERROR( VLOOKUP(A3251,#REF!,2,0),"")</f>
        <v/>
      </c>
      <c r="G3251" s="3">
        <f t="array" ref="G3251">_xlfn.XLOOKUP(I3251,Base_Datos!D:D,Base_Datos!B:B,"")</f>
        <v>0</v>
      </c>
      <c r="H3251" s="3" t="str">
        <f t="array" ref="H3251">IF(I3251="","",IFERROR(_xlfn.XLOOKUP(I3251,Base_Datos!$D$2:$D3876,Base_Datos!$C$2:$C3876),""))</f>
        <v/>
      </c>
      <c r="I3251" s="3"/>
      <c r="J3251" s="3" t="str">
        <f>IF(I3251="","",IFERROR(VLOOKUP(I3251,Base_Datos!$D$2:$E$72,2,0),""))</f>
        <v/>
      </c>
      <c r="K3251" s="3"/>
      <c r="L3251" s="3"/>
      <c r="M3251" s="3"/>
      <c r="N3251" s="3"/>
    </row>
    <row r="3252" spans="1:14" ht="14.25" x14ac:dyDescent="0.2">
      <c r="A3252" s="3"/>
      <c r="B3252" s="3"/>
      <c r="C3252" s="3"/>
      <c r="D3252" s="6"/>
      <c r="E3252" s="10"/>
      <c r="F3252" s="3" t="str">
        <f>IFERROR( VLOOKUP(A3252,#REF!,2,0),"")</f>
        <v/>
      </c>
      <c r="G3252" s="3">
        <f t="array" ref="G3252">_xlfn.XLOOKUP(I3252,Base_Datos!D:D,Base_Datos!B:B,"")</f>
        <v>0</v>
      </c>
      <c r="H3252" s="3" t="str">
        <f t="array" ref="H3252">IF(I3252="","",IFERROR(_xlfn.XLOOKUP(I3252,Base_Datos!$D$2:$D3876,Base_Datos!$C$2:$C3876),""))</f>
        <v/>
      </c>
      <c r="I3252" s="3"/>
      <c r="J3252" s="3" t="str">
        <f>IF(I3252="","",IFERROR(VLOOKUP(I3252,Base_Datos!$D$2:$E$72,2,0),""))</f>
        <v/>
      </c>
      <c r="K3252" s="3"/>
      <c r="L3252" s="3"/>
      <c r="M3252" s="3"/>
      <c r="N3252" s="3"/>
    </row>
    <row r="3253" spans="1:14" ht="14.25" x14ac:dyDescent="0.2">
      <c r="A3253" s="3"/>
      <c r="B3253" s="3"/>
      <c r="C3253" s="3"/>
      <c r="D3253" s="6"/>
      <c r="E3253" s="10"/>
      <c r="F3253" s="3" t="str">
        <f>IFERROR( VLOOKUP(A3253,#REF!,2,0),"")</f>
        <v/>
      </c>
      <c r="G3253" s="3">
        <f t="array" ref="G3253">_xlfn.XLOOKUP(I3253,Base_Datos!D:D,Base_Datos!B:B,"")</f>
        <v>0</v>
      </c>
      <c r="H3253" s="3" t="str">
        <f t="array" ref="H3253">IF(I3253="","",IFERROR(_xlfn.XLOOKUP(I3253,Base_Datos!$D$2:$D3876,Base_Datos!$C$2:$C3876),""))</f>
        <v/>
      </c>
      <c r="I3253" s="3"/>
      <c r="J3253" s="3" t="str">
        <f>IF(I3253="","",IFERROR(VLOOKUP(I3253,Base_Datos!$D$2:$E$72,2,0),""))</f>
        <v/>
      </c>
      <c r="K3253" s="3"/>
      <c r="L3253" s="3"/>
      <c r="M3253" s="3"/>
      <c r="N3253" s="3"/>
    </row>
    <row r="3254" spans="1:14" ht="14.25" x14ac:dyDescent="0.2">
      <c r="A3254" s="3"/>
      <c r="B3254" s="3"/>
      <c r="C3254" s="3"/>
      <c r="D3254" s="6"/>
      <c r="E3254" s="10"/>
      <c r="F3254" s="3" t="str">
        <f>IFERROR( VLOOKUP(A3254,#REF!,2,0),"")</f>
        <v/>
      </c>
      <c r="G3254" s="3">
        <f t="array" ref="G3254">_xlfn.XLOOKUP(I3254,Base_Datos!D:D,Base_Datos!B:B,"")</f>
        <v>0</v>
      </c>
      <c r="H3254" s="3" t="str">
        <f t="array" ref="H3254">IF(I3254="","",IFERROR(_xlfn.XLOOKUP(I3254,Base_Datos!$D$2:$D3876,Base_Datos!$C$2:$C3876),""))</f>
        <v/>
      </c>
      <c r="I3254" s="3"/>
      <c r="J3254" s="3" t="str">
        <f>IF(I3254="","",IFERROR(VLOOKUP(I3254,Base_Datos!$D$2:$E$72,2,0),""))</f>
        <v/>
      </c>
      <c r="K3254" s="3"/>
      <c r="L3254" s="3"/>
      <c r="M3254" s="3"/>
      <c r="N3254" s="3"/>
    </row>
    <row r="3255" spans="1:14" ht="14.25" x14ac:dyDescent="0.2">
      <c r="A3255" s="3"/>
      <c r="B3255" s="3"/>
      <c r="C3255" s="3"/>
      <c r="D3255" s="6"/>
      <c r="E3255" s="10"/>
      <c r="F3255" s="3" t="str">
        <f>IFERROR( VLOOKUP(A3255,#REF!,2,0),"")</f>
        <v/>
      </c>
      <c r="G3255" s="3">
        <f t="array" ref="G3255">_xlfn.XLOOKUP(I3255,Base_Datos!D:D,Base_Datos!B:B,"")</f>
        <v>0</v>
      </c>
      <c r="H3255" s="3" t="str">
        <f t="array" ref="H3255">IF(I3255="","",IFERROR(_xlfn.XLOOKUP(I3255,Base_Datos!$D$2:$D3876,Base_Datos!$C$2:$C3876),""))</f>
        <v/>
      </c>
      <c r="I3255" s="3"/>
      <c r="J3255" s="3" t="str">
        <f>IF(I3255="","",IFERROR(VLOOKUP(I3255,Base_Datos!$D$2:$E$72,2,0),""))</f>
        <v/>
      </c>
      <c r="K3255" s="3"/>
      <c r="L3255" s="3"/>
      <c r="M3255" s="3"/>
      <c r="N3255" s="3"/>
    </row>
    <row r="3256" spans="1:14" ht="14.25" x14ac:dyDescent="0.2">
      <c r="A3256" s="3"/>
      <c r="B3256" s="3"/>
      <c r="C3256" s="3"/>
      <c r="D3256" s="6"/>
      <c r="E3256" s="10"/>
      <c r="F3256" s="3" t="str">
        <f>IFERROR( VLOOKUP(A3256,#REF!,2,0),"")</f>
        <v/>
      </c>
      <c r="G3256" s="3">
        <f t="array" ref="G3256">_xlfn.XLOOKUP(I3256,Base_Datos!D:D,Base_Datos!B:B,"")</f>
        <v>0</v>
      </c>
      <c r="H3256" s="3" t="str">
        <f t="array" ref="H3256">IF(I3256="","",IFERROR(_xlfn.XLOOKUP(I3256,Base_Datos!$D$2:$D3876,Base_Datos!$C$2:$C3876),""))</f>
        <v/>
      </c>
      <c r="I3256" s="3"/>
      <c r="J3256" s="3" t="str">
        <f>IF(I3256="","",IFERROR(VLOOKUP(I3256,Base_Datos!$D$2:$E$72,2,0),""))</f>
        <v/>
      </c>
      <c r="K3256" s="3"/>
      <c r="L3256" s="3"/>
      <c r="M3256" s="3"/>
      <c r="N3256" s="3"/>
    </row>
    <row r="3257" spans="1:14" ht="14.25" x14ac:dyDescent="0.2">
      <c r="A3257" s="3"/>
      <c r="B3257" s="3"/>
      <c r="C3257" s="3"/>
      <c r="D3257" s="6"/>
      <c r="E3257" s="10"/>
      <c r="F3257" s="3" t="str">
        <f>IFERROR( VLOOKUP(A3257,#REF!,2,0),"")</f>
        <v/>
      </c>
      <c r="G3257" s="3">
        <f t="array" ref="G3257">_xlfn.XLOOKUP(I3257,Base_Datos!D:D,Base_Datos!B:B,"")</f>
        <v>0</v>
      </c>
      <c r="H3257" s="3" t="str">
        <f t="array" ref="H3257">IF(I3257="","",IFERROR(_xlfn.XLOOKUP(I3257,Base_Datos!$D$2:$D3876,Base_Datos!$C$2:$C3876),""))</f>
        <v/>
      </c>
      <c r="I3257" s="3"/>
      <c r="J3257" s="3" t="str">
        <f>IF(I3257="","",IFERROR(VLOOKUP(I3257,Base_Datos!$D$2:$E$72,2,0),""))</f>
        <v/>
      </c>
      <c r="K3257" s="3"/>
      <c r="L3257" s="3"/>
      <c r="M3257" s="3"/>
      <c r="N3257" s="3"/>
    </row>
    <row r="3258" spans="1:14" ht="14.25" x14ac:dyDescent="0.2">
      <c r="A3258" s="3"/>
      <c r="B3258" s="3"/>
      <c r="C3258" s="3"/>
      <c r="D3258" s="6"/>
      <c r="E3258" s="10"/>
      <c r="F3258" s="3" t="str">
        <f>IFERROR( VLOOKUP(A3258,#REF!,2,0),"")</f>
        <v/>
      </c>
      <c r="G3258" s="3">
        <f t="array" ref="G3258">_xlfn.XLOOKUP(I3258,Base_Datos!D:D,Base_Datos!B:B,"")</f>
        <v>0</v>
      </c>
      <c r="H3258" s="3" t="str">
        <f t="array" ref="H3258">IF(I3258="","",IFERROR(_xlfn.XLOOKUP(I3258,Base_Datos!$D$2:$D3876,Base_Datos!$C$2:$C3876),""))</f>
        <v/>
      </c>
      <c r="I3258" s="3"/>
      <c r="J3258" s="3" t="str">
        <f>IF(I3258="","",IFERROR(VLOOKUP(I3258,Base_Datos!$D$2:$E$72,2,0),""))</f>
        <v/>
      </c>
      <c r="K3258" s="3"/>
      <c r="L3258" s="3"/>
      <c r="M3258" s="3"/>
      <c r="N3258" s="3"/>
    </row>
    <row r="3259" spans="1:14" ht="14.25" x14ac:dyDescent="0.2">
      <c r="A3259" s="3"/>
      <c r="B3259" s="3"/>
      <c r="C3259" s="3"/>
      <c r="D3259" s="6"/>
      <c r="E3259" s="10"/>
      <c r="F3259" s="3" t="str">
        <f>IFERROR( VLOOKUP(A3259,#REF!,2,0),"")</f>
        <v/>
      </c>
      <c r="G3259" s="3">
        <f t="array" ref="G3259">_xlfn.XLOOKUP(I3259,Base_Datos!D:D,Base_Datos!B:B,"")</f>
        <v>0</v>
      </c>
      <c r="H3259" s="3" t="str">
        <f t="array" ref="H3259">IF(I3259="","",IFERROR(_xlfn.XLOOKUP(I3259,Base_Datos!$D$2:$D3876,Base_Datos!$C$2:$C3876),""))</f>
        <v/>
      </c>
      <c r="I3259" s="3"/>
      <c r="J3259" s="3" t="str">
        <f>IF(I3259="","",IFERROR(VLOOKUP(I3259,Base_Datos!$D$2:$E$72,2,0),""))</f>
        <v/>
      </c>
      <c r="K3259" s="3"/>
      <c r="L3259" s="3"/>
      <c r="M3259" s="3"/>
      <c r="N3259" s="3"/>
    </row>
    <row r="3260" spans="1:14" ht="14.25" x14ac:dyDescent="0.2">
      <c r="A3260" s="3"/>
      <c r="B3260" s="3"/>
      <c r="C3260" s="3"/>
      <c r="D3260" s="6"/>
      <c r="E3260" s="10"/>
      <c r="F3260" s="3" t="str">
        <f>IFERROR( VLOOKUP(A3260,#REF!,2,0),"")</f>
        <v/>
      </c>
      <c r="G3260" s="3">
        <f t="array" ref="G3260">_xlfn.XLOOKUP(I3260,Base_Datos!D:D,Base_Datos!B:B,"")</f>
        <v>0</v>
      </c>
      <c r="H3260" s="3" t="str">
        <f t="array" ref="H3260">IF(I3260="","",IFERROR(_xlfn.XLOOKUP(I3260,Base_Datos!$D$2:$D3876,Base_Datos!$C$2:$C3876),""))</f>
        <v/>
      </c>
      <c r="I3260" s="3"/>
      <c r="J3260" s="3" t="str">
        <f>IF(I3260="","",IFERROR(VLOOKUP(I3260,Base_Datos!$D$2:$E$72,2,0),""))</f>
        <v/>
      </c>
      <c r="K3260" s="3"/>
      <c r="L3260" s="3"/>
      <c r="M3260" s="3"/>
      <c r="N3260" s="3"/>
    </row>
    <row r="3261" spans="1:14" ht="14.25" x14ac:dyDescent="0.2">
      <c r="A3261" s="3"/>
      <c r="B3261" s="3"/>
      <c r="C3261" s="3"/>
      <c r="D3261" s="6"/>
      <c r="E3261" s="10"/>
      <c r="F3261" s="3" t="str">
        <f>IFERROR( VLOOKUP(A3261,#REF!,2,0),"")</f>
        <v/>
      </c>
      <c r="G3261" s="3">
        <f t="array" ref="G3261">_xlfn.XLOOKUP(I3261,Base_Datos!D:D,Base_Datos!B:B,"")</f>
        <v>0</v>
      </c>
      <c r="H3261" s="3" t="str">
        <f t="array" ref="H3261">IF(I3261="","",IFERROR(_xlfn.XLOOKUP(I3261,Base_Datos!$D$2:$D3876,Base_Datos!$C$2:$C3876),""))</f>
        <v/>
      </c>
      <c r="I3261" s="3"/>
      <c r="J3261" s="3" t="str">
        <f>IF(I3261="","",IFERROR(VLOOKUP(I3261,Base_Datos!$D$2:$E$72,2,0),""))</f>
        <v/>
      </c>
      <c r="K3261" s="3"/>
      <c r="L3261" s="3"/>
      <c r="M3261" s="3"/>
      <c r="N3261" s="3"/>
    </row>
    <row r="3262" spans="1:14" ht="14.25" x14ac:dyDescent="0.2">
      <c r="A3262" s="3"/>
      <c r="B3262" s="3"/>
      <c r="C3262" s="3"/>
      <c r="D3262" s="6"/>
      <c r="E3262" s="10"/>
      <c r="F3262" s="3" t="str">
        <f>IFERROR( VLOOKUP(A3262,#REF!,2,0),"")</f>
        <v/>
      </c>
      <c r="G3262" s="3">
        <f t="array" ref="G3262">_xlfn.XLOOKUP(I3262,Base_Datos!D:D,Base_Datos!B:B,"")</f>
        <v>0</v>
      </c>
      <c r="H3262" s="3" t="str">
        <f t="array" ref="H3262">IF(I3262="","",IFERROR(_xlfn.XLOOKUP(I3262,Base_Datos!$D$2:$D3876,Base_Datos!$C$2:$C3876),""))</f>
        <v/>
      </c>
      <c r="I3262" s="3"/>
      <c r="J3262" s="3" t="str">
        <f>IF(I3262="","",IFERROR(VLOOKUP(I3262,Base_Datos!$D$2:$E$72,2,0),""))</f>
        <v/>
      </c>
      <c r="K3262" s="3"/>
      <c r="L3262" s="3"/>
      <c r="M3262" s="3"/>
      <c r="N3262" s="3"/>
    </row>
    <row r="3263" spans="1:14" ht="14.25" x14ac:dyDescent="0.2">
      <c r="A3263" s="3"/>
      <c r="B3263" s="3"/>
      <c r="C3263" s="3"/>
      <c r="D3263" s="6"/>
      <c r="E3263" s="10"/>
      <c r="F3263" s="3" t="str">
        <f>IFERROR( VLOOKUP(A3263,#REF!,2,0),"")</f>
        <v/>
      </c>
      <c r="G3263" s="3">
        <f t="array" ref="G3263">_xlfn.XLOOKUP(I3263,Base_Datos!D:D,Base_Datos!B:B,"")</f>
        <v>0</v>
      </c>
      <c r="H3263" s="3" t="str">
        <f t="array" ref="H3263">IF(I3263="","",IFERROR(_xlfn.XLOOKUP(I3263,Base_Datos!$D$2:$D3876,Base_Datos!$C$2:$C3876),""))</f>
        <v/>
      </c>
      <c r="I3263" s="3"/>
      <c r="J3263" s="3" t="str">
        <f>IF(I3263="","",IFERROR(VLOOKUP(I3263,Base_Datos!$D$2:$E$72,2,0),""))</f>
        <v/>
      </c>
      <c r="K3263" s="3"/>
      <c r="L3263" s="3"/>
      <c r="M3263" s="3"/>
      <c r="N3263" s="3"/>
    </row>
    <row r="3264" spans="1:14" ht="14.25" x14ac:dyDescent="0.2">
      <c r="A3264" s="3"/>
      <c r="B3264" s="3"/>
      <c r="C3264" s="3"/>
      <c r="D3264" s="6"/>
      <c r="E3264" s="10"/>
      <c r="F3264" s="3" t="str">
        <f>IFERROR( VLOOKUP(A3264,#REF!,2,0),"")</f>
        <v/>
      </c>
      <c r="G3264" s="3">
        <f t="array" ref="G3264">_xlfn.XLOOKUP(I3264,Base_Datos!D:D,Base_Datos!B:B,"")</f>
        <v>0</v>
      </c>
      <c r="H3264" s="3" t="str">
        <f t="array" ref="H3264">IF(I3264="","",IFERROR(_xlfn.XLOOKUP(I3264,Base_Datos!$D$2:$D3876,Base_Datos!$C$2:$C3876),""))</f>
        <v/>
      </c>
      <c r="I3264" s="3"/>
      <c r="J3264" s="3" t="str">
        <f>IF(I3264="","",IFERROR(VLOOKUP(I3264,Base_Datos!$D$2:$E$72,2,0),""))</f>
        <v/>
      </c>
      <c r="K3264" s="3"/>
      <c r="L3264" s="3"/>
      <c r="M3264" s="3"/>
      <c r="N3264" s="3"/>
    </row>
    <row r="3265" spans="1:14" ht="14.25" x14ac:dyDescent="0.2">
      <c r="A3265" s="3"/>
      <c r="B3265" s="3"/>
      <c r="C3265" s="3"/>
      <c r="D3265" s="6"/>
      <c r="E3265" s="10"/>
      <c r="F3265" s="3" t="str">
        <f>IFERROR( VLOOKUP(A3265,#REF!,2,0),"")</f>
        <v/>
      </c>
      <c r="G3265" s="3">
        <f t="array" ref="G3265">_xlfn.XLOOKUP(I3265,Base_Datos!D:D,Base_Datos!B:B,"")</f>
        <v>0</v>
      </c>
      <c r="H3265" s="3" t="str">
        <f t="array" ref="H3265">IF(I3265="","",IFERROR(_xlfn.XLOOKUP(I3265,Base_Datos!$D$2:$D3876,Base_Datos!$C$2:$C3876),""))</f>
        <v/>
      </c>
      <c r="I3265" s="3"/>
      <c r="J3265" s="3" t="str">
        <f>IF(I3265="","",IFERROR(VLOOKUP(I3265,Base_Datos!$D$2:$E$72,2,0),""))</f>
        <v/>
      </c>
      <c r="K3265" s="3"/>
      <c r="L3265" s="3"/>
      <c r="M3265" s="3"/>
      <c r="N3265" s="3"/>
    </row>
    <row r="3266" spans="1:14" ht="14.25" x14ac:dyDescent="0.2">
      <c r="A3266" s="3"/>
      <c r="B3266" s="3"/>
      <c r="C3266" s="3"/>
      <c r="D3266" s="6"/>
      <c r="E3266" s="10"/>
      <c r="F3266" s="3" t="str">
        <f>IFERROR( VLOOKUP(A3266,#REF!,2,0),"")</f>
        <v/>
      </c>
      <c r="G3266" s="3">
        <f t="array" ref="G3266">_xlfn.XLOOKUP(I3266,Base_Datos!D:D,Base_Datos!B:B,"")</f>
        <v>0</v>
      </c>
      <c r="H3266" s="3" t="str">
        <f t="array" ref="H3266">IF(I3266="","",IFERROR(_xlfn.XLOOKUP(I3266,Base_Datos!$D$2:$D3876,Base_Datos!$C$2:$C3876),""))</f>
        <v/>
      </c>
      <c r="I3266" s="3"/>
      <c r="J3266" s="3" t="str">
        <f>IF(I3266="","",IFERROR(VLOOKUP(I3266,Base_Datos!$D$2:$E$72,2,0),""))</f>
        <v/>
      </c>
      <c r="K3266" s="3"/>
      <c r="L3266" s="3"/>
      <c r="M3266" s="3"/>
      <c r="N3266" s="3"/>
    </row>
    <row r="3267" spans="1:14" ht="14.25" x14ac:dyDescent="0.2">
      <c r="A3267" s="3"/>
      <c r="B3267" s="3"/>
      <c r="C3267" s="3"/>
      <c r="D3267" s="6"/>
      <c r="E3267" s="10"/>
      <c r="F3267" s="3" t="str">
        <f>IFERROR( VLOOKUP(A3267,#REF!,2,0),"")</f>
        <v/>
      </c>
      <c r="G3267" s="3">
        <f t="array" ref="G3267">_xlfn.XLOOKUP(I3267,Base_Datos!D:D,Base_Datos!B:B,"")</f>
        <v>0</v>
      </c>
      <c r="H3267" s="3" t="str">
        <f t="array" ref="H3267">IF(I3267="","",IFERROR(_xlfn.XLOOKUP(I3267,Base_Datos!$D$2:$D3876,Base_Datos!$C$2:$C3876),""))</f>
        <v/>
      </c>
      <c r="I3267" s="3"/>
      <c r="J3267" s="3" t="str">
        <f>IF(I3267="","",IFERROR(VLOOKUP(I3267,Base_Datos!$D$2:$E$72,2,0),""))</f>
        <v/>
      </c>
      <c r="K3267" s="3"/>
      <c r="L3267" s="3"/>
      <c r="M3267" s="3"/>
      <c r="N3267" s="3"/>
    </row>
    <row r="3268" spans="1:14" ht="14.25" x14ac:dyDescent="0.2">
      <c r="A3268" s="3"/>
      <c r="B3268" s="3"/>
      <c r="C3268" s="3"/>
      <c r="D3268" s="6"/>
      <c r="E3268" s="10"/>
      <c r="F3268" s="3" t="str">
        <f>IFERROR( VLOOKUP(A3268,#REF!,2,0),"")</f>
        <v/>
      </c>
      <c r="G3268" s="3">
        <f t="array" ref="G3268">_xlfn.XLOOKUP(I3268,Base_Datos!D:D,Base_Datos!B:B,"")</f>
        <v>0</v>
      </c>
      <c r="H3268" s="3" t="str">
        <f t="array" ref="H3268">IF(I3268="","",IFERROR(_xlfn.XLOOKUP(I3268,Base_Datos!$D$2:$D3876,Base_Datos!$C$2:$C3876),""))</f>
        <v/>
      </c>
      <c r="I3268" s="3"/>
      <c r="J3268" s="3" t="str">
        <f>IF(I3268="","",IFERROR(VLOOKUP(I3268,Base_Datos!$D$2:$E$72,2,0),""))</f>
        <v/>
      </c>
      <c r="K3268" s="3"/>
      <c r="L3268" s="3"/>
      <c r="M3268" s="3"/>
      <c r="N3268" s="3"/>
    </row>
    <row r="3269" spans="1:14" ht="14.25" x14ac:dyDescent="0.2">
      <c r="A3269" s="3"/>
      <c r="B3269" s="3"/>
      <c r="C3269" s="3"/>
      <c r="D3269" s="6"/>
      <c r="E3269" s="10"/>
      <c r="F3269" s="3" t="str">
        <f>IFERROR( VLOOKUP(A3269,#REF!,2,0),"")</f>
        <v/>
      </c>
      <c r="G3269" s="3">
        <f t="array" ref="G3269">_xlfn.XLOOKUP(I3269,Base_Datos!D:D,Base_Datos!B:B,"")</f>
        <v>0</v>
      </c>
      <c r="H3269" s="3" t="str">
        <f t="array" ref="H3269">IF(I3269="","",IFERROR(_xlfn.XLOOKUP(I3269,Base_Datos!$D$2:$D3876,Base_Datos!$C$2:$C3876),""))</f>
        <v/>
      </c>
      <c r="I3269" s="3"/>
      <c r="J3269" s="3" t="str">
        <f>IF(I3269="","",IFERROR(VLOOKUP(I3269,Base_Datos!$D$2:$E$72,2,0),""))</f>
        <v/>
      </c>
      <c r="K3269" s="3"/>
      <c r="L3269" s="3"/>
      <c r="M3269" s="3"/>
      <c r="N3269" s="3"/>
    </row>
    <row r="3270" spans="1:14" ht="14.25" x14ac:dyDescent="0.2">
      <c r="A3270" s="3"/>
      <c r="B3270" s="3"/>
      <c r="C3270" s="3"/>
      <c r="D3270" s="6"/>
      <c r="E3270" s="10"/>
      <c r="F3270" s="3" t="str">
        <f>IFERROR( VLOOKUP(A3270,#REF!,2,0),"")</f>
        <v/>
      </c>
      <c r="G3270" s="3">
        <f t="array" ref="G3270">_xlfn.XLOOKUP(I3270,Base_Datos!D:D,Base_Datos!B:B,"")</f>
        <v>0</v>
      </c>
      <c r="H3270" s="3" t="str">
        <f t="array" ref="H3270">IF(I3270="","",IFERROR(_xlfn.XLOOKUP(I3270,Base_Datos!$D$2:$D3876,Base_Datos!$C$2:$C3876),""))</f>
        <v/>
      </c>
      <c r="I3270" s="3"/>
      <c r="J3270" s="3" t="str">
        <f>IF(I3270="","",IFERROR(VLOOKUP(I3270,Base_Datos!$D$2:$E$72,2,0),""))</f>
        <v/>
      </c>
      <c r="K3270" s="3"/>
      <c r="L3270" s="3"/>
      <c r="M3270" s="3"/>
      <c r="N3270" s="3"/>
    </row>
    <row r="3271" spans="1:14" ht="14.25" x14ac:dyDescent="0.2">
      <c r="A3271" s="3"/>
      <c r="B3271" s="3"/>
      <c r="C3271" s="3"/>
      <c r="D3271" s="6"/>
      <c r="E3271" s="10"/>
      <c r="F3271" s="3" t="str">
        <f>IFERROR( VLOOKUP(A3271,#REF!,2,0),"")</f>
        <v/>
      </c>
      <c r="G3271" s="3">
        <f t="array" ref="G3271">_xlfn.XLOOKUP(I3271,Base_Datos!D:D,Base_Datos!B:B,"")</f>
        <v>0</v>
      </c>
      <c r="H3271" s="3" t="str">
        <f t="array" ref="H3271">IF(I3271="","",IFERROR(_xlfn.XLOOKUP(I3271,Base_Datos!$D$2:$D3876,Base_Datos!$C$2:$C3876),""))</f>
        <v/>
      </c>
      <c r="I3271" s="3"/>
      <c r="J3271" s="3" t="str">
        <f>IF(I3271="","",IFERROR(VLOOKUP(I3271,Base_Datos!$D$2:$E$72,2,0),""))</f>
        <v/>
      </c>
      <c r="K3271" s="3"/>
      <c r="L3271" s="3"/>
      <c r="M3271" s="3"/>
      <c r="N3271" s="3"/>
    </row>
    <row r="3272" spans="1:14" ht="14.25" x14ac:dyDescent="0.2">
      <c r="A3272" s="3"/>
      <c r="B3272" s="3"/>
      <c r="C3272" s="3"/>
      <c r="D3272" s="6"/>
      <c r="E3272" s="10"/>
      <c r="F3272" s="3" t="str">
        <f>IFERROR( VLOOKUP(A3272,#REF!,2,0),"")</f>
        <v/>
      </c>
      <c r="G3272" s="3">
        <f t="array" ref="G3272">_xlfn.XLOOKUP(I3272,Base_Datos!D:D,Base_Datos!B:B,"")</f>
        <v>0</v>
      </c>
      <c r="H3272" s="3" t="str">
        <f t="array" ref="H3272">IF(I3272="","",IFERROR(_xlfn.XLOOKUP(I3272,Base_Datos!$D$2:$D3876,Base_Datos!$C$2:$C3876),""))</f>
        <v/>
      </c>
      <c r="I3272" s="3"/>
      <c r="J3272" s="3" t="str">
        <f>IF(I3272="","",IFERROR(VLOOKUP(I3272,Base_Datos!$D$2:$E$72,2,0),""))</f>
        <v/>
      </c>
      <c r="K3272" s="3"/>
      <c r="L3272" s="3"/>
      <c r="M3272" s="3"/>
      <c r="N3272" s="3"/>
    </row>
    <row r="3273" spans="1:14" ht="14.25" x14ac:dyDescent="0.2">
      <c r="A3273" s="3"/>
      <c r="B3273" s="3"/>
      <c r="C3273" s="3"/>
      <c r="D3273" s="6"/>
      <c r="E3273" s="10"/>
      <c r="F3273" s="3" t="str">
        <f>IFERROR( VLOOKUP(A3273,#REF!,2,0),"")</f>
        <v/>
      </c>
      <c r="G3273" s="3">
        <f t="array" ref="G3273">_xlfn.XLOOKUP(I3273,Base_Datos!D:D,Base_Datos!B:B,"")</f>
        <v>0</v>
      </c>
      <c r="H3273" s="3" t="str">
        <f t="array" ref="H3273">IF(I3273="","",IFERROR(_xlfn.XLOOKUP(I3273,Base_Datos!$D$2:$D3876,Base_Datos!$C$2:$C3876),""))</f>
        <v/>
      </c>
      <c r="I3273" s="3"/>
      <c r="J3273" s="3" t="str">
        <f>IF(I3273="","",IFERROR(VLOOKUP(I3273,Base_Datos!$D$2:$E$72,2,0),""))</f>
        <v/>
      </c>
      <c r="K3273" s="3"/>
      <c r="L3273" s="3"/>
      <c r="M3273" s="3"/>
      <c r="N3273" s="3"/>
    </row>
    <row r="3274" spans="1:14" ht="14.25" x14ac:dyDescent="0.2">
      <c r="A3274" s="3"/>
      <c r="B3274" s="3"/>
      <c r="C3274" s="3"/>
      <c r="D3274" s="6"/>
      <c r="E3274" s="10"/>
      <c r="F3274" s="3" t="str">
        <f>IFERROR( VLOOKUP(A3274,#REF!,2,0),"")</f>
        <v/>
      </c>
      <c r="G3274" s="3">
        <f t="array" ref="G3274">_xlfn.XLOOKUP(I3274,Base_Datos!D:D,Base_Datos!B:B,"")</f>
        <v>0</v>
      </c>
      <c r="H3274" s="3" t="str">
        <f t="array" ref="H3274">IF(I3274="","",IFERROR(_xlfn.XLOOKUP(I3274,Base_Datos!$D$2:$D3876,Base_Datos!$C$2:$C3876),""))</f>
        <v/>
      </c>
      <c r="I3274" s="3"/>
      <c r="J3274" s="3" t="str">
        <f>IF(I3274="","",IFERROR(VLOOKUP(I3274,Base_Datos!$D$2:$E$72,2,0),""))</f>
        <v/>
      </c>
      <c r="K3274" s="3"/>
      <c r="L3274" s="3"/>
      <c r="M3274" s="3"/>
      <c r="N3274" s="3"/>
    </row>
    <row r="3275" spans="1:14" ht="14.25" x14ac:dyDescent="0.2">
      <c r="A3275" s="3"/>
      <c r="B3275" s="3"/>
      <c r="C3275" s="3"/>
      <c r="D3275" s="6"/>
      <c r="E3275" s="10"/>
      <c r="F3275" s="3" t="str">
        <f>IFERROR( VLOOKUP(A3275,#REF!,2,0),"")</f>
        <v/>
      </c>
      <c r="G3275" s="3">
        <f t="array" ref="G3275">_xlfn.XLOOKUP(I3275,Base_Datos!D:D,Base_Datos!B:B,"")</f>
        <v>0</v>
      </c>
      <c r="H3275" s="3" t="str">
        <f t="array" ref="H3275">IF(I3275="","",IFERROR(_xlfn.XLOOKUP(I3275,Base_Datos!$D$2:$D3876,Base_Datos!$C$2:$C3876),""))</f>
        <v/>
      </c>
      <c r="I3275" s="3"/>
      <c r="J3275" s="3" t="str">
        <f>IF(I3275="","",IFERROR(VLOOKUP(I3275,Base_Datos!$D$2:$E$72,2,0),""))</f>
        <v/>
      </c>
      <c r="K3275" s="3"/>
      <c r="L3275" s="3"/>
      <c r="M3275" s="3"/>
      <c r="N3275" s="3"/>
    </row>
    <row r="3276" spans="1:14" ht="14.25" x14ac:dyDescent="0.2">
      <c r="A3276" s="3"/>
      <c r="B3276" s="3"/>
      <c r="C3276" s="3"/>
      <c r="D3276" s="6"/>
      <c r="E3276" s="10"/>
      <c r="F3276" s="3" t="str">
        <f>IFERROR( VLOOKUP(A3276,#REF!,2,0),"")</f>
        <v/>
      </c>
      <c r="G3276" s="3">
        <f t="array" ref="G3276">_xlfn.XLOOKUP(I3276,Base_Datos!D:D,Base_Datos!B:B,"")</f>
        <v>0</v>
      </c>
      <c r="H3276" s="3" t="str">
        <f t="array" ref="H3276">IF(I3276="","",IFERROR(_xlfn.XLOOKUP(I3276,Base_Datos!$D$2:$D3876,Base_Datos!$C$2:$C3876),""))</f>
        <v/>
      </c>
      <c r="I3276" s="3"/>
      <c r="J3276" s="3" t="str">
        <f>IF(I3276="","",IFERROR(VLOOKUP(I3276,Base_Datos!$D$2:$E$72,2,0),""))</f>
        <v/>
      </c>
      <c r="K3276" s="3"/>
      <c r="L3276" s="3"/>
      <c r="M3276" s="3"/>
      <c r="N3276" s="3"/>
    </row>
    <row r="3277" spans="1:14" ht="14.25" x14ac:dyDescent="0.2">
      <c r="A3277" s="3"/>
      <c r="B3277" s="3"/>
      <c r="C3277" s="3"/>
      <c r="D3277" s="6"/>
      <c r="E3277" s="10"/>
      <c r="F3277" s="3" t="str">
        <f>IFERROR( VLOOKUP(A3277,#REF!,2,0),"")</f>
        <v/>
      </c>
      <c r="G3277" s="3">
        <f t="array" ref="G3277">_xlfn.XLOOKUP(I3277,Base_Datos!D:D,Base_Datos!B:B,"")</f>
        <v>0</v>
      </c>
      <c r="H3277" s="3" t="str">
        <f t="array" ref="H3277">IF(I3277="","",IFERROR(_xlfn.XLOOKUP(I3277,Base_Datos!$D$2:$D3876,Base_Datos!$C$2:$C3876),""))</f>
        <v/>
      </c>
      <c r="I3277" s="3"/>
      <c r="J3277" s="3" t="str">
        <f>IF(I3277="","",IFERROR(VLOOKUP(I3277,Base_Datos!$D$2:$E$72,2,0),""))</f>
        <v/>
      </c>
      <c r="K3277" s="3"/>
      <c r="L3277" s="3"/>
      <c r="M3277" s="3"/>
      <c r="N3277" s="3"/>
    </row>
    <row r="3278" spans="1:14" ht="14.25" x14ac:dyDescent="0.2">
      <c r="A3278" s="3"/>
      <c r="B3278" s="3"/>
      <c r="C3278" s="3"/>
      <c r="D3278" s="6"/>
      <c r="E3278" s="10"/>
      <c r="F3278" s="3" t="str">
        <f>IFERROR( VLOOKUP(A3278,#REF!,2,0),"")</f>
        <v/>
      </c>
      <c r="G3278" s="3">
        <f t="array" ref="G3278">_xlfn.XLOOKUP(I3278,Base_Datos!D:D,Base_Datos!B:B,"")</f>
        <v>0</v>
      </c>
      <c r="H3278" s="3" t="str">
        <f t="array" ref="H3278">IF(I3278="","",IFERROR(_xlfn.XLOOKUP(I3278,Base_Datos!$D$2:$D3876,Base_Datos!$C$2:$C3876),""))</f>
        <v/>
      </c>
      <c r="I3278" s="3"/>
      <c r="J3278" s="3" t="str">
        <f>IF(I3278="","",IFERROR(VLOOKUP(I3278,Base_Datos!$D$2:$E$72,2,0),""))</f>
        <v/>
      </c>
      <c r="K3278" s="3"/>
      <c r="L3278" s="3"/>
      <c r="M3278" s="3"/>
      <c r="N3278" s="3"/>
    </row>
    <row r="3279" spans="1:14" ht="14.25" x14ac:dyDescent="0.2">
      <c r="A3279" s="3"/>
      <c r="B3279" s="3"/>
      <c r="C3279" s="3"/>
      <c r="D3279" s="6"/>
      <c r="E3279" s="10"/>
      <c r="F3279" s="3" t="str">
        <f>IFERROR( VLOOKUP(A3279,#REF!,2,0),"")</f>
        <v/>
      </c>
      <c r="G3279" s="3">
        <f t="array" ref="G3279">_xlfn.XLOOKUP(I3279,Base_Datos!D:D,Base_Datos!B:B,"")</f>
        <v>0</v>
      </c>
      <c r="H3279" s="3" t="str">
        <f t="array" ref="H3279">IF(I3279="","",IFERROR(_xlfn.XLOOKUP(I3279,Base_Datos!$D$2:$D3876,Base_Datos!$C$2:$C3876),""))</f>
        <v/>
      </c>
      <c r="I3279" s="3"/>
      <c r="J3279" s="3" t="str">
        <f>IF(I3279="","",IFERROR(VLOOKUP(I3279,Base_Datos!$D$2:$E$72,2,0),""))</f>
        <v/>
      </c>
      <c r="K3279" s="3"/>
      <c r="L3279" s="3"/>
      <c r="M3279" s="3"/>
      <c r="N3279" s="3"/>
    </row>
    <row r="3280" spans="1:14" ht="14.25" x14ac:dyDescent="0.2">
      <c r="A3280" s="3"/>
      <c r="B3280" s="3"/>
      <c r="C3280" s="3"/>
      <c r="D3280" s="6"/>
      <c r="E3280" s="10"/>
      <c r="F3280" s="3" t="str">
        <f>IFERROR( VLOOKUP(A3280,#REF!,2,0),"")</f>
        <v/>
      </c>
      <c r="G3280" s="3">
        <f t="array" ref="G3280">_xlfn.XLOOKUP(I3280,Base_Datos!D:D,Base_Datos!B:B,"")</f>
        <v>0</v>
      </c>
      <c r="H3280" s="3" t="str">
        <f t="array" ref="H3280">IF(I3280="","",IFERROR(_xlfn.XLOOKUP(I3280,Base_Datos!$D$2:$D3876,Base_Datos!$C$2:$C3876),""))</f>
        <v/>
      </c>
      <c r="I3280" s="3"/>
      <c r="J3280" s="3" t="str">
        <f>IF(I3280="","",IFERROR(VLOOKUP(I3280,Base_Datos!$D$2:$E$72,2,0),""))</f>
        <v/>
      </c>
      <c r="K3280" s="3"/>
      <c r="L3280" s="3"/>
      <c r="M3280" s="3"/>
      <c r="N3280" s="3"/>
    </row>
    <row r="3281" spans="1:14" ht="14.25" x14ac:dyDescent="0.2">
      <c r="A3281" s="3"/>
      <c r="B3281" s="3"/>
      <c r="C3281" s="3"/>
      <c r="D3281" s="6"/>
      <c r="E3281" s="10"/>
      <c r="F3281" s="3" t="str">
        <f>IFERROR( VLOOKUP(A3281,#REF!,2,0),"")</f>
        <v/>
      </c>
      <c r="G3281" s="3">
        <f t="array" ref="G3281">_xlfn.XLOOKUP(I3281,Base_Datos!D:D,Base_Datos!B:B,"")</f>
        <v>0</v>
      </c>
      <c r="H3281" s="3" t="str">
        <f t="array" ref="H3281">IF(I3281="","",IFERROR(_xlfn.XLOOKUP(I3281,Base_Datos!$D$2:$D3876,Base_Datos!$C$2:$C3876),""))</f>
        <v/>
      </c>
      <c r="I3281" s="3"/>
      <c r="J3281" s="3" t="str">
        <f>IF(I3281="","",IFERROR(VLOOKUP(I3281,Base_Datos!$D$2:$E$72,2,0),""))</f>
        <v/>
      </c>
      <c r="K3281" s="3"/>
      <c r="L3281" s="3"/>
      <c r="M3281" s="3"/>
      <c r="N3281" s="3"/>
    </row>
    <row r="3282" spans="1:14" ht="14.25" x14ac:dyDescent="0.2">
      <c r="A3282" s="3"/>
      <c r="B3282" s="3"/>
      <c r="C3282" s="3"/>
      <c r="D3282" s="6"/>
      <c r="E3282" s="10"/>
      <c r="F3282" s="3" t="str">
        <f>IFERROR( VLOOKUP(A3282,#REF!,2,0),"")</f>
        <v/>
      </c>
      <c r="G3282" s="3">
        <f t="array" ref="G3282">_xlfn.XLOOKUP(I3282,Base_Datos!D:D,Base_Datos!B:B,"")</f>
        <v>0</v>
      </c>
      <c r="H3282" s="3" t="str">
        <f t="array" ref="H3282">IF(I3282="","",IFERROR(_xlfn.XLOOKUP(I3282,Base_Datos!$D$2:$D3876,Base_Datos!$C$2:$C3876),""))</f>
        <v/>
      </c>
      <c r="I3282" s="3"/>
      <c r="J3282" s="3" t="str">
        <f>IF(I3282="","",IFERROR(VLOOKUP(I3282,Base_Datos!$D$2:$E$72,2,0),""))</f>
        <v/>
      </c>
      <c r="K3282" s="3"/>
      <c r="L3282" s="3"/>
      <c r="M3282" s="3"/>
      <c r="N3282" s="3"/>
    </row>
    <row r="3283" spans="1:14" ht="14.25" x14ac:dyDescent="0.2">
      <c r="A3283" s="3"/>
      <c r="B3283" s="3"/>
      <c r="C3283" s="3"/>
      <c r="D3283" s="6"/>
      <c r="E3283" s="10"/>
      <c r="F3283" s="3" t="str">
        <f>IFERROR( VLOOKUP(A3283,#REF!,2,0),"")</f>
        <v/>
      </c>
      <c r="G3283" s="3">
        <f t="array" ref="G3283">_xlfn.XLOOKUP(I3283,Base_Datos!D:D,Base_Datos!B:B,"")</f>
        <v>0</v>
      </c>
      <c r="H3283" s="3" t="str">
        <f t="array" ref="H3283">IF(I3283="","",IFERROR(_xlfn.XLOOKUP(I3283,Base_Datos!$D$2:$D3876,Base_Datos!$C$2:$C3876),""))</f>
        <v/>
      </c>
      <c r="I3283" s="3"/>
      <c r="J3283" s="3" t="str">
        <f>IF(I3283="","",IFERROR(VLOOKUP(I3283,Base_Datos!$D$2:$E$72,2,0),""))</f>
        <v/>
      </c>
      <c r="K3283" s="3"/>
      <c r="L3283" s="3"/>
      <c r="M3283" s="3"/>
      <c r="N3283" s="3"/>
    </row>
    <row r="3284" spans="1:14" ht="14.25" x14ac:dyDescent="0.2">
      <c r="A3284" s="3"/>
      <c r="B3284" s="3"/>
      <c r="C3284" s="3"/>
      <c r="D3284" s="6"/>
      <c r="E3284" s="10"/>
      <c r="F3284" s="3" t="str">
        <f>IFERROR( VLOOKUP(A3284,#REF!,2,0),"")</f>
        <v/>
      </c>
      <c r="G3284" s="3">
        <f t="array" ref="G3284">_xlfn.XLOOKUP(I3284,Base_Datos!D:D,Base_Datos!B:B,"")</f>
        <v>0</v>
      </c>
      <c r="H3284" s="3" t="str">
        <f t="array" ref="H3284">IF(I3284="","",IFERROR(_xlfn.XLOOKUP(I3284,Base_Datos!$D$2:$D3876,Base_Datos!$C$2:$C3876),""))</f>
        <v/>
      </c>
      <c r="I3284" s="3"/>
      <c r="J3284" s="3" t="str">
        <f>IF(I3284="","",IFERROR(VLOOKUP(I3284,Base_Datos!$D$2:$E$72,2,0),""))</f>
        <v/>
      </c>
      <c r="K3284" s="3"/>
      <c r="L3284" s="3"/>
      <c r="M3284" s="3"/>
      <c r="N3284" s="3"/>
    </row>
    <row r="3285" spans="1:14" ht="14.25" x14ac:dyDescent="0.2">
      <c r="A3285" s="3"/>
      <c r="B3285" s="3"/>
      <c r="C3285" s="3"/>
      <c r="D3285" s="6"/>
      <c r="E3285" s="10"/>
      <c r="F3285" s="3" t="str">
        <f>IFERROR( VLOOKUP(A3285,#REF!,2,0),"")</f>
        <v/>
      </c>
      <c r="G3285" s="3">
        <f t="array" ref="G3285">_xlfn.XLOOKUP(I3285,Base_Datos!D:D,Base_Datos!B:B,"")</f>
        <v>0</v>
      </c>
      <c r="H3285" s="3" t="str">
        <f t="array" ref="H3285">IF(I3285="","",IFERROR(_xlfn.XLOOKUP(I3285,Base_Datos!$D$2:$D3876,Base_Datos!$C$2:$C3876),""))</f>
        <v/>
      </c>
      <c r="I3285" s="3"/>
      <c r="J3285" s="3" t="str">
        <f>IF(I3285="","",IFERROR(VLOOKUP(I3285,Base_Datos!$D$2:$E$72,2,0),""))</f>
        <v/>
      </c>
      <c r="K3285" s="3"/>
      <c r="L3285" s="3"/>
      <c r="M3285" s="3"/>
      <c r="N3285" s="3"/>
    </row>
    <row r="3286" spans="1:14" ht="14.25" x14ac:dyDescent="0.2">
      <c r="A3286" s="3"/>
      <c r="B3286" s="3"/>
      <c r="C3286" s="3"/>
      <c r="D3286" s="6"/>
      <c r="E3286" s="10"/>
      <c r="F3286" s="3" t="str">
        <f>IFERROR( VLOOKUP(A3286,#REF!,2,0),"")</f>
        <v/>
      </c>
      <c r="G3286" s="3">
        <f t="array" ref="G3286">_xlfn.XLOOKUP(I3286,Base_Datos!D:D,Base_Datos!B:B,"")</f>
        <v>0</v>
      </c>
      <c r="H3286" s="3" t="str">
        <f t="array" ref="H3286">IF(I3286="","",IFERROR(_xlfn.XLOOKUP(I3286,Base_Datos!$D$2:$D3876,Base_Datos!$C$2:$C3876),""))</f>
        <v/>
      </c>
      <c r="I3286" s="3"/>
      <c r="J3286" s="3" t="str">
        <f>IF(I3286="","",IFERROR(VLOOKUP(I3286,Base_Datos!$D$2:$E$72,2,0),""))</f>
        <v/>
      </c>
      <c r="K3286" s="3"/>
      <c r="L3286" s="3"/>
      <c r="M3286" s="3"/>
      <c r="N3286" s="3"/>
    </row>
    <row r="3287" spans="1:14" ht="14.25" x14ac:dyDescent="0.2">
      <c r="A3287" s="3"/>
      <c r="B3287" s="3"/>
      <c r="C3287" s="3"/>
      <c r="D3287" s="6"/>
      <c r="E3287" s="10"/>
      <c r="F3287" s="3" t="str">
        <f>IFERROR( VLOOKUP(A3287,#REF!,2,0),"")</f>
        <v/>
      </c>
      <c r="G3287" s="3">
        <f t="array" ref="G3287">_xlfn.XLOOKUP(I3287,Base_Datos!D:D,Base_Datos!B:B,"")</f>
        <v>0</v>
      </c>
      <c r="H3287" s="3" t="str">
        <f t="array" ref="H3287">IF(I3287="","",IFERROR(_xlfn.XLOOKUP(I3287,Base_Datos!$D$2:$D3876,Base_Datos!$C$2:$C3876),""))</f>
        <v/>
      </c>
      <c r="I3287" s="3"/>
      <c r="J3287" s="3" t="str">
        <f>IF(I3287="","",IFERROR(VLOOKUP(I3287,Base_Datos!$D$2:$E$72,2,0),""))</f>
        <v/>
      </c>
      <c r="K3287" s="3"/>
      <c r="L3287" s="3"/>
      <c r="M3287" s="3"/>
      <c r="N3287" s="3"/>
    </row>
    <row r="3288" spans="1:14" ht="14.25" x14ac:dyDescent="0.2">
      <c r="A3288" s="3"/>
      <c r="B3288" s="3"/>
      <c r="C3288" s="3"/>
      <c r="D3288" s="6"/>
      <c r="E3288" s="10"/>
      <c r="F3288" s="3" t="str">
        <f>IFERROR( VLOOKUP(A3288,#REF!,2,0),"")</f>
        <v/>
      </c>
      <c r="G3288" s="3">
        <f t="array" ref="G3288">_xlfn.XLOOKUP(I3288,Base_Datos!D:D,Base_Datos!B:B,"")</f>
        <v>0</v>
      </c>
      <c r="H3288" s="3" t="str">
        <f t="array" ref="H3288">IF(I3288="","",IFERROR(_xlfn.XLOOKUP(I3288,Base_Datos!$D$2:$D3876,Base_Datos!$C$2:$C3876),""))</f>
        <v/>
      </c>
      <c r="I3288" s="3"/>
      <c r="J3288" s="3" t="str">
        <f>IF(I3288="","",IFERROR(VLOOKUP(I3288,Base_Datos!$D$2:$E$72,2,0),""))</f>
        <v/>
      </c>
      <c r="K3288" s="3"/>
      <c r="L3288" s="3"/>
      <c r="M3288" s="3"/>
      <c r="N3288" s="3"/>
    </row>
    <row r="3289" spans="1:14" ht="14.25" x14ac:dyDescent="0.2">
      <c r="A3289" s="3"/>
      <c r="B3289" s="3"/>
      <c r="C3289" s="3"/>
      <c r="D3289" s="6"/>
      <c r="E3289" s="10"/>
      <c r="F3289" s="3" t="str">
        <f>IFERROR( VLOOKUP(A3289,#REF!,2,0),"")</f>
        <v/>
      </c>
      <c r="G3289" s="3">
        <f t="array" ref="G3289">_xlfn.XLOOKUP(I3289,Base_Datos!D:D,Base_Datos!B:B,"")</f>
        <v>0</v>
      </c>
      <c r="H3289" s="3" t="str">
        <f t="array" ref="H3289">IF(I3289="","",IFERROR(_xlfn.XLOOKUP(I3289,Base_Datos!$D$2:$D3876,Base_Datos!$C$2:$C3876),""))</f>
        <v/>
      </c>
      <c r="I3289" s="3"/>
      <c r="J3289" s="3" t="str">
        <f>IF(I3289="","",IFERROR(VLOOKUP(I3289,Base_Datos!$D$2:$E$72,2,0),""))</f>
        <v/>
      </c>
      <c r="K3289" s="3"/>
      <c r="L3289" s="3"/>
      <c r="M3289" s="3"/>
      <c r="N3289" s="3"/>
    </row>
    <row r="3290" spans="1:14" ht="14.25" x14ac:dyDescent="0.2">
      <c r="A3290" s="3"/>
      <c r="B3290" s="3"/>
      <c r="C3290" s="3"/>
      <c r="D3290" s="6"/>
      <c r="E3290" s="10"/>
      <c r="F3290" s="3" t="str">
        <f>IFERROR( VLOOKUP(A3290,#REF!,2,0),"")</f>
        <v/>
      </c>
      <c r="G3290" s="3">
        <f t="array" ref="G3290">_xlfn.XLOOKUP(I3290,Base_Datos!D:D,Base_Datos!B:B,"")</f>
        <v>0</v>
      </c>
      <c r="H3290" s="3" t="str">
        <f t="array" ref="H3290">IF(I3290="","",IFERROR(_xlfn.XLOOKUP(I3290,Base_Datos!$D$2:$D3876,Base_Datos!$C$2:$C3876),""))</f>
        <v/>
      </c>
      <c r="I3290" s="3"/>
      <c r="J3290" s="3" t="str">
        <f>IF(I3290="","",IFERROR(VLOOKUP(I3290,Base_Datos!$D$2:$E$72,2,0),""))</f>
        <v/>
      </c>
      <c r="K3290" s="3"/>
      <c r="L3290" s="3"/>
      <c r="M3290" s="3"/>
      <c r="N3290" s="3"/>
    </row>
    <row r="3291" spans="1:14" ht="14.25" x14ac:dyDescent="0.2">
      <c r="A3291" s="3"/>
      <c r="B3291" s="3"/>
      <c r="C3291" s="3"/>
      <c r="D3291" s="6"/>
      <c r="E3291" s="10"/>
      <c r="F3291" s="3" t="str">
        <f>IFERROR( VLOOKUP(A3291,#REF!,2,0),"")</f>
        <v/>
      </c>
      <c r="G3291" s="3">
        <f t="array" ref="G3291">_xlfn.XLOOKUP(I3291,Base_Datos!D:D,Base_Datos!B:B,"")</f>
        <v>0</v>
      </c>
      <c r="H3291" s="3" t="str">
        <f t="array" ref="H3291">IF(I3291="","",IFERROR(_xlfn.XLOOKUP(I3291,Base_Datos!$D$2:$D3876,Base_Datos!$C$2:$C3876),""))</f>
        <v/>
      </c>
      <c r="I3291" s="3"/>
      <c r="J3291" s="3" t="str">
        <f>IF(I3291="","",IFERROR(VLOOKUP(I3291,Base_Datos!$D$2:$E$72,2,0),""))</f>
        <v/>
      </c>
      <c r="K3291" s="3"/>
      <c r="L3291" s="3"/>
      <c r="M3291" s="3"/>
      <c r="N3291" s="3"/>
    </row>
    <row r="3292" spans="1:14" ht="14.25" x14ac:dyDescent="0.2">
      <c r="A3292" s="3"/>
      <c r="B3292" s="3"/>
      <c r="C3292" s="3"/>
      <c r="D3292" s="6"/>
      <c r="E3292" s="10"/>
      <c r="F3292" s="3" t="str">
        <f>IFERROR( VLOOKUP(A3292,#REF!,2,0),"")</f>
        <v/>
      </c>
      <c r="G3292" s="3">
        <f t="array" ref="G3292">_xlfn.XLOOKUP(I3292,Base_Datos!D:D,Base_Datos!B:B,"")</f>
        <v>0</v>
      </c>
      <c r="H3292" s="3" t="str">
        <f t="array" ref="H3292">IF(I3292="","",IFERROR(_xlfn.XLOOKUP(I3292,Base_Datos!$D$2:$D3876,Base_Datos!$C$2:$C3876),""))</f>
        <v/>
      </c>
      <c r="I3292" s="3"/>
      <c r="J3292" s="3" t="str">
        <f>IF(I3292="","",IFERROR(VLOOKUP(I3292,Base_Datos!$D$2:$E$72,2,0),""))</f>
        <v/>
      </c>
      <c r="K3292" s="3"/>
      <c r="L3292" s="3"/>
      <c r="M3292" s="3"/>
      <c r="N3292" s="3"/>
    </row>
    <row r="3293" spans="1:14" ht="14.25" x14ac:dyDescent="0.2">
      <c r="A3293" s="3"/>
      <c r="B3293" s="3"/>
      <c r="C3293" s="3"/>
      <c r="D3293" s="6"/>
      <c r="E3293" s="10"/>
      <c r="F3293" s="3" t="str">
        <f>IFERROR( VLOOKUP(A3293,#REF!,2,0),"")</f>
        <v/>
      </c>
      <c r="G3293" s="3">
        <f t="array" ref="G3293">_xlfn.XLOOKUP(I3293,Base_Datos!D:D,Base_Datos!B:B,"")</f>
        <v>0</v>
      </c>
      <c r="H3293" s="3" t="str">
        <f t="array" ref="H3293">IF(I3293="","",IFERROR(_xlfn.XLOOKUP(I3293,Base_Datos!$D$2:$D3876,Base_Datos!$C$2:$C3876),""))</f>
        <v/>
      </c>
      <c r="I3293" s="3"/>
      <c r="J3293" s="3" t="str">
        <f>IF(I3293="","",IFERROR(VLOOKUP(I3293,Base_Datos!$D$2:$E$72,2,0),""))</f>
        <v/>
      </c>
      <c r="K3293" s="3"/>
      <c r="L3293" s="3"/>
      <c r="M3293" s="3"/>
      <c r="N3293" s="3"/>
    </row>
    <row r="3294" spans="1:14" ht="14.25" x14ac:dyDescent="0.2">
      <c r="A3294" s="3"/>
      <c r="B3294" s="3"/>
      <c r="C3294" s="3"/>
      <c r="D3294" s="6"/>
      <c r="E3294" s="10"/>
      <c r="F3294" s="3" t="str">
        <f>IFERROR( VLOOKUP(A3294,#REF!,2,0),"")</f>
        <v/>
      </c>
      <c r="G3294" s="3">
        <f t="array" ref="G3294">_xlfn.XLOOKUP(I3294,Base_Datos!D:D,Base_Datos!B:B,"")</f>
        <v>0</v>
      </c>
      <c r="H3294" s="3" t="str">
        <f t="array" ref="H3294">IF(I3294="","",IFERROR(_xlfn.XLOOKUP(I3294,Base_Datos!$D$2:$D3876,Base_Datos!$C$2:$C3876),""))</f>
        <v/>
      </c>
      <c r="I3294" s="3"/>
      <c r="J3294" s="3" t="str">
        <f>IF(I3294="","",IFERROR(VLOOKUP(I3294,Base_Datos!$D$2:$E$72,2,0),""))</f>
        <v/>
      </c>
      <c r="K3294" s="3"/>
      <c r="L3294" s="3"/>
      <c r="M3294" s="3"/>
      <c r="N3294" s="3"/>
    </row>
    <row r="3295" spans="1:14" ht="14.25" x14ac:dyDescent="0.2">
      <c r="A3295" s="3"/>
      <c r="B3295" s="3"/>
      <c r="C3295" s="3"/>
      <c r="D3295" s="6"/>
      <c r="E3295" s="10"/>
      <c r="F3295" s="3" t="str">
        <f>IFERROR( VLOOKUP(A3295,#REF!,2,0),"")</f>
        <v/>
      </c>
      <c r="G3295" s="3">
        <f t="array" ref="G3295">_xlfn.XLOOKUP(I3295,Base_Datos!D:D,Base_Datos!B:B,"")</f>
        <v>0</v>
      </c>
      <c r="H3295" s="3" t="str">
        <f t="array" ref="H3295">IF(I3295="","",IFERROR(_xlfn.XLOOKUP(I3295,Base_Datos!$D$2:$D3876,Base_Datos!$C$2:$C3876),""))</f>
        <v/>
      </c>
      <c r="I3295" s="3"/>
      <c r="J3295" s="3" t="str">
        <f>IF(I3295="","",IFERROR(VLOOKUP(I3295,Base_Datos!$D$2:$E$72,2,0),""))</f>
        <v/>
      </c>
      <c r="K3295" s="3"/>
      <c r="L3295" s="3"/>
      <c r="M3295" s="3"/>
      <c r="N3295" s="3"/>
    </row>
    <row r="3296" spans="1:14" ht="14.25" x14ac:dyDescent="0.2">
      <c r="A3296" s="3"/>
      <c r="B3296" s="3"/>
      <c r="C3296" s="3"/>
      <c r="D3296" s="6"/>
      <c r="E3296" s="10"/>
      <c r="F3296" s="3" t="str">
        <f>IFERROR( VLOOKUP(A3296,#REF!,2,0),"")</f>
        <v/>
      </c>
      <c r="G3296" s="3">
        <f t="array" ref="G3296">_xlfn.XLOOKUP(I3296,Base_Datos!D:D,Base_Datos!B:B,"")</f>
        <v>0</v>
      </c>
      <c r="H3296" s="3" t="str">
        <f t="array" ref="H3296">IF(I3296="","",IFERROR(_xlfn.XLOOKUP(I3296,Base_Datos!$D$2:$D3876,Base_Datos!$C$2:$C3876),""))</f>
        <v/>
      </c>
      <c r="I3296" s="3"/>
      <c r="J3296" s="3" t="str">
        <f>IF(I3296="","",IFERROR(VLOOKUP(I3296,Base_Datos!$D$2:$E$72,2,0),""))</f>
        <v/>
      </c>
      <c r="K3296" s="3"/>
      <c r="L3296" s="3"/>
      <c r="M3296" s="3"/>
      <c r="N3296" s="3"/>
    </row>
    <row r="3297" spans="1:14" ht="14.25" x14ac:dyDescent="0.2">
      <c r="A3297" s="3"/>
      <c r="B3297" s="3"/>
      <c r="C3297" s="3"/>
      <c r="D3297" s="6"/>
      <c r="E3297" s="10"/>
      <c r="F3297" s="3" t="str">
        <f>IFERROR( VLOOKUP(A3297,#REF!,2,0),"")</f>
        <v/>
      </c>
      <c r="G3297" s="3">
        <f t="array" ref="G3297">_xlfn.XLOOKUP(I3297,Base_Datos!D:D,Base_Datos!B:B,"")</f>
        <v>0</v>
      </c>
      <c r="H3297" s="3" t="str">
        <f t="array" ref="H3297">IF(I3297="","",IFERROR(_xlfn.XLOOKUP(I3297,Base_Datos!$D$2:$D3876,Base_Datos!$C$2:$C3876),""))</f>
        <v/>
      </c>
      <c r="I3297" s="3"/>
      <c r="J3297" s="3" t="str">
        <f>IF(I3297="","",IFERROR(VLOOKUP(I3297,Base_Datos!$D$2:$E$72,2,0),""))</f>
        <v/>
      </c>
      <c r="K3297" s="3"/>
      <c r="L3297" s="3"/>
      <c r="M3297" s="3"/>
      <c r="N3297" s="3"/>
    </row>
    <row r="3298" spans="1:14" ht="14.25" x14ac:dyDescent="0.2">
      <c r="A3298" s="3"/>
      <c r="B3298" s="3"/>
      <c r="C3298" s="3"/>
      <c r="D3298" s="6"/>
      <c r="E3298" s="10"/>
      <c r="F3298" s="3" t="str">
        <f>IFERROR( VLOOKUP(A3298,#REF!,2,0),"")</f>
        <v/>
      </c>
      <c r="G3298" s="3">
        <f t="array" ref="G3298">_xlfn.XLOOKUP(I3298,Base_Datos!D:D,Base_Datos!B:B,"")</f>
        <v>0</v>
      </c>
      <c r="H3298" s="3" t="str">
        <f t="array" ref="H3298">IF(I3298="","",IFERROR(_xlfn.XLOOKUP(I3298,Base_Datos!$D$2:$D3876,Base_Datos!$C$2:$C3876),""))</f>
        <v/>
      </c>
      <c r="I3298" s="3"/>
      <c r="J3298" s="3" t="str">
        <f>IF(I3298="","",IFERROR(VLOOKUP(I3298,Base_Datos!$D$2:$E$72,2,0),""))</f>
        <v/>
      </c>
      <c r="K3298" s="3"/>
      <c r="L3298" s="3"/>
      <c r="M3298" s="3"/>
      <c r="N3298" s="3"/>
    </row>
    <row r="3299" spans="1:14" ht="14.25" x14ac:dyDescent="0.2">
      <c r="A3299" s="3"/>
      <c r="B3299" s="3"/>
      <c r="C3299" s="3"/>
      <c r="D3299" s="6"/>
      <c r="E3299" s="10"/>
      <c r="F3299" s="3" t="str">
        <f>IFERROR( VLOOKUP(A3299,#REF!,2,0),"")</f>
        <v/>
      </c>
      <c r="G3299" s="3">
        <f t="array" ref="G3299">_xlfn.XLOOKUP(I3299,Base_Datos!D:D,Base_Datos!B:B,"")</f>
        <v>0</v>
      </c>
      <c r="H3299" s="3" t="str">
        <f t="array" ref="H3299">IF(I3299="","",IFERROR(_xlfn.XLOOKUP(I3299,Base_Datos!$D$2:$D3876,Base_Datos!$C$2:$C3876),""))</f>
        <v/>
      </c>
      <c r="I3299" s="3"/>
      <c r="J3299" s="3" t="str">
        <f>IF(I3299="","",IFERROR(VLOOKUP(I3299,Base_Datos!$D$2:$E$72,2,0),""))</f>
        <v/>
      </c>
      <c r="K3299" s="3"/>
      <c r="L3299" s="3"/>
      <c r="M3299" s="3"/>
      <c r="N3299" s="3"/>
    </row>
    <row r="3300" spans="1:14" ht="14.25" x14ac:dyDescent="0.2">
      <c r="A3300" s="3"/>
      <c r="B3300" s="3"/>
      <c r="C3300" s="3"/>
      <c r="D3300" s="6"/>
      <c r="E3300" s="10"/>
      <c r="F3300" s="3" t="str">
        <f>IFERROR( VLOOKUP(A3300,#REF!,2,0),"")</f>
        <v/>
      </c>
      <c r="G3300" s="3">
        <f t="array" ref="G3300">_xlfn.XLOOKUP(I3300,Base_Datos!D:D,Base_Datos!B:B,"")</f>
        <v>0</v>
      </c>
      <c r="H3300" s="3" t="str">
        <f t="array" ref="H3300">IF(I3300="","",IFERROR(_xlfn.XLOOKUP(I3300,Base_Datos!$D$2:$D3876,Base_Datos!$C$2:$C3876),""))</f>
        <v/>
      </c>
      <c r="I3300" s="3"/>
      <c r="J3300" s="3" t="str">
        <f>IF(I3300="","",IFERROR(VLOOKUP(I3300,Base_Datos!$D$2:$E$72,2,0),""))</f>
        <v/>
      </c>
      <c r="K3300" s="3"/>
      <c r="L3300" s="3"/>
      <c r="M3300" s="3"/>
      <c r="N3300" s="3"/>
    </row>
    <row r="3301" spans="1:14" ht="14.25" x14ac:dyDescent="0.2">
      <c r="A3301" s="3"/>
      <c r="B3301" s="3"/>
      <c r="C3301" s="3"/>
      <c r="D3301" s="6"/>
      <c r="E3301" s="10"/>
      <c r="F3301" s="3" t="str">
        <f>IFERROR( VLOOKUP(A3301,#REF!,2,0),"")</f>
        <v/>
      </c>
      <c r="G3301" s="3">
        <f t="array" ref="G3301">_xlfn.XLOOKUP(I3301,Base_Datos!D:D,Base_Datos!B:B,"")</f>
        <v>0</v>
      </c>
      <c r="H3301" s="3" t="str">
        <f t="array" ref="H3301">IF(I3301="","",IFERROR(_xlfn.XLOOKUP(I3301,Base_Datos!$D$2:$D3876,Base_Datos!$C$2:$C3876),""))</f>
        <v/>
      </c>
      <c r="I3301" s="3"/>
      <c r="J3301" s="3" t="str">
        <f>IF(I3301="","",IFERROR(VLOOKUP(I3301,Base_Datos!$D$2:$E$72,2,0),""))</f>
        <v/>
      </c>
      <c r="K3301" s="3"/>
      <c r="L3301" s="3"/>
      <c r="M3301" s="3"/>
      <c r="N3301" s="3"/>
    </row>
    <row r="3302" spans="1:14" ht="14.25" x14ac:dyDescent="0.2">
      <c r="A3302" s="3"/>
      <c r="B3302" s="3"/>
      <c r="C3302" s="3"/>
      <c r="D3302" s="6"/>
      <c r="E3302" s="10"/>
      <c r="F3302" s="3" t="str">
        <f>IFERROR( VLOOKUP(A3302,#REF!,2,0),"")</f>
        <v/>
      </c>
      <c r="G3302" s="3">
        <f t="array" ref="G3302">_xlfn.XLOOKUP(I3302,Base_Datos!D:D,Base_Datos!B:B,"")</f>
        <v>0</v>
      </c>
      <c r="H3302" s="3" t="str">
        <f t="array" ref="H3302">IF(I3302="","",IFERROR(_xlfn.XLOOKUP(I3302,Base_Datos!$D$2:$D3876,Base_Datos!$C$2:$C3876),""))</f>
        <v/>
      </c>
      <c r="I3302" s="3"/>
      <c r="J3302" s="3" t="str">
        <f>IF(I3302="","",IFERROR(VLOOKUP(I3302,Base_Datos!$D$2:$E$72,2,0),""))</f>
        <v/>
      </c>
      <c r="K3302" s="3"/>
      <c r="L3302" s="3"/>
      <c r="M3302" s="3"/>
      <c r="N3302" s="3"/>
    </row>
    <row r="3303" spans="1:14" ht="14.25" x14ac:dyDescent="0.2">
      <c r="A3303" s="3"/>
      <c r="B3303" s="3"/>
      <c r="C3303" s="3"/>
      <c r="D3303" s="6"/>
      <c r="E3303" s="10"/>
      <c r="F3303" s="3" t="str">
        <f>IFERROR( VLOOKUP(A3303,#REF!,2,0),"")</f>
        <v/>
      </c>
      <c r="G3303" s="3">
        <f t="array" ref="G3303">_xlfn.XLOOKUP(I3303,Base_Datos!D:D,Base_Datos!B:B,"")</f>
        <v>0</v>
      </c>
      <c r="H3303" s="3" t="str">
        <f t="array" ref="H3303">IF(I3303="","",IFERROR(_xlfn.XLOOKUP(I3303,Base_Datos!$D$2:$D3876,Base_Datos!$C$2:$C3876),""))</f>
        <v/>
      </c>
      <c r="I3303" s="3"/>
      <c r="J3303" s="3" t="str">
        <f>IF(I3303="","",IFERROR(VLOOKUP(I3303,Base_Datos!$D$2:$E$72,2,0),""))</f>
        <v/>
      </c>
      <c r="K3303" s="3"/>
      <c r="L3303" s="3"/>
      <c r="M3303" s="3"/>
      <c r="N3303" s="3"/>
    </row>
    <row r="3304" spans="1:14" ht="14.25" x14ac:dyDescent="0.2">
      <c r="A3304" s="3"/>
      <c r="B3304" s="3"/>
      <c r="C3304" s="3"/>
      <c r="D3304" s="6"/>
      <c r="E3304" s="10"/>
      <c r="F3304" s="3" t="str">
        <f>IFERROR( VLOOKUP(A3304,#REF!,2,0),"")</f>
        <v/>
      </c>
      <c r="G3304" s="3">
        <f t="array" ref="G3304">_xlfn.XLOOKUP(I3304,Base_Datos!D:D,Base_Datos!B:B,"")</f>
        <v>0</v>
      </c>
      <c r="H3304" s="3" t="str">
        <f t="array" ref="H3304">IF(I3304="","",IFERROR(_xlfn.XLOOKUP(I3304,Base_Datos!$D$2:$D3876,Base_Datos!$C$2:$C3876),""))</f>
        <v/>
      </c>
      <c r="I3304" s="3"/>
      <c r="J3304" s="3" t="str">
        <f>IF(I3304="","",IFERROR(VLOOKUP(I3304,Base_Datos!$D$2:$E$72,2,0),""))</f>
        <v/>
      </c>
      <c r="K3304" s="3"/>
      <c r="L3304" s="3"/>
      <c r="M3304" s="3"/>
      <c r="N3304" s="3"/>
    </row>
    <row r="3305" spans="1:14" ht="14.25" x14ac:dyDescent="0.2">
      <c r="A3305" s="3"/>
      <c r="B3305" s="3"/>
      <c r="C3305" s="3"/>
      <c r="D3305" s="6"/>
      <c r="E3305" s="10"/>
      <c r="F3305" s="3" t="str">
        <f>IFERROR( VLOOKUP(A3305,#REF!,2,0),"")</f>
        <v/>
      </c>
      <c r="G3305" s="3">
        <f t="array" ref="G3305">_xlfn.XLOOKUP(I3305,Base_Datos!D:D,Base_Datos!B:B,"")</f>
        <v>0</v>
      </c>
      <c r="H3305" s="3" t="str">
        <f t="array" ref="H3305">IF(I3305="","",IFERROR(_xlfn.XLOOKUP(I3305,Base_Datos!$D$2:$D3876,Base_Datos!$C$2:$C3876),""))</f>
        <v/>
      </c>
      <c r="I3305" s="3"/>
      <c r="J3305" s="3" t="str">
        <f>IF(I3305="","",IFERROR(VLOOKUP(I3305,Base_Datos!$D$2:$E$72,2,0),""))</f>
        <v/>
      </c>
      <c r="K3305" s="3"/>
      <c r="L3305" s="3"/>
      <c r="M3305" s="3"/>
      <c r="N3305" s="3"/>
    </row>
    <row r="3306" spans="1:14" ht="14.25" x14ac:dyDescent="0.2">
      <c r="A3306" s="3"/>
      <c r="B3306" s="3"/>
      <c r="C3306" s="3"/>
      <c r="D3306" s="6"/>
      <c r="E3306" s="10"/>
      <c r="F3306" s="3" t="str">
        <f>IFERROR( VLOOKUP(A3306,#REF!,2,0),"")</f>
        <v/>
      </c>
      <c r="G3306" s="3">
        <f t="array" ref="G3306">_xlfn.XLOOKUP(I3306,Base_Datos!D:D,Base_Datos!B:B,"")</f>
        <v>0</v>
      </c>
      <c r="H3306" s="3" t="str">
        <f t="array" ref="H3306">IF(I3306="","",IFERROR(_xlfn.XLOOKUP(I3306,Base_Datos!$D$2:$D3876,Base_Datos!$C$2:$C3876),""))</f>
        <v/>
      </c>
      <c r="I3306" s="3"/>
      <c r="J3306" s="3" t="str">
        <f>IF(I3306="","",IFERROR(VLOOKUP(I3306,Base_Datos!$D$2:$E$72,2,0),""))</f>
        <v/>
      </c>
      <c r="K3306" s="3"/>
      <c r="L3306" s="3"/>
      <c r="M3306" s="3"/>
      <c r="N3306" s="3"/>
    </row>
    <row r="3307" spans="1:14" ht="14.25" x14ac:dyDescent="0.2">
      <c r="A3307" s="3"/>
      <c r="B3307" s="3"/>
      <c r="C3307" s="3"/>
      <c r="D3307" s="6"/>
      <c r="E3307" s="10"/>
      <c r="F3307" s="3" t="str">
        <f>IFERROR( VLOOKUP(A3307,#REF!,2,0),"")</f>
        <v/>
      </c>
      <c r="G3307" s="3">
        <f t="array" ref="G3307">_xlfn.XLOOKUP(I3307,Base_Datos!D:D,Base_Datos!B:B,"")</f>
        <v>0</v>
      </c>
      <c r="H3307" s="3" t="str">
        <f t="array" ref="H3307">IF(I3307="","",IFERROR(_xlfn.XLOOKUP(I3307,Base_Datos!$D$2:$D3876,Base_Datos!$C$2:$C3876),""))</f>
        <v/>
      </c>
      <c r="I3307" s="3"/>
      <c r="J3307" s="3" t="str">
        <f>IF(I3307="","",IFERROR(VLOOKUP(I3307,Base_Datos!$D$2:$E$72,2,0),""))</f>
        <v/>
      </c>
      <c r="K3307" s="3"/>
      <c r="L3307" s="3"/>
      <c r="M3307" s="3"/>
      <c r="N3307" s="3"/>
    </row>
    <row r="3308" spans="1:14" ht="14.25" x14ac:dyDescent="0.2">
      <c r="A3308" s="3"/>
      <c r="B3308" s="3"/>
      <c r="C3308" s="3"/>
      <c r="D3308" s="6"/>
      <c r="E3308" s="10"/>
      <c r="F3308" s="3" t="str">
        <f>IFERROR( VLOOKUP(A3308,#REF!,2,0),"")</f>
        <v/>
      </c>
      <c r="G3308" s="3">
        <f t="array" ref="G3308">_xlfn.XLOOKUP(I3308,Base_Datos!D:D,Base_Datos!B:B,"")</f>
        <v>0</v>
      </c>
      <c r="H3308" s="3" t="str">
        <f t="array" ref="H3308">IF(I3308="","",IFERROR(_xlfn.XLOOKUP(I3308,Base_Datos!$D$2:$D3876,Base_Datos!$C$2:$C3876),""))</f>
        <v/>
      </c>
      <c r="I3308" s="3"/>
      <c r="J3308" s="3" t="str">
        <f>IF(I3308="","",IFERROR(VLOOKUP(I3308,Base_Datos!$D$2:$E$72,2,0),""))</f>
        <v/>
      </c>
      <c r="K3308" s="3"/>
      <c r="L3308" s="3"/>
      <c r="M3308" s="3"/>
      <c r="N3308" s="3"/>
    </row>
    <row r="3309" spans="1:14" ht="14.25" x14ac:dyDescent="0.2">
      <c r="A3309" s="3"/>
      <c r="B3309" s="3"/>
      <c r="C3309" s="3"/>
      <c r="D3309" s="6"/>
      <c r="E3309" s="10"/>
      <c r="F3309" s="3" t="str">
        <f>IFERROR( VLOOKUP(A3309,#REF!,2,0),"")</f>
        <v/>
      </c>
      <c r="G3309" s="3">
        <f t="array" ref="G3309">_xlfn.XLOOKUP(I3309,Base_Datos!D:D,Base_Datos!B:B,"")</f>
        <v>0</v>
      </c>
      <c r="H3309" s="3" t="str">
        <f t="array" ref="H3309">IF(I3309="","",IFERROR(_xlfn.XLOOKUP(I3309,Base_Datos!$D$2:$D3876,Base_Datos!$C$2:$C3876),""))</f>
        <v/>
      </c>
      <c r="I3309" s="3"/>
      <c r="J3309" s="3" t="str">
        <f>IF(I3309="","",IFERROR(VLOOKUP(I3309,Base_Datos!$D$2:$E$72,2,0),""))</f>
        <v/>
      </c>
      <c r="K3309" s="3"/>
      <c r="L3309" s="3"/>
      <c r="M3309" s="3"/>
      <c r="N3309" s="3"/>
    </row>
    <row r="3310" spans="1:14" ht="14.25" x14ac:dyDescent="0.2">
      <c r="A3310" s="3"/>
      <c r="B3310" s="3"/>
      <c r="C3310" s="3"/>
      <c r="D3310" s="6"/>
      <c r="E3310" s="10"/>
      <c r="F3310" s="3" t="str">
        <f>IFERROR( VLOOKUP(A3310,#REF!,2,0),"")</f>
        <v/>
      </c>
      <c r="G3310" s="3">
        <f t="array" ref="G3310">_xlfn.XLOOKUP(I3310,Base_Datos!D:D,Base_Datos!B:B,"")</f>
        <v>0</v>
      </c>
      <c r="H3310" s="3" t="str">
        <f t="array" ref="H3310">IF(I3310="","",IFERROR(_xlfn.XLOOKUP(I3310,Base_Datos!$D$2:$D3876,Base_Datos!$C$2:$C3876),""))</f>
        <v/>
      </c>
      <c r="I3310" s="3"/>
      <c r="J3310" s="3" t="str">
        <f>IF(I3310="","",IFERROR(VLOOKUP(I3310,Base_Datos!$D$2:$E$72,2,0),""))</f>
        <v/>
      </c>
      <c r="K3310" s="3"/>
      <c r="L3310" s="3"/>
      <c r="M3310" s="3"/>
      <c r="N3310" s="3"/>
    </row>
    <row r="3311" spans="1:14" ht="14.25" x14ac:dyDescent="0.2">
      <c r="A3311" s="3"/>
      <c r="B3311" s="3"/>
      <c r="C3311" s="3"/>
      <c r="D3311" s="6"/>
      <c r="E3311" s="10"/>
      <c r="F3311" s="3" t="str">
        <f>IFERROR( VLOOKUP(A3311,#REF!,2,0),"")</f>
        <v/>
      </c>
      <c r="G3311" s="3">
        <f t="array" ref="G3311">_xlfn.XLOOKUP(I3311,Base_Datos!D:D,Base_Datos!B:B,"")</f>
        <v>0</v>
      </c>
      <c r="H3311" s="3" t="str">
        <f t="array" ref="H3311">IF(I3311="","",IFERROR(_xlfn.XLOOKUP(I3311,Base_Datos!$D$2:$D3876,Base_Datos!$C$2:$C3876),""))</f>
        <v/>
      </c>
      <c r="I3311" s="3"/>
      <c r="J3311" s="3" t="str">
        <f>IF(I3311="","",IFERROR(VLOOKUP(I3311,Base_Datos!$D$2:$E$72,2,0),""))</f>
        <v/>
      </c>
      <c r="K3311" s="3"/>
      <c r="L3311" s="3"/>
      <c r="M3311" s="3"/>
      <c r="N3311" s="3"/>
    </row>
    <row r="3312" spans="1:14" ht="14.25" x14ac:dyDescent="0.2">
      <c r="A3312" s="3"/>
      <c r="B3312" s="3"/>
      <c r="C3312" s="3"/>
      <c r="D3312" s="6"/>
      <c r="E3312" s="10"/>
      <c r="F3312" s="3" t="str">
        <f>IFERROR( VLOOKUP(A3312,#REF!,2,0),"")</f>
        <v/>
      </c>
      <c r="G3312" s="3">
        <f t="array" ref="G3312">_xlfn.XLOOKUP(I3312,Base_Datos!D:D,Base_Datos!B:B,"")</f>
        <v>0</v>
      </c>
      <c r="H3312" s="3" t="str">
        <f t="array" ref="H3312">IF(I3312="","",IFERROR(_xlfn.XLOOKUP(I3312,Base_Datos!$D$2:$D3876,Base_Datos!$C$2:$C3876),""))</f>
        <v/>
      </c>
      <c r="I3312" s="3"/>
      <c r="J3312" s="3" t="str">
        <f>IF(I3312="","",IFERROR(VLOOKUP(I3312,Base_Datos!$D$2:$E$72,2,0),""))</f>
        <v/>
      </c>
      <c r="K3312" s="3"/>
      <c r="L3312" s="3"/>
      <c r="M3312" s="3"/>
      <c r="N3312" s="3"/>
    </row>
    <row r="3313" spans="1:14" ht="14.25" x14ac:dyDescent="0.2">
      <c r="A3313" s="3"/>
      <c r="B3313" s="3"/>
      <c r="C3313" s="3"/>
      <c r="D3313" s="6"/>
      <c r="E3313" s="10"/>
      <c r="F3313" s="3" t="str">
        <f>IFERROR( VLOOKUP(A3313,#REF!,2,0),"")</f>
        <v/>
      </c>
      <c r="G3313" s="3">
        <f t="array" ref="G3313">_xlfn.XLOOKUP(I3313,Base_Datos!D:D,Base_Datos!B:B,"")</f>
        <v>0</v>
      </c>
      <c r="H3313" s="3" t="str">
        <f t="array" ref="H3313">IF(I3313="","",IFERROR(_xlfn.XLOOKUP(I3313,Base_Datos!$D$2:$D3876,Base_Datos!$C$2:$C3876),""))</f>
        <v/>
      </c>
      <c r="I3313" s="3"/>
      <c r="J3313" s="3" t="str">
        <f>IF(I3313="","",IFERROR(VLOOKUP(I3313,Base_Datos!$D$2:$E$72,2,0),""))</f>
        <v/>
      </c>
      <c r="K3313" s="3"/>
      <c r="L3313" s="3"/>
      <c r="M3313" s="3"/>
      <c r="N3313" s="3"/>
    </row>
    <row r="3314" spans="1:14" ht="14.25" x14ac:dyDescent="0.2">
      <c r="A3314" s="3"/>
      <c r="B3314" s="3"/>
      <c r="C3314" s="3"/>
      <c r="D3314" s="6"/>
      <c r="E3314" s="10"/>
      <c r="F3314" s="3" t="str">
        <f>IFERROR( VLOOKUP(A3314,#REF!,2,0),"")</f>
        <v/>
      </c>
      <c r="G3314" s="3">
        <f t="array" ref="G3314">_xlfn.XLOOKUP(I3314,Base_Datos!D:D,Base_Datos!B:B,"")</f>
        <v>0</v>
      </c>
      <c r="H3314" s="3" t="str">
        <f t="array" ref="H3314">IF(I3314="","",IFERROR(_xlfn.XLOOKUP(I3314,Base_Datos!$D$2:$D3876,Base_Datos!$C$2:$C3876),""))</f>
        <v/>
      </c>
      <c r="I3314" s="3"/>
      <c r="J3314" s="3" t="str">
        <f>IF(I3314="","",IFERROR(VLOOKUP(I3314,Base_Datos!$D$2:$E$72,2,0),""))</f>
        <v/>
      </c>
      <c r="K3314" s="3"/>
      <c r="L3314" s="3"/>
      <c r="M3314" s="3"/>
      <c r="N3314" s="3"/>
    </row>
    <row r="3315" spans="1:14" ht="14.25" x14ac:dyDescent="0.2">
      <c r="A3315" s="3"/>
      <c r="B3315" s="3"/>
      <c r="C3315" s="3"/>
      <c r="D3315" s="6"/>
      <c r="E3315" s="10"/>
      <c r="F3315" s="3" t="str">
        <f>IFERROR( VLOOKUP(A3315,#REF!,2,0),"")</f>
        <v/>
      </c>
      <c r="G3315" s="3">
        <f t="array" ref="G3315">_xlfn.XLOOKUP(I3315,Base_Datos!D:D,Base_Datos!B:B,"")</f>
        <v>0</v>
      </c>
      <c r="H3315" s="3" t="str">
        <f t="array" ref="H3315">IF(I3315="","",IFERROR(_xlfn.XLOOKUP(I3315,Base_Datos!$D$2:$D3876,Base_Datos!$C$2:$C3876),""))</f>
        <v/>
      </c>
      <c r="I3315" s="3"/>
      <c r="J3315" s="3" t="str">
        <f>IF(I3315="","",IFERROR(VLOOKUP(I3315,Base_Datos!$D$2:$E$72,2,0),""))</f>
        <v/>
      </c>
      <c r="K3315" s="3"/>
      <c r="L3315" s="3"/>
      <c r="M3315" s="3"/>
      <c r="N3315" s="3"/>
    </row>
    <row r="3316" spans="1:14" ht="14.25" x14ac:dyDescent="0.2">
      <c r="A3316" s="3"/>
      <c r="B3316" s="3"/>
      <c r="C3316" s="3"/>
      <c r="D3316" s="6"/>
      <c r="E3316" s="10"/>
      <c r="F3316" s="3" t="str">
        <f>IFERROR( VLOOKUP(A3316,#REF!,2,0),"")</f>
        <v/>
      </c>
      <c r="G3316" s="3">
        <f t="array" ref="G3316">_xlfn.XLOOKUP(I3316,Base_Datos!D:D,Base_Datos!B:B,"")</f>
        <v>0</v>
      </c>
      <c r="H3316" s="3" t="str">
        <f t="array" ref="H3316">IF(I3316="","",IFERROR(_xlfn.XLOOKUP(I3316,Base_Datos!$D$2:$D3876,Base_Datos!$C$2:$C3876),""))</f>
        <v/>
      </c>
      <c r="I3316" s="3"/>
      <c r="J3316" s="3" t="str">
        <f>IF(I3316="","",IFERROR(VLOOKUP(I3316,Base_Datos!$D$2:$E$72,2,0),""))</f>
        <v/>
      </c>
      <c r="K3316" s="3"/>
      <c r="L3316" s="3"/>
      <c r="M3316" s="3"/>
      <c r="N3316" s="3"/>
    </row>
    <row r="3317" spans="1:14" ht="14.25" x14ac:dyDescent="0.2">
      <c r="A3317" s="3"/>
      <c r="B3317" s="3"/>
      <c r="C3317" s="3"/>
      <c r="D3317" s="6"/>
      <c r="E3317" s="10"/>
      <c r="F3317" s="3" t="str">
        <f>IFERROR( VLOOKUP(A3317,#REF!,2,0),"")</f>
        <v/>
      </c>
      <c r="G3317" s="3">
        <f t="array" ref="G3317">_xlfn.XLOOKUP(I3317,Base_Datos!D:D,Base_Datos!B:B,"")</f>
        <v>0</v>
      </c>
      <c r="H3317" s="3" t="str">
        <f t="array" ref="H3317">IF(I3317="","",IFERROR(_xlfn.XLOOKUP(I3317,Base_Datos!$D$2:$D3876,Base_Datos!$C$2:$C3876),""))</f>
        <v/>
      </c>
      <c r="I3317" s="3"/>
      <c r="J3317" s="3" t="str">
        <f>IF(I3317="","",IFERROR(VLOOKUP(I3317,Base_Datos!$D$2:$E$72,2,0),""))</f>
        <v/>
      </c>
      <c r="K3317" s="3"/>
      <c r="L3317" s="3"/>
      <c r="M3317" s="3"/>
      <c r="N3317" s="3"/>
    </row>
    <row r="3318" spans="1:14" ht="14.25" x14ac:dyDescent="0.2">
      <c r="A3318" s="3"/>
      <c r="B3318" s="3"/>
      <c r="C3318" s="3"/>
      <c r="D3318" s="6"/>
      <c r="E3318" s="10"/>
      <c r="F3318" s="3" t="str">
        <f>IFERROR( VLOOKUP(A3318,#REF!,2,0),"")</f>
        <v/>
      </c>
      <c r="G3318" s="3">
        <f t="array" ref="G3318">_xlfn.XLOOKUP(I3318,Base_Datos!D:D,Base_Datos!B:B,"")</f>
        <v>0</v>
      </c>
      <c r="H3318" s="3" t="str">
        <f t="array" ref="H3318">IF(I3318="","",IFERROR(_xlfn.XLOOKUP(I3318,Base_Datos!$D$2:$D3876,Base_Datos!$C$2:$C3876),""))</f>
        <v/>
      </c>
      <c r="I3318" s="3"/>
      <c r="J3318" s="3" t="str">
        <f>IF(I3318="","",IFERROR(VLOOKUP(I3318,Base_Datos!$D$2:$E$72,2,0),""))</f>
        <v/>
      </c>
      <c r="K3318" s="3"/>
      <c r="L3318" s="3"/>
      <c r="M3318" s="3"/>
      <c r="N3318" s="3"/>
    </row>
    <row r="3319" spans="1:14" ht="14.25" x14ac:dyDescent="0.2">
      <c r="A3319" s="3"/>
      <c r="B3319" s="3"/>
      <c r="C3319" s="3"/>
      <c r="D3319" s="6"/>
      <c r="E3319" s="10"/>
      <c r="F3319" s="3" t="str">
        <f>IFERROR( VLOOKUP(A3319,#REF!,2,0),"")</f>
        <v/>
      </c>
      <c r="G3319" s="3">
        <f t="array" ref="G3319">_xlfn.XLOOKUP(I3319,Base_Datos!D:D,Base_Datos!B:B,"")</f>
        <v>0</v>
      </c>
      <c r="H3319" s="3" t="str">
        <f t="array" ref="H3319">IF(I3319="","",IFERROR(_xlfn.XLOOKUP(I3319,Base_Datos!$D$2:$D3876,Base_Datos!$C$2:$C3876),""))</f>
        <v/>
      </c>
      <c r="I3319" s="3"/>
      <c r="J3319" s="3" t="str">
        <f>IF(I3319="","",IFERROR(VLOOKUP(I3319,Base_Datos!$D$2:$E$72,2,0),""))</f>
        <v/>
      </c>
      <c r="K3319" s="3"/>
      <c r="L3319" s="3"/>
      <c r="M3319" s="3"/>
      <c r="N3319" s="3"/>
    </row>
    <row r="3320" spans="1:14" ht="14.25" x14ac:dyDescent="0.2">
      <c r="A3320" s="3"/>
      <c r="B3320" s="3"/>
      <c r="C3320" s="3"/>
      <c r="D3320" s="6"/>
      <c r="E3320" s="10"/>
      <c r="F3320" s="3" t="str">
        <f>IFERROR( VLOOKUP(A3320,#REF!,2,0),"")</f>
        <v/>
      </c>
      <c r="G3320" s="3">
        <f t="array" ref="G3320">_xlfn.XLOOKUP(I3320,Base_Datos!D:D,Base_Datos!B:B,"")</f>
        <v>0</v>
      </c>
      <c r="H3320" s="3" t="str">
        <f t="array" ref="H3320">IF(I3320="","",IFERROR(_xlfn.XLOOKUP(I3320,Base_Datos!$D$2:$D3876,Base_Datos!$C$2:$C3876),""))</f>
        <v/>
      </c>
      <c r="I3320" s="3"/>
      <c r="J3320" s="3" t="str">
        <f>IF(I3320="","",IFERROR(VLOOKUP(I3320,Base_Datos!$D$2:$E$72,2,0),""))</f>
        <v/>
      </c>
      <c r="K3320" s="3"/>
      <c r="L3320" s="3"/>
      <c r="M3320" s="3"/>
      <c r="N3320" s="3"/>
    </row>
    <row r="3321" spans="1:14" ht="14.25" x14ac:dyDescent="0.2">
      <c r="A3321" s="3"/>
      <c r="B3321" s="3"/>
      <c r="C3321" s="3"/>
      <c r="D3321" s="6"/>
      <c r="E3321" s="10"/>
      <c r="F3321" s="3" t="str">
        <f>IFERROR( VLOOKUP(A3321,#REF!,2,0),"")</f>
        <v/>
      </c>
      <c r="G3321" s="3">
        <f t="array" ref="G3321">_xlfn.XLOOKUP(I3321,Base_Datos!D:D,Base_Datos!B:B,"")</f>
        <v>0</v>
      </c>
      <c r="H3321" s="3" t="str">
        <f t="array" ref="H3321">IF(I3321="","",IFERROR(_xlfn.XLOOKUP(I3321,Base_Datos!$D$2:$D3876,Base_Datos!$C$2:$C3876),""))</f>
        <v/>
      </c>
      <c r="I3321" s="3"/>
      <c r="J3321" s="3" t="str">
        <f>IF(I3321="","",IFERROR(VLOOKUP(I3321,Base_Datos!$D$2:$E$72,2,0),""))</f>
        <v/>
      </c>
      <c r="K3321" s="3"/>
      <c r="L3321" s="3"/>
      <c r="M3321" s="3"/>
      <c r="N3321" s="3"/>
    </row>
    <row r="3322" spans="1:14" ht="14.25" x14ac:dyDescent="0.2">
      <c r="A3322" s="3"/>
      <c r="B3322" s="3"/>
      <c r="C3322" s="3"/>
      <c r="D3322" s="6"/>
      <c r="E3322" s="10"/>
      <c r="F3322" s="3" t="str">
        <f>IFERROR( VLOOKUP(A3322,#REF!,2,0),"")</f>
        <v/>
      </c>
      <c r="G3322" s="3">
        <f t="array" ref="G3322">_xlfn.XLOOKUP(I3322,Base_Datos!D:D,Base_Datos!B:B,"")</f>
        <v>0</v>
      </c>
      <c r="H3322" s="3" t="str">
        <f t="array" ref="H3322">IF(I3322="","",IFERROR(_xlfn.XLOOKUP(I3322,Base_Datos!$D$2:$D3876,Base_Datos!$C$2:$C3876),""))</f>
        <v/>
      </c>
      <c r="I3322" s="3"/>
      <c r="J3322" s="3" t="str">
        <f>IF(I3322="","",IFERROR(VLOOKUP(I3322,Base_Datos!$D$2:$E$72,2,0),""))</f>
        <v/>
      </c>
      <c r="K3322" s="3"/>
      <c r="L3322" s="3"/>
      <c r="M3322" s="3"/>
      <c r="N3322" s="3"/>
    </row>
    <row r="3323" spans="1:14" ht="14.25" x14ac:dyDescent="0.2">
      <c r="A3323" s="3"/>
      <c r="B3323" s="3"/>
      <c r="C3323" s="3"/>
      <c r="D3323" s="6"/>
      <c r="E3323" s="10"/>
      <c r="F3323" s="3" t="str">
        <f>IFERROR( VLOOKUP(A3323,#REF!,2,0),"")</f>
        <v/>
      </c>
      <c r="G3323" s="3">
        <f t="array" ref="G3323">_xlfn.XLOOKUP(I3323,Base_Datos!D:D,Base_Datos!B:B,"")</f>
        <v>0</v>
      </c>
      <c r="H3323" s="3" t="str">
        <f t="array" ref="H3323">IF(I3323="","",IFERROR(_xlfn.XLOOKUP(I3323,Base_Datos!$D$2:$D3876,Base_Datos!$C$2:$C3876),""))</f>
        <v/>
      </c>
      <c r="I3323" s="3"/>
      <c r="J3323" s="3" t="str">
        <f>IF(I3323="","",IFERROR(VLOOKUP(I3323,Base_Datos!$D$2:$E$72,2,0),""))</f>
        <v/>
      </c>
      <c r="K3323" s="3"/>
      <c r="L3323" s="3"/>
      <c r="M3323" s="3"/>
      <c r="N3323" s="3"/>
    </row>
    <row r="3324" spans="1:14" ht="14.25" x14ac:dyDescent="0.2">
      <c r="A3324" s="3"/>
      <c r="B3324" s="3"/>
      <c r="C3324" s="3"/>
      <c r="D3324" s="6"/>
      <c r="E3324" s="10"/>
      <c r="F3324" s="3" t="str">
        <f>IFERROR( VLOOKUP(A3324,#REF!,2,0),"")</f>
        <v/>
      </c>
      <c r="G3324" s="3">
        <f t="array" ref="G3324">_xlfn.XLOOKUP(I3324,Base_Datos!D:D,Base_Datos!B:B,"")</f>
        <v>0</v>
      </c>
      <c r="H3324" s="3" t="str">
        <f t="array" ref="H3324">IF(I3324="","",IFERROR(_xlfn.XLOOKUP(I3324,Base_Datos!$D$2:$D3876,Base_Datos!$C$2:$C3876),""))</f>
        <v/>
      </c>
      <c r="I3324" s="3"/>
      <c r="J3324" s="3" t="str">
        <f>IF(I3324="","",IFERROR(VLOOKUP(I3324,Base_Datos!$D$2:$E$72,2,0),""))</f>
        <v/>
      </c>
      <c r="K3324" s="3"/>
      <c r="L3324" s="3"/>
      <c r="M3324" s="3"/>
      <c r="N3324" s="3"/>
    </row>
    <row r="3325" spans="1:14" ht="14.25" x14ac:dyDescent="0.2">
      <c r="A3325" s="3"/>
      <c r="B3325" s="3"/>
      <c r="C3325" s="3"/>
      <c r="D3325" s="6"/>
      <c r="E3325" s="10"/>
      <c r="F3325" s="3" t="str">
        <f>IFERROR( VLOOKUP(A3325,#REF!,2,0),"")</f>
        <v/>
      </c>
      <c r="G3325" s="3">
        <f t="array" ref="G3325">_xlfn.XLOOKUP(I3325,Base_Datos!D:D,Base_Datos!B:B,"")</f>
        <v>0</v>
      </c>
      <c r="H3325" s="3" t="str">
        <f t="array" ref="H3325">IF(I3325="","",IFERROR(_xlfn.XLOOKUP(I3325,Base_Datos!$D$2:$D3876,Base_Datos!$C$2:$C3876),""))</f>
        <v/>
      </c>
      <c r="I3325" s="3"/>
      <c r="J3325" s="3" t="str">
        <f>IF(I3325="","",IFERROR(VLOOKUP(I3325,Base_Datos!$D$2:$E$72,2,0),""))</f>
        <v/>
      </c>
      <c r="K3325" s="3"/>
      <c r="L3325" s="3"/>
      <c r="M3325" s="3"/>
      <c r="N3325" s="3"/>
    </row>
    <row r="3326" spans="1:14" ht="14.25" x14ac:dyDescent="0.2">
      <c r="A3326" s="3"/>
      <c r="B3326" s="3"/>
      <c r="C3326" s="3"/>
      <c r="D3326" s="6"/>
      <c r="E3326" s="10"/>
      <c r="F3326" s="3" t="str">
        <f>IFERROR( VLOOKUP(A3326,#REF!,2,0),"")</f>
        <v/>
      </c>
      <c r="G3326" s="3">
        <f t="array" ref="G3326">_xlfn.XLOOKUP(I3326,Base_Datos!D:D,Base_Datos!B:B,"")</f>
        <v>0</v>
      </c>
      <c r="H3326" s="3" t="str">
        <f t="array" ref="H3326">IF(I3326="","",IFERROR(_xlfn.XLOOKUP(I3326,Base_Datos!$D$2:$D3876,Base_Datos!$C$2:$C3876),""))</f>
        <v/>
      </c>
      <c r="I3326" s="3"/>
      <c r="J3326" s="3" t="str">
        <f>IF(I3326="","",IFERROR(VLOOKUP(I3326,Base_Datos!$D$2:$E$72,2,0),""))</f>
        <v/>
      </c>
      <c r="K3326" s="3"/>
      <c r="L3326" s="3"/>
      <c r="M3326" s="3"/>
      <c r="N3326" s="3"/>
    </row>
    <row r="3327" spans="1:14" ht="14.25" x14ac:dyDescent="0.2">
      <c r="A3327" s="3"/>
      <c r="B3327" s="3"/>
      <c r="C3327" s="3"/>
      <c r="D3327" s="6"/>
      <c r="E3327" s="10"/>
      <c r="F3327" s="3" t="str">
        <f>IFERROR( VLOOKUP(A3327,#REF!,2,0),"")</f>
        <v/>
      </c>
      <c r="G3327" s="3">
        <f t="array" ref="G3327">_xlfn.XLOOKUP(I3327,Base_Datos!D:D,Base_Datos!B:B,"")</f>
        <v>0</v>
      </c>
      <c r="H3327" s="3" t="str">
        <f t="array" ref="H3327">IF(I3327="","",IFERROR(_xlfn.XLOOKUP(I3327,Base_Datos!$D$2:$D3876,Base_Datos!$C$2:$C3876),""))</f>
        <v/>
      </c>
      <c r="I3327" s="3"/>
      <c r="J3327" s="3" t="str">
        <f>IF(I3327="","",IFERROR(VLOOKUP(I3327,Base_Datos!$D$2:$E$72,2,0),""))</f>
        <v/>
      </c>
      <c r="K3327" s="3"/>
      <c r="L3327" s="3"/>
      <c r="M3327" s="3"/>
      <c r="N3327" s="3"/>
    </row>
    <row r="3328" spans="1:14" ht="14.25" x14ac:dyDescent="0.2">
      <c r="A3328" s="3"/>
      <c r="B3328" s="3"/>
      <c r="C3328" s="3"/>
      <c r="D3328" s="6"/>
      <c r="E3328" s="10"/>
      <c r="F3328" s="3" t="str">
        <f>IFERROR( VLOOKUP(A3328,#REF!,2,0),"")</f>
        <v/>
      </c>
      <c r="G3328" s="3">
        <f t="array" ref="G3328">_xlfn.XLOOKUP(I3328,Base_Datos!D:D,Base_Datos!B:B,"")</f>
        <v>0</v>
      </c>
      <c r="H3328" s="3" t="str">
        <f t="array" ref="H3328">IF(I3328="","",IFERROR(_xlfn.XLOOKUP(I3328,Base_Datos!$D$2:$D3876,Base_Datos!$C$2:$C3876),""))</f>
        <v/>
      </c>
      <c r="I3328" s="3"/>
      <c r="J3328" s="3" t="str">
        <f>IF(I3328="","",IFERROR(VLOOKUP(I3328,Base_Datos!$D$2:$E$72,2,0),""))</f>
        <v/>
      </c>
      <c r="K3328" s="3"/>
      <c r="L3328" s="3"/>
      <c r="M3328" s="3"/>
      <c r="N3328" s="3"/>
    </row>
    <row r="3329" spans="1:14" ht="14.25" x14ac:dyDescent="0.2">
      <c r="A3329" s="3"/>
      <c r="B3329" s="3"/>
      <c r="C3329" s="3"/>
      <c r="D3329" s="6"/>
      <c r="E3329" s="10"/>
      <c r="F3329" s="3" t="str">
        <f>IFERROR( VLOOKUP(A3329,#REF!,2,0),"")</f>
        <v/>
      </c>
      <c r="G3329" s="3">
        <f t="array" ref="G3329">_xlfn.XLOOKUP(I3329,Base_Datos!D:D,Base_Datos!B:B,"")</f>
        <v>0</v>
      </c>
      <c r="H3329" s="3" t="str">
        <f t="array" ref="H3329">IF(I3329="","",IFERROR(_xlfn.XLOOKUP(I3329,Base_Datos!$D$2:$D3876,Base_Datos!$C$2:$C3876),""))</f>
        <v/>
      </c>
      <c r="I3329" s="3"/>
      <c r="J3329" s="3" t="str">
        <f>IF(I3329="","",IFERROR(VLOOKUP(I3329,Base_Datos!$D$2:$E$72,2,0),""))</f>
        <v/>
      </c>
      <c r="K3329" s="3"/>
      <c r="L3329" s="3"/>
      <c r="M3329" s="3"/>
      <c r="N3329" s="3"/>
    </row>
    <row r="3330" spans="1:14" ht="14.25" x14ac:dyDescent="0.2">
      <c r="A3330" s="3"/>
      <c r="B3330" s="3"/>
      <c r="C3330" s="3"/>
      <c r="D3330" s="6"/>
      <c r="E3330" s="10"/>
      <c r="F3330" s="3" t="str">
        <f>IFERROR( VLOOKUP(A3330,#REF!,2,0),"")</f>
        <v/>
      </c>
      <c r="G3330" s="3">
        <f t="array" ref="G3330">_xlfn.XLOOKUP(I3330,Base_Datos!D:D,Base_Datos!B:B,"")</f>
        <v>0</v>
      </c>
      <c r="H3330" s="3" t="str">
        <f t="array" ref="H3330">IF(I3330="","",IFERROR(_xlfn.XLOOKUP(I3330,Base_Datos!$D$2:$D3876,Base_Datos!$C$2:$C3876),""))</f>
        <v/>
      </c>
      <c r="I3330" s="3"/>
      <c r="J3330" s="3" t="str">
        <f>IF(I3330="","",IFERROR(VLOOKUP(I3330,Base_Datos!$D$2:$E$72,2,0),""))</f>
        <v/>
      </c>
      <c r="K3330" s="3"/>
      <c r="L3330" s="3"/>
      <c r="M3330" s="3"/>
      <c r="N3330" s="3"/>
    </row>
    <row r="3331" spans="1:14" ht="14.25" x14ac:dyDescent="0.2">
      <c r="A3331" s="3"/>
      <c r="B3331" s="3"/>
      <c r="C3331" s="3"/>
      <c r="D3331" s="6"/>
      <c r="E3331" s="10"/>
      <c r="F3331" s="3" t="str">
        <f>IFERROR( VLOOKUP(A3331,#REF!,2,0),"")</f>
        <v/>
      </c>
      <c r="G3331" s="3">
        <f t="array" ref="G3331">_xlfn.XLOOKUP(I3331,Base_Datos!D:D,Base_Datos!B:B,"")</f>
        <v>0</v>
      </c>
      <c r="H3331" s="3" t="str">
        <f t="array" ref="H3331">IF(I3331="","",IFERROR(_xlfn.XLOOKUP(I3331,Base_Datos!$D$2:$D3876,Base_Datos!$C$2:$C3876),""))</f>
        <v/>
      </c>
      <c r="I3331" s="3"/>
      <c r="J3331" s="3" t="str">
        <f>IF(I3331="","",IFERROR(VLOOKUP(I3331,Base_Datos!$D$2:$E$72,2,0),""))</f>
        <v/>
      </c>
      <c r="K3331" s="3"/>
      <c r="L3331" s="3"/>
      <c r="M3331" s="3"/>
      <c r="N3331" s="3"/>
    </row>
    <row r="3332" spans="1:14" ht="14.25" x14ac:dyDescent="0.2">
      <c r="A3332" s="3"/>
      <c r="B3332" s="3"/>
      <c r="C3332" s="3"/>
      <c r="D3332" s="6"/>
      <c r="E3332" s="10"/>
      <c r="F3332" s="3" t="str">
        <f>IFERROR( VLOOKUP(A3332,#REF!,2,0),"")</f>
        <v/>
      </c>
      <c r="G3332" s="3">
        <f t="array" ref="G3332">_xlfn.XLOOKUP(I3332,Base_Datos!D:D,Base_Datos!B:B,"")</f>
        <v>0</v>
      </c>
      <c r="H3332" s="3" t="str">
        <f t="array" ref="H3332">IF(I3332="","",IFERROR(_xlfn.XLOOKUP(I3332,Base_Datos!$D$2:$D3876,Base_Datos!$C$2:$C3876),""))</f>
        <v/>
      </c>
      <c r="I3332" s="3"/>
      <c r="J3332" s="3" t="str">
        <f>IF(I3332="","",IFERROR(VLOOKUP(I3332,Base_Datos!$D$2:$E$72,2,0),""))</f>
        <v/>
      </c>
      <c r="K3332" s="3"/>
      <c r="L3332" s="3"/>
      <c r="M3332" s="3"/>
      <c r="N3332" s="3"/>
    </row>
    <row r="3333" spans="1:14" ht="14.25" x14ac:dyDescent="0.2">
      <c r="A3333" s="3"/>
      <c r="B3333" s="3"/>
      <c r="C3333" s="3"/>
      <c r="D3333" s="6"/>
      <c r="E3333" s="10"/>
      <c r="F3333" s="3" t="str">
        <f>IFERROR( VLOOKUP(A3333,#REF!,2,0),"")</f>
        <v/>
      </c>
      <c r="G3333" s="3">
        <f t="array" ref="G3333">_xlfn.XLOOKUP(I3333,Base_Datos!D:D,Base_Datos!B:B,"")</f>
        <v>0</v>
      </c>
      <c r="H3333" s="3" t="str">
        <f t="array" ref="H3333">IF(I3333="","",IFERROR(_xlfn.XLOOKUP(I3333,Base_Datos!$D$2:$D3876,Base_Datos!$C$2:$C3876),""))</f>
        <v/>
      </c>
      <c r="I3333" s="3"/>
      <c r="J3333" s="3" t="str">
        <f>IF(I3333="","",IFERROR(VLOOKUP(I3333,Base_Datos!$D$2:$E$72,2,0),""))</f>
        <v/>
      </c>
      <c r="K3333" s="3"/>
      <c r="L3333" s="3"/>
      <c r="M3333" s="3"/>
      <c r="N3333" s="3"/>
    </row>
    <row r="3334" spans="1:14" ht="14.25" x14ac:dyDescent="0.2">
      <c r="A3334" s="3"/>
      <c r="B3334" s="3"/>
      <c r="C3334" s="3"/>
      <c r="D3334" s="6"/>
      <c r="E3334" s="10"/>
      <c r="F3334" s="3" t="str">
        <f>IFERROR( VLOOKUP(A3334,#REF!,2,0),"")</f>
        <v/>
      </c>
      <c r="G3334" s="3">
        <f t="array" ref="G3334">_xlfn.XLOOKUP(I3334,Base_Datos!D:D,Base_Datos!B:B,"")</f>
        <v>0</v>
      </c>
      <c r="H3334" s="3" t="str">
        <f t="array" ref="H3334">IF(I3334="","",IFERROR(_xlfn.XLOOKUP(I3334,Base_Datos!$D$2:$D3876,Base_Datos!$C$2:$C3876),""))</f>
        <v/>
      </c>
      <c r="I3334" s="3"/>
      <c r="J3334" s="3" t="str">
        <f>IF(I3334="","",IFERROR(VLOOKUP(I3334,Base_Datos!$D$2:$E$72,2,0),""))</f>
        <v/>
      </c>
      <c r="K3334" s="3"/>
      <c r="L3334" s="3"/>
      <c r="M3334" s="3"/>
      <c r="N3334" s="3"/>
    </row>
    <row r="3335" spans="1:14" ht="14.25" x14ac:dyDescent="0.2">
      <c r="A3335" s="3"/>
      <c r="B3335" s="3"/>
      <c r="C3335" s="3"/>
      <c r="D3335" s="6"/>
      <c r="E3335" s="10"/>
      <c r="F3335" s="3" t="str">
        <f>IFERROR( VLOOKUP(A3335,#REF!,2,0),"")</f>
        <v/>
      </c>
      <c r="G3335" s="3">
        <f t="array" ref="G3335">_xlfn.XLOOKUP(I3335,Base_Datos!D:D,Base_Datos!B:B,"")</f>
        <v>0</v>
      </c>
      <c r="H3335" s="3" t="str">
        <f t="array" ref="H3335">IF(I3335="","",IFERROR(_xlfn.XLOOKUP(I3335,Base_Datos!$D$2:$D3876,Base_Datos!$C$2:$C3876),""))</f>
        <v/>
      </c>
      <c r="I3335" s="3"/>
      <c r="J3335" s="3" t="str">
        <f>IF(I3335="","",IFERROR(VLOOKUP(I3335,Base_Datos!$D$2:$E$72,2,0),""))</f>
        <v/>
      </c>
      <c r="K3335" s="3"/>
      <c r="L3335" s="3"/>
      <c r="M3335" s="3"/>
      <c r="N3335" s="3"/>
    </row>
    <row r="3336" spans="1:14" ht="14.25" x14ac:dyDescent="0.2">
      <c r="A3336" s="3"/>
      <c r="B3336" s="3"/>
      <c r="C3336" s="3"/>
      <c r="D3336" s="6"/>
      <c r="E3336" s="10"/>
      <c r="F3336" s="3" t="str">
        <f>IFERROR( VLOOKUP(A3336,#REF!,2,0),"")</f>
        <v/>
      </c>
      <c r="G3336" s="3">
        <f t="array" ref="G3336">_xlfn.XLOOKUP(I3336,Base_Datos!D:D,Base_Datos!B:B,"")</f>
        <v>0</v>
      </c>
      <c r="H3336" s="3" t="str">
        <f t="array" ref="H3336">IF(I3336="","",IFERROR(_xlfn.XLOOKUP(I3336,Base_Datos!$D$2:$D3876,Base_Datos!$C$2:$C3876),""))</f>
        <v/>
      </c>
      <c r="I3336" s="3"/>
      <c r="J3336" s="3" t="str">
        <f>IF(I3336="","",IFERROR(VLOOKUP(I3336,Base_Datos!$D$2:$E$72,2,0),""))</f>
        <v/>
      </c>
      <c r="K3336" s="3"/>
      <c r="L3336" s="3"/>
      <c r="M3336" s="3"/>
      <c r="N3336" s="3"/>
    </row>
    <row r="3337" spans="1:14" ht="14.25" x14ac:dyDescent="0.2">
      <c r="A3337" s="3"/>
      <c r="B3337" s="3"/>
      <c r="C3337" s="3"/>
      <c r="D3337" s="6"/>
      <c r="E3337" s="10"/>
      <c r="F3337" s="3" t="str">
        <f>IFERROR( VLOOKUP(A3337,#REF!,2,0),"")</f>
        <v/>
      </c>
      <c r="G3337" s="3">
        <f t="array" ref="G3337">_xlfn.XLOOKUP(I3337,Base_Datos!D:D,Base_Datos!B:B,"")</f>
        <v>0</v>
      </c>
      <c r="H3337" s="3" t="str">
        <f t="array" ref="H3337">IF(I3337="","",IFERROR(_xlfn.XLOOKUP(I3337,Base_Datos!$D$2:$D3876,Base_Datos!$C$2:$C3876),""))</f>
        <v/>
      </c>
      <c r="I3337" s="3"/>
      <c r="J3337" s="3" t="str">
        <f>IF(I3337="","",IFERROR(VLOOKUP(I3337,Base_Datos!$D$2:$E$72,2,0),""))</f>
        <v/>
      </c>
      <c r="K3337" s="3"/>
      <c r="L3337" s="3"/>
      <c r="M3337" s="3"/>
      <c r="N3337" s="3"/>
    </row>
    <row r="3338" spans="1:14" ht="14.25" x14ac:dyDescent="0.2">
      <c r="A3338" s="3"/>
      <c r="B3338" s="3"/>
      <c r="C3338" s="3"/>
      <c r="D3338" s="6"/>
      <c r="E3338" s="10"/>
      <c r="F3338" s="3" t="str">
        <f>IFERROR( VLOOKUP(A3338,#REF!,2,0),"")</f>
        <v/>
      </c>
      <c r="G3338" s="3">
        <f t="array" ref="G3338">_xlfn.XLOOKUP(I3338,Base_Datos!D:D,Base_Datos!B:B,"")</f>
        <v>0</v>
      </c>
      <c r="H3338" s="3" t="str">
        <f t="array" ref="H3338">IF(I3338="","",IFERROR(_xlfn.XLOOKUP(I3338,Base_Datos!$D$2:$D3876,Base_Datos!$C$2:$C3876),""))</f>
        <v/>
      </c>
      <c r="I3338" s="3"/>
      <c r="J3338" s="3" t="str">
        <f>IF(I3338="","",IFERROR(VLOOKUP(I3338,Base_Datos!$D$2:$E$72,2,0),""))</f>
        <v/>
      </c>
      <c r="K3338" s="3"/>
      <c r="L3338" s="3"/>
      <c r="M3338" s="3"/>
      <c r="N3338" s="3"/>
    </row>
    <row r="3339" spans="1:14" ht="14.25" x14ac:dyDescent="0.2">
      <c r="A3339" s="3"/>
      <c r="B3339" s="3"/>
      <c r="C3339" s="3"/>
      <c r="D3339" s="6"/>
      <c r="E3339" s="10"/>
      <c r="F3339" s="3" t="str">
        <f>IFERROR( VLOOKUP(A3339,#REF!,2,0),"")</f>
        <v/>
      </c>
      <c r="G3339" s="3">
        <f t="array" ref="G3339">_xlfn.XLOOKUP(I3339,Base_Datos!D:D,Base_Datos!B:B,"")</f>
        <v>0</v>
      </c>
      <c r="H3339" s="3" t="str">
        <f t="array" ref="H3339">IF(I3339="","",IFERROR(_xlfn.XLOOKUP(I3339,Base_Datos!$D$2:$D3876,Base_Datos!$C$2:$C3876),""))</f>
        <v/>
      </c>
      <c r="I3339" s="3"/>
      <c r="J3339" s="3" t="str">
        <f>IF(I3339="","",IFERROR(VLOOKUP(I3339,Base_Datos!$D$2:$E$72,2,0),""))</f>
        <v/>
      </c>
      <c r="K3339" s="3"/>
      <c r="L3339" s="3"/>
      <c r="M3339" s="3"/>
      <c r="N3339" s="3"/>
    </row>
    <row r="3340" spans="1:14" ht="14.25" x14ac:dyDescent="0.2">
      <c r="A3340" s="3"/>
      <c r="B3340" s="3"/>
      <c r="C3340" s="3"/>
      <c r="D3340" s="6"/>
      <c r="E3340" s="10"/>
      <c r="F3340" s="3" t="str">
        <f>IFERROR( VLOOKUP(A3340,#REF!,2,0),"")</f>
        <v/>
      </c>
      <c r="G3340" s="3">
        <f t="array" ref="G3340">_xlfn.XLOOKUP(I3340,Base_Datos!D:D,Base_Datos!B:B,"")</f>
        <v>0</v>
      </c>
      <c r="H3340" s="3" t="str">
        <f t="array" ref="H3340">IF(I3340="","",IFERROR(_xlfn.XLOOKUP(I3340,Base_Datos!$D$2:$D3876,Base_Datos!$C$2:$C3876),""))</f>
        <v/>
      </c>
      <c r="I3340" s="3"/>
      <c r="J3340" s="3" t="str">
        <f>IF(I3340="","",IFERROR(VLOOKUP(I3340,Base_Datos!$D$2:$E$72,2,0),""))</f>
        <v/>
      </c>
      <c r="K3340" s="3"/>
      <c r="L3340" s="3"/>
      <c r="M3340" s="3"/>
      <c r="N3340" s="3"/>
    </row>
    <row r="3341" spans="1:14" ht="14.25" x14ac:dyDescent="0.2">
      <c r="A3341" s="3"/>
      <c r="B3341" s="3"/>
      <c r="C3341" s="3"/>
      <c r="D3341" s="6"/>
      <c r="E3341" s="10"/>
      <c r="F3341" s="3" t="str">
        <f>IFERROR( VLOOKUP(A3341,#REF!,2,0),"")</f>
        <v/>
      </c>
      <c r="G3341" s="3">
        <f t="array" ref="G3341">_xlfn.XLOOKUP(I3341,Base_Datos!D:D,Base_Datos!B:B,"")</f>
        <v>0</v>
      </c>
      <c r="H3341" s="3" t="str">
        <f t="array" ref="H3341">IF(I3341="","",IFERROR(_xlfn.XLOOKUP(I3341,Base_Datos!$D$2:$D3876,Base_Datos!$C$2:$C3876),""))</f>
        <v/>
      </c>
      <c r="I3341" s="3"/>
      <c r="J3341" s="3" t="str">
        <f>IF(I3341="","",IFERROR(VLOOKUP(I3341,Base_Datos!$D$2:$E$72,2,0),""))</f>
        <v/>
      </c>
      <c r="K3341" s="3"/>
      <c r="L3341" s="3"/>
      <c r="M3341" s="3"/>
      <c r="N3341" s="3"/>
    </row>
    <row r="3342" spans="1:14" ht="14.25" x14ac:dyDescent="0.2">
      <c r="A3342" s="3"/>
      <c r="B3342" s="3"/>
      <c r="C3342" s="3"/>
      <c r="D3342" s="6"/>
      <c r="E3342" s="10"/>
      <c r="F3342" s="3" t="str">
        <f>IFERROR( VLOOKUP(A3342,#REF!,2,0),"")</f>
        <v/>
      </c>
      <c r="G3342" s="3">
        <f t="array" ref="G3342">_xlfn.XLOOKUP(I3342,Base_Datos!D:D,Base_Datos!B:B,"")</f>
        <v>0</v>
      </c>
      <c r="H3342" s="3" t="str">
        <f t="array" ref="H3342">IF(I3342="","",IFERROR(_xlfn.XLOOKUP(I3342,Base_Datos!$D$2:$D3876,Base_Datos!$C$2:$C3876),""))</f>
        <v/>
      </c>
      <c r="I3342" s="3"/>
      <c r="J3342" s="3" t="str">
        <f>IF(I3342="","",IFERROR(VLOOKUP(I3342,Base_Datos!$D$2:$E$72,2,0),""))</f>
        <v/>
      </c>
      <c r="K3342" s="3"/>
      <c r="L3342" s="3"/>
      <c r="M3342" s="3"/>
      <c r="N3342" s="3"/>
    </row>
    <row r="3343" spans="1:14" ht="14.25" x14ac:dyDescent="0.2">
      <c r="A3343" s="3"/>
      <c r="B3343" s="3"/>
      <c r="C3343" s="3"/>
      <c r="D3343" s="6"/>
      <c r="E3343" s="10"/>
      <c r="F3343" s="3" t="str">
        <f>IFERROR( VLOOKUP(A3343,#REF!,2,0),"")</f>
        <v/>
      </c>
      <c r="G3343" s="3">
        <f t="array" ref="G3343">_xlfn.XLOOKUP(I3343,Base_Datos!D:D,Base_Datos!B:B,"")</f>
        <v>0</v>
      </c>
      <c r="H3343" s="3" t="str">
        <f t="array" ref="H3343">IF(I3343="","",IFERROR(_xlfn.XLOOKUP(I3343,Base_Datos!$D$2:$D3876,Base_Datos!$C$2:$C3876),""))</f>
        <v/>
      </c>
      <c r="I3343" s="3"/>
      <c r="J3343" s="3" t="str">
        <f>IF(I3343="","",IFERROR(VLOOKUP(I3343,Base_Datos!$D$2:$E$72,2,0),""))</f>
        <v/>
      </c>
      <c r="K3343" s="3"/>
      <c r="L3343" s="3"/>
      <c r="M3343" s="3"/>
      <c r="N3343" s="3"/>
    </row>
    <row r="3344" spans="1:14" ht="14.25" x14ac:dyDescent="0.2">
      <c r="A3344" s="3"/>
      <c r="B3344" s="3"/>
      <c r="C3344" s="3"/>
      <c r="D3344" s="6"/>
      <c r="E3344" s="10"/>
      <c r="F3344" s="3" t="str">
        <f>IFERROR( VLOOKUP(A3344,#REF!,2,0),"")</f>
        <v/>
      </c>
      <c r="G3344" s="3">
        <f t="array" ref="G3344">_xlfn.XLOOKUP(I3344,Base_Datos!D:D,Base_Datos!B:B,"")</f>
        <v>0</v>
      </c>
      <c r="H3344" s="3" t="str">
        <f t="array" ref="H3344">IF(I3344="","",IFERROR(_xlfn.XLOOKUP(I3344,Base_Datos!$D$2:$D3876,Base_Datos!$C$2:$C3876),""))</f>
        <v/>
      </c>
      <c r="I3344" s="3"/>
      <c r="J3344" s="3" t="str">
        <f>IF(I3344="","",IFERROR(VLOOKUP(I3344,Base_Datos!$D$2:$E$72,2,0),""))</f>
        <v/>
      </c>
      <c r="K3344" s="3"/>
      <c r="L3344" s="3"/>
      <c r="M3344" s="3"/>
      <c r="N3344" s="3"/>
    </row>
    <row r="3345" spans="1:14" ht="14.25" x14ac:dyDescent="0.2">
      <c r="A3345" s="3"/>
      <c r="B3345" s="3"/>
      <c r="C3345" s="3"/>
      <c r="D3345" s="6"/>
      <c r="E3345" s="10"/>
      <c r="F3345" s="3" t="str">
        <f>IFERROR( VLOOKUP(A3345,#REF!,2,0),"")</f>
        <v/>
      </c>
      <c r="G3345" s="3">
        <f t="array" ref="G3345">_xlfn.XLOOKUP(I3345,Base_Datos!D:D,Base_Datos!B:B,"")</f>
        <v>0</v>
      </c>
      <c r="H3345" s="3" t="str">
        <f t="array" ref="H3345">IF(I3345="","",IFERROR(_xlfn.XLOOKUP(I3345,Base_Datos!$D$2:$D3876,Base_Datos!$C$2:$C3876),""))</f>
        <v/>
      </c>
      <c r="I3345" s="3"/>
      <c r="J3345" s="3" t="str">
        <f>IF(I3345="","",IFERROR(VLOOKUP(I3345,Base_Datos!$D$2:$E$72,2,0),""))</f>
        <v/>
      </c>
      <c r="K3345" s="3"/>
      <c r="L3345" s="3"/>
      <c r="M3345" s="3"/>
      <c r="N3345" s="3"/>
    </row>
    <row r="3346" spans="1:14" ht="14.25" x14ac:dyDescent="0.2">
      <c r="A3346" s="3"/>
      <c r="B3346" s="3"/>
      <c r="C3346" s="3"/>
      <c r="D3346" s="6"/>
      <c r="E3346" s="10"/>
      <c r="F3346" s="3" t="str">
        <f>IFERROR( VLOOKUP(A3346,#REF!,2,0),"")</f>
        <v/>
      </c>
      <c r="G3346" s="3">
        <f t="array" ref="G3346">_xlfn.XLOOKUP(I3346,Base_Datos!D:D,Base_Datos!B:B,"")</f>
        <v>0</v>
      </c>
      <c r="H3346" s="3" t="str">
        <f t="array" ref="H3346">IF(I3346="","",IFERROR(_xlfn.XLOOKUP(I3346,Base_Datos!$D$2:$D3876,Base_Datos!$C$2:$C3876),""))</f>
        <v/>
      </c>
      <c r="I3346" s="3"/>
      <c r="J3346" s="3" t="str">
        <f>IF(I3346="","",IFERROR(VLOOKUP(I3346,Base_Datos!$D$2:$E$72,2,0),""))</f>
        <v/>
      </c>
      <c r="K3346" s="3"/>
      <c r="L3346" s="3"/>
      <c r="M3346" s="3"/>
      <c r="N3346" s="3"/>
    </row>
    <row r="3347" spans="1:14" ht="14.25" x14ac:dyDescent="0.2">
      <c r="A3347" s="3"/>
      <c r="B3347" s="3"/>
      <c r="C3347" s="3"/>
      <c r="D3347" s="6"/>
      <c r="E3347" s="10"/>
      <c r="F3347" s="3" t="str">
        <f>IFERROR( VLOOKUP(A3347,#REF!,2,0),"")</f>
        <v/>
      </c>
      <c r="G3347" s="3">
        <f t="array" ref="G3347">_xlfn.XLOOKUP(I3347,Base_Datos!D:D,Base_Datos!B:B,"")</f>
        <v>0</v>
      </c>
      <c r="H3347" s="3" t="str">
        <f t="array" ref="H3347">IF(I3347="","",IFERROR(_xlfn.XLOOKUP(I3347,Base_Datos!$D$2:$D3876,Base_Datos!$C$2:$C3876),""))</f>
        <v/>
      </c>
      <c r="I3347" s="3"/>
      <c r="J3347" s="3" t="str">
        <f>IF(I3347="","",IFERROR(VLOOKUP(I3347,Base_Datos!$D$2:$E$72,2,0),""))</f>
        <v/>
      </c>
      <c r="K3347" s="3"/>
      <c r="L3347" s="3"/>
      <c r="M3347" s="3"/>
      <c r="N3347" s="3"/>
    </row>
    <row r="3348" spans="1:14" ht="14.25" x14ac:dyDescent="0.2">
      <c r="A3348" s="3"/>
      <c r="B3348" s="3"/>
      <c r="C3348" s="3"/>
      <c r="D3348" s="6"/>
      <c r="E3348" s="10"/>
      <c r="F3348" s="3" t="str">
        <f>IFERROR( VLOOKUP(A3348,#REF!,2,0),"")</f>
        <v/>
      </c>
      <c r="G3348" s="3">
        <f t="array" ref="G3348">_xlfn.XLOOKUP(I3348,Base_Datos!D:D,Base_Datos!B:B,"")</f>
        <v>0</v>
      </c>
      <c r="H3348" s="3" t="str">
        <f t="array" ref="H3348">IF(I3348="","",IFERROR(_xlfn.XLOOKUP(I3348,Base_Datos!$D$2:$D3876,Base_Datos!$C$2:$C3876),""))</f>
        <v/>
      </c>
      <c r="I3348" s="3"/>
      <c r="J3348" s="3" t="str">
        <f>IF(I3348="","",IFERROR(VLOOKUP(I3348,Base_Datos!$D$2:$E$72,2,0),""))</f>
        <v/>
      </c>
      <c r="K3348" s="3"/>
      <c r="L3348" s="3"/>
      <c r="M3348" s="3"/>
      <c r="N3348" s="3"/>
    </row>
    <row r="3349" spans="1:14" ht="14.25" x14ac:dyDescent="0.2">
      <c r="A3349" s="3"/>
      <c r="B3349" s="3"/>
      <c r="C3349" s="3"/>
      <c r="D3349" s="6"/>
      <c r="E3349" s="10"/>
      <c r="F3349" s="3" t="str">
        <f>IFERROR( VLOOKUP(A3349,#REF!,2,0),"")</f>
        <v/>
      </c>
      <c r="G3349" s="3">
        <f t="array" ref="G3349">_xlfn.XLOOKUP(I3349,Base_Datos!D:D,Base_Datos!B:B,"")</f>
        <v>0</v>
      </c>
      <c r="H3349" s="3" t="str">
        <f t="array" ref="H3349">IF(I3349="","",IFERROR(_xlfn.XLOOKUP(I3349,Base_Datos!$D$2:$D3876,Base_Datos!$C$2:$C3876),""))</f>
        <v/>
      </c>
      <c r="I3349" s="3"/>
      <c r="J3349" s="3" t="str">
        <f>IF(I3349="","",IFERROR(VLOOKUP(I3349,Base_Datos!$D$2:$E$72,2,0),""))</f>
        <v/>
      </c>
      <c r="K3349" s="3"/>
      <c r="L3349" s="3"/>
      <c r="M3349" s="3"/>
      <c r="N3349" s="3"/>
    </row>
    <row r="3350" spans="1:14" ht="14.25" x14ac:dyDescent="0.2">
      <c r="A3350" s="3"/>
      <c r="B3350" s="3"/>
      <c r="C3350" s="3"/>
      <c r="D3350" s="6"/>
      <c r="E3350" s="10"/>
      <c r="F3350" s="3" t="str">
        <f>IFERROR( VLOOKUP(A3350,#REF!,2,0),"")</f>
        <v/>
      </c>
      <c r="G3350" s="3">
        <f t="array" ref="G3350">_xlfn.XLOOKUP(I3350,Base_Datos!D:D,Base_Datos!B:B,"")</f>
        <v>0</v>
      </c>
      <c r="H3350" s="3" t="str">
        <f t="array" ref="H3350">IF(I3350="","",IFERROR(_xlfn.XLOOKUP(I3350,Base_Datos!$D$2:$D3876,Base_Datos!$C$2:$C3876),""))</f>
        <v/>
      </c>
      <c r="I3350" s="3"/>
      <c r="J3350" s="3" t="str">
        <f>IF(I3350="","",IFERROR(VLOOKUP(I3350,Base_Datos!$D$2:$E$72,2,0),""))</f>
        <v/>
      </c>
      <c r="K3350" s="3"/>
      <c r="L3350" s="3"/>
      <c r="M3350" s="3"/>
      <c r="N3350" s="3"/>
    </row>
    <row r="3351" spans="1:14" ht="14.25" x14ac:dyDescent="0.2">
      <c r="A3351" s="3"/>
      <c r="B3351" s="3"/>
      <c r="C3351" s="3"/>
      <c r="D3351" s="6"/>
      <c r="E3351" s="10"/>
      <c r="F3351" s="3" t="str">
        <f>IFERROR( VLOOKUP(A3351,#REF!,2,0),"")</f>
        <v/>
      </c>
      <c r="G3351" s="3">
        <f t="array" ref="G3351">_xlfn.XLOOKUP(I3351,Base_Datos!D:D,Base_Datos!B:B,"")</f>
        <v>0</v>
      </c>
      <c r="H3351" s="3" t="str">
        <f t="array" ref="H3351">IF(I3351="","",IFERROR(_xlfn.XLOOKUP(I3351,Base_Datos!$D$2:$D3876,Base_Datos!$C$2:$C3876),""))</f>
        <v/>
      </c>
      <c r="I3351" s="3"/>
      <c r="J3351" s="3" t="str">
        <f>IF(I3351="","",IFERROR(VLOOKUP(I3351,Base_Datos!$D$2:$E$72,2,0),""))</f>
        <v/>
      </c>
      <c r="K3351" s="3"/>
      <c r="L3351" s="3"/>
      <c r="M3351" s="3"/>
      <c r="N3351" s="3"/>
    </row>
    <row r="3352" spans="1:14" ht="14.25" x14ac:dyDescent="0.2">
      <c r="A3352" s="3"/>
      <c r="B3352" s="3"/>
      <c r="C3352" s="3"/>
      <c r="D3352" s="6"/>
      <c r="E3352" s="10"/>
      <c r="F3352" s="3" t="str">
        <f>IFERROR( VLOOKUP(A3352,#REF!,2,0),"")</f>
        <v/>
      </c>
      <c r="G3352" s="3">
        <f t="array" ref="G3352">_xlfn.XLOOKUP(I3352,Base_Datos!D:D,Base_Datos!B:B,"")</f>
        <v>0</v>
      </c>
      <c r="H3352" s="3" t="str">
        <f t="array" ref="H3352">IF(I3352="","",IFERROR(_xlfn.XLOOKUP(I3352,Base_Datos!$D$2:$D3876,Base_Datos!$C$2:$C3876),""))</f>
        <v/>
      </c>
      <c r="I3352" s="3"/>
      <c r="J3352" s="3" t="str">
        <f>IF(I3352="","",IFERROR(VLOOKUP(I3352,Base_Datos!$D$2:$E$72,2,0),""))</f>
        <v/>
      </c>
      <c r="K3352" s="3"/>
      <c r="L3352" s="3"/>
      <c r="M3352" s="3"/>
      <c r="N3352" s="3"/>
    </row>
    <row r="3353" spans="1:14" ht="14.25" x14ac:dyDescent="0.2">
      <c r="A3353" s="3"/>
      <c r="B3353" s="3"/>
      <c r="C3353" s="3"/>
      <c r="D3353" s="6"/>
      <c r="E3353" s="10"/>
      <c r="F3353" s="3" t="str">
        <f>IFERROR( VLOOKUP(A3353,#REF!,2,0),"")</f>
        <v/>
      </c>
      <c r="G3353" s="3">
        <f t="array" ref="G3353">_xlfn.XLOOKUP(I3353,Base_Datos!D:D,Base_Datos!B:B,"")</f>
        <v>0</v>
      </c>
      <c r="H3353" s="3" t="str">
        <f t="array" ref="H3353">IF(I3353="","",IFERROR(_xlfn.XLOOKUP(I3353,Base_Datos!$D$2:$D3876,Base_Datos!$C$2:$C3876),""))</f>
        <v/>
      </c>
      <c r="I3353" s="3"/>
      <c r="J3353" s="3" t="str">
        <f>IF(I3353="","",IFERROR(VLOOKUP(I3353,Base_Datos!$D$2:$E$72,2,0),""))</f>
        <v/>
      </c>
      <c r="K3353" s="3"/>
      <c r="L3353" s="3"/>
      <c r="M3353" s="3"/>
      <c r="N3353" s="3"/>
    </row>
    <row r="3354" spans="1:14" ht="14.25" x14ac:dyDescent="0.2">
      <c r="A3354" s="3"/>
      <c r="B3354" s="3"/>
      <c r="C3354" s="3"/>
      <c r="D3354" s="6"/>
      <c r="E3354" s="10"/>
      <c r="F3354" s="3" t="str">
        <f>IFERROR( VLOOKUP(A3354,#REF!,2,0),"")</f>
        <v/>
      </c>
      <c r="G3354" s="3">
        <f t="array" ref="G3354">_xlfn.XLOOKUP(I3354,Base_Datos!D:D,Base_Datos!B:B,"")</f>
        <v>0</v>
      </c>
      <c r="H3354" s="3" t="str">
        <f t="array" ref="H3354">IF(I3354="","",IFERROR(_xlfn.XLOOKUP(I3354,Base_Datos!$D$2:$D3876,Base_Datos!$C$2:$C3876),""))</f>
        <v/>
      </c>
      <c r="I3354" s="3"/>
      <c r="J3354" s="3" t="str">
        <f>IF(I3354="","",IFERROR(VLOOKUP(I3354,Base_Datos!$D$2:$E$72,2,0),""))</f>
        <v/>
      </c>
      <c r="K3354" s="3"/>
      <c r="L3354" s="3"/>
      <c r="M3354" s="3"/>
      <c r="N3354" s="3"/>
    </row>
    <row r="3355" spans="1:14" ht="14.25" x14ac:dyDescent="0.2">
      <c r="A3355" s="3"/>
      <c r="B3355" s="3"/>
      <c r="C3355" s="3"/>
      <c r="D3355" s="6"/>
      <c r="E3355" s="10"/>
      <c r="F3355" s="3" t="str">
        <f>IFERROR( VLOOKUP(A3355,#REF!,2,0),"")</f>
        <v/>
      </c>
      <c r="G3355" s="3">
        <f t="array" ref="G3355">_xlfn.XLOOKUP(I3355,Base_Datos!D:D,Base_Datos!B:B,"")</f>
        <v>0</v>
      </c>
      <c r="H3355" s="3" t="str">
        <f t="array" ref="H3355">IF(I3355="","",IFERROR(_xlfn.XLOOKUP(I3355,Base_Datos!$D$2:$D3876,Base_Datos!$C$2:$C3876),""))</f>
        <v/>
      </c>
      <c r="I3355" s="3"/>
      <c r="J3355" s="3" t="str">
        <f>IF(I3355="","",IFERROR(VLOOKUP(I3355,Base_Datos!$D$2:$E$72,2,0),""))</f>
        <v/>
      </c>
      <c r="K3355" s="3"/>
      <c r="L3355" s="3"/>
      <c r="M3355" s="3"/>
      <c r="N3355" s="3"/>
    </row>
    <row r="3356" spans="1:14" ht="14.25" x14ac:dyDescent="0.2">
      <c r="A3356" s="3"/>
      <c r="B3356" s="3"/>
      <c r="C3356" s="3"/>
      <c r="D3356" s="6"/>
      <c r="E3356" s="10"/>
      <c r="F3356" s="3" t="str">
        <f>IFERROR( VLOOKUP(A3356,#REF!,2,0),"")</f>
        <v/>
      </c>
      <c r="G3356" s="3">
        <f t="array" ref="G3356">_xlfn.XLOOKUP(I3356,Base_Datos!D:D,Base_Datos!B:B,"")</f>
        <v>0</v>
      </c>
      <c r="H3356" s="3" t="str">
        <f t="array" ref="H3356">IF(I3356="","",IFERROR(_xlfn.XLOOKUP(I3356,Base_Datos!$D$2:$D3876,Base_Datos!$C$2:$C3876),""))</f>
        <v/>
      </c>
      <c r="I3356" s="3"/>
      <c r="J3356" s="3" t="str">
        <f>IF(I3356="","",IFERROR(VLOOKUP(I3356,Base_Datos!$D$2:$E$72,2,0),""))</f>
        <v/>
      </c>
      <c r="K3356" s="3"/>
      <c r="L3356" s="3"/>
      <c r="M3356" s="3"/>
      <c r="N3356" s="3"/>
    </row>
    <row r="3357" spans="1:14" ht="14.25" x14ac:dyDescent="0.2">
      <c r="A3357" s="3"/>
      <c r="B3357" s="3"/>
      <c r="C3357" s="3"/>
      <c r="D3357" s="6"/>
      <c r="E3357" s="10"/>
      <c r="F3357" s="3" t="str">
        <f>IFERROR( VLOOKUP(A3357,#REF!,2,0),"")</f>
        <v/>
      </c>
      <c r="G3357" s="3">
        <f t="array" ref="G3357">_xlfn.XLOOKUP(I3357,Base_Datos!D:D,Base_Datos!B:B,"")</f>
        <v>0</v>
      </c>
      <c r="H3357" s="3" t="str">
        <f t="array" ref="H3357">IF(I3357="","",IFERROR(_xlfn.XLOOKUP(I3357,Base_Datos!$D$2:$D3876,Base_Datos!$C$2:$C3876),""))</f>
        <v/>
      </c>
      <c r="I3357" s="3"/>
      <c r="J3357" s="3" t="str">
        <f>IF(I3357="","",IFERROR(VLOOKUP(I3357,Base_Datos!$D$2:$E$72,2,0),""))</f>
        <v/>
      </c>
      <c r="K3357" s="3"/>
      <c r="L3357" s="3"/>
      <c r="M3357" s="3"/>
      <c r="N3357" s="3"/>
    </row>
    <row r="3358" spans="1:14" ht="14.25" x14ac:dyDescent="0.2">
      <c r="A3358" s="3"/>
      <c r="B3358" s="3"/>
      <c r="C3358" s="3"/>
      <c r="D3358" s="6"/>
      <c r="E3358" s="10"/>
      <c r="F3358" s="3" t="str">
        <f>IFERROR( VLOOKUP(A3358,#REF!,2,0),"")</f>
        <v/>
      </c>
      <c r="G3358" s="3">
        <f t="array" ref="G3358">_xlfn.XLOOKUP(I3358,Base_Datos!D:D,Base_Datos!B:B,"")</f>
        <v>0</v>
      </c>
      <c r="H3358" s="3" t="str">
        <f t="array" ref="H3358">IF(I3358="","",IFERROR(_xlfn.XLOOKUP(I3358,Base_Datos!$D$2:$D3876,Base_Datos!$C$2:$C3876),""))</f>
        <v/>
      </c>
      <c r="I3358" s="3"/>
      <c r="J3358" s="3" t="str">
        <f>IF(I3358="","",IFERROR(VLOOKUP(I3358,Base_Datos!$D$2:$E$72,2,0),""))</f>
        <v/>
      </c>
      <c r="K3358" s="3"/>
      <c r="L3358" s="3"/>
      <c r="M3358" s="3"/>
      <c r="N3358" s="3"/>
    </row>
    <row r="3359" spans="1:14" ht="14.25" x14ac:dyDescent="0.2">
      <c r="A3359" s="3"/>
      <c r="B3359" s="3"/>
      <c r="C3359" s="3"/>
      <c r="D3359" s="6"/>
      <c r="E3359" s="10"/>
      <c r="F3359" s="3" t="str">
        <f>IFERROR( VLOOKUP(A3359,#REF!,2,0),"")</f>
        <v/>
      </c>
      <c r="G3359" s="3">
        <f t="array" ref="G3359">_xlfn.XLOOKUP(I3359,Base_Datos!D:D,Base_Datos!B:B,"")</f>
        <v>0</v>
      </c>
      <c r="H3359" s="3" t="str">
        <f t="array" ref="H3359">IF(I3359="","",IFERROR(_xlfn.XLOOKUP(I3359,Base_Datos!$D$2:$D3876,Base_Datos!$C$2:$C3876),""))</f>
        <v/>
      </c>
      <c r="I3359" s="3"/>
      <c r="J3359" s="3" t="str">
        <f>IF(I3359="","",IFERROR(VLOOKUP(I3359,Base_Datos!$D$2:$E$72,2,0),""))</f>
        <v/>
      </c>
      <c r="K3359" s="3"/>
      <c r="L3359" s="3"/>
      <c r="M3359" s="3"/>
      <c r="N3359" s="3"/>
    </row>
    <row r="3360" spans="1:14" ht="14.25" x14ac:dyDescent="0.2">
      <c r="A3360" s="3"/>
      <c r="B3360" s="3"/>
      <c r="C3360" s="3"/>
      <c r="D3360" s="6"/>
      <c r="E3360" s="10"/>
      <c r="F3360" s="3" t="str">
        <f>IFERROR( VLOOKUP(A3360,#REF!,2,0),"")</f>
        <v/>
      </c>
      <c r="G3360" s="3">
        <f t="array" ref="G3360">_xlfn.XLOOKUP(I3360,Base_Datos!D:D,Base_Datos!B:B,"")</f>
        <v>0</v>
      </c>
      <c r="H3360" s="3" t="str">
        <f t="array" ref="H3360">IF(I3360="","",IFERROR(_xlfn.XLOOKUP(I3360,Base_Datos!$D$2:$D3876,Base_Datos!$C$2:$C3876),""))</f>
        <v/>
      </c>
      <c r="I3360" s="3"/>
      <c r="J3360" s="3" t="str">
        <f>IF(I3360="","",IFERROR(VLOOKUP(I3360,Base_Datos!$D$2:$E$72,2,0),""))</f>
        <v/>
      </c>
      <c r="K3360" s="3"/>
      <c r="L3360" s="3"/>
      <c r="M3360" s="3"/>
      <c r="N3360" s="3"/>
    </row>
    <row r="3361" spans="1:14" ht="14.25" x14ac:dyDescent="0.2">
      <c r="A3361" s="3"/>
      <c r="B3361" s="3"/>
      <c r="C3361" s="3"/>
      <c r="D3361" s="6"/>
      <c r="E3361" s="10"/>
      <c r="F3361" s="3" t="str">
        <f>IFERROR( VLOOKUP(A3361,#REF!,2,0),"")</f>
        <v/>
      </c>
      <c r="G3361" s="3">
        <f t="array" ref="G3361">_xlfn.XLOOKUP(I3361,Base_Datos!D:D,Base_Datos!B:B,"")</f>
        <v>0</v>
      </c>
      <c r="H3361" s="3" t="str">
        <f t="array" ref="H3361">IF(I3361="","",IFERROR(_xlfn.XLOOKUP(I3361,Base_Datos!$D$2:$D3876,Base_Datos!$C$2:$C3876),""))</f>
        <v/>
      </c>
      <c r="I3361" s="3"/>
      <c r="J3361" s="3" t="str">
        <f>IF(I3361="","",IFERROR(VLOOKUP(I3361,Base_Datos!$D$2:$E$72,2,0),""))</f>
        <v/>
      </c>
      <c r="K3361" s="3"/>
      <c r="L3361" s="3"/>
      <c r="M3361" s="3"/>
      <c r="N3361" s="3"/>
    </row>
    <row r="3362" spans="1:14" ht="14.25" x14ac:dyDescent="0.2">
      <c r="A3362" s="3"/>
      <c r="B3362" s="3"/>
      <c r="C3362" s="3"/>
      <c r="D3362" s="6"/>
      <c r="E3362" s="10"/>
      <c r="F3362" s="3" t="str">
        <f>IFERROR( VLOOKUP(A3362,#REF!,2,0),"")</f>
        <v/>
      </c>
      <c r="G3362" s="3">
        <f t="array" ref="G3362">_xlfn.XLOOKUP(I3362,Base_Datos!D:D,Base_Datos!B:B,"")</f>
        <v>0</v>
      </c>
      <c r="H3362" s="3" t="str">
        <f t="array" ref="H3362">IF(I3362="","",IFERROR(_xlfn.XLOOKUP(I3362,Base_Datos!$D$2:$D3876,Base_Datos!$C$2:$C3876),""))</f>
        <v/>
      </c>
      <c r="I3362" s="3"/>
      <c r="J3362" s="3" t="str">
        <f>IF(I3362="","",IFERROR(VLOOKUP(I3362,Base_Datos!$D$2:$E$72,2,0),""))</f>
        <v/>
      </c>
      <c r="K3362" s="3"/>
      <c r="L3362" s="3"/>
      <c r="M3362" s="3"/>
      <c r="N3362" s="3"/>
    </row>
    <row r="3363" spans="1:14" ht="14.25" x14ac:dyDescent="0.2">
      <c r="A3363" s="3"/>
      <c r="B3363" s="3"/>
      <c r="C3363" s="3"/>
      <c r="D3363" s="6"/>
      <c r="E3363" s="10"/>
      <c r="F3363" s="3" t="str">
        <f>IFERROR( VLOOKUP(A3363,#REF!,2,0),"")</f>
        <v/>
      </c>
      <c r="G3363" s="3">
        <f t="array" ref="G3363">_xlfn.XLOOKUP(I3363,Base_Datos!D:D,Base_Datos!B:B,"")</f>
        <v>0</v>
      </c>
      <c r="H3363" s="3" t="str">
        <f t="array" ref="H3363">IF(I3363="","",IFERROR(_xlfn.XLOOKUP(I3363,Base_Datos!$D$2:$D3876,Base_Datos!$C$2:$C3876),""))</f>
        <v/>
      </c>
      <c r="I3363" s="3"/>
      <c r="J3363" s="3" t="str">
        <f>IF(I3363="","",IFERROR(VLOOKUP(I3363,Base_Datos!$D$2:$E$72,2,0),""))</f>
        <v/>
      </c>
      <c r="K3363" s="3"/>
      <c r="L3363" s="3"/>
      <c r="M3363" s="3"/>
      <c r="N3363" s="3"/>
    </row>
    <row r="3364" spans="1:14" ht="14.25" x14ac:dyDescent="0.2">
      <c r="A3364" s="3"/>
      <c r="B3364" s="3"/>
      <c r="C3364" s="3"/>
      <c r="D3364" s="6"/>
      <c r="E3364" s="10"/>
      <c r="F3364" s="3" t="str">
        <f>IFERROR( VLOOKUP(A3364,#REF!,2,0),"")</f>
        <v/>
      </c>
      <c r="G3364" s="3">
        <f t="array" ref="G3364">_xlfn.XLOOKUP(I3364,Base_Datos!D:D,Base_Datos!B:B,"")</f>
        <v>0</v>
      </c>
      <c r="H3364" s="3" t="str">
        <f t="array" ref="H3364">IF(I3364="","",IFERROR(_xlfn.XLOOKUP(I3364,Base_Datos!$D$2:$D3876,Base_Datos!$C$2:$C3876),""))</f>
        <v/>
      </c>
      <c r="I3364" s="3"/>
      <c r="J3364" s="3" t="str">
        <f>IF(I3364="","",IFERROR(VLOOKUP(I3364,Base_Datos!$D$2:$E$72,2,0),""))</f>
        <v/>
      </c>
      <c r="K3364" s="3"/>
      <c r="L3364" s="3"/>
      <c r="M3364" s="3"/>
      <c r="N3364" s="3"/>
    </row>
    <row r="3365" spans="1:14" ht="14.25" x14ac:dyDescent="0.2">
      <c r="A3365" s="3"/>
      <c r="B3365" s="3"/>
      <c r="C3365" s="3"/>
      <c r="D3365" s="6"/>
      <c r="E3365" s="10"/>
      <c r="F3365" s="3" t="str">
        <f>IFERROR( VLOOKUP(A3365,#REF!,2,0),"")</f>
        <v/>
      </c>
      <c r="G3365" s="3">
        <f t="array" ref="G3365">_xlfn.XLOOKUP(I3365,Base_Datos!D:D,Base_Datos!B:B,"")</f>
        <v>0</v>
      </c>
      <c r="H3365" s="3" t="str">
        <f t="array" ref="H3365">IF(I3365="","",IFERROR(_xlfn.XLOOKUP(I3365,Base_Datos!$D$2:$D3876,Base_Datos!$C$2:$C3876),""))</f>
        <v/>
      </c>
      <c r="I3365" s="3"/>
      <c r="J3365" s="3" t="str">
        <f>IF(I3365="","",IFERROR(VLOOKUP(I3365,Base_Datos!$D$2:$E$72,2,0),""))</f>
        <v/>
      </c>
      <c r="K3365" s="3"/>
      <c r="L3365" s="3"/>
      <c r="M3365" s="3"/>
      <c r="N3365" s="3"/>
    </row>
    <row r="3366" spans="1:14" ht="14.25" x14ac:dyDescent="0.2">
      <c r="A3366" s="3"/>
      <c r="B3366" s="3"/>
      <c r="C3366" s="3"/>
      <c r="D3366" s="6"/>
      <c r="E3366" s="10"/>
      <c r="F3366" s="3" t="str">
        <f>IFERROR( VLOOKUP(A3366,#REF!,2,0),"")</f>
        <v/>
      </c>
      <c r="G3366" s="3">
        <f t="array" ref="G3366">_xlfn.XLOOKUP(I3366,Base_Datos!D:D,Base_Datos!B:B,"")</f>
        <v>0</v>
      </c>
      <c r="H3366" s="3" t="str">
        <f t="array" ref="H3366">IF(I3366="","",IFERROR(_xlfn.XLOOKUP(I3366,Base_Datos!$D$2:$D3876,Base_Datos!$C$2:$C3876),""))</f>
        <v/>
      </c>
      <c r="I3366" s="3"/>
      <c r="J3366" s="3" t="str">
        <f>IF(I3366="","",IFERROR(VLOOKUP(I3366,Base_Datos!$D$2:$E$72,2,0),""))</f>
        <v/>
      </c>
      <c r="K3366" s="3"/>
      <c r="L3366" s="3"/>
      <c r="M3366" s="3"/>
      <c r="N3366" s="3"/>
    </row>
    <row r="3367" spans="1:14" ht="14.25" x14ac:dyDescent="0.2">
      <c r="A3367" s="3"/>
      <c r="B3367" s="3"/>
      <c r="C3367" s="3"/>
      <c r="D3367" s="6"/>
      <c r="E3367" s="10"/>
      <c r="F3367" s="3" t="str">
        <f>IFERROR( VLOOKUP(A3367,#REF!,2,0),"")</f>
        <v/>
      </c>
      <c r="G3367" s="3">
        <f t="array" ref="G3367">_xlfn.XLOOKUP(I3367,Base_Datos!D:D,Base_Datos!B:B,"")</f>
        <v>0</v>
      </c>
      <c r="H3367" s="3" t="str">
        <f t="array" ref="H3367">IF(I3367="","",IFERROR(_xlfn.XLOOKUP(I3367,Base_Datos!$D$2:$D3876,Base_Datos!$C$2:$C3876),""))</f>
        <v/>
      </c>
      <c r="I3367" s="3"/>
      <c r="J3367" s="3" t="str">
        <f>IF(I3367="","",IFERROR(VLOOKUP(I3367,Base_Datos!$D$2:$E$72,2,0),""))</f>
        <v/>
      </c>
      <c r="K3367" s="3"/>
      <c r="L3367" s="3"/>
      <c r="M3367" s="3"/>
      <c r="N3367" s="3"/>
    </row>
    <row r="3368" spans="1:14" ht="14.25" x14ac:dyDescent="0.2">
      <c r="A3368" s="3"/>
      <c r="B3368" s="3"/>
      <c r="C3368" s="3"/>
      <c r="D3368" s="6"/>
      <c r="E3368" s="10"/>
      <c r="F3368" s="3" t="str">
        <f>IFERROR( VLOOKUP(A3368,#REF!,2,0),"")</f>
        <v/>
      </c>
      <c r="G3368" s="3">
        <f t="array" ref="G3368">_xlfn.XLOOKUP(I3368,Base_Datos!D:D,Base_Datos!B:B,"")</f>
        <v>0</v>
      </c>
      <c r="H3368" s="3" t="str">
        <f t="array" ref="H3368">IF(I3368="","",IFERROR(_xlfn.XLOOKUP(I3368,Base_Datos!$D$2:$D3876,Base_Datos!$C$2:$C3876),""))</f>
        <v/>
      </c>
      <c r="I3368" s="3"/>
      <c r="J3368" s="3" t="str">
        <f>IF(I3368="","",IFERROR(VLOOKUP(I3368,Base_Datos!$D$2:$E$72,2,0),""))</f>
        <v/>
      </c>
      <c r="K3368" s="3"/>
      <c r="L3368" s="3"/>
      <c r="M3368" s="3"/>
      <c r="N3368" s="3"/>
    </row>
    <row r="3369" spans="1:14" ht="14.25" x14ac:dyDescent="0.2">
      <c r="A3369" s="3"/>
      <c r="B3369" s="3"/>
      <c r="C3369" s="3"/>
      <c r="D3369" s="6"/>
      <c r="E3369" s="10"/>
      <c r="F3369" s="3" t="str">
        <f>IFERROR( VLOOKUP(A3369,#REF!,2,0),"")</f>
        <v/>
      </c>
      <c r="G3369" s="3">
        <f t="array" ref="G3369">_xlfn.XLOOKUP(I3369,Base_Datos!D:D,Base_Datos!B:B,"")</f>
        <v>0</v>
      </c>
      <c r="H3369" s="3" t="str">
        <f t="array" ref="H3369">IF(I3369="","",IFERROR(_xlfn.XLOOKUP(I3369,Base_Datos!$D$2:$D3876,Base_Datos!$C$2:$C3876),""))</f>
        <v/>
      </c>
      <c r="I3369" s="3"/>
      <c r="J3369" s="3" t="str">
        <f>IF(I3369="","",IFERROR(VLOOKUP(I3369,Base_Datos!$D$2:$E$72,2,0),""))</f>
        <v/>
      </c>
      <c r="K3369" s="3"/>
      <c r="L3369" s="3"/>
      <c r="M3369" s="3"/>
      <c r="N3369" s="3"/>
    </row>
    <row r="3370" spans="1:14" ht="14.25" x14ac:dyDescent="0.2">
      <c r="A3370" s="3"/>
      <c r="B3370" s="3"/>
      <c r="C3370" s="3"/>
      <c r="D3370" s="6"/>
      <c r="E3370" s="10"/>
      <c r="F3370" s="3" t="str">
        <f>IFERROR( VLOOKUP(A3370,#REF!,2,0),"")</f>
        <v/>
      </c>
      <c r="G3370" s="3">
        <f t="array" ref="G3370">_xlfn.XLOOKUP(I3370,Base_Datos!D:D,Base_Datos!B:B,"")</f>
        <v>0</v>
      </c>
      <c r="H3370" s="3" t="str">
        <f t="array" ref="H3370">IF(I3370="","",IFERROR(_xlfn.XLOOKUP(I3370,Base_Datos!$D$2:$D3876,Base_Datos!$C$2:$C3876),""))</f>
        <v/>
      </c>
      <c r="I3370" s="3"/>
      <c r="J3370" s="3" t="str">
        <f>IF(I3370="","",IFERROR(VLOOKUP(I3370,Base_Datos!$D$2:$E$72,2,0),""))</f>
        <v/>
      </c>
      <c r="K3370" s="3"/>
      <c r="L3370" s="3"/>
      <c r="M3370" s="3"/>
      <c r="N3370" s="3"/>
    </row>
    <row r="3371" spans="1:14" ht="14.25" x14ac:dyDescent="0.2">
      <c r="A3371" s="3"/>
      <c r="B3371" s="3"/>
      <c r="C3371" s="3"/>
      <c r="D3371" s="6"/>
      <c r="E3371" s="10"/>
      <c r="F3371" s="3" t="str">
        <f>IFERROR( VLOOKUP(A3371,#REF!,2,0),"")</f>
        <v/>
      </c>
      <c r="G3371" s="3">
        <f t="array" ref="G3371">_xlfn.XLOOKUP(I3371,Base_Datos!D:D,Base_Datos!B:B,"")</f>
        <v>0</v>
      </c>
      <c r="H3371" s="3" t="str">
        <f t="array" ref="H3371">IF(I3371="","",IFERROR(_xlfn.XLOOKUP(I3371,Base_Datos!$D$2:$D3876,Base_Datos!$C$2:$C3876),""))</f>
        <v/>
      </c>
      <c r="I3371" s="3"/>
      <c r="J3371" s="3" t="str">
        <f>IF(I3371="","",IFERROR(VLOOKUP(I3371,Base_Datos!$D$2:$E$72,2,0),""))</f>
        <v/>
      </c>
      <c r="K3371" s="3"/>
      <c r="L3371" s="3"/>
      <c r="M3371" s="3"/>
      <c r="N3371" s="3"/>
    </row>
    <row r="3372" spans="1:14" ht="14.25" x14ac:dyDescent="0.2">
      <c r="A3372" s="3"/>
      <c r="B3372" s="3"/>
      <c r="C3372" s="3"/>
      <c r="D3372" s="6"/>
      <c r="E3372" s="10"/>
      <c r="F3372" s="3" t="str">
        <f>IFERROR( VLOOKUP(A3372,#REF!,2,0),"")</f>
        <v/>
      </c>
      <c r="G3372" s="3">
        <f t="array" ref="G3372">_xlfn.XLOOKUP(I3372,Base_Datos!D:D,Base_Datos!B:B,"")</f>
        <v>0</v>
      </c>
      <c r="H3372" s="3" t="str">
        <f t="array" ref="H3372">IF(I3372="","",IFERROR(_xlfn.XLOOKUP(I3372,Base_Datos!$D$2:$D3876,Base_Datos!$C$2:$C3876),""))</f>
        <v/>
      </c>
      <c r="I3372" s="3"/>
      <c r="J3372" s="3" t="str">
        <f>IF(I3372="","",IFERROR(VLOOKUP(I3372,Base_Datos!$D$2:$E$72,2,0),""))</f>
        <v/>
      </c>
      <c r="K3372" s="3"/>
      <c r="L3372" s="3"/>
      <c r="M3372" s="3"/>
      <c r="N3372" s="3"/>
    </row>
    <row r="3373" spans="1:14" ht="14.25" x14ac:dyDescent="0.2">
      <c r="A3373" s="3"/>
      <c r="B3373" s="3"/>
      <c r="C3373" s="3"/>
      <c r="D3373" s="6"/>
      <c r="E3373" s="10"/>
      <c r="F3373" s="3" t="str">
        <f>IFERROR( VLOOKUP(A3373,#REF!,2,0),"")</f>
        <v/>
      </c>
      <c r="G3373" s="3">
        <f t="array" ref="G3373">_xlfn.XLOOKUP(I3373,Base_Datos!D:D,Base_Datos!B:B,"")</f>
        <v>0</v>
      </c>
      <c r="H3373" s="3" t="str">
        <f t="array" ref="H3373">IF(I3373="","",IFERROR(_xlfn.XLOOKUP(I3373,Base_Datos!$D$2:$D3876,Base_Datos!$C$2:$C3876),""))</f>
        <v/>
      </c>
      <c r="I3373" s="3"/>
      <c r="J3373" s="3" t="str">
        <f>IF(I3373="","",IFERROR(VLOOKUP(I3373,Base_Datos!$D$2:$E$72,2,0),""))</f>
        <v/>
      </c>
      <c r="K3373" s="3"/>
      <c r="L3373" s="3"/>
      <c r="M3373" s="3"/>
      <c r="N3373" s="3"/>
    </row>
    <row r="3374" spans="1:14" ht="14.25" x14ac:dyDescent="0.2">
      <c r="A3374" s="3"/>
      <c r="B3374" s="3"/>
      <c r="C3374" s="3"/>
      <c r="D3374" s="6"/>
      <c r="E3374" s="10"/>
      <c r="F3374" s="3" t="str">
        <f>IFERROR( VLOOKUP(A3374,#REF!,2,0),"")</f>
        <v/>
      </c>
      <c r="G3374" s="3">
        <f t="array" ref="G3374">_xlfn.XLOOKUP(I3374,Base_Datos!D:D,Base_Datos!B:B,"")</f>
        <v>0</v>
      </c>
      <c r="H3374" s="3" t="str">
        <f t="array" ref="H3374">IF(I3374="","",IFERROR(_xlfn.XLOOKUP(I3374,Base_Datos!$D$2:$D3876,Base_Datos!$C$2:$C3876),""))</f>
        <v/>
      </c>
      <c r="I3374" s="3"/>
      <c r="J3374" s="3" t="str">
        <f>IF(I3374="","",IFERROR(VLOOKUP(I3374,Base_Datos!$D$2:$E$72,2,0),""))</f>
        <v/>
      </c>
      <c r="K3374" s="3"/>
      <c r="L3374" s="3"/>
      <c r="M3374" s="3"/>
      <c r="N3374" s="3"/>
    </row>
    <row r="3375" spans="1:14" ht="14.25" x14ac:dyDescent="0.2">
      <c r="A3375" s="3"/>
      <c r="B3375" s="3"/>
      <c r="C3375" s="3"/>
      <c r="D3375" s="6"/>
      <c r="E3375" s="10"/>
      <c r="F3375" s="3" t="str">
        <f>IFERROR( VLOOKUP(A3375,#REF!,2,0),"")</f>
        <v/>
      </c>
      <c r="G3375" s="3">
        <f t="array" ref="G3375">_xlfn.XLOOKUP(I3375,Base_Datos!D:D,Base_Datos!B:B,"")</f>
        <v>0</v>
      </c>
      <c r="H3375" s="3" t="str">
        <f t="array" ref="H3375">IF(I3375="","",IFERROR(_xlfn.XLOOKUP(I3375,Base_Datos!$D$2:$D3876,Base_Datos!$C$2:$C3876),""))</f>
        <v/>
      </c>
      <c r="I3375" s="3"/>
      <c r="J3375" s="3" t="str">
        <f>IF(I3375="","",IFERROR(VLOOKUP(I3375,Base_Datos!$D$2:$E$72,2,0),""))</f>
        <v/>
      </c>
      <c r="K3375" s="3"/>
      <c r="L3375" s="3"/>
      <c r="M3375" s="3"/>
      <c r="N3375" s="3"/>
    </row>
    <row r="3376" spans="1:14" ht="14.25" x14ac:dyDescent="0.2">
      <c r="A3376" s="3"/>
      <c r="B3376" s="3"/>
      <c r="C3376" s="3"/>
      <c r="D3376" s="6"/>
      <c r="E3376" s="10"/>
      <c r="F3376" s="3" t="str">
        <f>IFERROR( VLOOKUP(A3376,#REF!,2,0),"")</f>
        <v/>
      </c>
      <c r="G3376" s="3">
        <f t="array" ref="G3376">_xlfn.XLOOKUP(I3376,Base_Datos!D:D,Base_Datos!B:B,"")</f>
        <v>0</v>
      </c>
      <c r="H3376" s="3" t="str">
        <f t="array" ref="H3376">IF(I3376="","",IFERROR(_xlfn.XLOOKUP(I3376,Base_Datos!$D$2:$D3876,Base_Datos!$C$2:$C3876),""))</f>
        <v/>
      </c>
      <c r="I3376" s="3"/>
      <c r="J3376" s="3" t="str">
        <f>IF(I3376="","",IFERROR(VLOOKUP(I3376,Base_Datos!$D$2:$E$72,2,0),""))</f>
        <v/>
      </c>
      <c r="K3376" s="3"/>
      <c r="L3376" s="3"/>
      <c r="M3376" s="3"/>
      <c r="N3376" s="3"/>
    </row>
    <row r="3377" spans="1:14" ht="14.25" x14ac:dyDescent="0.2">
      <c r="A3377" s="3"/>
      <c r="B3377" s="3"/>
      <c r="C3377" s="3"/>
      <c r="D3377" s="6"/>
      <c r="E3377" s="10"/>
      <c r="F3377" s="3" t="str">
        <f>IFERROR( VLOOKUP(A3377,#REF!,2,0),"")</f>
        <v/>
      </c>
      <c r="G3377" s="3">
        <f t="array" ref="G3377">_xlfn.XLOOKUP(I3377,Base_Datos!D:D,Base_Datos!B:B,"")</f>
        <v>0</v>
      </c>
      <c r="H3377" s="3" t="str">
        <f t="array" ref="H3377">IF(I3377="","",IFERROR(_xlfn.XLOOKUP(I3377,Base_Datos!$D$2:$D3876,Base_Datos!$C$2:$C3876),""))</f>
        <v/>
      </c>
      <c r="I3377" s="3"/>
      <c r="J3377" s="3" t="str">
        <f>IF(I3377="","",IFERROR(VLOOKUP(I3377,Base_Datos!$D$2:$E$72,2,0),""))</f>
        <v/>
      </c>
      <c r="K3377" s="3"/>
      <c r="L3377" s="3"/>
      <c r="M3377" s="3"/>
      <c r="N3377" s="3"/>
    </row>
    <row r="3378" spans="1:14" ht="14.25" x14ac:dyDescent="0.2">
      <c r="A3378" s="3"/>
      <c r="B3378" s="3"/>
      <c r="C3378" s="3"/>
      <c r="D3378" s="6"/>
      <c r="E3378" s="10"/>
      <c r="F3378" s="3" t="str">
        <f>IFERROR( VLOOKUP(A3378,#REF!,2,0),"")</f>
        <v/>
      </c>
      <c r="G3378" s="3">
        <f t="array" ref="G3378">_xlfn.XLOOKUP(I3378,Base_Datos!D:D,Base_Datos!B:B,"")</f>
        <v>0</v>
      </c>
      <c r="H3378" s="3" t="str">
        <f t="array" ref="H3378">IF(I3378="","",IFERROR(_xlfn.XLOOKUP(I3378,Base_Datos!$D$2:$D3876,Base_Datos!$C$2:$C3876),""))</f>
        <v/>
      </c>
      <c r="I3378" s="3"/>
      <c r="J3378" s="3" t="str">
        <f>IF(I3378="","",IFERROR(VLOOKUP(I3378,Base_Datos!$D$2:$E$72,2,0),""))</f>
        <v/>
      </c>
      <c r="K3378" s="3"/>
      <c r="L3378" s="3"/>
      <c r="M3378" s="3"/>
      <c r="N3378" s="3"/>
    </row>
    <row r="3379" spans="1:14" ht="14.25" x14ac:dyDescent="0.2">
      <c r="A3379" s="3"/>
      <c r="B3379" s="3"/>
      <c r="C3379" s="3"/>
      <c r="D3379" s="6"/>
      <c r="E3379" s="10"/>
      <c r="F3379" s="3" t="str">
        <f>IFERROR( VLOOKUP(A3379,#REF!,2,0),"")</f>
        <v/>
      </c>
      <c r="G3379" s="3">
        <f t="array" ref="G3379">_xlfn.XLOOKUP(I3379,Base_Datos!D:D,Base_Datos!B:B,"")</f>
        <v>0</v>
      </c>
      <c r="H3379" s="3" t="str">
        <f t="array" ref="H3379">IF(I3379="","",IFERROR(_xlfn.XLOOKUP(I3379,Base_Datos!$D$2:$D3876,Base_Datos!$C$2:$C3876),""))</f>
        <v/>
      </c>
      <c r="I3379" s="3"/>
      <c r="J3379" s="3" t="str">
        <f>IF(I3379="","",IFERROR(VLOOKUP(I3379,Base_Datos!$D$2:$E$72,2,0),""))</f>
        <v/>
      </c>
      <c r="K3379" s="3"/>
      <c r="L3379" s="3"/>
      <c r="M3379" s="3"/>
      <c r="N3379" s="3"/>
    </row>
    <row r="3380" spans="1:14" ht="14.25" x14ac:dyDescent="0.2">
      <c r="A3380" s="3"/>
      <c r="B3380" s="3"/>
      <c r="C3380" s="3"/>
      <c r="D3380" s="6"/>
      <c r="E3380" s="10"/>
      <c r="F3380" s="3" t="str">
        <f>IFERROR( VLOOKUP(A3380,#REF!,2,0),"")</f>
        <v/>
      </c>
      <c r="G3380" s="3">
        <f t="array" ref="G3380">_xlfn.XLOOKUP(I3380,Base_Datos!D:D,Base_Datos!B:B,"")</f>
        <v>0</v>
      </c>
      <c r="H3380" s="3" t="str">
        <f t="array" ref="H3380">IF(I3380="","",IFERROR(_xlfn.XLOOKUP(I3380,Base_Datos!$D$2:$D3876,Base_Datos!$C$2:$C3876),""))</f>
        <v/>
      </c>
      <c r="I3380" s="3"/>
      <c r="J3380" s="3" t="str">
        <f>IF(I3380="","",IFERROR(VLOOKUP(I3380,Base_Datos!$D$2:$E$72,2,0),""))</f>
        <v/>
      </c>
      <c r="K3380" s="3"/>
      <c r="L3380" s="3"/>
      <c r="M3380" s="3"/>
      <c r="N3380" s="3"/>
    </row>
    <row r="3381" spans="1:14" ht="14.25" x14ac:dyDescent="0.2">
      <c r="A3381" s="3"/>
      <c r="B3381" s="3"/>
      <c r="C3381" s="3"/>
      <c r="D3381" s="6"/>
      <c r="E3381" s="10"/>
      <c r="F3381" s="3" t="str">
        <f>IFERROR( VLOOKUP(A3381,#REF!,2,0),"")</f>
        <v/>
      </c>
      <c r="G3381" s="3">
        <f t="array" ref="G3381">_xlfn.XLOOKUP(I3381,Base_Datos!D:D,Base_Datos!B:B,"")</f>
        <v>0</v>
      </c>
      <c r="H3381" s="3" t="str">
        <f t="array" ref="H3381">IF(I3381="","",IFERROR(_xlfn.XLOOKUP(I3381,Base_Datos!$D$2:$D3876,Base_Datos!$C$2:$C3876),""))</f>
        <v/>
      </c>
      <c r="I3381" s="3"/>
      <c r="J3381" s="3" t="str">
        <f>IF(I3381="","",IFERROR(VLOOKUP(I3381,Base_Datos!$D$2:$E$72,2,0),""))</f>
        <v/>
      </c>
      <c r="K3381" s="3"/>
      <c r="L3381" s="3"/>
      <c r="M3381" s="3"/>
      <c r="N3381" s="3"/>
    </row>
    <row r="3382" spans="1:14" ht="14.25" x14ac:dyDescent="0.2">
      <c r="A3382" s="3"/>
      <c r="B3382" s="3"/>
      <c r="C3382" s="3"/>
      <c r="D3382" s="6"/>
      <c r="E3382" s="10"/>
      <c r="F3382" s="3" t="str">
        <f>IFERROR( VLOOKUP(A3382,#REF!,2,0),"")</f>
        <v/>
      </c>
      <c r="G3382" s="3">
        <f t="array" ref="G3382">_xlfn.XLOOKUP(I3382,Base_Datos!D:D,Base_Datos!B:B,"")</f>
        <v>0</v>
      </c>
      <c r="H3382" s="3" t="str">
        <f t="array" ref="H3382">IF(I3382="","",IFERROR(_xlfn.XLOOKUP(I3382,Base_Datos!$D$2:$D3876,Base_Datos!$C$2:$C3876),""))</f>
        <v/>
      </c>
      <c r="I3382" s="3"/>
      <c r="J3382" s="3" t="str">
        <f>IF(I3382="","",IFERROR(VLOOKUP(I3382,Base_Datos!$D$2:$E$72,2,0),""))</f>
        <v/>
      </c>
      <c r="K3382" s="3"/>
      <c r="L3382" s="3"/>
      <c r="M3382" s="3"/>
      <c r="N3382" s="3"/>
    </row>
    <row r="3383" spans="1:14" ht="14.25" x14ac:dyDescent="0.2">
      <c r="A3383" s="3"/>
      <c r="B3383" s="3"/>
      <c r="C3383" s="3"/>
      <c r="D3383" s="6"/>
      <c r="E3383" s="10"/>
      <c r="F3383" s="3" t="str">
        <f>IFERROR( VLOOKUP(A3383,#REF!,2,0),"")</f>
        <v/>
      </c>
      <c r="G3383" s="3">
        <f t="array" ref="G3383">_xlfn.XLOOKUP(I3383,Base_Datos!D:D,Base_Datos!B:B,"")</f>
        <v>0</v>
      </c>
      <c r="H3383" s="3" t="str">
        <f t="array" ref="H3383">IF(I3383="","",IFERROR(_xlfn.XLOOKUP(I3383,Base_Datos!$D$2:$D3876,Base_Datos!$C$2:$C3876),""))</f>
        <v/>
      </c>
      <c r="I3383" s="3"/>
      <c r="J3383" s="3" t="str">
        <f>IF(I3383="","",IFERROR(VLOOKUP(I3383,Base_Datos!$D$2:$E$72,2,0),""))</f>
        <v/>
      </c>
      <c r="K3383" s="3"/>
      <c r="L3383" s="3"/>
      <c r="M3383" s="3"/>
      <c r="N3383" s="3"/>
    </row>
    <row r="3384" spans="1:14" ht="14.25" x14ac:dyDescent="0.2">
      <c r="A3384" s="3"/>
      <c r="B3384" s="3"/>
      <c r="C3384" s="3"/>
      <c r="D3384" s="6"/>
      <c r="E3384" s="10"/>
      <c r="F3384" s="3" t="str">
        <f>IFERROR( VLOOKUP(A3384,#REF!,2,0),"")</f>
        <v/>
      </c>
      <c r="G3384" s="3">
        <f t="array" ref="G3384">_xlfn.XLOOKUP(I3384,Base_Datos!D:D,Base_Datos!B:B,"")</f>
        <v>0</v>
      </c>
      <c r="H3384" s="3" t="str">
        <f t="array" ref="H3384">IF(I3384="","",IFERROR(_xlfn.XLOOKUP(I3384,Base_Datos!$D$2:$D3876,Base_Datos!$C$2:$C3876),""))</f>
        <v/>
      </c>
      <c r="I3384" s="3"/>
      <c r="J3384" s="3" t="str">
        <f>IF(I3384="","",IFERROR(VLOOKUP(I3384,Base_Datos!$D$2:$E$72,2,0),""))</f>
        <v/>
      </c>
      <c r="K3384" s="3"/>
      <c r="L3384" s="3"/>
      <c r="M3384" s="3"/>
      <c r="N3384" s="3"/>
    </row>
    <row r="3385" spans="1:14" ht="14.25" x14ac:dyDescent="0.2">
      <c r="A3385" s="3"/>
      <c r="B3385" s="3"/>
      <c r="C3385" s="3"/>
      <c r="D3385" s="6"/>
      <c r="E3385" s="10"/>
      <c r="F3385" s="3" t="str">
        <f>IFERROR( VLOOKUP(A3385,#REF!,2,0),"")</f>
        <v/>
      </c>
      <c r="G3385" s="3">
        <f t="array" ref="G3385">_xlfn.XLOOKUP(I3385,Base_Datos!D:D,Base_Datos!B:B,"")</f>
        <v>0</v>
      </c>
      <c r="H3385" s="3" t="str">
        <f t="array" ref="H3385">IF(I3385="","",IFERROR(_xlfn.XLOOKUP(I3385,Base_Datos!$D$2:$D3876,Base_Datos!$C$2:$C3876),""))</f>
        <v/>
      </c>
      <c r="I3385" s="3"/>
      <c r="J3385" s="3" t="str">
        <f>IF(I3385="","",IFERROR(VLOOKUP(I3385,Base_Datos!$D$2:$E$72,2,0),""))</f>
        <v/>
      </c>
      <c r="K3385" s="3"/>
      <c r="L3385" s="3"/>
      <c r="M3385" s="3"/>
      <c r="N3385" s="3"/>
    </row>
    <row r="3386" spans="1:14" ht="14.25" x14ac:dyDescent="0.2">
      <c r="A3386" s="3"/>
      <c r="B3386" s="3"/>
      <c r="C3386" s="3"/>
      <c r="D3386" s="6"/>
      <c r="E3386" s="10"/>
      <c r="F3386" s="3" t="str">
        <f>IFERROR( VLOOKUP(A3386,#REF!,2,0),"")</f>
        <v/>
      </c>
      <c r="G3386" s="3">
        <f t="array" ref="G3386">_xlfn.XLOOKUP(I3386,Base_Datos!D:D,Base_Datos!B:B,"")</f>
        <v>0</v>
      </c>
      <c r="H3386" s="3" t="str">
        <f t="array" ref="H3386">IF(I3386="","",IFERROR(_xlfn.XLOOKUP(I3386,Base_Datos!$D$2:$D3876,Base_Datos!$C$2:$C3876),""))</f>
        <v/>
      </c>
      <c r="I3386" s="3"/>
      <c r="J3386" s="3" t="str">
        <f>IF(I3386="","",IFERROR(VLOOKUP(I3386,Base_Datos!$D$2:$E$72,2,0),""))</f>
        <v/>
      </c>
      <c r="K3386" s="3"/>
      <c r="L3386" s="3"/>
      <c r="M3386" s="3"/>
      <c r="N3386" s="3"/>
    </row>
    <row r="3387" spans="1:14" ht="14.25" x14ac:dyDescent="0.2">
      <c r="A3387" s="3"/>
      <c r="B3387" s="3"/>
      <c r="C3387" s="3"/>
      <c r="D3387" s="6"/>
      <c r="E3387" s="10"/>
      <c r="F3387" s="3" t="str">
        <f>IFERROR( VLOOKUP(A3387,#REF!,2,0),"")</f>
        <v/>
      </c>
      <c r="G3387" s="3">
        <f t="array" ref="G3387">_xlfn.XLOOKUP(I3387,Base_Datos!D:D,Base_Datos!B:B,"")</f>
        <v>0</v>
      </c>
      <c r="H3387" s="3" t="str">
        <f t="array" ref="H3387">IF(I3387="","",IFERROR(_xlfn.XLOOKUP(I3387,Base_Datos!$D$2:$D3876,Base_Datos!$C$2:$C3876),""))</f>
        <v/>
      </c>
      <c r="I3387" s="3"/>
      <c r="J3387" s="3" t="str">
        <f>IF(I3387="","",IFERROR(VLOOKUP(I3387,Base_Datos!$D$2:$E$72,2,0),""))</f>
        <v/>
      </c>
      <c r="K3387" s="3"/>
      <c r="L3387" s="3"/>
      <c r="M3387" s="3"/>
      <c r="N3387" s="3"/>
    </row>
    <row r="3388" spans="1:14" ht="14.25" x14ac:dyDescent="0.2">
      <c r="A3388" s="3"/>
      <c r="B3388" s="3"/>
      <c r="C3388" s="3"/>
      <c r="D3388" s="6"/>
      <c r="E3388" s="10"/>
      <c r="F3388" s="3" t="str">
        <f>IFERROR( VLOOKUP(A3388,#REF!,2,0),"")</f>
        <v/>
      </c>
      <c r="G3388" s="3">
        <f t="array" ref="G3388">_xlfn.XLOOKUP(I3388,Base_Datos!D:D,Base_Datos!B:B,"")</f>
        <v>0</v>
      </c>
      <c r="H3388" s="3" t="str">
        <f t="array" ref="H3388">IF(I3388="","",IFERROR(_xlfn.XLOOKUP(I3388,Base_Datos!$D$2:$D3876,Base_Datos!$C$2:$C3876),""))</f>
        <v/>
      </c>
      <c r="I3388" s="3"/>
      <c r="J3388" s="3" t="str">
        <f>IF(I3388="","",IFERROR(VLOOKUP(I3388,Base_Datos!$D$2:$E$72,2,0),""))</f>
        <v/>
      </c>
      <c r="K3388" s="3"/>
      <c r="L3388" s="3"/>
      <c r="M3388" s="3"/>
      <c r="N3388" s="3"/>
    </row>
    <row r="3389" spans="1:14" ht="14.25" x14ac:dyDescent="0.2">
      <c r="A3389" s="3"/>
      <c r="B3389" s="3"/>
      <c r="C3389" s="3"/>
      <c r="D3389" s="6"/>
      <c r="E3389" s="10"/>
      <c r="F3389" s="3" t="str">
        <f>IFERROR( VLOOKUP(A3389,#REF!,2,0),"")</f>
        <v/>
      </c>
      <c r="G3389" s="3">
        <f t="array" ref="G3389">_xlfn.XLOOKUP(I3389,Base_Datos!D:D,Base_Datos!B:B,"")</f>
        <v>0</v>
      </c>
      <c r="H3389" s="3" t="str">
        <f t="array" ref="H3389">IF(I3389="","",IFERROR(_xlfn.XLOOKUP(I3389,Base_Datos!$D$2:$D3876,Base_Datos!$C$2:$C3876),""))</f>
        <v/>
      </c>
      <c r="I3389" s="3"/>
      <c r="J3389" s="3" t="str">
        <f>IF(I3389="","",IFERROR(VLOOKUP(I3389,Base_Datos!$D$2:$E$72,2,0),""))</f>
        <v/>
      </c>
      <c r="K3389" s="3"/>
      <c r="L3389" s="3"/>
      <c r="M3389" s="3"/>
      <c r="N3389" s="3"/>
    </row>
    <row r="3390" spans="1:14" ht="14.25" x14ac:dyDescent="0.2">
      <c r="A3390" s="3"/>
      <c r="B3390" s="3"/>
      <c r="C3390" s="3"/>
      <c r="D3390" s="6"/>
      <c r="E3390" s="10"/>
      <c r="F3390" s="3" t="str">
        <f>IFERROR( VLOOKUP(A3390,#REF!,2,0),"")</f>
        <v/>
      </c>
      <c r="G3390" s="3">
        <f t="array" ref="G3390">_xlfn.XLOOKUP(I3390,Base_Datos!D:D,Base_Datos!B:B,"")</f>
        <v>0</v>
      </c>
      <c r="H3390" s="3" t="str">
        <f t="array" ref="H3390">IF(I3390="","",IFERROR(_xlfn.XLOOKUP(I3390,Base_Datos!$D$2:$D3876,Base_Datos!$C$2:$C3876),""))</f>
        <v/>
      </c>
      <c r="I3390" s="3"/>
      <c r="J3390" s="3" t="str">
        <f>IF(I3390="","",IFERROR(VLOOKUP(I3390,Base_Datos!$D$2:$E$72,2,0),""))</f>
        <v/>
      </c>
      <c r="K3390" s="3"/>
      <c r="L3390" s="3"/>
      <c r="M3390" s="3"/>
      <c r="N3390" s="3"/>
    </row>
    <row r="3391" spans="1:14" ht="14.25" x14ac:dyDescent="0.2">
      <c r="A3391" s="3"/>
      <c r="B3391" s="3"/>
      <c r="C3391" s="3"/>
      <c r="D3391" s="6"/>
      <c r="E3391" s="10"/>
      <c r="F3391" s="3" t="str">
        <f>IFERROR( VLOOKUP(A3391,#REF!,2,0),"")</f>
        <v/>
      </c>
      <c r="G3391" s="3">
        <f t="array" ref="G3391">_xlfn.XLOOKUP(I3391,Base_Datos!D:D,Base_Datos!B:B,"")</f>
        <v>0</v>
      </c>
      <c r="H3391" s="3" t="str">
        <f t="array" ref="H3391">IF(I3391="","",IFERROR(_xlfn.XLOOKUP(I3391,Base_Datos!$D$2:$D3876,Base_Datos!$C$2:$C3876),""))</f>
        <v/>
      </c>
      <c r="I3391" s="3"/>
      <c r="J3391" s="3" t="str">
        <f>IF(I3391="","",IFERROR(VLOOKUP(I3391,Base_Datos!$D$2:$E$72,2,0),""))</f>
        <v/>
      </c>
      <c r="K3391" s="3"/>
      <c r="L3391" s="3"/>
      <c r="M3391" s="3"/>
      <c r="N3391" s="3"/>
    </row>
    <row r="3392" spans="1:14" ht="14.25" x14ac:dyDescent="0.2">
      <c r="A3392" s="3"/>
      <c r="B3392" s="3"/>
      <c r="C3392" s="3"/>
      <c r="D3392" s="6"/>
      <c r="E3392" s="10"/>
      <c r="F3392" s="3" t="str">
        <f>IFERROR( VLOOKUP(A3392,#REF!,2,0),"")</f>
        <v/>
      </c>
      <c r="G3392" s="3">
        <f t="array" ref="G3392">_xlfn.XLOOKUP(I3392,Base_Datos!D:D,Base_Datos!B:B,"")</f>
        <v>0</v>
      </c>
      <c r="H3392" s="3" t="str">
        <f t="array" ref="H3392">IF(I3392="","",IFERROR(_xlfn.XLOOKUP(I3392,Base_Datos!$D$2:$D3876,Base_Datos!$C$2:$C3876),""))</f>
        <v/>
      </c>
      <c r="I3392" s="3"/>
      <c r="J3392" s="3" t="str">
        <f>IF(I3392="","",IFERROR(VLOOKUP(I3392,Base_Datos!$D$2:$E$72,2,0),""))</f>
        <v/>
      </c>
      <c r="K3392" s="3"/>
      <c r="L3392" s="3"/>
      <c r="M3392" s="3"/>
      <c r="N3392" s="3"/>
    </row>
    <row r="3393" spans="1:14" ht="14.25" x14ac:dyDescent="0.2">
      <c r="A3393" s="3"/>
      <c r="B3393" s="3"/>
      <c r="C3393" s="3"/>
      <c r="D3393" s="6"/>
      <c r="E3393" s="10"/>
      <c r="F3393" s="3" t="str">
        <f>IFERROR( VLOOKUP(A3393,#REF!,2,0),"")</f>
        <v/>
      </c>
      <c r="G3393" s="3">
        <f t="array" ref="G3393">_xlfn.XLOOKUP(I3393,Base_Datos!D:D,Base_Datos!B:B,"")</f>
        <v>0</v>
      </c>
      <c r="H3393" s="3" t="str">
        <f t="array" ref="H3393">IF(I3393="","",IFERROR(_xlfn.XLOOKUP(I3393,Base_Datos!$D$2:$D3876,Base_Datos!$C$2:$C3876),""))</f>
        <v/>
      </c>
      <c r="I3393" s="3"/>
      <c r="J3393" s="3" t="str">
        <f>IF(I3393="","",IFERROR(VLOOKUP(I3393,Base_Datos!$D$2:$E$72,2,0),""))</f>
        <v/>
      </c>
      <c r="K3393" s="3"/>
      <c r="L3393" s="3"/>
      <c r="M3393" s="3"/>
      <c r="N3393" s="3"/>
    </row>
    <row r="3394" spans="1:14" ht="14.25" x14ac:dyDescent="0.2">
      <c r="A3394" s="3"/>
      <c r="B3394" s="3"/>
      <c r="C3394" s="3"/>
      <c r="D3394" s="6"/>
      <c r="E3394" s="10"/>
      <c r="F3394" s="3" t="str">
        <f>IFERROR( VLOOKUP(A3394,#REF!,2,0),"")</f>
        <v/>
      </c>
      <c r="G3394" s="3">
        <f t="array" ref="G3394">_xlfn.XLOOKUP(I3394,Base_Datos!D:D,Base_Datos!B:B,"")</f>
        <v>0</v>
      </c>
      <c r="H3394" s="3" t="str">
        <f t="array" ref="H3394">IF(I3394="","",IFERROR(_xlfn.XLOOKUP(I3394,Base_Datos!$D$2:$D3876,Base_Datos!$C$2:$C3876),""))</f>
        <v/>
      </c>
      <c r="I3394" s="3"/>
      <c r="J3394" s="3" t="str">
        <f>IF(I3394="","",IFERROR(VLOOKUP(I3394,Base_Datos!$D$2:$E$72,2,0),""))</f>
        <v/>
      </c>
      <c r="K3394" s="3"/>
      <c r="L3394" s="3"/>
      <c r="M3394" s="3"/>
      <c r="N3394" s="3"/>
    </row>
    <row r="3395" spans="1:14" ht="14.25" x14ac:dyDescent="0.2">
      <c r="A3395" s="3"/>
      <c r="B3395" s="3"/>
      <c r="C3395" s="3"/>
      <c r="D3395" s="6"/>
      <c r="E3395" s="10"/>
      <c r="F3395" s="3" t="str">
        <f>IFERROR( VLOOKUP(A3395,#REF!,2,0),"")</f>
        <v/>
      </c>
      <c r="G3395" s="3">
        <f t="array" ref="G3395">_xlfn.XLOOKUP(I3395,Base_Datos!D:D,Base_Datos!B:B,"")</f>
        <v>0</v>
      </c>
      <c r="H3395" s="3" t="str">
        <f t="array" ref="H3395">IF(I3395="","",IFERROR(_xlfn.XLOOKUP(I3395,Base_Datos!$D$2:$D3876,Base_Datos!$C$2:$C3876),""))</f>
        <v/>
      </c>
      <c r="I3395" s="3"/>
      <c r="J3395" s="3" t="str">
        <f>IF(I3395="","",IFERROR(VLOOKUP(I3395,Base_Datos!$D$2:$E$72,2,0),""))</f>
        <v/>
      </c>
      <c r="K3395" s="3"/>
      <c r="L3395" s="3"/>
      <c r="M3395" s="3"/>
      <c r="N3395" s="3"/>
    </row>
    <row r="3396" spans="1:14" ht="14.25" x14ac:dyDescent="0.2">
      <c r="A3396" s="3"/>
      <c r="B3396" s="3"/>
      <c r="C3396" s="3"/>
      <c r="D3396" s="6"/>
      <c r="E3396" s="10"/>
      <c r="F3396" s="3" t="str">
        <f>IFERROR( VLOOKUP(A3396,#REF!,2,0),"")</f>
        <v/>
      </c>
      <c r="G3396" s="3">
        <f t="array" ref="G3396">_xlfn.XLOOKUP(I3396,Base_Datos!D:D,Base_Datos!B:B,"")</f>
        <v>0</v>
      </c>
      <c r="H3396" s="3" t="str">
        <f t="array" ref="H3396">IF(I3396="","",IFERROR(_xlfn.XLOOKUP(I3396,Base_Datos!$D$2:$D3876,Base_Datos!$C$2:$C3876),""))</f>
        <v/>
      </c>
      <c r="I3396" s="3"/>
      <c r="J3396" s="3" t="str">
        <f>IF(I3396="","",IFERROR(VLOOKUP(I3396,Base_Datos!$D$2:$E$72,2,0),""))</f>
        <v/>
      </c>
      <c r="K3396" s="3"/>
      <c r="L3396" s="3"/>
      <c r="M3396" s="3"/>
      <c r="N3396" s="3"/>
    </row>
    <row r="3397" spans="1:14" ht="14.25" x14ac:dyDescent="0.2">
      <c r="A3397" s="3"/>
      <c r="B3397" s="3"/>
      <c r="C3397" s="3"/>
      <c r="D3397" s="6"/>
      <c r="E3397" s="10"/>
      <c r="F3397" s="3" t="str">
        <f>IFERROR( VLOOKUP(A3397,#REF!,2,0),"")</f>
        <v/>
      </c>
      <c r="G3397" s="3">
        <f t="array" ref="G3397">_xlfn.XLOOKUP(I3397,Base_Datos!D:D,Base_Datos!B:B,"")</f>
        <v>0</v>
      </c>
      <c r="H3397" s="3" t="str">
        <f t="array" ref="H3397">IF(I3397="","",IFERROR(_xlfn.XLOOKUP(I3397,Base_Datos!$D$2:$D3876,Base_Datos!$C$2:$C3876),""))</f>
        <v/>
      </c>
      <c r="I3397" s="3"/>
      <c r="J3397" s="3" t="str">
        <f>IF(I3397="","",IFERROR(VLOOKUP(I3397,Base_Datos!$D$2:$E$72,2,0),""))</f>
        <v/>
      </c>
      <c r="K3397" s="3"/>
      <c r="L3397" s="3"/>
      <c r="M3397" s="3"/>
      <c r="N3397" s="3"/>
    </row>
    <row r="3398" spans="1:14" ht="14.25" x14ac:dyDescent="0.2">
      <c r="A3398" s="3"/>
      <c r="B3398" s="3"/>
      <c r="C3398" s="3"/>
      <c r="D3398" s="6"/>
      <c r="E3398" s="10"/>
      <c r="F3398" s="3" t="str">
        <f>IFERROR( VLOOKUP(A3398,#REF!,2,0),"")</f>
        <v/>
      </c>
      <c r="G3398" s="3">
        <f t="array" ref="G3398">_xlfn.XLOOKUP(I3398,Base_Datos!D:D,Base_Datos!B:B,"")</f>
        <v>0</v>
      </c>
      <c r="H3398" s="3" t="str">
        <f t="array" ref="H3398">IF(I3398="","",IFERROR(_xlfn.XLOOKUP(I3398,Base_Datos!$D$2:$D3876,Base_Datos!$C$2:$C3876),""))</f>
        <v/>
      </c>
      <c r="I3398" s="3"/>
      <c r="J3398" s="3" t="str">
        <f>IF(I3398="","",IFERROR(VLOOKUP(I3398,Base_Datos!$D$2:$E$72,2,0),""))</f>
        <v/>
      </c>
      <c r="K3398" s="3"/>
      <c r="L3398" s="3"/>
      <c r="M3398" s="3"/>
      <c r="N3398" s="3"/>
    </row>
    <row r="3399" spans="1:14" ht="14.25" x14ac:dyDescent="0.2">
      <c r="A3399" s="3"/>
      <c r="B3399" s="3"/>
      <c r="C3399" s="3"/>
      <c r="D3399" s="6"/>
      <c r="E3399" s="10"/>
      <c r="F3399" s="3" t="str">
        <f>IFERROR( VLOOKUP(A3399,#REF!,2,0),"")</f>
        <v/>
      </c>
      <c r="G3399" s="3">
        <f t="array" ref="G3399">_xlfn.XLOOKUP(I3399,Base_Datos!D:D,Base_Datos!B:B,"")</f>
        <v>0</v>
      </c>
      <c r="H3399" s="3" t="str">
        <f t="array" ref="H3399">IF(I3399="","",IFERROR(_xlfn.XLOOKUP(I3399,Base_Datos!$D$2:$D3876,Base_Datos!$C$2:$C3876),""))</f>
        <v/>
      </c>
      <c r="I3399" s="3"/>
      <c r="J3399" s="3" t="str">
        <f>IF(I3399="","",IFERROR(VLOOKUP(I3399,Base_Datos!$D$2:$E$72,2,0),""))</f>
        <v/>
      </c>
      <c r="K3399" s="3"/>
      <c r="L3399" s="3"/>
      <c r="M3399" s="3"/>
      <c r="N3399" s="3"/>
    </row>
    <row r="3400" spans="1:14" ht="14.25" x14ac:dyDescent="0.2">
      <c r="A3400" s="3"/>
      <c r="B3400" s="3"/>
      <c r="C3400" s="3"/>
      <c r="D3400" s="6"/>
      <c r="E3400" s="10"/>
      <c r="F3400" s="3" t="str">
        <f>IFERROR( VLOOKUP(A3400,#REF!,2,0),"")</f>
        <v/>
      </c>
      <c r="G3400" s="3">
        <f t="array" ref="G3400">_xlfn.XLOOKUP(I3400,Base_Datos!D:D,Base_Datos!B:B,"")</f>
        <v>0</v>
      </c>
      <c r="H3400" s="3" t="str">
        <f t="array" ref="H3400">IF(I3400="","",IFERROR(_xlfn.XLOOKUP(I3400,Base_Datos!$D$2:$D3876,Base_Datos!$C$2:$C3876),""))</f>
        <v/>
      </c>
      <c r="I3400" s="3"/>
      <c r="J3400" s="3" t="str">
        <f>IF(I3400="","",IFERROR(VLOOKUP(I3400,Base_Datos!$D$2:$E$72,2,0),""))</f>
        <v/>
      </c>
      <c r="K3400" s="3"/>
      <c r="L3400" s="3"/>
      <c r="M3400" s="3"/>
      <c r="N3400" s="3"/>
    </row>
    <row r="3401" spans="1:14" ht="14.25" x14ac:dyDescent="0.2">
      <c r="A3401" s="3"/>
      <c r="B3401" s="3"/>
      <c r="C3401" s="3"/>
      <c r="D3401" s="6"/>
      <c r="E3401" s="10"/>
      <c r="F3401" s="3" t="str">
        <f>IFERROR( VLOOKUP(A3401,#REF!,2,0),"")</f>
        <v/>
      </c>
      <c r="G3401" s="3">
        <f t="array" ref="G3401">_xlfn.XLOOKUP(I3401,Base_Datos!D:D,Base_Datos!B:B,"")</f>
        <v>0</v>
      </c>
      <c r="H3401" s="3" t="str">
        <f t="array" ref="H3401">IF(I3401="","",IFERROR(_xlfn.XLOOKUP(I3401,Base_Datos!$D$2:$D3876,Base_Datos!$C$2:$C3876),""))</f>
        <v/>
      </c>
      <c r="I3401" s="3"/>
      <c r="J3401" s="3" t="str">
        <f>IF(I3401="","",IFERROR(VLOOKUP(I3401,Base_Datos!$D$2:$E$72,2,0),""))</f>
        <v/>
      </c>
      <c r="K3401" s="3"/>
      <c r="L3401" s="3"/>
      <c r="M3401" s="3"/>
      <c r="N3401" s="3"/>
    </row>
    <row r="3402" spans="1:14" ht="14.25" x14ac:dyDescent="0.2">
      <c r="A3402" s="3"/>
      <c r="B3402" s="3"/>
      <c r="C3402" s="3"/>
      <c r="D3402" s="6"/>
      <c r="E3402" s="10"/>
      <c r="F3402" s="3" t="str">
        <f>IFERROR( VLOOKUP(A3402,#REF!,2,0),"")</f>
        <v/>
      </c>
      <c r="G3402" s="3">
        <f t="array" ref="G3402">_xlfn.XLOOKUP(I3402,Base_Datos!D:D,Base_Datos!B:B,"")</f>
        <v>0</v>
      </c>
      <c r="H3402" s="3" t="str">
        <f t="array" ref="H3402">IF(I3402="","",IFERROR(_xlfn.XLOOKUP(I3402,Base_Datos!$D$2:$D3876,Base_Datos!$C$2:$C3876),""))</f>
        <v/>
      </c>
      <c r="I3402" s="3"/>
      <c r="J3402" s="3" t="str">
        <f>IF(I3402="","",IFERROR(VLOOKUP(I3402,Base_Datos!$D$2:$E$72,2,0),""))</f>
        <v/>
      </c>
      <c r="K3402" s="3"/>
      <c r="L3402" s="3"/>
      <c r="M3402" s="3"/>
      <c r="N3402" s="3"/>
    </row>
    <row r="3403" spans="1:14" ht="14.25" x14ac:dyDescent="0.2">
      <c r="A3403" s="3"/>
      <c r="B3403" s="3"/>
      <c r="C3403" s="3"/>
      <c r="D3403" s="6"/>
      <c r="E3403" s="10"/>
      <c r="F3403" s="3" t="str">
        <f>IFERROR( VLOOKUP(A3403,#REF!,2,0),"")</f>
        <v/>
      </c>
      <c r="G3403" s="3">
        <f t="array" ref="G3403">_xlfn.XLOOKUP(I3403,Base_Datos!D:D,Base_Datos!B:B,"")</f>
        <v>0</v>
      </c>
      <c r="H3403" s="3" t="str">
        <f t="array" ref="H3403">IF(I3403="","",IFERROR(_xlfn.XLOOKUP(I3403,Base_Datos!$D$2:$D3876,Base_Datos!$C$2:$C3876),""))</f>
        <v/>
      </c>
      <c r="I3403" s="3"/>
      <c r="J3403" s="3" t="str">
        <f>IF(I3403="","",IFERROR(VLOOKUP(I3403,Base_Datos!$D$2:$E$72,2,0),""))</f>
        <v/>
      </c>
      <c r="K3403" s="3"/>
      <c r="L3403" s="3"/>
      <c r="M3403" s="3"/>
      <c r="N3403" s="3"/>
    </row>
    <row r="3404" spans="1:14" ht="14.25" x14ac:dyDescent="0.2">
      <c r="A3404" s="3"/>
      <c r="B3404" s="3"/>
      <c r="C3404" s="3"/>
      <c r="D3404" s="6"/>
      <c r="E3404" s="10"/>
      <c r="F3404" s="3" t="str">
        <f>IFERROR( VLOOKUP(A3404,#REF!,2,0),"")</f>
        <v/>
      </c>
      <c r="G3404" s="3">
        <f t="array" ref="G3404">_xlfn.XLOOKUP(I3404,Base_Datos!D:D,Base_Datos!B:B,"")</f>
        <v>0</v>
      </c>
      <c r="H3404" s="3" t="str">
        <f t="array" ref="H3404">IF(I3404="","",IFERROR(_xlfn.XLOOKUP(I3404,Base_Datos!$D$2:$D3876,Base_Datos!$C$2:$C3876),""))</f>
        <v/>
      </c>
      <c r="I3404" s="3"/>
      <c r="J3404" s="3" t="str">
        <f>IF(I3404="","",IFERROR(VLOOKUP(I3404,Base_Datos!$D$2:$E$72,2,0),""))</f>
        <v/>
      </c>
      <c r="K3404" s="3"/>
      <c r="L3404" s="3"/>
      <c r="M3404" s="3"/>
      <c r="N3404" s="3"/>
    </row>
    <row r="3405" spans="1:14" ht="14.25" x14ac:dyDescent="0.2">
      <c r="A3405" s="3"/>
      <c r="B3405" s="3"/>
      <c r="C3405" s="3"/>
      <c r="D3405" s="6"/>
      <c r="E3405" s="10"/>
      <c r="F3405" s="3" t="str">
        <f>IFERROR( VLOOKUP(A3405,#REF!,2,0),"")</f>
        <v/>
      </c>
      <c r="G3405" s="3">
        <f t="array" ref="G3405">_xlfn.XLOOKUP(I3405,Base_Datos!D:D,Base_Datos!B:B,"")</f>
        <v>0</v>
      </c>
      <c r="H3405" s="3" t="str">
        <f t="array" ref="H3405">IF(I3405="","",IFERROR(_xlfn.XLOOKUP(I3405,Base_Datos!$D$2:$D3876,Base_Datos!$C$2:$C3876),""))</f>
        <v/>
      </c>
      <c r="I3405" s="3"/>
      <c r="J3405" s="3" t="str">
        <f>IF(I3405="","",IFERROR(VLOOKUP(I3405,Base_Datos!$D$2:$E$72,2,0),""))</f>
        <v/>
      </c>
      <c r="K3405" s="3"/>
      <c r="L3405" s="3"/>
      <c r="M3405" s="3"/>
      <c r="N3405" s="3"/>
    </row>
    <row r="3406" spans="1:14" ht="14.25" x14ac:dyDescent="0.2">
      <c r="A3406" s="3"/>
      <c r="B3406" s="3"/>
      <c r="C3406" s="3"/>
      <c r="D3406" s="6"/>
      <c r="E3406" s="10"/>
      <c r="F3406" s="3" t="str">
        <f>IFERROR( VLOOKUP(A3406,#REF!,2,0),"")</f>
        <v/>
      </c>
      <c r="G3406" s="3">
        <f t="array" ref="G3406">_xlfn.XLOOKUP(I3406,Base_Datos!D:D,Base_Datos!B:B,"")</f>
        <v>0</v>
      </c>
      <c r="H3406" s="3" t="str">
        <f t="array" ref="H3406">IF(I3406="","",IFERROR(_xlfn.XLOOKUP(I3406,Base_Datos!$D$2:$D3876,Base_Datos!$C$2:$C3876),""))</f>
        <v/>
      </c>
      <c r="I3406" s="3"/>
      <c r="J3406" s="3" t="str">
        <f>IF(I3406="","",IFERROR(VLOOKUP(I3406,Base_Datos!$D$2:$E$72,2,0),""))</f>
        <v/>
      </c>
      <c r="K3406" s="3"/>
      <c r="L3406" s="3"/>
      <c r="M3406" s="3"/>
      <c r="N3406" s="3"/>
    </row>
    <row r="3407" spans="1:14" ht="14.25" x14ac:dyDescent="0.2">
      <c r="A3407" s="3"/>
      <c r="B3407" s="3"/>
      <c r="C3407" s="3"/>
      <c r="D3407" s="6"/>
      <c r="E3407" s="10"/>
      <c r="F3407" s="3" t="str">
        <f>IFERROR( VLOOKUP(A3407,#REF!,2,0),"")</f>
        <v/>
      </c>
      <c r="G3407" s="3">
        <f t="array" ref="G3407">_xlfn.XLOOKUP(I3407,Base_Datos!D:D,Base_Datos!B:B,"")</f>
        <v>0</v>
      </c>
      <c r="H3407" s="3" t="str">
        <f t="array" ref="H3407">IF(I3407="","",IFERROR(_xlfn.XLOOKUP(I3407,Base_Datos!$D$2:$D3876,Base_Datos!$C$2:$C3876),""))</f>
        <v/>
      </c>
      <c r="I3407" s="3"/>
      <c r="J3407" s="3" t="str">
        <f>IF(I3407="","",IFERROR(VLOOKUP(I3407,Base_Datos!$D$2:$E$72,2,0),""))</f>
        <v/>
      </c>
      <c r="K3407" s="3"/>
      <c r="L3407" s="3"/>
      <c r="M3407" s="3"/>
      <c r="N3407" s="3"/>
    </row>
    <row r="3408" spans="1:14" ht="14.25" x14ac:dyDescent="0.2">
      <c r="A3408" s="3"/>
      <c r="B3408" s="3"/>
      <c r="C3408" s="3"/>
      <c r="D3408" s="6"/>
      <c r="E3408" s="10"/>
      <c r="F3408" s="3" t="str">
        <f>IFERROR( VLOOKUP(A3408,#REF!,2,0),"")</f>
        <v/>
      </c>
      <c r="G3408" s="3">
        <f t="array" ref="G3408">_xlfn.XLOOKUP(I3408,Base_Datos!D:D,Base_Datos!B:B,"")</f>
        <v>0</v>
      </c>
      <c r="H3408" s="3" t="str">
        <f t="array" ref="H3408">IF(I3408="","",IFERROR(_xlfn.XLOOKUP(I3408,Base_Datos!$D$2:$D3876,Base_Datos!$C$2:$C3876),""))</f>
        <v/>
      </c>
      <c r="I3408" s="3"/>
      <c r="J3408" s="3" t="str">
        <f>IF(I3408="","",IFERROR(VLOOKUP(I3408,Base_Datos!$D$2:$E$72,2,0),""))</f>
        <v/>
      </c>
      <c r="K3408" s="3"/>
      <c r="L3408" s="3"/>
      <c r="M3408" s="3"/>
      <c r="N3408" s="3"/>
    </row>
    <row r="3409" spans="1:14" ht="14.25" x14ac:dyDescent="0.2">
      <c r="A3409" s="3"/>
      <c r="B3409" s="3"/>
      <c r="C3409" s="3"/>
      <c r="D3409" s="6"/>
      <c r="E3409" s="10"/>
      <c r="F3409" s="3" t="str">
        <f>IFERROR( VLOOKUP(A3409,#REF!,2,0),"")</f>
        <v/>
      </c>
      <c r="G3409" s="3">
        <f t="array" ref="G3409">_xlfn.XLOOKUP(I3409,Base_Datos!D:D,Base_Datos!B:B,"")</f>
        <v>0</v>
      </c>
      <c r="H3409" s="3" t="str">
        <f t="array" ref="H3409">IF(I3409="","",IFERROR(_xlfn.XLOOKUP(I3409,Base_Datos!$D$2:$D3876,Base_Datos!$C$2:$C3876),""))</f>
        <v/>
      </c>
      <c r="I3409" s="3"/>
      <c r="J3409" s="3" t="str">
        <f>IF(I3409="","",IFERROR(VLOOKUP(I3409,Base_Datos!$D$2:$E$72,2,0),""))</f>
        <v/>
      </c>
      <c r="K3409" s="3"/>
      <c r="L3409" s="3"/>
      <c r="M3409" s="3"/>
      <c r="N3409" s="3"/>
    </row>
    <row r="3410" spans="1:14" ht="14.25" x14ac:dyDescent="0.2">
      <c r="A3410" s="3"/>
      <c r="B3410" s="3"/>
      <c r="C3410" s="3"/>
      <c r="D3410" s="6"/>
      <c r="E3410" s="10"/>
      <c r="F3410" s="3" t="str">
        <f>IFERROR( VLOOKUP(A3410,#REF!,2,0),"")</f>
        <v/>
      </c>
      <c r="G3410" s="3">
        <f t="array" ref="G3410">_xlfn.XLOOKUP(I3410,Base_Datos!D:D,Base_Datos!B:B,"")</f>
        <v>0</v>
      </c>
      <c r="H3410" s="3" t="str">
        <f t="array" ref="H3410">IF(I3410="","",IFERROR(_xlfn.XLOOKUP(I3410,Base_Datos!$D$2:$D3876,Base_Datos!$C$2:$C3876),""))</f>
        <v/>
      </c>
      <c r="I3410" s="3"/>
      <c r="J3410" s="3" t="str">
        <f>IF(I3410="","",IFERROR(VLOOKUP(I3410,Base_Datos!$D$2:$E$72,2,0),""))</f>
        <v/>
      </c>
      <c r="K3410" s="3"/>
      <c r="L3410" s="3"/>
      <c r="M3410" s="3"/>
      <c r="N3410" s="3"/>
    </row>
    <row r="3411" spans="1:14" ht="14.25" x14ac:dyDescent="0.2">
      <c r="A3411" s="3"/>
      <c r="B3411" s="3"/>
      <c r="C3411" s="3"/>
      <c r="D3411" s="6"/>
      <c r="E3411" s="10"/>
      <c r="F3411" s="3" t="str">
        <f>IFERROR( VLOOKUP(A3411,#REF!,2,0),"")</f>
        <v/>
      </c>
      <c r="G3411" s="3">
        <f t="array" ref="G3411">_xlfn.XLOOKUP(I3411,Base_Datos!D:D,Base_Datos!B:B,"")</f>
        <v>0</v>
      </c>
      <c r="H3411" s="3" t="str">
        <f t="array" ref="H3411">IF(I3411="","",IFERROR(_xlfn.XLOOKUP(I3411,Base_Datos!$D$2:$D3876,Base_Datos!$C$2:$C3876),""))</f>
        <v/>
      </c>
      <c r="I3411" s="3"/>
      <c r="J3411" s="3" t="str">
        <f>IF(I3411="","",IFERROR(VLOOKUP(I3411,Base_Datos!$D$2:$E$72,2,0),""))</f>
        <v/>
      </c>
      <c r="K3411" s="3"/>
      <c r="L3411" s="3"/>
      <c r="M3411" s="3"/>
      <c r="N3411" s="3"/>
    </row>
    <row r="3412" spans="1:14" ht="14.25" x14ac:dyDescent="0.2">
      <c r="A3412" s="3"/>
      <c r="B3412" s="3"/>
      <c r="C3412" s="3"/>
      <c r="D3412" s="6"/>
      <c r="E3412" s="10"/>
      <c r="F3412" s="3" t="str">
        <f>IFERROR( VLOOKUP(A3412,#REF!,2,0),"")</f>
        <v/>
      </c>
      <c r="G3412" s="3">
        <f t="array" ref="G3412">_xlfn.XLOOKUP(I3412,Base_Datos!D:D,Base_Datos!B:B,"")</f>
        <v>0</v>
      </c>
      <c r="H3412" s="3" t="str">
        <f t="array" ref="H3412">IF(I3412="","",IFERROR(_xlfn.XLOOKUP(I3412,Base_Datos!$D$2:$D3876,Base_Datos!$C$2:$C3876),""))</f>
        <v/>
      </c>
      <c r="I3412" s="3"/>
      <c r="J3412" s="3" t="str">
        <f>IF(I3412="","",IFERROR(VLOOKUP(I3412,Base_Datos!$D$2:$E$72,2,0),""))</f>
        <v/>
      </c>
      <c r="K3412" s="3"/>
      <c r="L3412" s="3"/>
      <c r="M3412" s="3"/>
      <c r="N3412" s="3"/>
    </row>
    <row r="3413" spans="1:14" ht="14.25" x14ac:dyDescent="0.2">
      <c r="A3413" s="3"/>
      <c r="B3413" s="3"/>
      <c r="C3413" s="3"/>
      <c r="D3413" s="6"/>
      <c r="E3413" s="10"/>
      <c r="F3413" s="3" t="str">
        <f>IFERROR( VLOOKUP(A3413,#REF!,2,0),"")</f>
        <v/>
      </c>
      <c r="G3413" s="3">
        <f t="array" ref="G3413">_xlfn.XLOOKUP(I3413,Base_Datos!D:D,Base_Datos!B:B,"")</f>
        <v>0</v>
      </c>
      <c r="H3413" s="3" t="str">
        <f t="array" ref="H3413">IF(I3413="","",IFERROR(_xlfn.XLOOKUP(I3413,Base_Datos!$D$2:$D3876,Base_Datos!$C$2:$C3876),""))</f>
        <v/>
      </c>
      <c r="I3413" s="3"/>
      <c r="J3413" s="3" t="str">
        <f>IF(I3413="","",IFERROR(VLOOKUP(I3413,Base_Datos!$D$2:$E$72,2,0),""))</f>
        <v/>
      </c>
      <c r="K3413" s="3"/>
      <c r="L3413" s="3"/>
      <c r="M3413" s="3"/>
      <c r="N3413" s="3"/>
    </row>
    <row r="3414" spans="1:14" ht="14.25" x14ac:dyDescent="0.2">
      <c r="A3414" s="3"/>
      <c r="B3414" s="3"/>
      <c r="C3414" s="3"/>
      <c r="D3414" s="6"/>
      <c r="E3414" s="10"/>
      <c r="F3414" s="3" t="str">
        <f>IFERROR( VLOOKUP(A3414,#REF!,2,0),"")</f>
        <v/>
      </c>
      <c r="G3414" s="3">
        <f t="array" ref="G3414">_xlfn.XLOOKUP(I3414,Base_Datos!D:D,Base_Datos!B:B,"")</f>
        <v>0</v>
      </c>
      <c r="H3414" s="3" t="str">
        <f t="array" ref="H3414">IF(I3414="","",IFERROR(_xlfn.XLOOKUP(I3414,Base_Datos!$D$2:$D3876,Base_Datos!$C$2:$C3876),""))</f>
        <v/>
      </c>
      <c r="I3414" s="3"/>
      <c r="J3414" s="3" t="str">
        <f>IF(I3414="","",IFERROR(VLOOKUP(I3414,Base_Datos!$D$2:$E$72,2,0),""))</f>
        <v/>
      </c>
      <c r="K3414" s="3"/>
      <c r="L3414" s="3"/>
      <c r="M3414" s="3"/>
      <c r="N3414" s="3"/>
    </row>
    <row r="3415" spans="1:14" ht="14.25" x14ac:dyDescent="0.2">
      <c r="A3415" s="3"/>
      <c r="B3415" s="3"/>
      <c r="C3415" s="3"/>
      <c r="D3415" s="6"/>
      <c r="E3415" s="10"/>
      <c r="F3415" s="3" t="str">
        <f>IFERROR( VLOOKUP(A3415,#REF!,2,0),"")</f>
        <v/>
      </c>
      <c r="G3415" s="3">
        <f t="array" ref="G3415">_xlfn.XLOOKUP(I3415,Base_Datos!D:D,Base_Datos!B:B,"")</f>
        <v>0</v>
      </c>
      <c r="H3415" s="3" t="str">
        <f t="array" ref="H3415">IF(I3415="","",IFERROR(_xlfn.XLOOKUP(I3415,Base_Datos!$D$2:$D3876,Base_Datos!$C$2:$C3876),""))</f>
        <v/>
      </c>
      <c r="I3415" s="3"/>
      <c r="J3415" s="3" t="str">
        <f>IF(I3415="","",IFERROR(VLOOKUP(I3415,Base_Datos!$D$2:$E$72,2,0),""))</f>
        <v/>
      </c>
      <c r="K3415" s="3"/>
      <c r="L3415" s="3"/>
      <c r="M3415" s="3"/>
      <c r="N3415" s="3"/>
    </row>
    <row r="3416" spans="1:14" ht="14.25" x14ac:dyDescent="0.2">
      <c r="A3416" s="3"/>
      <c r="B3416" s="3"/>
      <c r="C3416" s="3"/>
      <c r="D3416" s="6"/>
      <c r="E3416" s="10"/>
      <c r="F3416" s="3" t="str">
        <f>IFERROR( VLOOKUP(A3416,#REF!,2,0),"")</f>
        <v/>
      </c>
      <c r="G3416" s="3">
        <f t="array" ref="G3416">_xlfn.XLOOKUP(I3416,Base_Datos!D:D,Base_Datos!B:B,"")</f>
        <v>0</v>
      </c>
      <c r="H3416" s="3" t="str">
        <f t="array" ref="H3416">IF(I3416="","",IFERROR(_xlfn.XLOOKUP(I3416,Base_Datos!$D$2:$D3876,Base_Datos!$C$2:$C3876),""))</f>
        <v/>
      </c>
      <c r="I3416" s="3"/>
      <c r="J3416" s="3" t="str">
        <f>IF(I3416="","",IFERROR(VLOOKUP(I3416,Base_Datos!$D$2:$E$72,2,0),""))</f>
        <v/>
      </c>
      <c r="K3416" s="3"/>
      <c r="L3416" s="3"/>
      <c r="M3416" s="3"/>
      <c r="N3416" s="3"/>
    </row>
    <row r="3417" spans="1:14" ht="14.25" x14ac:dyDescent="0.2">
      <c r="A3417" s="3"/>
      <c r="B3417" s="3"/>
      <c r="C3417" s="3"/>
      <c r="D3417" s="6"/>
      <c r="E3417" s="10"/>
      <c r="F3417" s="3" t="str">
        <f>IFERROR( VLOOKUP(A3417,#REF!,2,0),"")</f>
        <v/>
      </c>
      <c r="G3417" s="3">
        <f t="array" ref="G3417">_xlfn.XLOOKUP(I3417,Base_Datos!D:D,Base_Datos!B:B,"")</f>
        <v>0</v>
      </c>
      <c r="H3417" s="3" t="str">
        <f t="array" ref="H3417">IF(I3417="","",IFERROR(_xlfn.XLOOKUP(I3417,Base_Datos!$D$2:$D3876,Base_Datos!$C$2:$C3876),""))</f>
        <v/>
      </c>
      <c r="I3417" s="3"/>
      <c r="J3417" s="3" t="str">
        <f>IF(I3417="","",IFERROR(VLOOKUP(I3417,Base_Datos!$D$2:$E$72,2,0),""))</f>
        <v/>
      </c>
      <c r="K3417" s="3"/>
      <c r="L3417" s="3"/>
      <c r="M3417" s="3"/>
      <c r="N3417" s="3"/>
    </row>
    <row r="3418" spans="1:14" ht="14.25" x14ac:dyDescent="0.2">
      <c r="A3418" s="3"/>
      <c r="B3418" s="3"/>
      <c r="C3418" s="3"/>
      <c r="D3418" s="6"/>
      <c r="E3418" s="10"/>
      <c r="F3418" s="3" t="str">
        <f>IFERROR( VLOOKUP(A3418,#REF!,2,0),"")</f>
        <v/>
      </c>
      <c r="G3418" s="3">
        <f t="array" ref="G3418">_xlfn.XLOOKUP(I3418,Base_Datos!D:D,Base_Datos!B:B,"")</f>
        <v>0</v>
      </c>
      <c r="H3418" s="3" t="str">
        <f t="array" ref="H3418">IF(I3418="","",IFERROR(_xlfn.XLOOKUP(I3418,Base_Datos!$D$2:$D3876,Base_Datos!$C$2:$C3876),""))</f>
        <v/>
      </c>
      <c r="I3418" s="3"/>
      <c r="J3418" s="3" t="str">
        <f>IF(I3418="","",IFERROR(VLOOKUP(I3418,Base_Datos!$D$2:$E$72,2,0),""))</f>
        <v/>
      </c>
      <c r="K3418" s="3"/>
      <c r="L3418" s="3"/>
      <c r="M3418" s="3"/>
      <c r="N3418" s="3"/>
    </row>
    <row r="3419" spans="1:14" ht="14.25" x14ac:dyDescent="0.2">
      <c r="A3419" s="3"/>
      <c r="B3419" s="3"/>
      <c r="C3419" s="3"/>
      <c r="D3419" s="6"/>
      <c r="E3419" s="10"/>
      <c r="F3419" s="3" t="str">
        <f>IFERROR( VLOOKUP(A3419,#REF!,2,0),"")</f>
        <v/>
      </c>
      <c r="G3419" s="3">
        <f t="array" ref="G3419">_xlfn.XLOOKUP(I3419,Base_Datos!D:D,Base_Datos!B:B,"")</f>
        <v>0</v>
      </c>
      <c r="H3419" s="3" t="str">
        <f t="array" ref="H3419">IF(I3419="","",IFERROR(_xlfn.XLOOKUP(I3419,Base_Datos!$D$2:$D3876,Base_Datos!$C$2:$C3876),""))</f>
        <v/>
      </c>
      <c r="I3419" s="3"/>
      <c r="J3419" s="3" t="str">
        <f>IF(I3419="","",IFERROR(VLOOKUP(I3419,Base_Datos!$D$2:$E$72,2,0),""))</f>
        <v/>
      </c>
      <c r="K3419" s="3"/>
      <c r="L3419" s="3"/>
      <c r="M3419" s="3"/>
      <c r="N3419" s="3"/>
    </row>
    <row r="3420" spans="1:14" ht="14.25" x14ac:dyDescent="0.2">
      <c r="A3420" s="3"/>
      <c r="B3420" s="3"/>
      <c r="C3420" s="3"/>
      <c r="D3420" s="6"/>
      <c r="E3420" s="10"/>
      <c r="F3420" s="3" t="str">
        <f>IFERROR( VLOOKUP(A3420,#REF!,2,0),"")</f>
        <v/>
      </c>
      <c r="G3420" s="3">
        <f t="array" ref="G3420">_xlfn.XLOOKUP(I3420,Base_Datos!D:D,Base_Datos!B:B,"")</f>
        <v>0</v>
      </c>
      <c r="H3420" s="3" t="str">
        <f t="array" ref="H3420">IF(I3420="","",IFERROR(_xlfn.XLOOKUP(I3420,Base_Datos!$D$2:$D3876,Base_Datos!$C$2:$C3876),""))</f>
        <v/>
      </c>
      <c r="I3420" s="3"/>
      <c r="J3420" s="3" t="str">
        <f>IF(I3420="","",IFERROR(VLOOKUP(I3420,Base_Datos!$D$2:$E$72,2,0),""))</f>
        <v/>
      </c>
      <c r="K3420" s="3"/>
      <c r="L3420" s="3"/>
      <c r="M3420" s="3"/>
      <c r="N3420" s="3"/>
    </row>
    <row r="3421" spans="1:14" ht="14.25" x14ac:dyDescent="0.2">
      <c r="A3421" s="3"/>
      <c r="B3421" s="3"/>
      <c r="C3421" s="3"/>
      <c r="D3421" s="6"/>
      <c r="E3421" s="10"/>
      <c r="F3421" s="3" t="str">
        <f>IFERROR( VLOOKUP(A3421,#REF!,2,0),"")</f>
        <v/>
      </c>
      <c r="G3421" s="3">
        <f t="array" ref="G3421">_xlfn.XLOOKUP(I3421,Base_Datos!D:D,Base_Datos!B:B,"")</f>
        <v>0</v>
      </c>
      <c r="H3421" s="3" t="str">
        <f t="array" ref="H3421">IF(I3421="","",IFERROR(_xlfn.XLOOKUP(I3421,Base_Datos!$D$2:$D3876,Base_Datos!$C$2:$C3876),""))</f>
        <v/>
      </c>
      <c r="I3421" s="3"/>
      <c r="J3421" s="3" t="str">
        <f>IF(I3421="","",IFERROR(VLOOKUP(I3421,Base_Datos!$D$2:$E$72,2,0),""))</f>
        <v/>
      </c>
      <c r="K3421" s="3"/>
      <c r="L3421" s="3"/>
      <c r="M3421" s="3"/>
      <c r="N3421" s="3"/>
    </row>
    <row r="3422" spans="1:14" ht="14.25" x14ac:dyDescent="0.2">
      <c r="A3422" s="3"/>
      <c r="B3422" s="3"/>
      <c r="C3422" s="3"/>
      <c r="D3422" s="6"/>
      <c r="E3422" s="10"/>
      <c r="F3422" s="3" t="str">
        <f>IFERROR( VLOOKUP(A3422,#REF!,2,0),"")</f>
        <v/>
      </c>
      <c r="G3422" s="3">
        <f t="array" ref="G3422">_xlfn.XLOOKUP(I3422,Base_Datos!D:D,Base_Datos!B:B,"")</f>
        <v>0</v>
      </c>
      <c r="H3422" s="3" t="str">
        <f t="array" ref="H3422">IF(I3422="","",IFERROR(_xlfn.XLOOKUP(I3422,Base_Datos!$D$2:$D3876,Base_Datos!$C$2:$C3876),""))</f>
        <v/>
      </c>
      <c r="I3422" s="3"/>
      <c r="J3422" s="3" t="str">
        <f>IF(I3422="","",IFERROR(VLOOKUP(I3422,Base_Datos!$D$2:$E$72,2,0),""))</f>
        <v/>
      </c>
      <c r="K3422" s="3"/>
      <c r="L3422" s="3"/>
      <c r="M3422" s="3"/>
      <c r="N3422" s="3"/>
    </row>
    <row r="3423" spans="1:14" ht="14.25" x14ac:dyDescent="0.2">
      <c r="A3423" s="3"/>
      <c r="B3423" s="3"/>
      <c r="C3423" s="3"/>
      <c r="D3423" s="6"/>
      <c r="E3423" s="10"/>
      <c r="F3423" s="3" t="str">
        <f>IFERROR( VLOOKUP(A3423,#REF!,2,0),"")</f>
        <v/>
      </c>
      <c r="G3423" s="3">
        <f t="array" ref="G3423">_xlfn.XLOOKUP(I3423,Base_Datos!D:D,Base_Datos!B:B,"")</f>
        <v>0</v>
      </c>
      <c r="H3423" s="3" t="str">
        <f t="array" ref="H3423">IF(I3423="","",IFERROR(_xlfn.XLOOKUP(I3423,Base_Datos!$D$2:$D3876,Base_Datos!$C$2:$C3876),""))</f>
        <v/>
      </c>
      <c r="I3423" s="3"/>
      <c r="J3423" s="3" t="str">
        <f>IF(I3423="","",IFERROR(VLOOKUP(I3423,Base_Datos!$D$2:$E$72,2,0),""))</f>
        <v/>
      </c>
      <c r="K3423" s="3"/>
      <c r="L3423" s="3"/>
      <c r="M3423" s="3"/>
      <c r="N3423" s="3"/>
    </row>
    <row r="3424" spans="1:14" ht="14.25" x14ac:dyDescent="0.2">
      <c r="A3424" s="3"/>
      <c r="B3424" s="3"/>
      <c r="C3424" s="3"/>
      <c r="D3424" s="6"/>
      <c r="E3424" s="10"/>
      <c r="F3424" s="3" t="str">
        <f>IFERROR( VLOOKUP(A3424,#REF!,2,0),"")</f>
        <v/>
      </c>
      <c r="G3424" s="3">
        <f t="array" ref="G3424">_xlfn.XLOOKUP(I3424,Base_Datos!D:D,Base_Datos!B:B,"")</f>
        <v>0</v>
      </c>
      <c r="H3424" s="3" t="str">
        <f t="array" ref="H3424">IF(I3424="","",IFERROR(_xlfn.XLOOKUP(I3424,Base_Datos!$D$2:$D3876,Base_Datos!$C$2:$C3876),""))</f>
        <v/>
      </c>
      <c r="I3424" s="3"/>
      <c r="J3424" s="3" t="str">
        <f>IF(I3424="","",IFERROR(VLOOKUP(I3424,Base_Datos!$D$2:$E$72,2,0),""))</f>
        <v/>
      </c>
      <c r="K3424" s="3"/>
      <c r="L3424" s="3"/>
      <c r="M3424" s="3"/>
      <c r="N3424" s="3"/>
    </row>
    <row r="3425" spans="1:14" ht="14.25" x14ac:dyDescent="0.2">
      <c r="A3425" s="3"/>
      <c r="B3425" s="3"/>
      <c r="C3425" s="3"/>
      <c r="D3425" s="6"/>
      <c r="E3425" s="10"/>
      <c r="F3425" s="3" t="str">
        <f>IFERROR( VLOOKUP(A3425,#REF!,2,0),"")</f>
        <v/>
      </c>
      <c r="G3425" s="3">
        <f t="array" ref="G3425">_xlfn.XLOOKUP(I3425,Base_Datos!D:D,Base_Datos!B:B,"")</f>
        <v>0</v>
      </c>
      <c r="H3425" s="3" t="str">
        <f t="array" ref="H3425">IF(I3425="","",IFERROR(_xlfn.XLOOKUP(I3425,Base_Datos!$D$2:$D3876,Base_Datos!$C$2:$C3876),""))</f>
        <v/>
      </c>
      <c r="I3425" s="3"/>
      <c r="J3425" s="3" t="str">
        <f>IF(I3425="","",IFERROR(VLOOKUP(I3425,Base_Datos!$D$2:$E$72,2,0),""))</f>
        <v/>
      </c>
      <c r="K3425" s="3"/>
      <c r="L3425" s="3"/>
      <c r="M3425" s="3"/>
      <c r="N3425" s="3"/>
    </row>
    <row r="3426" spans="1:14" ht="14.25" x14ac:dyDescent="0.2">
      <c r="A3426" s="3"/>
      <c r="B3426" s="3"/>
      <c r="C3426" s="3"/>
      <c r="D3426" s="6"/>
      <c r="E3426" s="10"/>
      <c r="F3426" s="3" t="str">
        <f>IFERROR( VLOOKUP(A3426,#REF!,2,0),"")</f>
        <v/>
      </c>
      <c r="G3426" s="3">
        <f t="array" ref="G3426">_xlfn.XLOOKUP(I3426,Base_Datos!D:D,Base_Datos!B:B,"")</f>
        <v>0</v>
      </c>
      <c r="H3426" s="3" t="str">
        <f t="array" ref="H3426">IF(I3426="","",IFERROR(_xlfn.XLOOKUP(I3426,Base_Datos!$D$2:$D3876,Base_Datos!$C$2:$C3876),""))</f>
        <v/>
      </c>
      <c r="I3426" s="3"/>
      <c r="J3426" s="3" t="str">
        <f>IF(I3426="","",IFERROR(VLOOKUP(I3426,Base_Datos!$D$2:$E$72,2,0),""))</f>
        <v/>
      </c>
      <c r="K3426" s="3"/>
      <c r="L3426" s="3"/>
      <c r="M3426" s="3"/>
      <c r="N3426" s="3"/>
    </row>
    <row r="3427" spans="1:14" ht="14.25" x14ac:dyDescent="0.2">
      <c r="A3427" s="3"/>
      <c r="B3427" s="3"/>
      <c r="C3427" s="3"/>
      <c r="D3427" s="6"/>
      <c r="E3427" s="10"/>
      <c r="F3427" s="3" t="str">
        <f>IFERROR( VLOOKUP(A3427,#REF!,2,0),"")</f>
        <v/>
      </c>
      <c r="G3427" s="3">
        <f t="array" ref="G3427">_xlfn.XLOOKUP(I3427,Base_Datos!D:D,Base_Datos!B:B,"")</f>
        <v>0</v>
      </c>
      <c r="H3427" s="3" t="str">
        <f t="array" ref="H3427">IF(I3427="","",IFERROR(_xlfn.XLOOKUP(I3427,Base_Datos!$D$2:$D3876,Base_Datos!$C$2:$C3876),""))</f>
        <v/>
      </c>
      <c r="I3427" s="3"/>
      <c r="J3427" s="3" t="str">
        <f>IF(I3427="","",IFERROR(VLOOKUP(I3427,Base_Datos!$D$2:$E$72,2,0),""))</f>
        <v/>
      </c>
      <c r="K3427" s="3"/>
      <c r="L3427" s="3"/>
      <c r="M3427" s="3"/>
      <c r="N3427" s="3"/>
    </row>
    <row r="3428" spans="1:14" ht="14.25" x14ac:dyDescent="0.2">
      <c r="A3428" s="3"/>
      <c r="B3428" s="3"/>
      <c r="C3428" s="3"/>
      <c r="D3428" s="6"/>
      <c r="E3428" s="10"/>
      <c r="F3428" s="3" t="str">
        <f>IFERROR( VLOOKUP(A3428,#REF!,2,0),"")</f>
        <v/>
      </c>
      <c r="G3428" s="3">
        <f t="array" ref="G3428">_xlfn.XLOOKUP(I3428,Base_Datos!D:D,Base_Datos!B:B,"")</f>
        <v>0</v>
      </c>
      <c r="H3428" s="3" t="str">
        <f t="array" ref="H3428">IF(I3428="","",IFERROR(_xlfn.XLOOKUP(I3428,Base_Datos!$D$2:$D3876,Base_Datos!$C$2:$C3876),""))</f>
        <v/>
      </c>
      <c r="I3428" s="3"/>
      <c r="J3428" s="3" t="str">
        <f>IF(I3428="","",IFERROR(VLOOKUP(I3428,Base_Datos!$D$2:$E$72,2,0),""))</f>
        <v/>
      </c>
      <c r="K3428" s="3"/>
      <c r="L3428" s="3"/>
      <c r="M3428" s="3"/>
      <c r="N3428" s="3"/>
    </row>
    <row r="3429" spans="1:14" ht="14.25" x14ac:dyDescent="0.2">
      <c r="A3429" s="3"/>
      <c r="B3429" s="3"/>
      <c r="C3429" s="3"/>
      <c r="D3429" s="6"/>
      <c r="E3429" s="10"/>
      <c r="F3429" s="3" t="str">
        <f>IFERROR( VLOOKUP(A3429,#REF!,2,0),"")</f>
        <v/>
      </c>
      <c r="G3429" s="3">
        <f t="array" ref="G3429">_xlfn.XLOOKUP(I3429,Base_Datos!D:D,Base_Datos!B:B,"")</f>
        <v>0</v>
      </c>
      <c r="H3429" s="3" t="str">
        <f t="array" ref="H3429">IF(I3429="","",IFERROR(_xlfn.XLOOKUP(I3429,Base_Datos!$D$2:$D3876,Base_Datos!$C$2:$C3876),""))</f>
        <v/>
      </c>
      <c r="I3429" s="3"/>
      <c r="J3429" s="3" t="str">
        <f>IF(I3429="","",IFERROR(VLOOKUP(I3429,Base_Datos!$D$2:$E$72,2,0),""))</f>
        <v/>
      </c>
      <c r="K3429" s="3"/>
      <c r="L3429" s="3"/>
      <c r="M3429" s="3"/>
      <c r="N3429" s="3"/>
    </row>
    <row r="3430" spans="1:14" ht="14.25" x14ac:dyDescent="0.2">
      <c r="A3430" s="3"/>
      <c r="B3430" s="3"/>
      <c r="C3430" s="3"/>
      <c r="D3430" s="6"/>
      <c r="E3430" s="10"/>
      <c r="F3430" s="3" t="str">
        <f>IFERROR( VLOOKUP(A3430,#REF!,2,0),"")</f>
        <v/>
      </c>
      <c r="G3430" s="3">
        <f t="array" ref="G3430">_xlfn.XLOOKUP(I3430,Base_Datos!D:D,Base_Datos!B:B,"")</f>
        <v>0</v>
      </c>
      <c r="H3430" s="3" t="str">
        <f t="array" ref="H3430">IF(I3430="","",IFERROR(_xlfn.XLOOKUP(I3430,Base_Datos!$D$2:$D3876,Base_Datos!$C$2:$C3876),""))</f>
        <v/>
      </c>
      <c r="I3430" s="3"/>
      <c r="J3430" s="3" t="str">
        <f>IF(I3430="","",IFERROR(VLOOKUP(I3430,Base_Datos!$D$2:$E$72,2,0),""))</f>
        <v/>
      </c>
      <c r="K3430" s="3"/>
      <c r="L3430" s="3"/>
      <c r="M3430" s="3"/>
      <c r="N3430" s="3"/>
    </row>
    <row r="3431" spans="1:14" ht="14.25" x14ac:dyDescent="0.2">
      <c r="A3431" s="3"/>
      <c r="B3431" s="3"/>
      <c r="C3431" s="3"/>
      <c r="D3431" s="6"/>
      <c r="E3431" s="10"/>
      <c r="F3431" s="3" t="str">
        <f>IFERROR( VLOOKUP(A3431,#REF!,2,0),"")</f>
        <v/>
      </c>
      <c r="G3431" s="3">
        <f t="array" ref="G3431">_xlfn.XLOOKUP(I3431,Base_Datos!D:D,Base_Datos!B:B,"")</f>
        <v>0</v>
      </c>
      <c r="H3431" s="3" t="str">
        <f t="array" ref="H3431">IF(I3431="","",IFERROR(_xlfn.XLOOKUP(I3431,Base_Datos!$D$2:$D3876,Base_Datos!$C$2:$C3876),""))</f>
        <v/>
      </c>
      <c r="I3431" s="3"/>
      <c r="J3431" s="3" t="str">
        <f>IF(I3431="","",IFERROR(VLOOKUP(I3431,Base_Datos!$D$2:$E$72,2,0),""))</f>
        <v/>
      </c>
      <c r="K3431" s="3"/>
      <c r="L3431" s="3"/>
      <c r="M3431" s="3"/>
      <c r="N3431" s="3"/>
    </row>
    <row r="3432" spans="1:14" ht="14.25" x14ac:dyDescent="0.2">
      <c r="A3432" s="3"/>
      <c r="B3432" s="3"/>
      <c r="C3432" s="3"/>
      <c r="D3432" s="6"/>
      <c r="E3432" s="10"/>
      <c r="F3432" s="3" t="str">
        <f>IFERROR( VLOOKUP(A3432,#REF!,2,0),"")</f>
        <v/>
      </c>
      <c r="G3432" s="3">
        <f t="array" ref="G3432">_xlfn.XLOOKUP(I3432,Base_Datos!D:D,Base_Datos!B:B,"")</f>
        <v>0</v>
      </c>
      <c r="H3432" s="3" t="str">
        <f t="array" ref="H3432">IF(I3432="","",IFERROR(_xlfn.XLOOKUP(I3432,Base_Datos!$D$2:$D3876,Base_Datos!$C$2:$C3876),""))</f>
        <v/>
      </c>
      <c r="I3432" s="3"/>
      <c r="J3432" s="3" t="str">
        <f>IF(I3432="","",IFERROR(VLOOKUP(I3432,Base_Datos!$D$2:$E$72,2,0),""))</f>
        <v/>
      </c>
      <c r="K3432" s="3"/>
      <c r="L3432" s="3"/>
      <c r="M3432" s="3"/>
      <c r="N3432" s="3"/>
    </row>
    <row r="3433" spans="1:14" ht="14.25" x14ac:dyDescent="0.2">
      <c r="A3433" s="3"/>
      <c r="B3433" s="3"/>
      <c r="C3433" s="3"/>
      <c r="D3433" s="6"/>
      <c r="E3433" s="10"/>
      <c r="F3433" s="3" t="str">
        <f>IFERROR( VLOOKUP(A3433,#REF!,2,0),"")</f>
        <v/>
      </c>
      <c r="G3433" s="3">
        <f t="array" ref="G3433">_xlfn.XLOOKUP(I3433,Base_Datos!D:D,Base_Datos!B:B,"")</f>
        <v>0</v>
      </c>
      <c r="H3433" s="3" t="str">
        <f t="array" ref="H3433">IF(I3433="","",IFERROR(_xlfn.XLOOKUP(I3433,Base_Datos!$D$2:$D3876,Base_Datos!$C$2:$C3876),""))</f>
        <v/>
      </c>
      <c r="I3433" s="3"/>
      <c r="J3433" s="3" t="str">
        <f>IF(I3433="","",IFERROR(VLOOKUP(I3433,Base_Datos!$D$2:$E$72,2,0),""))</f>
        <v/>
      </c>
      <c r="K3433" s="3"/>
      <c r="L3433" s="3"/>
      <c r="M3433" s="3"/>
      <c r="N3433" s="3"/>
    </row>
    <row r="3434" spans="1:14" ht="14.25" x14ac:dyDescent="0.2">
      <c r="A3434" s="3"/>
      <c r="B3434" s="3"/>
      <c r="C3434" s="3"/>
      <c r="D3434" s="6"/>
      <c r="E3434" s="10"/>
      <c r="F3434" s="3" t="str">
        <f>IFERROR( VLOOKUP(A3434,#REF!,2,0),"")</f>
        <v/>
      </c>
      <c r="G3434" s="3">
        <f t="array" ref="G3434">_xlfn.XLOOKUP(I3434,Base_Datos!D:D,Base_Datos!B:B,"")</f>
        <v>0</v>
      </c>
      <c r="H3434" s="3" t="str">
        <f t="array" ref="H3434">IF(I3434="","",IFERROR(_xlfn.XLOOKUP(I3434,Base_Datos!$D$2:$D3876,Base_Datos!$C$2:$C3876),""))</f>
        <v/>
      </c>
      <c r="I3434" s="3"/>
      <c r="J3434" s="3" t="str">
        <f>IF(I3434="","",IFERROR(VLOOKUP(I3434,Base_Datos!$D$2:$E$72,2,0),""))</f>
        <v/>
      </c>
      <c r="K3434" s="3"/>
      <c r="L3434" s="3"/>
      <c r="M3434" s="3"/>
      <c r="N3434" s="3"/>
    </row>
    <row r="3435" spans="1:14" ht="14.25" x14ac:dyDescent="0.2">
      <c r="A3435" s="3"/>
      <c r="B3435" s="3"/>
      <c r="C3435" s="3"/>
      <c r="D3435" s="6"/>
      <c r="E3435" s="10"/>
      <c r="F3435" s="3" t="str">
        <f>IFERROR( VLOOKUP(A3435,#REF!,2,0),"")</f>
        <v/>
      </c>
      <c r="G3435" s="3">
        <f t="array" ref="G3435">_xlfn.XLOOKUP(I3435,Base_Datos!D:D,Base_Datos!B:B,"")</f>
        <v>0</v>
      </c>
      <c r="H3435" s="3" t="str">
        <f t="array" ref="H3435">IF(I3435="","",IFERROR(_xlfn.XLOOKUP(I3435,Base_Datos!$D$2:$D3876,Base_Datos!$C$2:$C3876),""))</f>
        <v/>
      </c>
      <c r="I3435" s="3"/>
      <c r="J3435" s="3" t="str">
        <f>IF(I3435="","",IFERROR(VLOOKUP(I3435,Base_Datos!$D$2:$E$72,2,0),""))</f>
        <v/>
      </c>
      <c r="K3435" s="3"/>
      <c r="L3435" s="3"/>
      <c r="M3435" s="3"/>
      <c r="N3435" s="3"/>
    </row>
    <row r="3436" spans="1:14" ht="14.25" x14ac:dyDescent="0.2">
      <c r="A3436" s="3"/>
      <c r="B3436" s="3"/>
      <c r="C3436" s="3"/>
      <c r="D3436" s="6"/>
      <c r="E3436" s="10"/>
      <c r="F3436" s="3" t="str">
        <f>IFERROR( VLOOKUP(A3436,#REF!,2,0),"")</f>
        <v/>
      </c>
      <c r="G3436" s="3">
        <f t="array" ref="G3436">_xlfn.XLOOKUP(I3436,Base_Datos!D:D,Base_Datos!B:B,"")</f>
        <v>0</v>
      </c>
      <c r="H3436" s="3" t="str">
        <f t="array" ref="H3436">IF(I3436="","",IFERROR(_xlfn.XLOOKUP(I3436,Base_Datos!$D$2:$D3876,Base_Datos!$C$2:$C3876),""))</f>
        <v/>
      </c>
      <c r="I3436" s="3"/>
      <c r="J3436" s="3" t="str">
        <f>IF(I3436="","",IFERROR(VLOOKUP(I3436,Base_Datos!$D$2:$E$72,2,0),""))</f>
        <v/>
      </c>
      <c r="K3436" s="3"/>
      <c r="L3436" s="3"/>
      <c r="M3436" s="3"/>
      <c r="N3436" s="3"/>
    </row>
    <row r="3437" spans="1:14" ht="14.25" x14ac:dyDescent="0.2">
      <c r="A3437" s="3"/>
      <c r="B3437" s="3"/>
      <c r="C3437" s="3"/>
      <c r="D3437" s="6"/>
      <c r="E3437" s="10"/>
      <c r="F3437" s="3" t="str">
        <f>IFERROR( VLOOKUP(A3437,#REF!,2,0),"")</f>
        <v/>
      </c>
      <c r="G3437" s="3">
        <f t="array" ref="G3437">_xlfn.XLOOKUP(I3437,Base_Datos!D:D,Base_Datos!B:B,"")</f>
        <v>0</v>
      </c>
      <c r="H3437" s="3" t="str">
        <f t="array" ref="H3437">IF(I3437="","",IFERROR(_xlfn.XLOOKUP(I3437,Base_Datos!$D$2:$D3876,Base_Datos!$C$2:$C3876),""))</f>
        <v/>
      </c>
      <c r="I3437" s="3"/>
      <c r="J3437" s="3" t="str">
        <f>IF(I3437="","",IFERROR(VLOOKUP(I3437,Base_Datos!$D$2:$E$72,2,0),""))</f>
        <v/>
      </c>
      <c r="K3437" s="3"/>
      <c r="L3437" s="3"/>
      <c r="M3437" s="3"/>
      <c r="N3437" s="3"/>
    </row>
    <row r="3438" spans="1:14" ht="14.25" x14ac:dyDescent="0.2">
      <c r="A3438" s="3"/>
      <c r="B3438" s="3"/>
      <c r="C3438" s="3"/>
      <c r="D3438" s="6"/>
      <c r="E3438" s="10"/>
      <c r="F3438" s="3" t="str">
        <f>IFERROR( VLOOKUP(A3438,#REF!,2,0),"")</f>
        <v/>
      </c>
      <c r="G3438" s="3">
        <f t="array" ref="G3438">_xlfn.XLOOKUP(I3438,Base_Datos!D:D,Base_Datos!B:B,"")</f>
        <v>0</v>
      </c>
      <c r="H3438" s="3" t="str">
        <f t="array" ref="H3438">IF(I3438="","",IFERROR(_xlfn.XLOOKUP(I3438,Base_Datos!$D$2:$D3876,Base_Datos!$C$2:$C3876),""))</f>
        <v/>
      </c>
      <c r="I3438" s="3"/>
      <c r="J3438" s="3" t="str">
        <f>IF(I3438="","",IFERROR(VLOOKUP(I3438,Base_Datos!$D$2:$E$72,2,0),""))</f>
        <v/>
      </c>
      <c r="K3438" s="3"/>
      <c r="L3438" s="3"/>
      <c r="M3438" s="3"/>
      <c r="N3438" s="3"/>
    </row>
    <row r="3439" spans="1:14" ht="14.25" x14ac:dyDescent="0.2">
      <c r="A3439" s="3"/>
      <c r="B3439" s="3"/>
      <c r="C3439" s="3"/>
      <c r="D3439" s="6"/>
      <c r="E3439" s="10"/>
      <c r="F3439" s="3" t="str">
        <f>IFERROR( VLOOKUP(A3439,#REF!,2,0),"")</f>
        <v/>
      </c>
      <c r="G3439" s="3">
        <f t="array" ref="G3439">_xlfn.XLOOKUP(I3439,Base_Datos!D:D,Base_Datos!B:B,"")</f>
        <v>0</v>
      </c>
      <c r="H3439" s="3" t="str">
        <f t="array" ref="H3439">IF(I3439="","",IFERROR(_xlfn.XLOOKUP(I3439,Base_Datos!$D$2:$D3876,Base_Datos!$C$2:$C3876),""))</f>
        <v/>
      </c>
      <c r="I3439" s="3"/>
      <c r="J3439" s="3" t="str">
        <f>IF(I3439="","",IFERROR(VLOOKUP(I3439,Base_Datos!$D$2:$E$72,2,0),""))</f>
        <v/>
      </c>
      <c r="K3439" s="3"/>
      <c r="L3439" s="3"/>
      <c r="M3439" s="3"/>
      <c r="N3439" s="3"/>
    </row>
    <row r="3440" spans="1:14" ht="14.25" x14ac:dyDescent="0.2">
      <c r="A3440" s="3"/>
      <c r="B3440" s="3"/>
      <c r="C3440" s="3"/>
      <c r="D3440" s="6"/>
      <c r="E3440" s="10"/>
      <c r="F3440" s="3" t="str">
        <f>IFERROR( VLOOKUP(A3440,#REF!,2,0),"")</f>
        <v/>
      </c>
      <c r="G3440" s="3">
        <f t="array" ref="G3440">_xlfn.XLOOKUP(I3440,Base_Datos!D:D,Base_Datos!B:B,"")</f>
        <v>0</v>
      </c>
      <c r="H3440" s="3" t="str">
        <f t="array" ref="H3440">IF(I3440="","",IFERROR(_xlfn.XLOOKUP(I3440,Base_Datos!$D$2:$D3876,Base_Datos!$C$2:$C3876),""))</f>
        <v/>
      </c>
      <c r="I3440" s="3"/>
      <c r="J3440" s="3" t="str">
        <f>IF(I3440="","",IFERROR(VLOOKUP(I3440,Base_Datos!$D$2:$E$72,2,0),""))</f>
        <v/>
      </c>
      <c r="K3440" s="3"/>
      <c r="L3440" s="3"/>
      <c r="M3440" s="3"/>
      <c r="N3440" s="3"/>
    </row>
    <row r="3441" spans="1:14" ht="14.25" x14ac:dyDescent="0.2">
      <c r="A3441" s="3"/>
      <c r="B3441" s="3"/>
      <c r="C3441" s="3"/>
      <c r="D3441" s="6"/>
      <c r="E3441" s="10"/>
      <c r="F3441" s="3" t="str">
        <f>IFERROR( VLOOKUP(A3441,#REF!,2,0),"")</f>
        <v/>
      </c>
      <c r="G3441" s="3">
        <f t="array" ref="G3441">_xlfn.XLOOKUP(I3441,Base_Datos!D:D,Base_Datos!B:B,"")</f>
        <v>0</v>
      </c>
      <c r="H3441" s="3" t="str">
        <f t="array" ref="H3441">IF(I3441="","",IFERROR(_xlfn.XLOOKUP(I3441,Base_Datos!$D$2:$D3876,Base_Datos!$C$2:$C3876),""))</f>
        <v/>
      </c>
      <c r="I3441" s="3"/>
      <c r="J3441" s="3" t="str">
        <f>IF(I3441="","",IFERROR(VLOOKUP(I3441,Base_Datos!$D$2:$E$72,2,0),""))</f>
        <v/>
      </c>
      <c r="K3441" s="3"/>
      <c r="L3441" s="3"/>
      <c r="M3441" s="3"/>
      <c r="N3441" s="3"/>
    </row>
    <row r="3442" spans="1:14" ht="14.25" x14ac:dyDescent="0.2">
      <c r="A3442" s="3"/>
      <c r="B3442" s="3"/>
      <c r="C3442" s="3"/>
      <c r="D3442" s="6"/>
      <c r="E3442" s="10"/>
      <c r="F3442" s="3" t="str">
        <f>IFERROR( VLOOKUP(A3442,#REF!,2,0),"")</f>
        <v/>
      </c>
      <c r="G3442" s="3">
        <f t="array" ref="G3442">_xlfn.XLOOKUP(I3442,Base_Datos!D:D,Base_Datos!B:B,"")</f>
        <v>0</v>
      </c>
      <c r="H3442" s="3" t="str">
        <f t="array" ref="H3442">IF(I3442="","",IFERROR(_xlfn.XLOOKUP(I3442,Base_Datos!$D$2:$D3876,Base_Datos!$C$2:$C3876),""))</f>
        <v/>
      </c>
      <c r="I3442" s="3"/>
      <c r="J3442" s="3" t="str">
        <f>IF(I3442="","",IFERROR(VLOOKUP(I3442,Base_Datos!$D$2:$E$72,2,0),""))</f>
        <v/>
      </c>
      <c r="K3442" s="3"/>
      <c r="L3442" s="3"/>
      <c r="M3442" s="3"/>
      <c r="N3442" s="3"/>
    </row>
    <row r="3443" spans="1:14" ht="14.25" x14ac:dyDescent="0.2">
      <c r="A3443" s="3"/>
      <c r="B3443" s="3"/>
      <c r="C3443" s="3"/>
      <c r="D3443" s="6"/>
      <c r="E3443" s="10"/>
      <c r="F3443" s="3" t="str">
        <f>IFERROR( VLOOKUP(A3443,#REF!,2,0),"")</f>
        <v/>
      </c>
      <c r="G3443" s="3">
        <f t="array" ref="G3443">_xlfn.XLOOKUP(I3443,Base_Datos!D:D,Base_Datos!B:B,"")</f>
        <v>0</v>
      </c>
      <c r="H3443" s="3" t="str">
        <f t="array" ref="H3443">IF(I3443="","",IFERROR(_xlfn.XLOOKUP(I3443,Base_Datos!$D$2:$D3876,Base_Datos!$C$2:$C3876),""))</f>
        <v/>
      </c>
      <c r="I3443" s="3"/>
      <c r="J3443" s="3" t="str">
        <f>IF(I3443="","",IFERROR(VLOOKUP(I3443,Base_Datos!$D$2:$E$72,2,0),""))</f>
        <v/>
      </c>
      <c r="K3443" s="3"/>
      <c r="L3443" s="3"/>
      <c r="M3443" s="3"/>
      <c r="N3443" s="3"/>
    </row>
    <row r="3444" spans="1:14" ht="14.25" x14ac:dyDescent="0.2">
      <c r="A3444" s="3"/>
      <c r="B3444" s="3"/>
      <c r="C3444" s="3"/>
      <c r="D3444" s="6"/>
      <c r="E3444" s="10"/>
      <c r="F3444" s="3" t="str">
        <f>IFERROR( VLOOKUP(A3444,#REF!,2,0),"")</f>
        <v/>
      </c>
      <c r="G3444" s="3">
        <f t="array" ref="G3444">_xlfn.XLOOKUP(I3444,Base_Datos!D:D,Base_Datos!B:B,"")</f>
        <v>0</v>
      </c>
      <c r="H3444" s="3" t="str">
        <f t="array" ref="H3444">IF(I3444="","",IFERROR(_xlfn.XLOOKUP(I3444,Base_Datos!$D$2:$D3876,Base_Datos!$C$2:$C3876),""))</f>
        <v/>
      </c>
      <c r="I3444" s="3"/>
      <c r="J3444" s="3" t="str">
        <f>IF(I3444="","",IFERROR(VLOOKUP(I3444,Base_Datos!$D$2:$E$72,2,0),""))</f>
        <v/>
      </c>
      <c r="K3444" s="3"/>
      <c r="L3444" s="3"/>
      <c r="M3444" s="3"/>
      <c r="N3444" s="3"/>
    </row>
    <row r="3445" spans="1:14" ht="14.25" x14ac:dyDescent="0.2">
      <c r="A3445" s="3"/>
      <c r="B3445" s="3"/>
      <c r="C3445" s="3"/>
      <c r="D3445" s="6"/>
      <c r="E3445" s="10"/>
      <c r="F3445" s="3" t="str">
        <f>IFERROR( VLOOKUP(A3445,#REF!,2,0),"")</f>
        <v/>
      </c>
      <c r="G3445" s="3">
        <f t="array" ref="G3445">_xlfn.XLOOKUP(I3445,Base_Datos!D:D,Base_Datos!B:B,"")</f>
        <v>0</v>
      </c>
      <c r="H3445" s="3" t="str">
        <f t="array" ref="H3445">IF(I3445="","",IFERROR(_xlfn.XLOOKUP(I3445,Base_Datos!$D$2:$D3876,Base_Datos!$C$2:$C3876),""))</f>
        <v/>
      </c>
      <c r="I3445" s="3"/>
      <c r="J3445" s="3" t="str">
        <f>IF(I3445="","",IFERROR(VLOOKUP(I3445,Base_Datos!$D$2:$E$72,2,0),""))</f>
        <v/>
      </c>
      <c r="K3445" s="3"/>
      <c r="L3445" s="3"/>
      <c r="M3445" s="3"/>
      <c r="N3445" s="3"/>
    </row>
    <row r="3446" spans="1:14" ht="14.25" x14ac:dyDescent="0.2">
      <c r="A3446" s="3"/>
      <c r="B3446" s="3"/>
      <c r="C3446" s="3"/>
      <c r="D3446" s="6"/>
      <c r="E3446" s="10"/>
      <c r="F3446" s="3" t="str">
        <f>IFERROR( VLOOKUP(A3446,#REF!,2,0),"")</f>
        <v/>
      </c>
      <c r="G3446" s="3">
        <f t="array" ref="G3446">_xlfn.XLOOKUP(I3446,Base_Datos!D:D,Base_Datos!B:B,"")</f>
        <v>0</v>
      </c>
      <c r="H3446" s="3" t="str">
        <f t="array" ref="H3446">IF(I3446="","",IFERROR(_xlfn.XLOOKUP(I3446,Base_Datos!$D$2:$D3876,Base_Datos!$C$2:$C3876),""))</f>
        <v/>
      </c>
      <c r="I3446" s="3"/>
      <c r="J3446" s="3" t="str">
        <f>IF(I3446="","",IFERROR(VLOOKUP(I3446,Base_Datos!$D$2:$E$72,2,0),""))</f>
        <v/>
      </c>
      <c r="K3446" s="3"/>
      <c r="L3446" s="3"/>
      <c r="M3446" s="3"/>
      <c r="N3446" s="3"/>
    </row>
    <row r="3447" spans="1:14" ht="14.25" x14ac:dyDescent="0.2">
      <c r="A3447" s="3"/>
      <c r="B3447" s="3"/>
      <c r="C3447" s="3"/>
      <c r="D3447" s="6"/>
      <c r="E3447" s="10"/>
      <c r="F3447" s="3" t="str">
        <f>IFERROR( VLOOKUP(A3447,#REF!,2,0),"")</f>
        <v/>
      </c>
      <c r="G3447" s="3">
        <f t="array" ref="G3447">_xlfn.XLOOKUP(I3447,Base_Datos!D:D,Base_Datos!B:B,"")</f>
        <v>0</v>
      </c>
      <c r="H3447" s="3" t="str">
        <f t="array" ref="H3447">IF(I3447="","",IFERROR(_xlfn.XLOOKUP(I3447,Base_Datos!$D$2:$D3876,Base_Datos!$C$2:$C3876),""))</f>
        <v/>
      </c>
      <c r="I3447" s="3"/>
      <c r="J3447" s="3" t="str">
        <f>IF(I3447="","",IFERROR(VLOOKUP(I3447,Base_Datos!$D$2:$E$72,2,0),""))</f>
        <v/>
      </c>
      <c r="K3447" s="3"/>
      <c r="L3447" s="3"/>
      <c r="M3447" s="3"/>
      <c r="N3447" s="3"/>
    </row>
    <row r="3448" spans="1:14" ht="14.25" x14ac:dyDescent="0.2">
      <c r="A3448" s="3"/>
      <c r="B3448" s="3"/>
      <c r="C3448" s="3"/>
      <c r="D3448" s="6"/>
      <c r="E3448" s="10"/>
      <c r="F3448" s="3" t="str">
        <f>IFERROR( VLOOKUP(A3448,#REF!,2,0),"")</f>
        <v/>
      </c>
      <c r="G3448" s="3">
        <f t="array" ref="G3448">_xlfn.XLOOKUP(I3448,Base_Datos!D:D,Base_Datos!B:B,"")</f>
        <v>0</v>
      </c>
      <c r="H3448" s="3" t="str">
        <f t="array" ref="H3448">IF(I3448="","",IFERROR(_xlfn.XLOOKUP(I3448,Base_Datos!$D$2:$D3876,Base_Datos!$C$2:$C3876),""))</f>
        <v/>
      </c>
      <c r="I3448" s="3"/>
      <c r="J3448" s="3" t="str">
        <f>IF(I3448="","",IFERROR(VLOOKUP(I3448,Base_Datos!$D$2:$E$72,2,0),""))</f>
        <v/>
      </c>
      <c r="K3448" s="3"/>
      <c r="L3448" s="3"/>
      <c r="M3448" s="3"/>
      <c r="N3448" s="3"/>
    </row>
    <row r="3449" spans="1:14" ht="14.25" x14ac:dyDescent="0.2">
      <c r="A3449" s="3"/>
      <c r="B3449" s="3"/>
      <c r="C3449" s="3"/>
      <c r="D3449" s="6"/>
      <c r="E3449" s="10"/>
      <c r="F3449" s="3" t="str">
        <f>IFERROR( VLOOKUP(A3449,#REF!,2,0),"")</f>
        <v/>
      </c>
      <c r="G3449" s="3">
        <f t="array" ref="G3449">_xlfn.XLOOKUP(I3449,Base_Datos!D:D,Base_Datos!B:B,"")</f>
        <v>0</v>
      </c>
      <c r="H3449" s="3" t="str">
        <f t="array" ref="H3449">IF(I3449="","",IFERROR(_xlfn.XLOOKUP(I3449,Base_Datos!$D$2:$D3876,Base_Datos!$C$2:$C3876),""))</f>
        <v/>
      </c>
      <c r="I3449" s="3"/>
      <c r="J3449" s="3" t="str">
        <f>IF(I3449="","",IFERROR(VLOOKUP(I3449,Base_Datos!$D$2:$E$72,2,0),""))</f>
        <v/>
      </c>
      <c r="K3449" s="3"/>
      <c r="L3449" s="3"/>
      <c r="M3449" s="3"/>
      <c r="N3449" s="3"/>
    </row>
    <row r="3450" spans="1:14" ht="14.25" x14ac:dyDescent="0.2">
      <c r="A3450" s="3"/>
      <c r="B3450" s="3"/>
      <c r="C3450" s="3"/>
      <c r="D3450" s="6"/>
      <c r="E3450" s="10"/>
      <c r="F3450" s="3" t="str">
        <f>IFERROR( VLOOKUP(A3450,#REF!,2,0),"")</f>
        <v/>
      </c>
      <c r="G3450" s="3">
        <f t="array" ref="G3450">_xlfn.XLOOKUP(I3450,Base_Datos!D:D,Base_Datos!B:B,"")</f>
        <v>0</v>
      </c>
      <c r="H3450" s="3" t="str">
        <f t="array" ref="H3450">IF(I3450="","",IFERROR(_xlfn.XLOOKUP(I3450,Base_Datos!$D$2:$D3876,Base_Datos!$C$2:$C3876),""))</f>
        <v/>
      </c>
      <c r="I3450" s="3"/>
      <c r="J3450" s="3" t="str">
        <f>IF(I3450="","",IFERROR(VLOOKUP(I3450,Base_Datos!$D$2:$E$72,2,0),""))</f>
        <v/>
      </c>
      <c r="K3450" s="3"/>
      <c r="L3450" s="3"/>
      <c r="M3450" s="3"/>
      <c r="N3450" s="3"/>
    </row>
    <row r="3451" spans="1:14" ht="14.25" x14ac:dyDescent="0.2">
      <c r="A3451" s="3"/>
      <c r="B3451" s="3"/>
      <c r="C3451" s="3"/>
      <c r="D3451" s="6"/>
      <c r="E3451" s="10"/>
      <c r="F3451" s="3" t="str">
        <f>IFERROR( VLOOKUP(A3451,#REF!,2,0),"")</f>
        <v/>
      </c>
      <c r="G3451" s="3">
        <f t="array" ref="G3451">_xlfn.XLOOKUP(I3451,Base_Datos!D:D,Base_Datos!B:B,"")</f>
        <v>0</v>
      </c>
      <c r="H3451" s="3" t="str">
        <f t="array" ref="H3451">IF(I3451="","",IFERROR(_xlfn.XLOOKUP(I3451,Base_Datos!$D$2:$D3876,Base_Datos!$C$2:$C3876),""))</f>
        <v/>
      </c>
      <c r="I3451" s="3"/>
      <c r="J3451" s="3" t="str">
        <f>IF(I3451="","",IFERROR(VLOOKUP(I3451,Base_Datos!$D$2:$E$72,2,0),""))</f>
        <v/>
      </c>
      <c r="K3451" s="3"/>
      <c r="L3451" s="3"/>
      <c r="M3451" s="3"/>
      <c r="N3451" s="3"/>
    </row>
    <row r="3452" spans="1:14" ht="14.25" x14ac:dyDescent="0.2">
      <c r="A3452" s="3"/>
      <c r="B3452" s="3"/>
      <c r="C3452" s="3"/>
      <c r="D3452" s="6"/>
      <c r="E3452" s="10"/>
      <c r="F3452" s="3" t="str">
        <f>IFERROR( VLOOKUP(A3452,#REF!,2,0),"")</f>
        <v/>
      </c>
      <c r="G3452" s="3">
        <f t="array" ref="G3452">_xlfn.XLOOKUP(I3452,Base_Datos!D:D,Base_Datos!B:B,"")</f>
        <v>0</v>
      </c>
      <c r="H3452" s="3" t="str">
        <f t="array" ref="H3452">IF(I3452="","",IFERROR(_xlfn.XLOOKUP(I3452,Base_Datos!$D$2:$D3876,Base_Datos!$C$2:$C3876),""))</f>
        <v/>
      </c>
      <c r="I3452" s="3"/>
      <c r="J3452" s="3" t="str">
        <f>IF(I3452="","",IFERROR(VLOOKUP(I3452,Base_Datos!$D$2:$E$72,2,0),""))</f>
        <v/>
      </c>
      <c r="K3452" s="3"/>
      <c r="L3452" s="3"/>
      <c r="M3452" s="3"/>
      <c r="N3452" s="3"/>
    </row>
    <row r="3453" spans="1:14" ht="14.25" x14ac:dyDescent="0.2">
      <c r="A3453" s="3"/>
      <c r="B3453" s="3"/>
      <c r="C3453" s="3"/>
      <c r="D3453" s="6"/>
      <c r="E3453" s="10"/>
      <c r="F3453" s="3" t="str">
        <f>IFERROR( VLOOKUP(A3453,#REF!,2,0),"")</f>
        <v/>
      </c>
      <c r="G3453" s="3">
        <f t="array" ref="G3453">_xlfn.XLOOKUP(I3453,Base_Datos!D:D,Base_Datos!B:B,"")</f>
        <v>0</v>
      </c>
      <c r="H3453" s="3" t="str">
        <f t="array" ref="H3453">IF(I3453="","",IFERROR(_xlfn.XLOOKUP(I3453,Base_Datos!$D$2:$D3876,Base_Datos!$C$2:$C3876),""))</f>
        <v/>
      </c>
      <c r="I3453" s="3"/>
      <c r="J3453" s="3" t="str">
        <f>IF(I3453="","",IFERROR(VLOOKUP(I3453,Base_Datos!$D$2:$E$72,2,0),""))</f>
        <v/>
      </c>
      <c r="K3453" s="3"/>
      <c r="L3453" s="3"/>
      <c r="M3453" s="3"/>
      <c r="N3453" s="3"/>
    </row>
    <row r="3454" spans="1:14" ht="14.25" x14ac:dyDescent="0.2">
      <c r="A3454" s="3"/>
      <c r="B3454" s="3"/>
      <c r="C3454" s="3"/>
      <c r="D3454" s="6"/>
      <c r="E3454" s="10"/>
      <c r="F3454" s="3" t="str">
        <f>IFERROR( VLOOKUP(A3454,#REF!,2,0),"")</f>
        <v/>
      </c>
      <c r="G3454" s="3">
        <f t="array" ref="G3454">_xlfn.XLOOKUP(I3454,Base_Datos!D:D,Base_Datos!B:B,"")</f>
        <v>0</v>
      </c>
      <c r="H3454" s="3" t="str">
        <f t="array" ref="H3454">IF(I3454="","",IFERROR(_xlfn.XLOOKUP(I3454,Base_Datos!$D$2:$D3876,Base_Datos!$C$2:$C3876),""))</f>
        <v/>
      </c>
      <c r="I3454" s="3"/>
      <c r="J3454" s="3" t="str">
        <f>IF(I3454="","",IFERROR(VLOOKUP(I3454,Base_Datos!$D$2:$E$72,2,0),""))</f>
        <v/>
      </c>
      <c r="K3454" s="3"/>
      <c r="L3454" s="3"/>
      <c r="M3454" s="3"/>
      <c r="N3454" s="3"/>
    </row>
    <row r="3455" spans="1:14" ht="14.25" x14ac:dyDescent="0.2">
      <c r="A3455" s="3"/>
      <c r="B3455" s="3"/>
      <c r="C3455" s="3"/>
      <c r="D3455" s="6"/>
      <c r="E3455" s="10"/>
      <c r="F3455" s="3" t="str">
        <f>IFERROR( VLOOKUP(A3455,#REF!,2,0),"")</f>
        <v/>
      </c>
      <c r="G3455" s="3">
        <f t="array" ref="G3455">_xlfn.XLOOKUP(I3455,Base_Datos!D:D,Base_Datos!B:B,"")</f>
        <v>0</v>
      </c>
      <c r="H3455" s="3" t="str">
        <f t="array" ref="H3455">IF(I3455="","",IFERROR(_xlfn.XLOOKUP(I3455,Base_Datos!$D$2:$D3876,Base_Datos!$C$2:$C3876),""))</f>
        <v/>
      </c>
      <c r="I3455" s="3"/>
      <c r="J3455" s="3" t="str">
        <f>IF(I3455="","",IFERROR(VLOOKUP(I3455,Base_Datos!$D$2:$E$72,2,0),""))</f>
        <v/>
      </c>
      <c r="K3455" s="3"/>
      <c r="L3455" s="3"/>
      <c r="M3455" s="3"/>
      <c r="N3455" s="3"/>
    </row>
    <row r="3456" spans="1:14" ht="14.25" x14ac:dyDescent="0.2">
      <c r="A3456" s="3"/>
      <c r="B3456" s="3"/>
      <c r="C3456" s="3"/>
      <c r="D3456" s="6"/>
      <c r="E3456" s="10"/>
      <c r="F3456" s="3" t="str">
        <f>IFERROR( VLOOKUP(A3456,#REF!,2,0),"")</f>
        <v/>
      </c>
      <c r="G3456" s="3">
        <f t="array" ref="G3456">_xlfn.XLOOKUP(I3456,Base_Datos!D:D,Base_Datos!B:B,"")</f>
        <v>0</v>
      </c>
      <c r="H3456" s="3" t="str">
        <f t="array" ref="H3456">IF(I3456="","",IFERROR(_xlfn.XLOOKUP(I3456,Base_Datos!$D$2:$D3876,Base_Datos!$C$2:$C3876),""))</f>
        <v/>
      </c>
      <c r="I3456" s="3"/>
      <c r="J3456" s="3" t="str">
        <f>IF(I3456="","",IFERROR(VLOOKUP(I3456,Base_Datos!$D$2:$E$72,2,0),""))</f>
        <v/>
      </c>
      <c r="K3456" s="3"/>
      <c r="L3456" s="3"/>
      <c r="M3456" s="3"/>
      <c r="N3456" s="3"/>
    </row>
    <row r="3457" spans="1:14" ht="14.25" x14ac:dyDescent="0.2">
      <c r="A3457" s="3"/>
      <c r="B3457" s="3"/>
      <c r="C3457" s="3"/>
      <c r="D3457" s="6"/>
      <c r="E3457" s="10"/>
      <c r="F3457" s="3" t="str">
        <f>IFERROR( VLOOKUP(A3457,#REF!,2,0),"")</f>
        <v/>
      </c>
      <c r="G3457" s="3">
        <f t="array" ref="G3457">_xlfn.XLOOKUP(I3457,Base_Datos!D:D,Base_Datos!B:B,"")</f>
        <v>0</v>
      </c>
      <c r="H3457" s="3" t="str">
        <f t="array" ref="H3457">IF(I3457="","",IFERROR(_xlfn.XLOOKUP(I3457,Base_Datos!$D$2:$D3876,Base_Datos!$C$2:$C3876),""))</f>
        <v/>
      </c>
      <c r="I3457" s="3"/>
      <c r="J3457" s="3" t="str">
        <f>IF(I3457="","",IFERROR(VLOOKUP(I3457,Base_Datos!$D$2:$E$72,2,0),""))</f>
        <v/>
      </c>
      <c r="K3457" s="3"/>
      <c r="L3457" s="3"/>
      <c r="M3457" s="3"/>
      <c r="N3457" s="3"/>
    </row>
    <row r="3458" spans="1:14" ht="14.25" x14ac:dyDescent="0.2">
      <c r="A3458" s="3"/>
      <c r="B3458" s="3"/>
      <c r="C3458" s="3"/>
      <c r="D3458" s="6"/>
      <c r="E3458" s="10"/>
      <c r="F3458" s="3" t="str">
        <f>IFERROR( VLOOKUP(A3458,#REF!,2,0),"")</f>
        <v/>
      </c>
      <c r="G3458" s="3">
        <f t="array" ref="G3458">_xlfn.XLOOKUP(I3458,Base_Datos!D:D,Base_Datos!B:B,"")</f>
        <v>0</v>
      </c>
      <c r="H3458" s="3" t="str">
        <f t="array" ref="H3458">IF(I3458="","",IFERROR(_xlfn.XLOOKUP(I3458,Base_Datos!$D$2:$D3876,Base_Datos!$C$2:$C3876),""))</f>
        <v/>
      </c>
      <c r="I3458" s="3"/>
      <c r="J3458" s="3" t="str">
        <f>IF(I3458="","",IFERROR(VLOOKUP(I3458,Base_Datos!$D$2:$E$72,2,0),""))</f>
        <v/>
      </c>
      <c r="K3458" s="3"/>
      <c r="L3458" s="3"/>
      <c r="M3458" s="3"/>
      <c r="N3458" s="3"/>
    </row>
    <row r="3459" spans="1:14" ht="14.25" x14ac:dyDescent="0.2">
      <c r="A3459" s="3"/>
      <c r="B3459" s="3"/>
      <c r="C3459" s="3"/>
      <c r="D3459" s="6"/>
      <c r="E3459" s="10"/>
      <c r="F3459" s="3" t="str">
        <f>IFERROR( VLOOKUP(A3459,#REF!,2,0),"")</f>
        <v/>
      </c>
      <c r="G3459" s="3">
        <f t="array" ref="G3459">_xlfn.XLOOKUP(I3459,Base_Datos!D:D,Base_Datos!B:B,"")</f>
        <v>0</v>
      </c>
      <c r="H3459" s="3" t="str">
        <f t="array" ref="H3459">IF(I3459="","",IFERROR(_xlfn.XLOOKUP(I3459,Base_Datos!$D$2:$D3876,Base_Datos!$C$2:$C3876),""))</f>
        <v/>
      </c>
      <c r="I3459" s="3"/>
      <c r="J3459" s="3" t="str">
        <f>IF(I3459="","",IFERROR(VLOOKUP(I3459,Base_Datos!$D$2:$E$72,2,0),""))</f>
        <v/>
      </c>
      <c r="K3459" s="3"/>
      <c r="L3459" s="3"/>
      <c r="M3459" s="3"/>
      <c r="N3459" s="3"/>
    </row>
    <row r="3460" spans="1:14" ht="14.25" x14ac:dyDescent="0.2">
      <c r="A3460" s="3"/>
      <c r="B3460" s="3"/>
      <c r="C3460" s="3"/>
      <c r="D3460" s="6"/>
      <c r="E3460" s="10"/>
      <c r="F3460" s="3" t="str">
        <f>IFERROR( VLOOKUP(A3460,#REF!,2,0),"")</f>
        <v/>
      </c>
      <c r="G3460" s="3">
        <f t="array" ref="G3460">_xlfn.XLOOKUP(I3460,Base_Datos!D:D,Base_Datos!B:B,"")</f>
        <v>0</v>
      </c>
      <c r="H3460" s="3" t="str">
        <f t="array" ref="H3460">IF(I3460="","",IFERROR(_xlfn.XLOOKUP(I3460,Base_Datos!$D$2:$D3876,Base_Datos!$C$2:$C3876),""))</f>
        <v/>
      </c>
      <c r="I3460" s="3"/>
      <c r="J3460" s="3" t="str">
        <f>IF(I3460="","",IFERROR(VLOOKUP(I3460,Base_Datos!$D$2:$E$72,2,0),""))</f>
        <v/>
      </c>
      <c r="K3460" s="3"/>
      <c r="L3460" s="3"/>
      <c r="M3460" s="3"/>
      <c r="N3460" s="3"/>
    </row>
    <row r="3461" spans="1:14" ht="14.25" x14ac:dyDescent="0.2">
      <c r="A3461" s="3"/>
      <c r="B3461" s="3"/>
      <c r="C3461" s="3"/>
      <c r="D3461" s="6"/>
      <c r="E3461" s="10"/>
      <c r="F3461" s="3" t="str">
        <f>IFERROR( VLOOKUP(A3461,#REF!,2,0),"")</f>
        <v/>
      </c>
      <c r="G3461" s="3">
        <f t="array" ref="G3461">_xlfn.XLOOKUP(I3461,Base_Datos!D:D,Base_Datos!B:B,"")</f>
        <v>0</v>
      </c>
      <c r="H3461" s="3" t="str">
        <f t="array" ref="H3461">IF(I3461="","",IFERROR(_xlfn.XLOOKUP(I3461,Base_Datos!$D$2:$D3876,Base_Datos!$C$2:$C3876),""))</f>
        <v/>
      </c>
      <c r="I3461" s="3"/>
      <c r="J3461" s="3" t="str">
        <f>IF(I3461="","",IFERROR(VLOOKUP(I3461,Base_Datos!$D$2:$E$72,2,0),""))</f>
        <v/>
      </c>
      <c r="K3461" s="3"/>
      <c r="L3461" s="3"/>
      <c r="M3461" s="3"/>
      <c r="N3461" s="3"/>
    </row>
    <row r="3462" spans="1:14" ht="14.25" x14ac:dyDescent="0.2">
      <c r="A3462" s="3"/>
      <c r="B3462" s="3"/>
      <c r="C3462" s="3"/>
      <c r="D3462" s="6"/>
      <c r="E3462" s="10"/>
      <c r="F3462" s="3" t="str">
        <f>IFERROR( VLOOKUP(A3462,#REF!,2,0),"")</f>
        <v/>
      </c>
      <c r="G3462" s="3">
        <f t="array" ref="G3462">_xlfn.XLOOKUP(I3462,Base_Datos!D:D,Base_Datos!B:B,"")</f>
        <v>0</v>
      </c>
      <c r="H3462" s="3" t="str">
        <f t="array" ref="H3462">IF(I3462="","",IFERROR(_xlfn.XLOOKUP(I3462,Base_Datos!$D$2:$D3876,Base_Datos!$C$2:$C3876),""))</f>
        <v/>
      </c>
      <c r="I3462" s="3"/>
      <c r="J3462" s="3" t="str">
        <f>IF(I3462="","",IFERROR(VLOOKUP(I3462,Base_Datos!$D$2:$E$72,2,0),""))</f>
        <v/>
      </c>
      <c r="K3462" s="3"/>
      <c r="L3462" s="3"/>
      <c r="M3462" s="3"/>
      <c r="N3462" s="3"/>
    </row>
    <row r="3463" spans="1:14" ht="14.25" x14ac:dyDescent="0.2">
      <c r="A3463" s="3"/>
      <c r="B3463" s="3"/>
      <c r="C3463" s="3"/>
      <c r="D3463" s="6"/>
      <c r="E3463" s="10"/>
      <c r="F3463" s="3" t="str">
        <f>IFERROR( VLOOKUP(A3463,#REF!,2,0),"")</f>
        <v/>
      </c>
      <c r="G3463" s="3">
        <f t="array" ref="G3463">_xlfn.XLOOKUP(I3463,Base_Datos!D:D,Base_Datos!B:B,"")</f>
        <v>0</v>
      </c>
      <c r="H3463" s="3" t="str">
        <f t="array" ref="H3463">IF(I3463="","",IFERROR(_xlfn.XLOOKUP(I3463,Base_Datos!$D$2:$D3876,Base_Datos!$C$2:$C3876),""))</f>
        <v/>
      </c>
      <c r="I3463" s="3"/>
      <c r="J3463" s="3" t="str">
        <f>IF(I3463="","",IFERROR(VLOOKUP(I3463,Base_Datos!$D$2:$E$72,2,0),""))</f>
        <v/>
      </c>
      <c r="K3463" s="3"/>
      <c r="L3463" s="3"/>
      <c r="M3463" s="3"/>
      <c r="N3463" s="3"/>
    </row>
    <row r="3464" spans="1:14" ht="14.25" x14ac:dyDescent="0.2">
      <c r="A3464" s="3"/>
      <c r="B3464" s="3"/>
      <c r="C3464" s="3"/>
      <c r="D3464" s="6"/>
      <c r="E3464" s="10"/>
      <c r="F3464" s="3" t="str">
        <f>IFERROR( VLOOKUP(A3464,#REF!,2,0),"")</f>
        <v/>
      </c>
      <c r="G3464" s="3">
        <f t="array" ref="G3464">_xlfn.XLOOKUP(I3464,Base_Datos!D:D,Base_Datos!B:B,"")</f>
        <v>0</v>
      </c>
      <c r="H3464" s="3" t="str">
        <f t="array" ref="H3464">IF(I3464="","",IFERROR(_xlfn.XLOOKUP(I3464,Base_Datos!$D$2:$D3876,Base_Datos!$C$2:$C3876),""))</f>
        <v/>
      </c>
      <c r="I3464" s="3"/>
      <c r="J3464" s="3" t="str">
        <f>IF(I3464="","",IFERROR(VLOOKUP(I3464,Base_Datos!$D$2:$E$72,2,0),""))</f>
        <v/>
      </c>
      <c r="K3464" s="3"/>
      <c r="L3464" s="3"/>
      <c r="M3464" s="3"/>
      <c r="N3464" s="3"/>
    </row>
    <row r="3465" spans="1:14" ht="14.25" x14ac:dyDescent="0.2">
      <c r="A3465" s="3"/>
      <c r="B3465" s="3"/>
      <c r="C3465" s="3"/>
      <c r="D3465" s="6"/>
      <c r="E3465" s="10"/>
      <c r="F3465" s="3" t="str">
        <f>IFERROR( VLOOKUP(A3465,#REF!,2,0),"")</f>
        <v/>
      </c>
      <c r="G3465" s="3">
        <f t="array" ref="G3465">_xlfn.XLOOKUP(I3465,Base_Datos!D:D,Base_Datos!B:B,"")</f>
        <v>0</v>
      </c>
      <c r="H3465" s="3" t="str">
        <f t="array" ref="H3465">IF(I3465="","",IFERROR(_xlfn.XLOOKUP(I3465,Base_Datos!$D$2:$D3876,Base_Datos!$C$2:$C3876),""))</f>
        <v/>
      </c>
      <c r="I3465" s="3"/>
      <c r="J3465" s="3" t="str">
        <f>IF(I3465="","",IFERROR(VLOOKUP(I3465,Base_Datos!$D$2:$E$72,2,0),""))</f>
        <v/>
      </c>
      <c r="K3465" s="3"/>
      <c r="L3465" s="3"/>
      <c r="M3465" s="3"/>
      <c r="N3465" s="3"/>
    </row>
    <row r="3466" spans="1:14" ht="14.25" x14ac:dyDescent="0.2">
      <c r="A3466" s="3"/>
      <c r="B3466" s="3"/>
      <c r="C3466" s="3"/>
      <c r="D3466" s="6"/>
      <c r="E3466" s="10"/>
      <c r="F3466" s="3" t="str">
        <f>IFERROR( VLOOKUP(A3466,#REF!,2,0),"")</f>
        <v/>
      </c>
      <c r="G3466" s="3">
        <f t="array" ref="G3466">_xlfn.XLOOKUP(I3466,Base_Datos!D:D,Base_Datos!B:B,"")</f>
        <v>0</v>
      </c>
      <c r="H3466" s="3" t="str">
        <f t="array" ref="H3466">IF(I3466="","",IFERROR(_xlfn.XLOOKUP(I3466,Base_Datos!$D$2:$D3876,Base_Datos!$C$2:$C3876),""))</f>
        <v/>
      </c>
      <c r="I3466" s="3"/>
      <c r="J3466" s="3" t="str">
        <f>IF(I3466="","",IFERROR(VLOOKUP(I3466,Base_Datos!$D$2:$E$72,2,0),""))</f>
        <v/>
      </c>
      <c r="K3466" s="3"/>
      <c r="L3466" s="3"/>
      <c r="M3466" s="3"/>
      <c r="N3466" s="3"/>
    </row>
    <row r="3467" spans="1:14" ht="14.25" x14ac:dyDescent="0.2">
      <c r="A3467" s="3"/>
      <c r="B3467" s="3"/>
      <c r="C3467" s="3"/>
      <c r="D3467" s="6"/>
      <c r="E3467" s="10"/>
      <c r="F3467" s="3" t="str">
        <f>IFERROR( VLOOKUP(A3467,#REF!,2,0),"")</f>
        <v/>
      </c>
      <c r="G3467" s="3">
        <f t="array" ref="G3467">_xlfn.XLOOKUP(I3467,Base_Datos!D:D,Base_Datos!B:B,"")</f>
        <v>0</v>
      </c>
      <c r="H3467" s="3" t="str">
        <f t="array" ref="H3467">IF(I3467="","",IFERROR(_xlfn.XLOOKUP(I3467,Base_Datos!$D$2:$D3876,Base_Datos!$C$2:$C3876),""))</f>
        <v/>
      </c>
      <c r="I3467" s="3"/>
      <c r="J3467" s="3" t="str">
        <f>IF(I3467="","",IFERROR(VLOOKUP(I3467,Base_Datos!$D$2:$E$72,2,0),""))</f>
        <v/>
      </c>
      <c r="K3467" s="3"/>
      <c r="L3467" s="3"/>
      <c r="M3467" s="3"/>
      <c r="N3467" s="3"/>
    </row>
    <row r="3468" spans="1:14" ht="14.25" x14ac:dyDescent="0.2">
      <c r="A3468" s="3"/>
      <c r="B3468" s="3"/>
      <c r="C3468" s="3"/>
      <c r="D3468" s="6"/>
      <c r="E3468" s="10"/>
      <c r="F3468" s="3" t="str">
        <f>IFERROR( VLOOKUP(A3468,#REF!,2,0),"")</f>
        <v/>
      </c>
      <c r="G3468" s="3">
        <f t="array" ref="G3468">_xlfn.XLOOKUP(I3468,Base_Datos!D:D,Base_Datos!B:B,"")</f>
        <v>0</v>
      </c>
      <c r="H3468" s="3" t="str">
        <f t="array" ref="H3468">IF(I3468="","",IFERROR(_xlfn.XLOOKUP(I3468,Base_Datos!$D$2:$D3876,Base_Datos!$C$2:$C3876),""))</f>
        <v/>
      </c>
      <c r="I3468" s="3"/>
      <c r="J3468" s="3" t="str">
        <f>IF(I3468="","",IFERROR(VLOOKUP(I3468,Base_Datos!$D$2:$E$72,2,0),""))</f>
        <v/>
      </c>
      <c r="K3468" s="3"/>
      <c r="L3468" s="3"/>
      <c r="M3468" s="3"/>
      <c r="N3468" s="3"/>
    </row>
    <row r="3469" spans="1:14" ht="14.25" x14ac:dyDescent="0.2">
      <c r="A3469" s="3"/>
      <c r="B3469" s="3"/>
      <c r="C3469" s="3"/>
      <c r="D3469" s="6"/>
      <c r="E3469" s="10"/>
      <c r="F3469" s="3" t="str">
        <f>IFERROR( VLOOKUP(A3469,#REF!,2,0),"")</f>
        <v/>
      </c>
      <c r="G3469" s="3">
        <f t="array" ref="G3469">_xlfn.XLOOKUP(I3469,Base_Datos!D:D,Base_Datos!B:B,"")</f>
        <v>0</v>
      </c>
      <c r="H3469" s="3" t="str">
        <f t="array" ref="H3469">IF(I3469="","",IFERROR(_xlfn.XLOOKUP(I3469,Base_Datos!$D$2:$D3876,Base_Datos!$C$2:$C3876),""))</f>
        <v/>
      </c>
      <c r="I3469" s="3"/>
      <c r="J3469" s="3" t="str">
        <f>IF(I3469="","",IFERROR(VLOOKUP(I3469,Base_Datos!$D$2:$E$72,2,0),""))</f>
        <v/>
      </c>
      <c r="K3469" s="3"/>
      <c r="L3469" s="3"/>
      <c r="M3469" s="3"/>
      <c r="N3469" s="3"/>
    </row>
    <row r="3470" spans="1:14" ht="14.25" x14ac:dyDescent="0.2">
      <c r="A3470" s="3"/>
      <c r="B3470" s="3"/>
      <c r="C3470" s="3"/>
      <c r="D3470" s="6"/>
      <c r="E3470" s="10"/>
      <c r="F3470" s="3" t="str">
        <f>IFERROR( VLOOKUP(A3470,#REF!,2,0),"")</f>
        <v/>
      </c>
      <c r="G3470" s="3">
        <f t="array" ref="G3470">_xlfn.XLOOKUP(I3470,Base_Datos!D:D,Base_Datos!B:B,"")</f>
        <v>0</v>
      </c>
      <c r="H3470" s="3" t="str">
        <f t="array" ref="H3470">IF(I3470="","",IFERROR(_xlfn.XLOOKUP(I3470,Base_Datos!$D$2:$D3876,Base_Datos!$C$2:$C3876),""))</f>
        <v/>
      </c>
      <c r="I3470" s="3"/>
      <c r="J3470" s="3" t="str">
        <f>IF(I3470="","",IFERROR(VLOOKUP(I3470,Base_Datos!$D$2:$E$72,2,0),""))</f>
        <v/>
      </c>
      <c r="K3470" s="3"/>
      <c r="L3470" s="3"/>
      <c r="M3470" s="3"/>
      <c r="N3470" s="3"/>
    </row>
    <row r="3471" spans="1:14" ht="14.25" x14ac:dyDescent="0.2">
      <c r="A3471" s="3"/>
      <c r="B3471" s="3"/>
      <c r="C3471" s="3"/>
      <c r="D3471" s="6"/>
      <c r="E3471" s="10"/>
      <c r="F3471" s="3" t="str">
        <f>IFERROR( VLOOKUP(A3471,#REF!,2,0),"")</f>
        <v/>
      </c>
      <c r="G3471" s="3">
        <f t="array" ref="G3471">_xlfn.XLOOKUP(I3471,Base_Datos!D:D,Base_Datos!B:B,"")</f>
        <v>0</v>
      </c>
      <c r="H3471" s="3" t="str">
        <f t="array" ref="H3471">IF(I3471="","",IFERROR(_xlfn.XLOOKUP(I3471,Base_Datos!$D$2:$D3876,Base_Datos!$C$2:$C3876),""))</f>
        <v/>
      </c>
      <c r="I3471" s="3"/>
      <c r="J3471" s="3" t="str">
        <f>IF(I3471="","",IFERROR(VLOOKUP(I3471,Base_Datos!$D$2:$E$72,2,0),""))</f>
        <v/>
      </c>
      <c r="K3471" s="3"/>
      <c r="L3471" s="3"/>
      <c r="M3471" s="3"/>
      <c r="N3471" s="3"/>
    </row>
    <row r="3472" spans="1:14" ht="14.25" x14ac:dyDescent="0.2">
      <c r="A3472" s="3"/>
      <c r="B3472" s="3"/>
      <c r="C3472" s="3"/>
      <c r="D3472" s="6"/>
      <c r="E3472" s="10"/>
      <c r="F3472" s="3" t="str">
        <f>IFERROR( VLOOKUP(A3472,#REF!,2,0),"")</f>
        <v/>
      </c>
      <c r="G3472" s="3">
        <f t="array" ref="G3472">_xlfn.XLOOKUP(I3472,Base_Datos!D:D,Base_Datos!B:B,"")</f>
        <v>0</v>
      </c>
      <c r="H3472" s="3" t="str">
        <f t="array" ref="H3472">IF(I3472="","",IFERROR(_xlfn.XLOOKUP(I3472,Base_Datos!$D$2:$D3876,Base_Datos!$C$2:$C3876),""))</f>
        <v/>
      </c>
      <c r="I3472" s="3"/>
      <c r="J3472" s="3" t="str">
        <f>IF(I3472="","",IFERROR(VLOOKUP(I3472,Base_Datos!$D$2:$E$72,2,0),""))</f>
        <v/>
      </c>
      <c r="K3472" s="3"/>
      <c r="L3472" s="3"/>
      <c r="M3472" s="3"/>
      <c r="N3472" s="3"/>
    </row>
    <row r="3473" spans="1:14" ht="14.25" x14ac:dyDescent="0.2">
      <c r="A3473" s="3"/>
      <c r="B3473" s="3"/>
      <c r="C3473" s="3"/>
      <c r="D3473" s="6"/>
      <c r="E3473" s="10"/>
      <c r="F3473" s="3" t="str">
        <f>IFERROR( VLOOKUP(A3473,#REF!,2,0),"")</f>
        <v/>
      </c>
      <c r="G3473" s="3">
        <f t="array" ref="G3473">_xlfn.XLOOKUP(I3473,Base_Datos!D:D,Base_Datos!B:B,"")</f>
        <v>0</v>
      </c>
      <c r="H3473" s="3" t="str">
        <f t="array" ref="H3473">IF(I3473="","",IFERROR(_xlfn.XLOOKUP(I3473,Base_Datos!$D$2:$D3876,Base_Datos!$C$2:$C3876),""))</f>
        <v/>
      </c>
      <c r="I3473" s="3"/>
      <c r="J3473" s="3" t="str">
        <f>IF(I3473="","",IFERROR(VLOOKUP(I3473,Base_Datos!$D$2:$E$72,2,0),""))</f>
        <v/>
      </c>
      <c r="K3473" s="3"/>
      <c r="L3473" s="3"/>
      <c r="M3473" s="3"/>
      <c r="N3473" s="3"/>
    </row>
    <row r="3474" spans="1:14" ht="14.25" x14ac:dyDescent="0.2">
      <c r="A3474" s="3"/>
      <c r="B3474" s="3"/>
      <c r="C3474" s="3"/>
      <c r="D3474" s="6"/>
      <c r="E3474" s="10"/>
      <c r="F3474" s="3" t="str">
        <f>IFERROR( VLOOKUP(A3474,#REF!,2,0),"")</f>
        <v/>
      </c>
      <c r="G3474" s="3">
        <f t="array" ref="G3474">_xlfn.XLOOKUP(I3474,Base_Datos!D:D,Base_Datos!B:B,"")</f>
        <v>0</v>
      </c>
      <c r="H3474" s="3" t="str">
        <f t="array" ref="H3474">IF(I3474="","",IFERROR(_xlfn.XLOOKUP(I3474,Base_Datos!$D$2:$D3876,Base_Datos!$C$2:$C3876),""))</f>
        <v/>
      </c>
      <c r="I3474" s="3"/>
      <c r="J3474" s="3" t="str">
        <f>IF(I3474="","",IFERROR(VLOOKUP(I3474,Base_Datos!$D$2:$E$72,2,0),""))</f>
        <v/>
      </c>
      <c r="K3474" s="3"/>
      <c r="L3474" s="3"/>
      <c r="M3474" s="3"/>
      <c r="N3474" s="3"/>
    </row>
    <row r="3475" spans="1:14" ht="14.25" x14ac:dyDescent="0.2">
      <c r="A3475" s="3"/>
      <c r="B3475" s="3"/>
      <c r="C3475" s="3"/>
      <c r="D3475" s="6"/>
      <c r="E3475" s="10"/>
      <c r="F3475" s="3" t="str">
        <f>IFERROR( VLOOKUP(A3475,#REF!,2,0),"")</f>
        <v/>
      </c>
      <c r="G3475" s="3">
        <f t="array" ref="G3475">_xlfn.XLOOKUP(I3475,Base_Datos!D:D,Base_Datos!B:B,"")</f>
        <v>0</v>
      </c>
      <c r="H3475" s="3" t="str">
        <f t="array" ref="H3475">IF(I3475="","",IFERROR(_xlfn.XLOOKUP(I3475,Base_Datos!$D$2:$D3876,Base_Datos!$C$2:$C3876),""))</f>
        <v/>
      </c>
      <c r="I3475" s="3"/>
      <c r="J3475" s="3" t="str">
        <f>IF(I3475="","",IFERROR(VLOOKUP(I3475,Base_Datos!$D$2:$E$72,2,0),""))</f>
        <v/>
      </c>
      <c r="K3475" s="3"/>
      <c r="L3475" s="3"/>
      <c r="M3475" s="3"/>
      <c r="N3475" s="3"/>
    </row>
    <row r="3476" spans="1:14" ht="14.25" x14ac:dyDescent="0.2">
      <c r="A3476" s="3"/>
      <c r="B3476" s="3"/>
      <c r="C3476" s="3"/>
      <c r="D3476" s="6"/>
      <c r="E3476" s="10"/>
      <c r="F3476" s="3" t="str">
        <f>IFERROR( VLOOKUP(A3476,#REF!,2,0),"")</f>
        <v/>
      </c>
      <c r="G3476" s="3">
        <f t="array" ref="G3476">_xlfn.XLOOKUP(I3476,Base_Datos!D:D,Base_Datos!B:B,"")</f>
        <v>0</v>
      </c>
      <c r="H3476" s="3" t="str">
        <f t="array" ref="H3476">IF(I3476="","",IFERROR(_xlfn.XLOOKUP(I3476,Base_Datos!$D$2:$D3876,Base_Datos!$C$2:$C3876),""))</f>
        <v/>
      </c>
      <c r="I3476" s="3"/>
      <c r="J3476" s="3" t="str">
        <f>IF(I3476="","",IFERROR(VLOOKUP(I3476,Base_Datos!$D$2:$E$72,2,0),""))</f>
        <v/>
      </c>
      <c r="K3476" s="3"/>
      <c r="L3476" s="3"/>
      <c r="M3476" s="3"/>
      <c r="N3476" s="3"/>
    </row>
    <row r="3477" spans="1:14" ht="14.25" x14ac:dyDescent="0.2">
      <c r="A3477" s="3"/>
      <c r="B3477" s="3"/>
      <c r="C3477" s="3"/>
      <c r="D3477" s="6"/>
      <c r="E3477" s="10"/>
      <c r="F3477" s="3" t="str">
        <f>IFERROR( VLOOKUP(A3477,#REF!,2,0),"")</f>
        <v/>
      </c>
      <c r="G3477" s="3">
        <f t="array" ref="G3477">_xlfn.XLOOKUP(I3477,Base_Datos!D:D,Base_Datos!B:B,"")</f>
        <v>0</v>
      </c>
      <c r="H3477" s="3" t="str">
        <f t="array" ref="H3477">IF(I3477="","",IFERROR(_xlfn.XLOOKUP(I3477,Base_Datos!$D$2:$D3876,Base_Datos!$C$2:$C3876),""))</f>
        <v/>
      </c>
      <c r="I3477" s="3"/>
      <c r="J3477" s="3" t="str">
        <f>IF(I3477="","",IFERROR(VLOOKUP(I3477,Base_Datos!$D$2:$E$72,2,0),""))</f>
        <v/>
      </c>
      <c r="K3477" s="3"/>
      <c r="L3477" s="3"/>
      <c r="M3477" s="3"/>
      <c r="N3477" s="3"/>
    </row>
    <row r="3478" spans="1:14" ht="14.25" x14ac:dyDescent="0.2">
      <c r="A3478" s="3"/>
      <c r="B3478" s="3"/>
      <c r="C3478" s="3"/>
      <c r="D3478" s="6"/>
      <c r="E3478" s="10"/>
      <c r="F3478" s="3" t="str">
        <f>IFERROR( VLOOKUP(A3478,#REF!,2,0),"")</f>
        <v/>
      </c>
      <c r="G3478" s="3">
        <f t="array" ref="G3478">_xlfn.XLOOKUP(I3478,Base_Datos!D:D,Base_Datos!B:B,"")</f>
        <v>0</v>
      </c>
      <c r="H3478" s="3" t="str">
        <f t="array" ref="H3478">IF(I3478="","",IFERROR(_xlfn.XLOOKUP(I3478,Base_Datos!$D$2:$D3876,Base_Datos!$C$2:$C3876),""))</f>
        <v/>
      </c>
      <c r="I3478" s="3"/>
      <c r="J3478" s="3" t="str">
        <f>IF(I3478="","",IFERROR(VLOOKUP(I3478,Base_Datos!$D$2:$E$72,2,0),""))</f>
        <v/>
      </c>
      <c r="K3478" s="3"/>
      <c r="L3478" s="3"/>
      <c r="M3478" s="3"/>
      <c r="N3478" s="3"/>
    </row>
    <row r="3479" spans="1:14" ht="14.25" x14ac:dyDescent="0.2">
      <c r="A3479" s="3"/>
      <c r="B3479" s="3"/>
      <c r="C3479" s="3"/>
      <c r="D3479" s="6"/>
      <c r="E3479" s="10"/>
      <c r="F3479" s="3" t="str">
        <f>IFERROR( VLOOKUP(A3479,#REF!,2,0),"")</f>
        <v/>
      </c>
      <c r="G3479" s="3">
        <f t="array" ref="G3479">_xlfn.XLOOKUP(I3479,Base_Datos!D:D,Base_Datos!B:B,"")</f>
        <v>0</v>
      </c>
      <c r="H3479" s="3" t="str">
        <f t="array" ref="H3479">IF(I3479="","",IFERROR(_xlfn.XLOOKUP(I3479,Base_Datos!$D$2:$D3876,Base_Datos!$C$2:$C3876),""))</f>
        <v/>
      </c>
      <c r="I3479" s="3"/>
      <c r="J3479" s="3" t="str">
        <f>IF(I3479="","",IFERROR(VLOOKUP(I3479,Base_Datos!$D$2:$E$72,2,0),""))</f>
        <v/>
      </c>
      <c r="K3479" s="3"/>
      <c r="L3479" s="3"/>
      <c r="M3479" s="3"/>
      <c r="N3479" s="3"/>
    </row>
    <row r="3480" spans="1:14" ht="14.25" x14ac:dyDescent="0.2">
      <c r="A3480" s="3"/>
      <c r="B3480" s="3"/>
      <c r="C3480" s="3"/>
      <c r="D3480" s="6"/>
      <c r="E3480" s="10"/>
      <c r="F3480" s="3" t="str">
        <f>IFERROR( VLOOKUP(A3480,#REF!,2,0),"")</f>
        <v/>
      </c>
      <c r="G3480" s="3">
        <f t="array" ref="G3480">_xlfn.XLOOKUP(I3480,Base_Datos!D:D,Base_Datos!B:B,"")</f>
        <v>0</v>
      </c>
      <c r="H3480" s="3" t="str">
        <f t="array" ref="H3480">IF(I3480="","",IFERROR(_xlfn.XLOOKUP(I3480,Base_Datos!$D$2:$D3876,Base_Datos!$C$2:$C3876),""))</f>
        <v/>
      </c>
      <c r="I3480" s="3"/>
      <c r="J3480" s="3" t="str">
        <f>IF(I3480="","",IFERROR(VLOOKUP(I3480,Base_Datos!$D$2:$E$72,2,0),""))</f>
        <v/>
      </c>
      <c r="K3480" s="3"/>
      <c r="L3480" s="3"/>
      <c r="M3480" s="3"/>
      <c r="N3480" s="3"/>
    </row>
    <row r="3481" spans="1:14" ht="14.25" x14ac:dyDescent="0.2">
      <c r="A3481" s="3"/>
      <c r="B3481" s="3"/>
      <c r="C3481" s="3"/>
      <c r="D3481" s="6"/>
      <c r="E3481" s="10"/>
      <c r="F3481" s="3" t="str">
        <f>IFERROR( VLOOKUP(A3481,#REF!,2,0),"")</f>
        <v/>
      </c>
      <c r="G3481" s="3">
        <f t="array" ref="G3481">_xlfn.XLOOKUP(I3481,Base_Datos!D:D,Base_Datos!B:B,"")</f>
        <v>0</v>
      </c>
      <c r="H3481" s="3" t="str">
        <f t="array" ref="H3481">IF(I3481="","",IFERROR(_xlfn.XLOOKUP(I3481,Base_Datos!$D$2:$D3876,Base_Datos!$C$2:$C3876),""))</f>
        <v/>
      </c>
      <c r="I3481" s="3"/>
      <c r="J3481" s="3" t="str">
        <f>IF(I3481="","",IFERROR(VLOOKUP(I3481,Base_Datos!$D$2:$E$72,2,0),""))</f>
        <v/>
      </c>
      <c r="K3481" s="3"/>
      <c r="L3481" s="3"/>
      <c r="M3481" s="3"/>
      <c r="N3481" s="3"/>
    </row>
    <row r="3482" spans="1:14" ht="14.25" x14ac:dyDescent="0.2">
      <c r="A3482" s="3"/>
      <c r="B3482" s="3"/>
      <c r="C3482" s="3"/>
      <c r="D3482" s="6"/>
      <c r="E3482" s="10"/>
      <c r="F3482" s="3" t="str">
        <f>IFERROR( VLOOKUP(A3482,#REF!,2,0),"")</f>
        <v/>
      </c>
      <c r="G3482" s="3">
        <f t="array" ref="G3482">_xlfn.XLOOKUP(I3482,Base_Datos!D:D,Base_Datos!B:B,"")</f>
        <v>0</v>
      </c>
      <c r="H3482" s="3" t="str">
        <f t="array" ref="H3482">IF(I3482="","",IFERROR(_xlfn.XLOOKUP(I3482,Base_Datos!$D$2:$D3876,Base_Datos!$C$2:$C3876),""))</f>
        <v/>
      </c>
      <c r="I3482" s="3"/>
      <c r="J3482" s="3" t="str">
        <f>IF(I3482="","",IFERROR(VLOOKUP(I3482,Base_Datos!$D$2:$E$72,2,0),""))</f>
        <v/>
      </c>
      <c r="K3482" s="3"/>
      <c r="L3482" s="3"/>
      <c r="M3482" s="3"/>
      <c r="N3482" s="3"/>
    </row>
    <row r="3483" spans="1:14" ht="14.25" x14ac:dyDescent="0.2">
      <c r="A3483" s="3"/>
      <c r="B3483" s="3"/>
      <c r="C3483" s="3"/>
      <c r="D3483" s="6"/>
      <c r="E3483" s="10"/>
      <c r="F3483" s="3" t="str">
        <f>IFERROR( VLOOKUP(A3483,#REF!,2,0),"")</f>
        <v/>
      </c>
      <c r="G3483" s="3">
        <f t="array" ref="G3483">_xlfn.XLOOKUP(I3483,Base_Datos!D:D,Base_Datos!B:B,"")</f>
        <v>0</v>
      </c>
      <c r="H3483" s="3" t="str">
        <f t="array" ref="H3483">IF(I3483="","",IFERROR(_xlfn.XLOOKUP(I3483,Base_Datos!$D$2:$D3876,Base_Datos!$C$2:$C3876),""))</f>
        <v/>
      </c>
      <c r="I3483" s="3"/>
      <c r="J3483" s="3" t="str">
        <f>IF(I3483="","",IFERROR(VLOOKUP(I3483,Base_Datos!$D$2:$E$72,2,0),""))</f>
        <v/>
      </c>
      <c r="K3483" s="3"/>
      <c r="L3483" s="3"/>
      <c r="M3483" s="3"/>
      <c r="N3483" s="3"/>
    </row>
    <row r="3484" spans="1:14" ht="14.25" x14ac:dyDescent="0.2">
      <c r="A3484" s="3"/>
      <c r="B3484" s="3"/>
      <c r="C3484" s="3"/>
      <c r="D3484" s="6"/>
      <c r="E3484" s="10"/>
      <c r="F3484" s="3" t="str">
        <f>IFERROR( VLOOKUP(A3484,#REF!,2,0),"")</f>
        <v/>
      </c>
      <c r="G3484" s="3">
        <f t="array" ref="G3484">_xlfn.XLOOKUP(I3484,Base_Datos!D:D,Base_Datos!B:B,"")</f>
        <v>0</v>
      </c>
      <c r="H3484" s="3" t="str">
        <f t="array" ref="H3484">IF(I3484="","",IFERROR(_xlfn.XLOOKUP(I3484,Base_Datos!$D$2:$D3876,Base_Datos!$C$2:$C3876),""))</f>
        <v/>
      </c>
      <c r="I3484" s="3"/>
      <c r="J3484" s="3" t="str">
        <f>IF(I3484="","",IFERROR(VLOOKUP(I3484,Base_Datos!$D$2:$E$72,2,0),""))</f>
        <v/>
      </c>
      <c r="K3484" s="3"/>
      <c r="L3484" s="3"/>
      <c r="M3484" s="3"/>
      <c r="N3484" s="3"/>
    </row>
    <row r="3485" spans="1:14" ht="14.25" x14ac:dyDescent="0.2">
      <c r="A3485" s="3"/>
      <c r="B3485" s="3"/>
      <c r="C3485" s="3"/>
      <c r="D3485" s="6"/>
      <c r="E3485" s="10"/>
      <c r="F3485" s="3" t="str">
        <f>IFERROR( VLOOKUP(A3485,#REF!,2,0),"")</f>
        <v/>
      </c>
      <c r="G3485" s="3">
        <f t="array" ref="G3485">_xlfn.XLOOKUP(I3485,Base_Datos!D:D,Base_Datos!B:B,"")</f>
        <v>0</v>
      </c>
      <c r="H3485" s="3" t="str">
        <f t="array" ref="H3485">IF(I3485="","",IFERROR(_xlfn.XLOOKUP(I3485,Base_Datos!$D$2:$D3876,Base_Datos!$C$2:$C3876),""))</f>
        <v/>
      </c>
      <c r="I3485" s="3"/>
      <c r="J3485" s="3" t="str">
        <f>IF(I3485="","",IFERROR(VLOOKUP(I3485,Base_Datos!$D$2:$E$72,2,0),""))</f>
        <v/>
      </c>
      <c r="K3485" s="3"/>
      <c r="L3485" s="3"/>
      <c r="M3485" s="3"/>
      <c r="N3485" s="3"/>
    </row>
    <row r="3486" spans="1:14" ht="14.25" x14ac:dyDescent="0.2">
      <c r="A3486" s="3"/>
      <c r="B3486" s="3"/>
      <c r="C3486" s="3"/>
      <c r="D3486" s="6"/>
      <c r="E3486" s="10"/>
      <c r="F3486" s="3" t="str">
        <f>IFERROR( VLOOKUP(A3486,#REF!,2,0),"")</f>
        <v/>
      </c>
      <c r="G3486" s="3">
        <f t="array" ref="G3486">_xlfn.XLOOKUP(I3486,Base_Datos!D:D,Base_Datos!B:B,"")</f>
        <v>0</v>
      </c>
      <c r="H3486" s="3" t="str">
        <f t="array" ref="H3486">IF(I3486="","",IFERROR(_xlfn.XLOOKUP(I3486,Base_Datos!$D$2:$D3876,Base_Datos!$C$2:$C3876),""))</f>
        <v/>
      </c>
      <c r="I3486" s="3"/>
      <c r="J3486" s="3" t="str">
        <f>IF(I3486="","",IFERROR(VLOOKUP(I3486,Base_Datos!$D$2:$E$72,2,0),""))</f>
        <v/>
      </c>
      <c r="K3486" s="3"/>
      <c r="L3486" s="3"/>
      <c r="M3486" s="3"/>
      <c r="N3486" s="3"/>
    </row>
    <row r="3487" spans="1:14" ht="14.25" x14ac:dyDescent="0.2">
      <c r="A3487" s="3"/>
      <c r="B3487" s="3"/>
      <c r="C3487" s="3"/>
      <c r="D3487" s="6"/>
      <c r="E3487" s="10"/>
      <c r="F3487" s="3" t="str">
        <f>IFERROR( VLOOKUP(A3487,#REF!,2,0),"")</f>
        <v/>
      </c>
      <c r="G3487" s="3">
        <f t="array" ref="G3487">_xlfn.XLOOKUP(I3487,Base_Datos!D:D,Base_Datos!B:B,"")</f>
        <v>0</v>
      </c>
      <c r="H3487" s="3" t="str">
        <f t="array" ref="H3487">IF(I3487="","",IFERROR(_xlfn.XLOOKUP(I3487,Base_Datos!$D$2:$D3876,Base_Datos!$C$2:$C3876),""))</f>
        <v/>
      </c>
      <c r="I3487" s="3"/>
      <c r="J3487" s="3" t="str">
        <f>IF(I3487="","",IFERROR(VLOOKUP(I3487,Base_Datos!$D$2:$E$72,2,0),""))</f>
        <v/>
      </c>
      <c r="K3487" s="3"/>
      <c r="L3487" s="3"/>
      <c r="M3487" s="3"/>
      <c r="N3487" s="3"/>
    </row>
    <row r="3488" spans="1:14" ht="14.25" x14ac:dyDescent="0.2">
      <c r="A3488" s="3"/>
      <c r="B3488" s="3"/>
      <c r="C3488" s="3"/>
      <c r="D3488" s="6"/>
      <c r="E3488" s="10"/>
      <c r="F3488" s="3" t="str">
        <f>IFERROR( VLOOKUP(A3488,#REF!,2,0),"")</f>
        <v/>
      </c>
      <c r="G3488" s="3">
        <f t="array" ref="G3488">_xlfn.XLOOKUP(I3488,Base_Datos!D:D,Base_Datos!B:B,"")</f>
        <v>0</v>
      </c>
      <c r="H3488" s="3" t="str">
        <f t="array" ref="H3488">IF(I3488="","",IFERROR(_xlfn.XLOOKUP(I3488,Base_Datos!$D$2:$D3876,Base_Datos!$C$2:$C3876),""))</f>
        <v/>
      </c>
      <c r="I3488" s="3"/>
      <c r="J3488" s="3" t="str">
        <f>IF(I3488="","",IFERROR(VLOOKUP(I3488,Base_Datos!$D$2:$E$72,2,0),""))</f>
        <v/>
      </c>
      <c r="K3488" s="3"/>
      <c r="L3488" s="3"/>
      <c r="M3488" s="3"/>
      <c r="N3488" s="3"/>
    </row>
    <row r="3489" spans="1:14" ht="14.25" x14ac:dyDescent="0.2">
      <c r="A3489" s="3"/>
      <c r="B3489" s="3"/>
      <c r="C3489" s="3"/>
      <c r="D3489" s="6"/>
      <c r="E3489" s="10"/>
      <c r="F3489" s="3" t="str">
        <f>IFERROR( VLOOKUP(A3489,#REF!,2,0),"")</f>
        <v/>
      </c>
      <c r="G3489" s="3">
        <f t="array" ref="G3489">_xlfn.XLOOKUP(I3489,Base_Datos!D:D,Base_Datos!B:B,"")</f>
        <v>0</v>
      </c>
      <c r="H3489" s="3" t="str">
        <f t="array" ref="H3489">IF(I3489="","",IFERROR(_xlfn.XLOOKUP(I3489,Base_Datos!$D$2:$D3876,Base_Datos!$C$2:$C3876),""))</f>
        <v/>
      </c>
      <c r="I3489" s="3"/>
      <c r="J3489" s="3" t="str">
        <f>IF(I3489="","",IFERROR(VLOOKUP(I3489,Base_Datos!$D$2:$E$72,2,0),""))</f>
        <v/>
      </c>
      <c r="K3489" s="3"/>
      <c r="L3489" s="3"/>
      <c r="M3489" s="3"/>
      <c r="N3489" s="3"/>
    </row>
    <row r="3490" spans="1:14" ht="14.25" x14ac:dyDescent="0.2">
      <c r="A3490" s="3"/>
      <c r="B3490" s="3"/>
      <c r="C3490" s="3"/>
      <c r="D3490" s="6"/>
      <c r="E3490" s="10"/>
      <c r="F3490" s="3" t="str">
        <f>IFERROR( VLOOKUP(A3490,#REF!,2,0),"")</f>
        <v/>
      </c>
      <c r="G3490" s="3">
        <f t="array" ref="G3490">_xlfn.XLOOKUP(I3490,Base_Datos!D:D,Base_Datos!B:B,"")</f>
        <v>0</v>
      </c>
      <c r="H3490" s="3" t="str">
        <f t="array" ref="H3490">IF(I3490="","",IFERROR(_xlfn.XLOOKUP(I3490,Base_Datos!$D$2:$D3876,Base_Datos!$C$2:$C3876),""))</f>
        <v/>
      </c>
      <c r="I3490" s="3"/>
      <c r="J3490" s="3" t="str">
        <f>IF(I3490="","",IFERROR(VLOOKUP(I3490,Base_Datos!$D$2:$E$72,2,0),""))</f>
        <v/>
      </c>
      <c r="K3490" s="3"/>
      <c r="L3490" s="3"/>
      <c r="M3490" s="3"/>
      <c r="N3490" s="3"/>
    </row>
    <row r="3491" spans="1:14" ht="14.25" x14ac:dyDescent="0.2">
      <c r="A3491" s="3"/>
      <c r="B3491" s="3"/>
      <c r="C3491" s="3"/>
      <c r="D3491" s="6"/>
      <c r="E3491" s="10"/>
      <c r="F3491" s="3" t="str">
        <f>IFERROR( VLOOKUP(A3491,#REF!,2,0),"")</f>
        <v/>
      </c>
      <c r="G3491" s="3">
        <f t="array" ref="G3491">_xlfn.XLOOKUP(I3491,Base_Datos!D:D,Base_Datos!B:B,"")</f>
        <v>0</v>
      </c>
      <c r="H3491" s="3" t="str">
        <f t="array" ref="H3491">IF(I3491="","",IFERROR(_xlfn.XLOOKUP(I3491,Base_Datos!$D$2:$D3876,Base_Datos!$C$2:$C3876),""))</f>
        <v/>
      </c>
      <c r="I3491" s="3"/>
      <c r="J3491" s="3" t="str">
        <f>IF(I3491="","",IFERROR(VLOOKUP(I3491,Base_Datos!$D$2:$E$72,2,0),""))</f>
        <v/>
      </c>
      <c r="K3491" s="3"/>
      <c r="L3491" s="3"/>
      <c r="M3491" s="3"/>
      <c r="N3491" s="3"/>
    </row>
    <row r="3492" spans="1:14" ht="14.25" x14ac:dyDescent="0.2">
      <c r="A3492" s="3"/>
      <c r="B3492" s="3"/>
      <c r="C3492" s="3"/>
      <c r="D3492" s="6"/>
      <c r="E3492" s="10"/>
      <c r="F3492" s="3" t="str">
        <f>IFERROR( VLOOKUP(A3492,#REF!,2,0),"")</f>
        <v/>
      </c>
      <c r="G3492" s="3">
        <f t="array" ref="G3492">_xlfn.XLOOKUP(I3492,Base_Datos!D:D,Base_Datos!B:B,"")</f>
        <v>0</v>
      </c>
      <c r="H3492" s="3" t="str">
        <f t="array" ref="H3492">IF(I3492="","",IFERROR(_xlfn.XLOOKUP(I3492,Base_Datos!$D$2:$D3876,Base_Datos!$C$2:$C3876),""))</f>
        <v/>
      </c>
      <c r="I3492" s="3"/>
      <c r="J3492" s="3" t="str">
        <f>IF(I3492="","",IFERROR(VLOOKUP(I3492,Base_Datos!$D$2:$E$72,2,0),""))</f>
        <v/>
      </c>
      <c r="K3492" s="3"/>
      <c r="L3492" s="3"/>
      <c r="M3492" s="3"/>
      <c r="N3492" s="3"/>
    </row>
    <row r="3493" spans="1:14" ht="14.25" x14ac:dyDescent="0.2">
      <c r="A3493" s="3"/>
      <c r="B3493" s="3"/>
      <c r="C3493" s="3"/>
      <c r="D3493" s="6"/>
      <c r="E3493" s="10"/>
      <c r="F3493" s="3" t="str">
        <f>IFERROR( VLOOKUP(A3493,#REF!,2,0),"")</f>
        <v/>
      </c>
      <c r="G3493" s="3">
        <f t="array" ref="G3493">_xlfn.XLOOKUP(I3493,Base_Datos!D:D,Base_Datos!B:B,"")</f>
        <v>0</v>
      </c>
      <c r="H3493" s="3" t="str">
        <f t="array" ref="H3493">IF(I3493="","",IFERROR(_xlfn.XLOOKUP(I3493,Base_Datos!$D$2:$D3876,Base_Datos!$C$2:$C3876),""))</f>
        <v/>
      </c>
      <c r="I3493" s="3"/>
      <c r="J3493" s="3" t="str">
        <f>IF(I3493="","",IFERROR(VLOOKUP(I3493,Base_Datos!$D$2:$E$72,2,0),""))</f>
        <v/>
      </c>
      <c r="K3493" s="3"/>
      <c r="L3493" s="3"/>
      <c r="M3493" s="3"/>
      <c r="N3493" s="3"/>
    </row>
    <row r="3494" spans="1:14" ht="14.25" x14ac:dyDescent="0.2">
      <c r="A3494" s="3"/>
      <c r="B3494" s="3"/>
      <c r="C3494" s="3"/>
      <c r="D3494" s="6"/>
      <c r="E3494" s="10"/>
      <c r="F3494" s="3" t="str">
        <f>IFERROR( VLOOKUP(A3494,#REF!,2,0),"")</f>
        <v/>
      </c>
      <c r="G3494" s="3">
        <f t="array" ref="G3494">_xlfn.XLOOKUP(I3494,Base_Datos!D:D,Base_Datos!B:B,"")</f>
        <v>0</v>
      </c>
      <c r="H3494" s="3" t="str">
        <f t="array" ref="H3494">IF(I3494="","",IFERROR(_xlfn.XLOOKUP(I3494,Base_Datos!$D$2:$D3876,Base_Datos!$C$2:$C3876),""))</f>
        <v/>
      </c>
      <c r="I3494" s="3"/>
      <c r="J3494" s="3" t="str">
        <f>IF(I3494="","",IFERROR(VLOOKUP(I3494,Base_Datos!$D$2:$E$72,2,0),""))</f>
        <v/>
      </c>
      <c r="K3494" s="3"/>
      <c r="L3494" s="3"/>
      <c r="M3494" s="3"/>
      <c r="N3494" s="3"/>
    </row>
    <row r="3495" spans="1:14" ht="14.25" x14ac:dyDescent="0.2">
      <c r="A3495" s="3"/>
      <c r="B3495" s="3"/>
      <c r="C3495" s="3"/>
      <c r="D3495" s="6"/>
      <c r="E3495" s="10"/>
      <c r="F3495" s="3" t="str">
        <f>IFERROR( VLOOKUP(A3495,#REF!,2,0),"")</f>
        <v/>
      </c>
      <c r="G3495" s="3">
        <f t="array" ref="G3495">_xlfn.XLOOKUP(I3495,Base_Datos!D:D,Base_Datos!B:B,"")</f>
        <v>0</v>
      </c>
      <c r="H3495" s="3" t="str">
        <f t="array" ref="H3495">IF(I3495="","",IFERROR(_xlfn.XLOOKUP(I3495,Base_Datos!$D$2:$D3876,Base_Datos!$C$2:$C3876),""))</f>
        <v/>
      </c>
      <c r="I3495" s="3"/>
      <c r="J3495" s="3" t="str">
        <f>IF(I3495="","",IFERROR(VLOOKUP(I3495,Base_Datos!$D$2:$E$72,2,0),""))</f>
        <v/>
      </c>
      <c r="K3495" s="3"/>
      <c r="L3495" s="3"/>
      <c r="M3495" s="3"/>
      <c r="N3495" s="3"/>
    </row>
    <row r="3496" spans="1:14" ht="14.25" x14ac:dyDescent="0.2">
      <c r="A3496" s="3"/>
      <c r="B3496" s="3"/>
      <c r="C3496" s="3"/>
      <c r="D3496" s="6"/>
      <c r="E3496" s="10"/>
      <c r="F3496" s="3" t="str">
        <f>IFERROR( VLOOKUP(A3496,#REF!,2,0),"")</f>
        <v/>
      </c>
      <c r="G3496" s="3">
        <f t="array" ref="G3496">_xlfn.XLOOKUP(I3496,Base_Datos!D:D,Base_Datos!B:B,"")</f>
        <v>0</v>
      </c>
      <c r="H3496" s="3" t="str">
        <f t="array" ref="H3496">IF(I3496="","",IFERROR(_xlfn.XLOOKUP(I3496,Base_Datos!$D$2:$D3876,Base_Datos!$C$2:$C3876),""))</f>
        <v/>
      </c>
      <c r="I3496" s="3"/>
      <c r="J3496" s="3" t="str">
        <f>IF(I3496="","",IFERROR(VLOOKUP(I3496,Base_Datos!$D$2:$E$72,2,0),""))</f>
        <v/>
      </c>
      <c r="K3496" s="3"/>
      <c r="L3496" s="3"/>
      <c r="M3496" s="3"/>
      <c r="N3496" s="3"/>
    </row>
    <row r="3497" spans="1:14" ht="14.25" x14ac:dyDescent="0.2">
      <c r="A3497" s="3"/>
      <c r="B3497" s="3"/>
      <c r="C3497" s="3"/>
      <c r="D3497" s="6"/>
      <c r="E3497" s="10"/>
      <c r="F3497" s="3" t="str">
        <f>IFERROR( VLOOKUP(A3497,#REF!,2,0),"")</f>
        <v/>
      </c>
      <c r="G3497" s="3">
        <f t="array" ref="G3497">_xlfn.XLOOKUP(I3497,Base_Datos!D:D,Base_Datos!B:B,"")</f>
        <v>0</v>
      </c>
      <c r="H3497" s="3" t="str">
        <f t="array" ref="H3497">IF(I3497="","",IFERROR(_xlfn.XLOOKUP(I3497,Base_Datos!$D$2:$D3876,Base_Datos!$C$2:$C3876),""))</f>
        <v/>
      </c>
      <c r="I3497" s="3"/>
      <c r="J3497" s="3" t="str">
        <f>IF(I3497="","",IFERROR(VLOOKUP(I3497,Base_Datos!$D$2:$E$72,2,0),""))</f>
        <v/>
      </c>
      <c r="K3497" s="3"/>
      <c r="L3497" s="3"/>
      <c r="M3497" s="3"/>
      <c r="N3497" s="3"/>
    </row>
    <row r="3498" spans="1:14" ht="14.25" x14ac:dyDescent="0.2">
      <c r="A3498" s="3"/>
      <c r="B3498" s="3"/>
      <c r="C3498" s="3"/>
      <c r="D3498" s="6"/>
      <c r="E3498" s="10"/>
      <c r="F3498" s="3" t="str">
        <f>IFERROR( VLOOKUP(A3498,#REF!,2,0),"")</f>
        <v/>
      </c>
      <c r="G3498" s="3">
        <f t="array" ref="G3498">_xlfn.XLOOKUP(I3498,Base_Datos!D:D,Base_Datos!B:B,"")</f>
        <v>0</v>
      </c>
      <c r="H3498" s="3" t="str">
        <f t="array" ref="H3498">IF(I3498="","",IFERROR(_xlfn.XLOOKUP(I3498,Base_Datos!$D$2:$D3876,Base_Datos!$C$2:$C3876),""))</f>
        <v/>
      </c>
      <c r="I3498" s="3"/>
      <c r="J3498" s="3" t="str">
        <f>IF(I3498="","",IFERROR(VLOOKUP(I3498,Base_Datos!$D$2:$E$72,2,0),""))</f>
        <v/>
      </c>
      <c r="K3498" s="3"/>
      <c r="L3498" s="3"/>
      <c r="M3498" s="3"/>
      <c r="N3498" s="3"/>
    </row>
    <row r="3499" spans="1:14" ht="14.25" x14ac:dyDescent="0.2">
      <c r="A3499" s="3"/>
      <c r="B3499" s="3"/>
      <c r="C3499" s="3"/>
      <c r="D3499" s="6"/>
      <c r="E3499" s="10"/>
      <c r="F3499" s="3" t="str">
        <f>IFERROR( VLOOKUP(A3499,#REF!,2,0),"")</f>
        <v/>
      </c>
      <c r="G3499" s="3">
        <f t="array" ref="G3499">_xlfn.XLOOKUP(I3499,Base_Datos!D:D,Base_Datos!B:B,"")</f>
        <v>0</v>
      </c>
      <c r="H3499" s="3" t="str">
        <f t="array" ref="H3499">IF(I3499="","",IFERROR(_xlfn.XLOOKUP(I3499,Base_Datos!$D$2:$D3876,Base_Datos!$C$2:$C3876),""))</f>
        <v/>
      </c>
      <c r="I3499" s="3"/>
      <c r="J3499" s="3" t="str">
        <f>IF(I3499="","",IFERROR(VLOOKUP(I3499,Base_Datos!$D$2:$E$72,2,0),""))</f>
        <v/>
      </c>
      <c r="K3499" s="3"/>
      <c r="L3499" s="3"/>
      <c r="M3499" s="3"/>
      <c r="N3499" s="3"/>
    </row>
    <row r="3500" spans="1:14" ht="14.25" x14ac:dyDescent="0.2">
      <c r="A3500" s="3"/>
      <c r="B3500" s="3"/>
      <c r="C3500" s="3"/>
      <c r="D3500" s="6"/>
      <c r="E3500" s="10"/>
      <c r="F3500" s="3" t="str">
        <f>IFERROR( VLOOKUP(A3500,#REF!,2,0),"")</f>
        <v/>
      </c>
      <c r="G3500" s="3">
        <f t="array" ref="G3500">_xlfn.XLOOKUP(I3500,Base_Datos!D:D,Base_Datos!B:B,"")</f>
        <v>0</v>
      </c>
      <c r="H3500" s="3" t="str">
        <f t="array" ref="H3500">IF(I3500="","",IFERROR(_xlfn.XLOOKUP(I3500,Base_Datos!$D$2:$D3876,Base_Datos!$C$2:$C3876),""))</f>
        <v/>
      </c>
      <c r="I3500" s="3"/>
      <c r="J3500" s="3" t="str">
        <f>IF(I3500="","",IFERROR(VLOOKUP(I3500,Base_Datos!$D$2:$E$72,2,0),""))</f>
        <v/>
      </c>
      <c r="K3500" s="3"/>
      <c r="L3500" s="3"/>
      <c r="M3500" s="3"/>
      <c r="N3500" s="3"/>
    </row>
    <row r="3501" spans="1:14" ht="14.25" x14ac:dyDescent="0.2">
      <c r="A3501" s="3"/>
      <c r="B3501" s="3"/>
      <c r="C3501" s="3"/>
      <c r="D3501" s="6"/>
      <c r="E3501" s="10"/>
      <c r="F3501" s="3" t="str">
        <f>IFERROR( VLOOKUP(A3501,#REF!,2,0),"")</f>
        <v/>
      </c>
      <c r="G3501" s="3">
        <f t="array" ref="G3501">_xlfn.XLOOKUP(I3501,Base_Datos!D:D,Base_Datos!B:B,"")</f>
        <v>0</v>
      </c>
      <c r="H3501" s="3" t="str">
        <f t="array" ref="H3501">IF(I3501="","",IFERROR(_xlfn.XLOOKUP(I3501,Base_Datos!$D$2:$D3876,Base_Datos!$C$2:$C3876),""))</f>
        <v/>
      </c>
      <c r="I3501" s="3"/>
      <c r="J3501" s="3" t="str">
        <f>IF(I3501="","",IFERROR(VLOOKUP(I3501,Base_Datos!$D$2:$E$72,2,0),""))</f>
        <v/>
      </c>
      <c r="K3501" s="3"/>
      <c r="L3501" s="3"/>
      <c r="M3501" s="3"/>
      <c r="N3501" s="3"/>
    </row>
    <row r="3502" spans="1:14" ht="14.25" x14ac:dyDescent="0.2">
      <c r="A3502" s="3"/>
      <c r="B3502" s="3"/>
      <c r="C3502" s="3"/>
      <c r="D3502" s="6"/>
      <c r="E3502" s="10"/>
      <c r="F3502" s="3" t="str">
        <f>IFERROR( VLOOKUP(A3502,#REF!,2,0),"")</f>
        <v/>
      </c>
      <c r="G3502" s="3">
        <f t="array" ref="G3502">_xlfn.XLOOKUP(I3502,Base_Datos!D:D,Base_Datos!B:B,"")</f>
        <v>0</v>
      </c>
      <c r="H3502" s="3" t="str">
        <f t="array" ref="H3502">IF(I3502="","",IFERROR(_xlfn.XLOOKUP(I3502,Base_Datos!$D$2:$D3876,Base_Datos!$C$2:$C3876),""))</f>
        <v/>
      </c>
      <c r="I3502" s="3"/>
      <c r="J3502" s="3" t="str">
        <f>IF(I3502="","",IFERROR(VLOOKUP(I3502,Base_Datos!$D$2:$E$72,2,0),""))</f>
        <v/>
      </c>
      <c r="K3502" s="3"/>
      <c r="L3502" s="3"/>
      <c r="M3502" s="3"/>
      <c r="N3502" s="3"/>
    </row>
    <row r="3503" spans="1:14" ht="14.25" x14ac:dyDescent="0.2">
      <c r="A3503" s="3"/>
      <c r="B3503" s="3"/>
      <c r="C3503" s="3"/>
      <c r="D3503" s="6"/>
      <c r="E3503" s="10"/>
      <c r="F3503" s="3" t="str">
        <f>IFERROR( VLOOKUP(A3503,#REF!,2,0),"")</f>
        <v/>
      </c>
      <c r="G3503" s="3">
        <f t="array" ref="G3503">_xlfn.XLOOKUP(I3503,Base_Datos!D:D,Base_Datos!B:B,"")</f>
        <v>0</v>
      </c>
      <c r="H3503" s="3" t="str">
        <f t="array" ref="H3503">IF(I3503="","",IFERROR(_xlfn.XLOOKUP(I3503,Base_Datos!$D$2:$D3876,Base_Datos!$C$2:$C3876),""))</f>
        <v/>
      </c>
      <c r="I3503" s="3"/>
      <c r="J3503" s="3" t="str">
        <f>IF(I3503="","",IFERROR(VLOOKUP(I3503,Base_Datos!$D$2:$E$72,2,0),""))</f>
        <v/>
      </c>
      <c r="K3503" s="3"/>
      <c r="L3503" s="3"/>
      <c r="M3503" s="3"/>
      <c r="N3503" s="3"/>
    </row>
    <row r="3504" spans="1:14" ht="14.25" x14ac:dyDescent="0.2">
      <c r="A3504" s="3"/>
      <c r="B3504" s="3"/>
      <c r="C3504" s="3"/>
      <c r="D3504" s="6"/>
      <c r="E3504" s="10"/>
      <c r="F3504" s="3" t="str">
        <f>IFERROR( VLOOKUP(A3504,#REF!,2,0),"")</f>
        <v/>
      </c>
      <c r="G3504" s="3">
        <f t="array" ref="G3504">_xlfn.XLOOKUP(I3504,Base_Datos!D:D,Base_Datos!B:B,"")</f>
        <v>0</v>
      </c>
      <c r="H3504" s="3" t="str">
        <f t="array" ref="H3504">IF(I3504="","",IFERROR(_xlfn.XLOOKUP(I3504,Base_Datos!$D$2:$D3876,Base_Datos!$C$2:$C3876),""))</f>
        <v/>
      </c>
      <c r="I3504" s="3"/>
      <c r="J3504" s="3" t="str">
        <f>IF(I3504="","",IFERROR(VLOOKUP(I3504,Base_Datos!$D$2:$E$72,2,0),""))</f>
        <v/>
      </c>
      <c r="K3504" s="3"/>
      <c r="L3504" s="3"/>
      <c r="M3504" s="3"/>
      <c r="N3504" s="3"/>
    </row>
    <row r="3505" spans="1:14" ht="14.25" x14ac:dyDescent="0.2">
      <c r="A3505" s="3"/>
      <c r="B3505" s="3"/>
      <c r="C3505" s="3"/>
      <c r="D3505" s="6"/>
      <c r="E3505" s="10"/>
      <c r="F3505" s="3" t="str">
        <f>IFERROR( VLOOKUP(A3505,#REF!,2,0),"")</f>
        <v/>
      </c>
      <c r="G3505" s="3">
        <f t="array" ref="G3505">_xlfn.XLOOKUP(I3505,Base_Datos!D:D,Base_Datos!B:B,"")</f>
        <v>0</v>
      </c>
      <c r="H3505" s="3" t="str">
        <f t="array" ref="H3505">IF(I3505="","",IFERROR(_xlfn.XLOOKUP(I3505,Base_Datos!$D$2:$D3876,Base_Datos!$C$2:$C3876),""))</f>
        <v/>
      </c>
      <c r="I3505" s="3"/>
      <c r="J3505" s="3" t="str">
        <f>IF(I3505="","",IFERROR(VLOOKUP(I3505,Base_Datos!$D$2:$E$72,2,0),""))</f>
        <v/>
      </c>
      <c r="K3505" s="3"/>
      <c r="L3505" s="3"/>
      <c r="M3505" s="3"/>
      <c r="N3505" s="3"/>
    </row>
    <row r="3506" spans="1:14" ht="14.25" x14ac:dyDescent="0.2">
      <c r="A3506" s="3"/>
      <c r="B3506" s="3"/>
      <c r="C3506" s="3"/>
      <c r="D3506" s="6"/>
      <c r="E3506" s="10"/>
      <c r="F3506" s="3" t="str">
        <f>IFERROR( VLOOKUP(A3506,#REF!,2,0),"")</f>
        <v/>
      </c>
      <c r="G3506" s="3">
        <f t="array" ref="G3506">_xlfn.XLOOKUP(I3506,Base_Datos!D:D,Base_Datos!B:B,"")</f>
        <v>0</v>
      </c>
      <c r="H3506" s="3" t="str">
        <f t="array" ref="H3506">IF(I3506="","",IFERROR(_xlfn.XLOOKUP(I3506,Base_Datos!$D$2:$D3876,Base_Datos!$C$2:$C3876),""))</f>
        <v/>
      </c>
      <c r="I3506" s="3"/>
      <c r="J3506" s="3" t="str">
        <f>IF(I3506="","",IFERROR(VLOOKUP(I3506,Base_Datos!$D$2:$E$72,2,0),""))</f>
        <v/>
      </c>
      <c r="K3506" s="3"/>
      <c r="L3506" s="3"/>
      <c r="M3506" s="3"/>
      <c r="N3506" s="3"/>
    </row>
    <row r="3507" spans="1:14" ht="14.25" x14ac:dyDescent="0.2">
      <c r="A3507" s="3"/>
      <c r="B3507" s="3"/>
      <c r="C3507" s="3"/>
      <c r="D3507" s="6"/>
      <c r="E3507" s="10"/>
      <c r="F3507" s="3" t="str">
        <f>IFERROR( VLOOKUP(A3507,#REF!,2,0),"")</f>
        <v/>
      </c>
      <c r="G3507" s="3">
        <f t="array" ref="G3507">_xlfn.XLOOKUP(I3507,Base_Datos!D:D,Base_Datos!B:B,"")</f>
        <v>0</v>
      </c>
      <c r="H3507" s="3" t="str">
        <f t="array" ref="H3507">IF(I3507="","",IFERROR(_xlfn.XLOOKUP(I3507,Base_Datos!$D$2:$D3876,Base_Datos!$C$2:$C3876),""))</f>
        <v/>
      </c>
      <c r="I3507" s="3"/>
      <c r="J3507" s="3" t="str">
        <f>IF(I3507="","",IFERROR(VLOOKUP(I3507,Base_Datos!$D$2:$E$72,2,0),""))</f>
        <v/>
      </c>
      <c r="K3507" s="3"/>
      <c r="L3507" s="3"/>
      <c r="M3507" s="3"/>
      <c r="N3507" s="3"/>
    </row>
    <row r="3508" spans="1:14" ht="14.25" x14ac:dyDescent="0.2">
      <c r="A3508" s="3"/>
      <c r="B3508" s="3"/>
      <c r="C3508" s="3"/>
      <c r="D3508" s="6"/>
      <c r="E3508" s="10"/>
      <c r="F3508" s="3" t="str">
        <f>IFERROR( VLOOKUP(A3508,#REF!,2,0),"")</f>
        <v/>
      </c>
      <c r="G3508" s="3">
        <f t="array" ref="G3508">_xlfn.XLOOKUP(I3508,Base_Datos!D:D,Base_Datos!B:B,"")</f>
        <v>0</v>
      </c>
      <c r="H3508" s="3" t="str">
        <f t="array" ref="H3508">IF(I3508="","",IFERROR(_xlfn.XLOOKUP(I3508,Base_Datos!$D$2:$D3876,Base_Datos!$C$2:$C3876),""))</f>
        <v/>
      </c>
      <c r="I3508" s="3"/>
      <c r="J3508" s="3" t="str">
        <f>IF(I3508="","",IFERROR(VLOOKUP(I3508,Base_Datos!$D$2:$E$72,2,0),""))</f>
        <v/>
      </c>
      <c r="K3508" s="3"/>
      <c r="L3508" s="3"/>
      <c r="M3508" s="3"/>
      <c r="N3508" s="3"/>
    </row>
    <row r="3509" spans="1:14" ht="14.25" x14ac:dyDescent="0.2">
      <c r="A3509" s="3"/>
      <c r="B3509" s="3"/>
      <c r="C3509" s="3"/>
      <c r="D3509" s="6"/>
      <c r="E3509" s="10"/>
      <c r="F3509" s="3" t="str">
        <f>IFERROR( VLOOKUP(A3509,#REF!,2,0),"")</f>
        <v/>
      </c>
      <c r="G3509" s="3">
        <f t="array" ref="G3509">_xlfn.XLOOKUP(I3509,Base_Datos!D:D,Base_Datos!B:B,"")</f>
        <v>0</v>
      </c>
      <c r="H3509" s="3" t="str">
        <f t="array" ref="H3509">IF(I3509="","",IFERROR(_xlfn.XLOOKUP(I3509,Base_Datos!$D$2:$D3876,Base_Datos!$C$2:$C3876),""))</f>
        <v/>
      </c>
      <c r="I3509" s="3"/>
      <c r="J3509" s="3" t="str">
        <f>IF(I3509="","",IFERROR(VLOOKUP(I3509,Base_Datos!$D$2:$E$72,2,0),""))</f>
        <v/>
      </c>
      <c r="K3509" s="3"/>
      <c r="L3509" s="3"/>
      <c r="M3509" s="3"/>
      <c r="N3509" s="3"/>
    </row>
    <row r="3510" spans="1:14" ht="14.25" x14ac:dyDescent="0.2">
      <c r="A3510" s="3"/>
      <c r="B3510" s="3"/>
      <c r="C3510" s="3"/>
      <c r="D3510" s="6"/>
      <c r="E3510" s="10"/>
      <c r="F3510" s="3" t="str">
        <f>IFERROR( VLOOKUP(A3510,#REF!,2,0),"")</f>
        <v/>
      </c>
      <c r="G3510" s="3">
        <f t="array" ref="G3510">_xlfn.XLOOKUP(I3510,Base_Datos!D:D,Base_Datos!B:B,"")</f>
        <v>0</v>
      </c>
      <c r="H3510" s="3" t="str">
        <f t="array" ref="H3510">IF(I3510="","",IFERROR(_xlfn.XLOOKUP(I3510,Base_Datos!$D$2:$D3876,Base_Datos!$C$2:$C3876),""))</f>
        <v/>
      </c>
      <c r="I3510" s="3"/>
      <c r="J3510" s="3" t="str">
        <f>IF(I3510="","",IFERROR(VLOOKUP(I3510,Base_Datos!$D$2:$E$72,2,0),""))</f>
        <v/>
      </c>
      <c r="K3510" s="3"/>
      <c r="L3510" s="3"/>
      <c r="M3510" s="3"/>
      <c r="N3510" s="3"/>
    </row>
    <row r="3511" spans="1:14" ht="14.25" x14ac:dyDescent="0.2">
      <c r="A3511" s="3"/>
      <c r="B3511" s="3"/>
      <c r="C3511" s="3"/>
      <c r="D3511" s="6"/>
      <c r="E3511" s="10"/>
      <c r="F3511" s="3" t="str">
        <f>IFERROR( VLOOKUP(A3511,#REF!,2,0),"")</f>
        <v/>
      </c>
      <c r="G3511" s="3">
        <f t="array" ref="G3511">_xlfn.XLOOKUP(I3511,Base_Datos!D:D,Base_Datos!B:B,"")</f>
        <v>0</v>
      </c>
      <c r="H3511" s="3" t="str">
        <f t="array" ref="H3511">IF(I3511="","",IFERROR(_xlfn.XLOOKUP(I3511,Base_Datos!$D$2:$D3876,Base_Datos!$C$2:$C3876),""))</f>
        <v/>
      </c>
      <c r="I3511" s="3"/>
      <c r="J3511" s="3" t="str">
        <f>IF(I3511="","",IFERROR(VLOOKUP(I3511,Base_Datos!$D$2:$E$72,2,0),""))</f>
        <v/>
      </c>
      <c r="K3511" s="3"/>
      <c r="L3511" s="3"/>
      <c r="M3511" s="3"/>
      <c r="N3511" s="3"/>
    </row>
    <row r="3512" spans="1:14" ht="14.25" x14ac:dyDescent="0.2">
      <c r="A3512" s="3"/>
      <c r="B3512" s="3"/>
      <c r="C3512" s="3"/>
      <c r="D3512" s="6"/>
      <c r="E3512" s="10"/>
      <c r="F3512" s="3" t="str">
        <f>IFERROR( VLOOKUP(A3512,#REF!,2,0),"")</f>
        <v/>
      </c>
      <c r="G3512" s="3">
        <f t="array" ref="G3512">_xlfn.XLOOKUP(I3512,Base_Datos!D:D,Base_Datos!B:B,"")</f>
        <v>0</v>
      </c>
      <c r="H3512" s="3" t="str">
        <f t="array" ref="H3512">IF(I3512="","",IFERROR(_xlfn.XLOOKUP(I3512,Base_Datos!$D$2:$D3876,Base_Datos!$C$2:$C3876),""))</f>
        <v/>
      </c>
      <c r="I3512" s="3"/>
      <c r="J3512" s="3" t="str">
        <f>IF(I3512="","",IFERROR(VLOOKUP(I3512,Base_Datos!$D$2:$E$72,2,0),""))</f>
        <v/>
      </c>
      <c r="K3512" s="3"/>
      <c r="L3512" s="3"/>
      <c r="M3512" s="3"/>
      <c r="N3512" s="3"/>
    </row>
    <row r="3513" spans="1:14" ht="14.25" x14ac:dyDescent="0.2">
      <c r="A3513" s="3"/>
      <c r="B3513" s="3"/>
      <c r="C3513" s="3"/>
      <c r="D3513" s="6"/>
      <c r="E3513" s="10"/>
      <c r="F3513" s="3" t="str">
        <f>IFERROR( VLOOKUP(A3513,#REF!,2,0),"")</f>
        <v/>
      </c>
      <c r="G3513" s="3">
        <f t="array" ref="G3513">_xlfn.XLOOKUP(I3513,Base_Datos!D:D,Base_Datos!B:B,"")</f>
        <v>0</v>
      </c>
      <c r="H3513" s="3" t="str">
        <f t="array" ref="H3513">IF(I3513="","",IFERROR(_xlfn.XLOOKUP(I3513,Base_Datos!$D$2:$D3876,Base_Datos!$C$2:$C3876),""))</f>
        <v/>
      </c>
      <c r="I3513" s="3"/>
      <c r="J3513" s="3" t="str">
        <f>IF(I3513="","",IFERROR(VLOOKUP(I3513,Base_Datos!$D$2:$E$72,2,0),""))</f>
        <v/>
      </c>
      <c r="K3513" s="3"/>
      <c r="L3513" s="3"/>
      <c r="M3513" s="3"/>
      <c r="N3513" s="3"/>
    </row>
    <row r="3514" spans="1:14" ht="14.25" x14ac:dyDescent="0.2">
      <c r="A3514" s="3"/>
      <c r="B3514" s="3"/>
      <c r="C3514" s="3"/>
      <c r="D3514" s="6"/>
      <c r="E3514" s="10"/>
      <c r="F3514" s="3" t="str">
        <f>IFERROR( VLOOKUP(A3514,#REF!,2,0),"")</f>
        <v/>
      </c>
      <c r="G3514" s="3">
        <f t="array" ref="G3514">_xlfn.XLOOKUP(I3514,Base_Datos!D:D,Base_Datos!B:B,"")</f>
        <v>0</v>
      </c>
      <c r="H3514" s="3" t="str">
        <f t="array" ref="H3514">IF(I3514="","",IFERROR(_xlfn.XLOOKUP(I3514,Base_Datos!$D$2:$D3876,Base_Datos!$C$2:$C3876),""))</f>
        <v/>
      </c>
      <c r="I3514" s="3"/>
      <c r="J3514" s="3" t="str">
        <f>IF(I3514="","",IFERROR(VLOOKUP(I3514,Base_Datos!$D$2:$E$72,2,0),""))</f>
        <v/>
      </c>
      <c r="K3514" s="3"/>
      <c r="L3514" s="3"/>
      <c r="M3514" s="3"/>
      <c r="N3514" s="3"/>
    </row>
    <row r="3515" spans="1:14" ht="14.25" x14ac:dyDescent="0.2">
      <c r="A3515" s="3"/>
      <c r="B3515" s="3"/>
      <c r="C3515" s="3"/>
      <c r="D3515" s="6"/>
      <c r="E3515" s="10"/>
      <c r="F3515" s="3" t="str">
        <f>IFERROR( VLOOKUP(A3515,#REF!,2,0),"")</f>
        <v/>
      </c>
      <c r="G3515" s="3">
        <f t="array" ref="G3515">_xlfn.XLOOKUP(I3515,Base_Datos!D:D,Base_Datos!B:B,"")</f>
        <v>0</v>
      </c>
      <c r="H3515" s="3" t="str">
        <f t="array" ref="H3515">IF(I3515="","",IFERROR(_xlfn.XLOOKUP(I3515,Base_Datos!$D$2:$D3876,Base_Datos!$C$2:$C3876),""))</f>
        <v/>
      </c>
      <c r="I3515" s="3"/>
      <c r="J3515" s="3" t="str">
        <f>IF(I3515="","",IFERROR(VLOOKUP(I3515,Base_Datos!$D$2:$E$72,2,0),""))</f>
        <v/>
      </c>
      <c r="K3515" s="3"/>
      <c r="L3515" s="3"/>
      <c r="M3515" s="3"/>
      <c r="N3515" s="3"/>
    </row>
    <row r="3516" spans="1:14" ht="14.25" x14ac:dyDescent="0.2">
      <c r="A3516" s="3"/>
      <c r="B3516" s="3"/>
      <c r="C3516" s="3"/>
      <c r="D3516" s="6"/>
      <c r="E3516" s="10"/>
      <c r="F3516" s="3" t="str">
        <f>IFERROR( VLOOKUP(A3516,#REF!,2,0),"")</f>
        <v/>
      </c>
      <c r="G3516" s="3">
        <f t="array" ref="G3516">_xlfn.XLOOKUP(I3516,Base_Datos!D:D,Base_Datos!B:B,"")</f>
        <v>0</v>
      </c>
      <c r="H3516" s="3" t="str">
        <f t="array" ref="H3516">IF(I3516="","",IFERROR(_xlfn.XLOOKUP(I3516,Base_Datos!$D$2:$D3876,Base_Datos!$C$2:$C3876),""))</f>
        <v/>
      </c>
      <c r="I3516" s="3"/>
      <c r="J3516" s="3" t="str">
        <f>IF(I3516="","",IFERROR(VLOOKUP(I3516,Base_Datos!$D$2:$E$72,2,0),""))</f>
        <v/>
      </c>
      <c r="K3516" s="3"/>
      <c r="L3516" s="3"/>
      <c r="M3516" s="3"/>
      <c r="N3516" s="3"/>
    </row>
    <row r="3517" spans="1:14" ht="14.25" x14ac:dyDescent="0.2">
      <c r="A3517" s="3"/>
      <c r="B3517" s="3"/>
      <c r="C3517" s="3"/>
      <c r="D3517" s="6"/>
      <c r="E3517" s="10"/>
      <c r="F3517" s="3" t="str">
        <f>IFERROR( VLOOKUP(A3517,#REF!,2,0),"")</f>
        <v/>
      </c>
      <c r="G3517" s="3">
        <f t="array" ref="G3517">_xlfn.XLOOKUP(I3517,Base_Datos!D:D,Base_Datos!B:B,"")</f>
        <v>0</v>
      </c>
      <c r="H3517" s="3" t="str">
        <f t="array" ref="H3517">IF(I3517="","",IFERROR(_xlfn.XLOOKUP(I3517,Base_Datos!$D$2:$D3876,Base_Datos!$C$2:$C3876),""))</f>
        <v/>
      </c>
      <c r="I3517" s="3"/>
      <c r="J3517" s="3" t="str">
        <f>IF(I3517="","",IFERROR(VLOOKUP(I3517,Base_Datos!$D$2:$E$72,2,0),""))</f>
        <v/>
      </c>
      <c r="K3517" s="3"/>
      <c r="L3517" s="3"/>
      <c r="M3517" s="3"/>
      <c r="N3517" s="3"/>
    </row>
    <row r="3518" spans="1:14" ht="14.25" x14ac:dyDescent="0.2">
      <c r="A3518" s="3"/>
      <c r="B3518" s="3"/>
      <c r="C3518" s="3"/>
      <c r="D3518" s="6"/>
      <c r="E3518" s="10"/>
      <c r="F3518" s="3" t="str">
        <f>IFERROR( VLOOKUP(A3518,#REF!,2,0),"")</f>
        <v/>
      </c>
      <c r="G3518" s="3">
        <f t="array" ref="G3518">_xlfn.XLOOKUP(I3518,Base_Datos!D:D,Base_Datos!B:B,"")</f>
        <v>0</v>
      </c>
      <c r="H3518" s="3" t="str">
        <f t="array" ref="H3518">IF(I3518="","",IFERROR(_xlfn.XLOOKUP(I3518,Base_Datos!$D$2:$D3876,Base_Datos!$C$2:$C3876),""))</f>
        <v/>
      </c>
      <c r="I3518" s="3"/>
      <c r="J3518" s="3" t="str">
        <f>IF(I3518="","",IFERROR(VLOOKUP(I3518,Base_Datos!$D$2:$E$72,2,0),""))</f>
        <v/>
      </c>
      <c r="K3518" s="3"/>
      <c r="L3518" s="3"/>
      <c r="M3518" s="3"/>
      <c r="N3518" s="3"/>
    </row>
    <row r="3519" spans="1:14" ht="14.25" x14ac:dyDescent="0.2">
      <c r="A3519" s="3"/>
      <c r="B3519" s="3"/>
      <c r="C3519" s="3"/>
      <c r="D3519" s="6"/>
      <c r="E3519" s="10"/>
      <c r="F3519" s="3" t="str">
        <f>IFERROR( VLOOKUP(A3519,#REF!,2,0),"")</f>
        <v/>
      </c>
      <c r="G3519" s="3">
        <f t="array" ref="G3519">_xlfn.XLOOKUP(I3519,Base_Datos!D:D,Base_Datos!B:B,"")</f>
        <v>0</v>
      </c>
      <c r="H3519" s="3" t="str">
        <f t="array" ref="H3519">IF(I3519="","",IFERROR(_xlfn.XLOOKUP(I3519,Base_Datos!$D$2:$D3876,Base_Datos!$C$2:$C3876),""))</f>
        <v/>
      </c>
      <c r="I3519" s="3"/>
      <c r="J3519" s="3" t="str">
        <f>IF(I3519="","",IFERROR(VLOOKUP(I3519,Base_Datos!$D$2:$E$72,2,0),""))</f>
        <v/>
      </c>
      <c r="K3519" s="3"/>
      <c r="L3519" s="3"/>
      <c r="M3519" s="3"/>
      <c r="N3519" s="3"/>
    </row>
    <row r="3520" spans="1:14" ht="14.25" x14ac:dyDescent="0.2">
      <c r="A3520" s="3"/>
      <c r="B3520" s="3"/>
      <c r="C3520" s="3"/>
      <c r="D3520" s="6"/>
      <c r="E3520" s="10"/>
      <c r="F3520" s="3" t="str">
        <f>IFERROR( VLOOKUP(A3520,#REF!,2,0),"")</f>
        <v/>
      </c>
      <c r="G3520" s="3">
        <f t="array" ref="G3520">_xlfn.XLOOKUP(I3520,Base_Datos!D:D,Base_Datos!B:B,"")</f>
        <v>0</v>
      </c>
      <c r="H3520" s="3" t="str">
        <f t="array" ref="H3520">IF(I3520="","",IFERROR(_xlfn.XLOOKUP(I3520,Base_Datos!$D$2:$D3876,Base_Datos!$C$2:$C3876),""))</f>
        <v/>
      </c>
      <c r="I3520" s="3"/>
      <c r="J3520" s="3" t="str">
        <f>IF(I3520="","",IFERROR(VLOOKUP(I3520,Base_Datos!$D$2:$E$72,2,0),""))</f>
        <v/>
      </c>
      <c r="K3520" s="3"/>
      <c r="L3520" s="3"/>
      <c r="M3520" s="3"/>
      <c r="N3520" s="3"/>
    </row>
    <row r="3521" spans="1:14" ht="14.25" x14ac:dyDescent="0.2">
      <c r="A3521" s="3"/>
      <c r="B3521" s="3"/>
      <c r="C3521" s="3"/>
      <c r="D3521" s="6"/>
      <c r="E3521" s="10"/>
      <c r="F3521" s="3" t="str">
        <f>IFERROR( VLOOKUP(A3521,#REF!,2,0),"")</f>
        <v/>
      </c>
      <c r="G3521" s="3">
        <f t="array" ref="G3521">_xlfn.XLOOKUP(I3521,Base_Datos!D:D,Base_Datos!B:B,"")</f>
        <v>0</v>
      </c>
      <c r="H3521" s="3" t="str">
        <f t="array" ref="H3521">IF(I3521="","",IFERROR(_xlfn.XLOOKUP(I3521,Base_Datos!$D$2:$D3876,Base_Datos!$C$2:$C3876),""))</f>
        <v/>
      </c>
      <c r="I3521" s="3"/>
      <c r="J3521" s="3" t="str">
        <f>IF(I3521="","",IFERROR(VLOOKUP(I3521,Base_Datos!$D$2:$E$72,2,0),""))</f>
        <v/>
      </c>
      <c r="K3521" s="3"/>
      <c r="L3521" s="3"/>
      <c r="M3521" s="3"/>
      <c r="N3521" s="3"/>
    </row>
    <row r="3522" spans="1:14" ht="14.25" x14ac:dyDescent="0.2">
      <c r="A3522" s="3"/>
      <c r="B3522" s="3"/>
      <c r="C3522" s="3"/>
      <c r="D3522" s="6"/>
      <c r="E3522" s="10"/>
      <c r="F3522" s="3" t="str">
        <f>IFERROR( VLOOKUP(A3522,#REF!,2,0),"")</f>
        <v/>
      </c>
      <c r="G3522" s="3">
        <f t="array" ref="G3522">_xlfn.XLOOKUP(I3522,Base_Datos!D:D,Base_Datos!B:B,"")</f>
        <v>0</v>
      </c>
      <c r="H3522" s="3" t="str">
        <f t="array" ref="H3522">IF(I3522="","",IFERROR(_xlfn.XLOOKUP(I3522,Base_Datos!$D$2:$D3876,Base_Datos!$C$2:$C3876),""))</f>
        <v/>
      </c>
      <c r="I3522" s="3"/>
      <c r="J3522" s="3" t="str">
        <f>IF(I3522="","",IFERROR(VLOOKUP(I3522,Base_Datos!$D$2:$E$72,2,0),""))</f>
        <v/>
      </c>
      <c r="K3522" s="3"/>
      <c r="L3522" s="3"/>
      <c r="M3522" s="3"/>
      <c r="N3522" s="3"/>
    </row>
    <row r="3523" spans="1:14" ht="14.25" x14ac:dyDescent="0.2">
      <c r="A3523" s="3"/>
      <c r="B3523" s="3"/>
      <c r="C3523" s="3"/>
      <c r="D3523" s="6"/>
      <c r="E3523" s="10"/>
      <c r="F3523" s="3" t="str">
        <f>IFERROR( VLOOKUP(A3523,#REF!,2,0),"")</f>
        <v/>
      </c>
      <c r="G3523" s="3">
        <f t="array" ref="G3523">_xlfn.XLOOKUP(I3523,Base_Datos!D:D,Base_Datos!B:B,"")</f>
        <v>0</v>
      </c>
      <c r="H3523" s="3" t="str">
        <f t="array" ref="H3523">IF(I3523="","",IFERROR(_xlfn.XLOOKUP(I3523,Base_Datos!$D$2:$D3876,Base_Datos!$C$2:$C3876),""))</f>
        <v/>
      </c>
      <c r="I3523" s="3"/>
      <c r="J3523" s="3" t="str">
        <f>IF(I3523="","",IFERROR(VLOOKUP(I3523,Base_Datos!$D$2:$E$72,2,0),""))</f>
        <v/>
      </c>
      <c r="K3523" s="3"/>
      <c r="L3523" s="3"/>
      <c r="M3523" s="3"/>
      <c r="N3523" s="3"/>
    </row>
    <row r="3524" spans="1:14" ht="14.25" x14ac:dyDescent="0.2">
      <c r="A3524" s="3"/>
      <c r="B3524" s="3"/>
      <c r="C3524" s="3"/>
      <c r="D3524" s="6"/>
      <c r="E3524" s="10"/>
      <c r="F3524" s="3" t="str">
        <f>IFERROR( VLOOKUP(A3524,#REF!,2,0),"")</f>
        <v/>
      </c>
      <c r="G3524" s="3">
        <f t="array" ref="G3524">_xlfn.XLOOKUP(I3524,Base_Datos!D:D,Base_Datos!B:B,"")</f>
        <v>0</v>
      </c>
      <c r="H3524" s="3" t="str">
        <f t="array" ref="H3524">IF(I3524="","",IFERROR(_xlfn.XLOOKUP(I3524,Base_Datos!$D$2:$D3876,Base_Datos!$C$2:$C3876),""))</f>
        <v/>
      </c>
      <c r="I3524" s="3"/>
      <c r="J3524" s="3" t="str">
        <f>IF(I3524="","",IFERROR(VLOOKUP(I3524,Base_Datos!$D$2:$E$72,2,0),""))</f>
        <v/>
      </c>
      <c r="K3524" s="3"/>
      <c r="L3524" s="3"/>
      <c r="M3524" s="3"/>
      <c r="N3524" s="3"/>
    </row>
    <row r="3525" spans="1:14" ht="14.25" x14ac:dyDescent="0.2">
      <c r="A3525" s="3"/>
      <c r="B3525" s="3"/>
      <c r="C3525" s="3"/>
      <c r="D3525" s="6"/>
      <c r="E3525" s="10"/>
      <c r="F3525" s="3" t="str">
        <f>IFERROR( VLOOKUP(A3525,#REF!,2,0),"")</f>
        <v/>
      </c>
      <c r="G3525" s="3">
        <f t="array" ref="G3525">_xlfn.XLOOKUP(I3525,Base_Datos!D:D,Base_Datos!B:B,"")</f>
        <v>0</v>
      </c>
      <c r="H3525" s="3" t="str">
        <f t="array" ref="H3525">IF(I3525="","",IFERROR(_xlfn.XLOOKUP(I3525,Base_Datos!$D$2:$D3876,Base_Datos!$C$2:$C3876),""))</f>
        <v/>
      </c>
      <c r="I3525" s="3"/>
      <c r="J3525" s="3" t="str">
        <f>IF(I3525="","",IFERROR(VLOOKUP(I3525,Base_Datos!$D$2:$E$72,2,0),""))</f>
        <v/>
      </c>
      <c r="K3525" s="3"/>
      <c r="L3525" s="3"/>
      <c r="M3525" s="3"/>
      <c r="N3525" s="3"/>
    </row>
    <row r="3526" spans="1:14" ht="14.25" x14ac:dyDescent="0.2">
      <c r="A3526" s="3"/>
      <c r="B3526" s="3"/>
      <c r="C3526" s="3"/>
      <c r="D3526" s="6"/>
      <c r="E3526" s="10"/>
      <c r="F3526" s="3" t="str">
        <f>IFERROR( VLOOKUP(A3526,#REF!,2,0),"")</f>
        <v/>
      </c>
      <c r="G3526" s="3">
        <f t="array" ref="G3526">_xlfn.XLOOKUP(I3526,Base_Datos!D:D,Base_Datos!B:B,"")</f>
        <v>0</v>
      </c>
      <c r="H3526" s="3" t="str">
        <f t="array" ref="H3526">IF(I3526="","",IFERROR(_xlfn.XLOOKUP(I3526,Base_Datos!$D$2:$D3876,Base_Datos!$C$2:$C3876),""))</f>
        <v/>
      </c>
      <c r="I3526" s="3"/>
      <c r="J3526" s="3" t="str">
        <f>IF(I3526="","",IFERROR(VLOOKUP(I3526,Base_Datos!$D$2:$E$72,2,0),""))</f>
        <v/>
      </c>
      <c r="K3526" s="3"/>
      <c r="L3526" s="3"/>
      <c r="M3526" s="3"/>
      <c r="N3526" s="3"/>
    </row>
    <row r="3527" spans="1:14" ht="14.25" x14ac:dyDescent="0.2">
      <c r="A3527" s="3"/>
      <c r="B3527" s="3"/>
      <c r="C3527" s="3"/>
      <c r="D3527" s="6"/>
      <c r="E3527" s="10"/>
      <c r="F3527" s="3" t="str">
        <f>IFERROR( VLOOKUP(A3527,#REF!,2,0),"")</f>
        <v/>
      </c>
      <c r="G3527" s="3">
        <f t="array" ref="G3527">_xlfn.XLOOKUP(I3527,Base_Datos!D:D,Base_Datos!B:B,"")</f>
        <v>0</v>
      </c>
      <c r="H3527" s="3" t="str">
        <f t="array" ref="H3527">IF(I3527="","",IFERROR(_xlfn.XLOOKUP(I3527,Base_Datos!$D$2:$D3876,Base_Datos!$C$2:$C3876),""))</f>
        <v/>
      </c>
      <c r="I3527" s="3"/>
      <c r="J3527" s="3" t="str">
        <f>IF(I3527="","",IFERROR(VLOOKUP(I3527,Base_Datos!$D$2:$E$72,2,0),""))</f>
        <v/>
      </c>
      <c r="K3527" s="3"/>
      <c r="L3527" s="3"/>
      <c r="M3527" s="3"/>
      <c r="N3527" s="3"/>
    </row>
    <row r="3528" spans="1:14" ht="14.25" x14ac:dyDescent="0.2">
      <c r="A3528" s="3"/>
      <c r="B3528" s="3"/>
      <c r="C3528" s="3"/>
      <c r="D3528" s="6"/>
      <c r="E3528" s="10"/>
      <c r="F3528" s="3" t="str">
        <f>IFERROR( VLOOKUP(A3528,#REF!,2,0),"")</f>
        <v/>
      </c>
      <c r="G3528" s="3">
        <f t="array" ref="G3528">_xlfn.XLOOKUP(I3528,Base_Datos!D:D,Base_Datos!B:B,"")</f>
        <v>0</v>
      </c>
      <c r="H3528" s="3" t="str">
        <f t="array" ref="H3528">IF(I3528="","",IFERROR(_xlfn.XLOOKUP(I3528,Base_Datos!$D$2:$D3876,Base_Datos!$C$2:$C3876),""))</f>
        <v/>
      </c>
      <c r="I3528" s="3"/>
      <c r="J3528" s="3" t="str">
        <f>IF(I3528="","",IFERROR(VLOOKUP(I3528,Base_Datos!$D$2:$E$72,2,0),""))</f>
        <v/>
      </c>
      <c r="K3528" s="3"/>
      <c r="L3528" s="3"/>
      <c r="M3528" s="3"/>
      <c r="N3528" s="3"/>
    </row>
    <row r="3529" spans="1:14" ht="14.25" x14ac:dyDescent="0.2">
      <c r="A3529" s="3"/>
      <c r="B3529" s="3"/>
      <c r="C3529" s="3"/>
      <c r="D3529" s="6"/>
      <c r="E3529" s="10"/>
      <c r="F3529" s="3" t="str">
        <f>IFERROR( VLOOKUP(A3529,#REF!,2,0),"")</f>
        <v/>
      </c>
      <c r="G3529" s="3">
        <f t="array" ref="G3529">_xlfn.XLOOKUP(I3529,Base_Datos!D:D,Base_Datos!B:B,"")</f>
        <v>0</v>
      </c>
      <c r="H3529" s="3" t="str">
        <f t="array" ref="H3529">IF(I3529="","",IFERROR(_xlfn.XLOOKUP(I3529,Base_Datos!$D$2:$D3876,Base_Datos!$C$2:$C3876),""))</f>
        <v/>
      </c>
      <c r="I3529" s="3"/>
      <c r="J3529" s="3" t="str">
        <f>IF(I3529="","",IFERROR(VLOOKUP(I3529,Base_Datos!$D$2:$E$72,2,0),""))</f>
        <v/>
      </c>
      <c r="K3529" s="3"/>
      <c r="L3529" s="3"/>
      <c r="M3529" s="3"/>
      <c r="N3529" s="3"/>
    </row>
    <row r="3530" spans="1:14" ht="14.25" x14ac:dyDescent="0.2">
      <c r="A3530" s="3"/>
      <c r="B3530" s="3"/>
      <c r="C3530" s="3"/>
      <c r="D3530" s="6"/>
      <c r="E3530" s="10"/>
      <c r="F3530" s="3" t="str">
        <f>IFERROR( VLOOKUP(A3530,#REF!,2,0),"")</f>
        <v/>
      </c>
      <c r="G3530" s="3">
        <f t="array" ref="G3530">_xlfn.XLOOKUP(I3530,Base_Datos!D:D,Base_Datos!B:B,"")</f>
        <v>0</v>
      </c>
      <c r="H3530" s="3" t="str">
        <f t="array" ref="H3530">IF(I3530="","",IFERROR(_xlfn.XLOOKUP(I3530,Base_Datos!$D$2:$D3876,Base_Datos!$C$2:$C3876),""))</f>
        <v/>
      </c>
      <c r="I3530" s="3"/>
      <c r="J3530" s="3" t="str">
        <f>IF(I3530="","",IFERROR(VLOOKUP(I3530,Base_Datos!$D$2:$E$72,2,0),""))</f>
        <v/>
      </c>
      <c r="K3530" s="3"/>
      <c r="L3530" s="3"/>
      <c r="M3530" s="3"/>
      <c r="N3530" s="3"/>
    </row>
    <row r="3531" spans="1:14" ht="14.25" x14ac:dyDescent="0.2">
      <c r="A3531" s="3"/>
      <c r="B3531" s="3"/>
      <c r="C3531" s="3"/>
      <c r="D3531" s="6"/>
      <c r="E3531" s="10"/>
      <c r="F3531" s="3" t="str">
        <f>IFERROR( VLOOKUP(A3531,#REF!,2,0),"")</f>
        <v/>
      </c>
      <c r="G3531" s="3">
        <f t="array" ref="G3531">_xlfn.XLOOKUP(I3531,Base_Datos!D:D,Base_Datos!B:B,"")</f>
        <v>0</v>
      </c>
      <c r="H3531" s="3" t="str">
        <f t="array" ref="H3531">IF(I3531="","",IFERROR(_xlfn.XLOOKUP(I3531,Base_Datos!$D$2:$D3876,Base_Datos!$C$2:$C3876),""))</f>
        <v/>
      </c>
      <c r="I3531" s="3"/>
      <c r="J3531" s="3" t="str">
        <f>IF(I3531="","",IFERROR(VLOOKUP(I3531,Base_Datos!$D$2:$E$72,2,0),""))</f>
        <v/>
      </c>
      <c r="K3531" s="3"/>
      <c r="L3531" s="3"/>
      <c r="M3531" s="3"/>
      <c r="N3531" s="3"/>
    </row>
    <row r="3532" spans="1:14" ht="14.25" x14ac:dyDescent="0.2">
      <c r="A3532" s="3"/>
      <c r="B3532" s="3"/>
      <c r="C3532" s="3"/>
      <c r="D3532" s="6"/>
      <c r="E3532" s="10"/>
      <c r="F3532" s="3" t="str">
        <f>IFERROR( VLOOKUP(A3532,#REF!,2,0),"")</f>
        <v/>
      </c>
      <c r="G3532" s="3">
        <f t="array" ref="G3532">_xlfn.XLOOKUP(I3532,Base_Datos!D:D,Base_Datos!B:B,"")</f>
        <v>0</v>
      </c>
      <c r="H3532" s="3" t="str">
        <f t="array" ref="H3532">IF(I3532="","",IFERROR(_xlfn.XLOOKUP(I3532,Base_Datos!$D$2:$D3876,Base_Datos!$C$2:$C3876),""))</f>
        <v/>
      </c>
      <c r="I3532" s="3"/>
      <c r="J3532" s="3" t="str">
        <f>IF(I3532="","",IFERROR(VLOOKUP(I3532,Base_Datos!$D$2:$E$72,2,0),""))</f>
        <v/>
      </c>
      <c r="K3532" s="3"/>
      <c r="L3532" s="3"/>
      <c r="M3532" s="3"/>
      <c r="N3532" s="3"/>
    </row>
    <row r="3533" spans="1:14" ht="14.25" x14ac:dyDescent="0.2">
      <c r="A3533" s="3"/>
      <c r="B3533" s="3"/>
      <c r="C3533" s="3"/>
      <c r="D3533" s="6"/>
      <c r="E3533" s="10"/>
      <c r="F3533" s="3" t="str">
        <f>IFERROR( VLOOKUP(A3533,#REF!,2,0),"")</f>
        <v/>
      </c>
      <c r="G3533" s="3">
        <f t="array" ref="G3533">_xlfn.XLOOKUP(I3533,Base_Datos!D:D,Base_Datos!B:B,"")</f>
        <v>0</v>
      </c>
      <c r="H3533" s="3" t="str">
        <f t="array" ref="H3533">IF(I3533="","",IFERROR(_xlfn.XLOOKUP(I3533,Base_Datos!$D$2:$D3876,Base_Datos!$C$2:$C3876),""))</f>
        <v/>
      </c>
      <c r="I3533" s="3"/>
      <c r="J3533" s="3" t="str">
        <f>IF(I3533="","",IFERROR(VLOOKUP(I3533,Base_Datos!$D$2:$E$72,2,0),""))</f>
        <v/>
      </c>
      <c r="K3533" s="3"/>
      <c r="L3533" s="3"/>
      <c r="M3533" s="3"/>
      <c r="N3533" s="3"/>
    </row>
    <row r="3534" spans="1:14" ht="14.25" x14ac:dyDescent="0.2">
      <c r="A3534" s="3"/>
      <c r="B3534" s="3"/>
      <c r="C3534" s="3"/>
      <c r="D3534" s="6"/>
      <c r="E3534" s="10"/>
      <c r="F3534" s="3" t="str">
        <f>IFERROR( VLOOKUP(A3534,#REF!,2,0),"")</f>
        <v/>
      </c>
      <c r="G3534" s="3">
        <f t="array" ref="G3534">_xlfn.XLOOKUP(I3534,Base_Datos!D:D,Base_Datos!B:B,"")</f>
        <v>0</v>
      </c>
      <c r="H3534" s="3" t="str">
        <f t="array" ref="H3534">IF(I3534="","",IFERROR(_xlfn.XLOOKUP(I3534,Base_Datos!$D$2:$D3876,Base_Datos!$C$2:$C3876),""))</f>
        <v/>
      </c>
      <c r="I3534" s="3"/>
      <c r="J3534" s="3" t="str">
        <f>IF(I3534="","",IFERROR(VLOOKUP(I3534,Base_Datos!$D$2:$E$72,2,0),""))</f>
        <v/>
      </c>
      <c r="K3534" s="3"/>
      <c r="L3534" s="3"/>
      <c r="M3534" s="3"/>
      <c r="N3534" s="3"/>
    </row>
    <row r="3535" spans="1:14" ht="14.25" x14ac:dyDescent="0.2">
      <c r="A3535" s="3"/>
      <c r="B3535" s="3"/>
      <c r="C3535" s="3"/>
      <c r="D3535" s="6"/>
      <c r="E3535" s="10"/>
      <c r="F3535" s="3" t="str">
        <f>IFERROR( VLOOKUP(A3535,#REF!,2,0),"")</f>
        <v/>
      </c>
      <c r="G3535" s="3">
        <f t="array" ref="G3535">_xlfn.XLOOKUP(I3535,Base_Datos!D:D,Base_Datos!B:B,"")</f>
        <v>0</v>
      </c>
      <c r="H3535" s="3" t="str">
        <f t="array" ref="H3535">IF(I3535="","",IFERROR(_xlfn.XLOOKUP(I3535,Base_Datos!$D$2:$D3876,Base_Datos!$C$2:$C3876),""))</f>
        <v/>
      </c>
      <c r="I3535" s="3"/>
      <c r="J3535" s="3" t="str">
        <f>IF(I3535="","",IFERROR(VLOOKUP(I3535,Base_Datos!$D$2:$E$72,2,0),""))</f>
        <v/>
      </c>
      <c r="K3535" s="3"/>
      <c r="L3535" s="3"/>
      <c r="M3535" s="3"/>
      <c r="N3535" s="3"/>
    </row>
    <row r="3536" spans="1:14" ht="14.25" x14ac:dyDescent="0.2">
      <c r="A3536" s="3"/>
      <c r="B3536" s="3"/>
      <c r="C3536" s="3"/>
      <c r="D3536" s="6"/>
      <c r="E3536" s="10"/>
      <c r="F3536" s="3" t="str">
        <f>IFERROR( VLOOKUP(A3536,#REF!,2,0),"")</f>
        <v/>
      </c>
      <c r="G3536" s="3">
        <f t="array" ref="G3536">_xlfn.XLOOKUP(I3536,Base_Datos!D:D,Base_Datos!B:B,"")</f>
        <v>0</v>
      </c>
      <c r="H3536" s="3" t="str">
        <f t="array" ref="H3536">IF(I3536="","",IFERROR(_xlfn.XLOOKUP(I3536,Base_Datos!$D$2:$D3876,Base_Datos!$C$2:$C3876),""))</f>
        <v/>
      </c>
      <c r="I3536" s="3"/>
      <c r="J3536" s="3" t="str">
        <f>IF(I3536="","",IFERROR(VLOOKUP(I3536,Base_Datos!$D$2:$E$72,2,0),""))</f>
        <v/>
      </c>
      <c r="K3536" s="3"/>
      <c r="L3536" s="3"/>
      <c r="M3536" s="3"/>
      <c r="N3536" s="3"/>
    </row>
    <row r="3537" spans="1:14" ht="14.25" x14ac:dyDescent="0.2">
      <c r="A3537" s="3"/>
      <c r="B3537" s="3"/>
      <c r="C3537" s="3"/>
      <c r="D3537" s="6"/>
      <c r="E3537" s="10"/>
      <c r="F3537" s="3" t="str">
        <f>IFERROR( VLOOKUP(A3537,#REF!,2,0),"")</f>
        <v/>
      </c>
      <c r="G3537" s="3">
        <f t="array" ref="G3537">_xlfn.XLOOKUP(I3537,Base_Datos!D:D,Base_Datos!B:B,"")</f>
        <v>0</v>
      </c>
      <c r="H3537" s="3" t="str">
        <f t="array" ref="H3537">IF(I3537="","",IFERROR(_xlfn.XLOOKUP(I3537,Base_Datos!$D$2:$D3876,Base_Datos!$C$2:$C3876),""))</f>
        <v/>
      </c>
      <c r="I3537" s="3"/>
      <c r="J3537" s="3" t="str">
        <f>IF(I3537="","",IFERROR(VLOOKUP(I3537,Base_Datos!$D$2:$E$72,2,0),""))</f>
        <v/>
      </c>
      <c r="K3537" s="3"/>
      <c r="L3537" s="3"/>
      <c r="M3537" s="3"/>
      <c r="N3537" s="3"/>
    </row>
    <row r="3538" spans="1:14" ht="14.25" x14ac:dyDescent="0.2">
      <c r="A3538" s="3"/>
      <c r="B3538" s="3"/>
      <c r="C3538" s="3"/>
      <c r="D3538" s="6"/>
      <c r="E3538" s="10"/>
      <c r="F3538" s="3" t="str">
        <f>IFERROR( VLOOKUP(A3538,#REF!,2,0),"")</f>
        <v/>
      </c>
      <c r="G3538" s="3">
        <f t="array" ref="G3538">_xlfn.XLOOKUP(I3538,Base_Datos!D:D,Base_Datos!B:B,"")</f>
        <v>0</v>
      </c>
      <c r="H3538" s="3" t="str">
        <f t="array" ref="H3538">IF(I3538="","",IFERROR(_xlfn.XLOOKUP(I3538,Base_Datos!$D$2:$D3876,Base_Datos!$C$2:$C3876),""))</f>
        <v/>
      </c>
      <c r="I3538" s="3"/>
      <c r="J3538" s="3" t="str">
        <f>IF(I3538="","",IFERROR(VLOOKUP(I3538,Base_Datos!$D$2:$E$72,2,0),""))</f>
        <v/>
      </c>
      <c r="K3538" s="3"/>
      <c r="L3538" s="3"/>
      <c r="M3538" s="3"/>
      <c r="N3538" s="3"/>
    </row>
    <row r="3539" spans="1:14" ht="14.25" x14ac:dyDescent="0.2">
      <c r="A3539" s="3"/>
      <c r="B3539" s="3"/>
      <c r="C3539" s="3"/>
      <c r="D3539" s="6"/>
      <c r="E3539" s="10"/>
      <c r="F3539" s="3" t="str">
        <f>IFERROR( VLOOKUP(A3539,#REF!,2,0),"")</f>
        <v/>
      </c>
      <c r="G3539" s="3">
        <f t="array" ref="G3539">_xlfn.XLOOKUP(I3539,Base_Datos!D:D,Base_Datos!B:B,"")</f>
        <v>0</v>
      </c>
      <c r="H3539" s="3" t="str">
        <f t="array" ref="H3539">IF(I3539="","",IFERROR(_xlfn.XLOOKUP(I3539,Base_Datos!$D$2:$D3876,Base_Datos!$C$2:$C3876),""))</f>
        <v/>
      </c>
      <c r="I3539" s="3"/>
      <c r="J3539" s="3" t="str">
        <f>IF(I3539="","",IFERROR(VLOOKUP(I3539,Base_Datos!$D$2:$E$72,2,0),""))</f>
        <v/>
      </c>
      <c r="K3539" s="3"/>
      <c r="L3539" s="3"/>
      <c r="M3539" s="3"/>
      <c r="N3539" s="3"/>
    </row>
    <row r="3540" spans="1:14" ht="14.25" x14ac:dyDescent="0.2">
      <c r="A3540" s="3"/>
      <c r="B3540" s="3"/>
      <c r="C3540" s="3"/>
      <c r="D3540" s="6"/>
      <c r="E3540" s="10"/>
      <c r="F3540" s="3" t="str">
        <f>IFERROR( VLOOKUP(A3540,#REF!,2,0),"")</f>
        <v/>
      </c>
      <c r="G3540" s="3">
        <f t="array" ref="G3540">_xlfn.XLOOKUP(I3540,Base_Datos!D:D,Base_Datos!B:B,"")</f>
        <v>0</v>
      </c>
      <c r="H3540" s="3" t="str">
        <f t="array" ref="H3540">IF(I3540="","",IFERROR(_xlfn.XLOOKUP(I3540,Base_Datos!$D$2:$D3876,Base_Datos!$C$2:$C3876),""))</f>
        <v/>
      </c>
      <c r="I3540" s="3"/>
      <c r="J3540" s="3" t="str">
        <f>IF(I3540="","",IFERROR(VLOOKUP(I3540,Base_Datos!$D$2:$E$72,2,0),""))</f>
        <v/>
      </c>
      <c r="K3540" s="3"/>
      <c r="L3540" s="3"/>
      <c r="M3540" s="3"/>
      <c r="N3540" s="3"/>
    </row>
    <row r="3541" spans="1:14" ht="14.25" x14ac:dyDescent="0.2">
      <c r="A3541" s="3"/>
      <c r="B3541" s="3"/>
      <c r="C3541" s="3"/>
      <c r="D3541" s="6"/>
      <c r="E3541" s="10"/>
      <c r="F3541" s="3" t="str">
        <f>IFERROR( VLOOKUP(A3541,#REF!,2,0),"")</f>
        <v/>
      </c>
      <c r="G3541" s="3">
        <f t="array" ref="G3541">_xlfn.XLOOKUP(I3541,Base_Datos!D:D,Base_Datos!B:B,"")</f>
        <v>0</v>
      </c>
      <c r="H3541" s="3" t="str">
        <f t="array" ref="H3541">IF(I3541="","",IFERROR(_xlfn.XLOOKUP(I3541,Base_Datos!$D$2:$D3876,Base_Datos!$C$2:$C3876),""))</f>
        <v/>
      </c>
      <c r="I3541" s="3"/>
      <c r="J3541" s="3" t="str">
        <f>IF(I3541="","",IFERROR(VLOOKUP(I3541,Base_Datos!$D$2:$E$72,2,0),""))</f>
        <v/>
      </c>
      <c r="K3541" s="3"/>
      <c r="L3541" s="3"/>
      <c r="M3541" s="3"/>
      <c r="N3541" s="3"/>
    </row>
    <row r="3542" spans="1:14" ht="14.25" x14ac:dyDescent="0.2">
      <c r="A3542" s="3"/>
      <c r="B3542" s="3"/>
      <c r="C3542" s="3"/>
      <c r="D3542" s="6"/>
      <c r="E3542" s="10"/>
      <c r="F3542" s="3" t="str">
        <f>IFERROR( VLOOKUP(A3542,#REF!,2,0),"")</f>
        <v/>
      </c>
      <c r="G3542" s="3">
        <f t="array" ref="G3542">_xlfn.XLOOKUP(I3542,Base_Datos!D:D,Base_Datos!B:B,"")</f>
        <v>0</v>
      </c>
      <c r="H3542" s="3" t="str">
        <f t="array" ref="H3542">IF(I3542="","",IFERROR(_xlfn.XLOOKUP(I3542,Base_Datos!$D$2:$D3876,Base_Datos!$C$2:$C3876),""))</f>
        <v/>
      </c>
      <c r="I3542" s="3"/>
      <c r="J3542" s="3" t="str">
        <f>IF(I3542="","",IFERROR(VLOOKUP(I3542,Base_Datos!$D$2:$E$72,2,0),""))</f>
        <v/>
      </c>
      <c r="K3542" s="3"/>
      <c r="L3542" s="3"/>
      <c r="M3542" s="3"/>
      <c r="N3542" s="3"/>
    </row>
    <row r="3543" spans="1:14" ht="14.25" x14ac:dyDescent="0.2">
      <c r="A3543" s="3"/>
      <c r="B3543" s="3"/>
      <c r="C3543" s="3"/>
      <c r="D3543" s="6"/>
      <c r="E3543" s="10"/>
      <c r="F3543" s="3" t="str">
        <f>IFERROR( VLOOKUP(A3543,#REF!,2,0),"")</f>
        <v/>
      </c>
      <c r="G3543" s="3">
        <f t="array" ref="G3543">_xlfn.XLOOKUP(I3543,Base_Datos!D:D,Base_Datos!B:B,"")</f>
        <v>0</v>
      </c>
      <c r="H3543" s="3" t="str">
        <f t="array" ref="H3543">IF(I3543="","",IFERROR(_xlfn.XLOOKUP(I3543,Base_Datos!$D$2:$D3876,Base_Datos!$C$2:$C3876),""))</f>
        <v/>
      </c>
      <c r="I3543" s="3"/>
      <c r="J3543" s="3" t="str">
        <f>IF(I3543="","",IFERROR(VLOOKUP(I3543,Base_Datos!$D$2:$E$72,2,0),""))</f>
        <v/>
      </c>
      <c r="K3543" s="3"/>
      <c r="L3543" s="3"/>
      <c r="M3543" s="3"/>
      <c r="N3543" s="3"/>
    </row>
    <row r="3544" spans="1:14" ht="14.25" x14ac:dyDescent="0.2">
      <c r="A3544" s="3"/>
      <c r="B3544" s="3"/>
      <c r="C3544" s="3"/>
      <c r="D3544" s="6"/>
      <c r="E3544" s="10"/>
      <c r="F3544" s="3" t="str">
        <f>IFERROR( VLOOKUP(A3544,#REF!,2,0),"")</f>
        <v/>
      </c>
      <c r="G3544" s="3">
        <f t="array" ref="G3544">_xlfn.XLOOKUP(I3544,Base_Datos!D:D,Base_Datos!B:B,"")</f>
        <v>0</v>
      </c>
      <c r="H3544" s="3" t="str">
        <f t="array" ref="H3544">IF(I3544="","",IFERROR(_xlfn.XLOOKUP(I3544,Base_Datos!$D$2:$D3876,Base_Datos!$C$2:$C3876),""))</f>
        <v/>
      </c>
      <c r="I3544" s="3"/>
      <c r="J3544" s="3" t="str">
        <f>IF(I3544="","",IFERROR(VLOOKUP(I3544,Base_Datos!$D$2:$E$72,2,0),""))</f>
        <v/>
      </c>
      <c r="K3544" s="3"/>
      <c r="L3544" s="3"/>
      <c r="M3544" s="3"/>
      <c r="N3544" s="3"/>
    </row>
    <row r="3545" spans="1:14" ht="14.25" x14ac:dyDescent="0.2">
      <c r="A3545" s="3"/>
      <c r="B3545" s="3"/>
      <c r="C3545" s="3"/>
      <c r="D3545" s="6"/>
      <c r="E3545" s="10"/>
      <c r="F3545" s="3" t="str">
        <f>IFERROR( VLOOKUP(A3545,#REF!,2,0),"")</f>
        <v/>
      </c>
      <c r="G3545" s="3">
        <f t="array" ref="G3545">_xlfn.XLOOKUP(I3545,Base_Datos!D:D,Base_Datos!B:B,"")</f>
        <v>0</v>
      </c>
      <c r="H3545" s="3" t="str">
        <f t="array" ref="H3545">IF(I3545="","",IFERROR(_xlfn.XLOOKUP(I3545,Base_Datos!$D$2:$D3876,Base_Datos!$C$2:$C3876),""))</f>
        <v/>
      </c>
      <c r="I3545" s="3"/>
      <c r="J3545" s="3" t="str">
        <f>IF(I3545="","",IFERROR(VLOOKUP(I3545,Base_Datos!$D$2:$E$72,2,0),""))</f>
        <v/>
      </c>
      <c r="K3545" s="3"/>
      <c r="L3545" s="3"/>
      <c r="M3545" s="3"/>
      <c r="N3545" s="3"/>
    </row>
    <row r="3546" spans="1:14" ht="14.25" x14ac:dyDescent="0.2">
      <c r="A3546" s="3"/>
      <c r="B3546" s="3"/>
      <c r="C3546" s="3"/>
      <c r="D3546" s="6"/>
      <c r="E3546" s="10"/>
      <c r="F3546" s="3" t="str">
        <f>IFERROR( VLOOKUP(A3546,#REF!,2,0),"")</f>
        <v/>
      </c>
      <c r="G3546" s="3">
        <f t="array" ref="G3546">_xlfn.XLOOKUP(I3546,Base_Datos!D:D,Base_Datos!B:B,"")</f>
        <v>0</v>
      </c>
      <c r="H3546" s="3" t="str">
        <f t="array" ref="H3546">IF(I3546="","",IFERROR(_xlfn.XLOOKUP(I3546,Base_Datos!$D$2:$D3876,Base_Datos!$C$2:$C3876),""))</f>
        <v/>
      </c>
      <c r="I3546" s="3"/>
      <c r="J3546" s="3" t="str">
        <f>IF(I3546="","",IFERROR(VLOOKUP(I3546,Base_Datos!$D$2:$E$72,2,0),""))</f>
        <v/>
      </c>
      <c r="K3546" s="3"/>
      <c r="L3546" s="3"/>
      <c r="M3546" s="3"/>
      <c r="N3546" s="3"/>
    </row>
    <row r="3547" spans="1:14" ht="14.25" x14ac:dyDescent="0.2">
      <c r="A3547" s="3"/>
      <c r="B3547" s="3"/>
      <c r="C3547" s="3"/>
      <c r="D3547" s="6"/>
      <c r="E3547" s="10"/>
      <c r="F3547" s="3" t="str">
        <f>IFERROR( VLOOKUP(A3547,#REF!,2,0),"")</f>
        <v/>
      </c>
      <c r="G3547" s="3">
        <f t="array" ref="G3547">_xlfn.XLOOKUP(I3547,Base_Datos!D:D,Base_Datos!B:B,"")</f>
        <v>0</v>
      </c>
      <c r="H3547" s="3" t="str">
        <f t="array" ref="H3547">IF(I3547="","",IFERROR(_xlfn.XLOOKUP(I3547,Base_Datos!$D$2:$D3876,Base_Datos!$C$2:$C3876),""))</f>
        <v/>
      </c>
      <c r="I3547" s="3"/>
      <c r="J3547" s="3" t="str">
        <f>IF(I3547="","",IFERROR(VLOOKUP(I3547,Base_Datos!$D$2:$E$72,2,0),""))</f>
        <v/>
      </c>
      <c r="K3547" s="3"/>
      <c r="L3547" s="3"/>
      <c r="M3547" s="3"/>
      <c r="N3547" s="3"/>
    </row>
    <row r="3548" spans="1:14" ht="14.25" x14ac:dyDescent="0.2">
      <c r="A3548" s="3"/>
      <c r="B3548" s="3"/>
      <c r="C3548" s="3"/>
      <c r="D3548" s="6"/>
      <c r="E3548" s="10"/>
      <c r="F3548" s="3" t="str">
        <f>IFERROR( VLOOKUP(A3548,#REF!,2,0),"")</f>
        <v/>
      </c>
      <c r="G3548" s="3">
        <f t="array" ref="G3548">_xlfn.XLOOKUP(I3548,Base_Datos!D:D,Base_Datos!B:B,"")</f>
        <v>0</v>
      </c>
      <c r="H3548" s="3" t="str">
        <f t="array" ref="H3548">IF(I3548="","",IFERROR(_xlfn.XLOOKUP(I3548,Base_Datos!$D$2:$D3876,Base_Datos!$C$2:$C3876),""))</f>
        <v/>
      </c>
      <c r="I3548" s="3"/>
      <c r="J3548" s="3" t="str">
        <f>IF(I3548="","",IFERROR(VLOOKUP(I3548,Base_Datos!$D$2:$E$72,2,0),""))</f>
        <v/>
      </c>
      <c r="K3548" s="3"/>
      <c r="L3548" s="3"/>
      <c r="M3548" s="3"/>
      <c r="N3548" s="3"/>
    </row>
    <row r="3549" spans="1:14" ht="14.25" x14ac:dyDescent="0.2">
      <c r="A3549" s="3"/>
      <c r="B3549" s="3"/>
      <c r="C3549" s="3"/>
      <c r="D3549" s="6"/>
      <c r="E3549" s="10"/>
      <c r="F3549" s="3" t="str">
        <f>IFERROR( VLOOKUP(A3549,#REF!,2,0),"")</f>
        <v/>
      </c>
      <c r="G3549" s="3">
        <f t="array" ref="G3549">_xlfn.XLOOKUP(I3549,Base_Datos!D:D,Base_Datos!B:B,"")</f>
        <v>0</v>
      </c>
      <c r="H3549" s="3" t="str">
        <f t="array" ref="H3549">IF(I3549="","",IFERROR(_xlfn.XLOOKUP(I3549,Base_Datos!$D$2:$D3876,Base_Datos!$C$2:$C3876),""))</f>
        <v/>
      </c>
      <c r="I3549" s="3"/>
      <c r="J3549" s="3" t="str">
        <f>IF(I3549="","",IFERROR(VLOOKUP(I3549,Base_Datos!$D$2:$E$72,2,0),""))</f>
        <v/>
      </c>
      <c r="K3549" s="3"/>
      <c r="L3549" s="3"/>
      <c r="M3549" s="3"/>
      <c r="N3549" s="3"/>
    </row>
    <row r="3550" spans="1:14" ht="14.25" x14ac:dyDescent="0.2">
      <c r="A3550" s="3"/>
      <c r="B3550" s="3"/>
      <c r="C3550" s="3"/>
      <c r="D3550" s="6"/>
      <c r="E3550" s="10"/>
      <c r="F3550" s="3" t="str">
        <f>IFERROR( VLOOKUP(A3550,#REF!,2,0),"")</f>
        <v/>
      </c>
      <c r="G3550" s="3">
        <f t="array" ref="G3550">_xlfn.XLOOKUP(I3550,Base_Datos!D:D,Base_Datos!B:B,"")</f>
        <v>0</v>
      </c>
      <c r="H3550" s="3" t="str">
        <f t="array" ref="H3550">IF(I3550="","",IFERROR(_xlfn.XLOOKUP(I3550,Base_Datos!$D$2:$D3876,Base_Datos!$C$2:$C3876),""))</f>
        <v/>
      </c>
      <c r="I3550" s="3"/>
      <c r="J3550" s="3" t="str">
        <f>IF(I3550="","",IFERROR(VLOOKUP(I3550,Base_Datos!$D$2:$E$72,2,0),""))</f>
        <v/>
      </c>
      <c r="K3550" s="3"/>
      <c r="L3550" s="3"/>
      <c r="M3550" s="3"/>
      <c r="N3550" s="3"/>
    </row>
    <row r="3551" spans="1:14" ht="14.25" x14ac:dyDescent="0.2">
      <c r="A3551" s="3"/>
      <c r="B3551" s="3"/>
      <c r="C3551" s="3"/>
      <c r="D3551" s="6"/>
      <c r="E3551" s="10"/>
      <c r="F3551" s="3" t="str">
        <f>IFERROR( VLOOKUP(A3551,#REF!,2,0),"")</f>
        <v/>
      </c>
      <c r="G3551" s="3">
        <f t="array" ref="G3551">_xlfn.XLOOKUP(I3551,Base_Datos!D:D,Base_Datos!B:B,"")</f>
        <v>0</v>
      </c>
      <c r="H3551" s="3" t="str">
        <f t="array" ref="H3551">IF(I3551="","",IFERROR(_xlfn.XLOOKUP(I3551,Base_Datos!$D$2:$D3876,Base_Datos!$C$2:$C3876),""))</f>
        <v/>
      </c>
      <c r="I3551" s="3"/>
      <c r="J3551" s="3" t="str">
        <f>IF(I3551="","",IFERROR(VLOOKUP(I3551,Base_Datos!$D$2:$E$72,2,0),""))</f>
        <v/>
      </c>
      <c r="K3551" s="3"/>
      <c r="L3551" s="3"/>
      <c r="M3551" s="3"/>
      <c r="N3551" s="3"/>
    </row>
    <row r="3552" spans="1:14" ht="14.25" x14ac:dyDescent="0.2">
      <c r="A3552" s="3"/>
      <c r="B3552" s="3"/>
      <c r="C3552" s="3"/>
      <c r="D3552" s="6"/>
      <c r="E3552" s="10"/>
      <c r="F3552" s="3" t="str">
        <f>IFERROR( VLOOKUP(A3552,#REF!,2,0),"")</f>
        <v/>
      </c>
      <c r="G3552" s="3">
        <f t="array" ref="G3552">_xlfn.XLOOKUP(I3552,Base_Datos!D:D,Base_Datos!B:B,"")</f>
        <v>0</v>
      </c>
      <c r="H3552" s="3" t="str">
        <f t="array" ref="H3552">IF(I3552="","",IFERROR(_xlfn.XLOOKUP(I3552,Base_Datos!$D$2:$D3876,Base_Datos!$C$2:$C3876),""))</f>
        <v/>
      </c>
      <c r="I3552" s="3"/>
      <c r="J3552" s="3" t="str">
        <f>IF(I3552="","",IFERROR(VLOOKUP(I3552,Base_Datos!$D$2:$E$72,2,0),""))</f>
        <v/>
      </c>
      <c r="K3552" s="3"/>
      <c r="L3552" s="3"/>
      <c r="M3552" s="3"/>
      <c r="N3552" s="3"/>
    </row>
    <row r="3553" spans="1:14" ht="14.25" x14ac:dyDescent="0.2">
      <c r="A3553" s="3"/>
      <c r="B3553" s="3"/>
      <c r="C3553" s="3"/>
      <c r="D3553" s="6"/>
      <c r="E3553" s="10"/>
      <c r="F3553" s="3" t="str">
        <f>IFERROR( VLOOKUP(A3553,#REF!,2,0),"")</f>
        <v/>
      </c>
      <c r="G3553" s="3">
        <f t="array" ref="G3553">_xlfn.XLOOKUP(I3553,Base_Datos!D:D,Base_Datos!B:B,"")</f>
        <v>0</v>
      </c>
      <c r="H3553" s="3" t="str">
        <f t="array" ref="H3553">IF(I3553="","",IFERROR(_xlfn.XLOOKUP(I3553,Base_Datos!$D$2:$D3876,Base_Datos!$C$2:$C3876),""))</f>
        <v/>
      </c>
      <c r="I3553" s="3"/>
      <c r="J3553" s="3" t="str">
        <f>IF(I3553="","",IFERROR(VLOOKUP(I3553,Base_Datos!$D$2:$E$72,2,0),""))</f>
        <v/>
      </c>
      <c r="K3553" s="3"/>
      <c r="L3553" s="3"/>
      <c r="M3553" s="3"/>
      <c r="N3553" s="3"/>
    </row>
    <row r="3554" spans="1:14" ht="14.25" x14ac:dyDescent="0.2">
      <c r="A3554" s="3"/>
      <c r="B3554" s="3"/>
      <c r="C3554" s="3"/>
      <c r="D3554" s="6"/>
      <c r="E3554" s="10"/>
      <c r="F3554" s="3" t="str">
        <f>IFERROR( VLOOKUP(A3554,#REF!,2,0),"")</f>
        <v/>
      </c>
      <c r="G3554" s="3">
        <f t="array" ref="G3554">_xlfn.XLOOKUP(I3554,Base_Datos!D:D,Base_Datos!B:B,"")</f>
        <v>0</v>
      </c>
      <c r="H3554" s="3" t="str">
        <f t="array" ref="H3554">IF(I3554="","",IFERROR(_xlfn.XLOOKUP(I3554,Base_Datos!$D$2:$D3876,Base_Datos!$C$2:$C3876),""))</f>
        <v/>
      </c>
      <c r="I3554" s="3"/>
      <c r="J3554" s="3" t="str">
        <f>IF(I3554="","",IFERROR(VLOOKUP(I3554,Base_Datos!$D$2:$E$72,2,0),""))</f>
        <v/>
      </c>
      <c r="K3554" s="3"/>
      <c r="L3554" s="3"/>
      <c r="M3554" s="3"/>
      <c r="N3554" s="3"/>
    </row>
    <row r="3555" spans="1:14" ht="14.25" x14ac:dyDescent="0.2">
      <c r="A3555" s="3"/>
      <c r="B3555" s="3"/>
      <c r="C3555" s="3"/>
      <c r="D3555" s="6"/>
      <c r="E3555" s="10"/>
      <c r="F3555" s="3" t="str">
        <f>IFERROR( VLOOKUP(A3555,#REF!,2,0),"")</f>
        <v/>
      </c>
      <c r="G3555" s="3">
        <f t="array" ref="G3555">_xlfn.XLOOKUP(I3555,Base_Datos!D:D,Base_Datos!B:B,"")</f>
        <v>0</v>
      </c>
      <c r="H3555" s="3" t="str">
        <f t="array" ref="H3555">IF(I3555="","",IFERROR(_xlfn.XLOOKUP(I3555,Base_Datos!$D$2:$D3876,Base_Datos!$C$2:$C3876),""))</f>
        <v/>
      </c>
      <c r="I3555" s="3"/>
      <c r="J3555" s="3" t="str">
        <f>IF(I3555="","",IFERROR(VLOOKUP(I3555,Base_Datos!$D$2:$E$72,2,0),""))</f>
        <v/>
      </c>
      <c r="K3555" s="3"/>
      <c r="L3555" s="3"/>
      <c r="M3555" s="3"/>
      <c r="N3555" s="3"/>
    </row>
    <row r="3556" spans="1:14" ht="14.25" x14ac:dyDescent="0.2">
      <c r="A3556" s="3"/>
      <c r="B3556" s="3"/>
      <c r="C3556" s="3"/>
      <c r="D3556" s="6"/>
      <c r="E3556" s="10"/>
      <c r="F3556" s="3" t="str">
        <f>IFERROR( VLOOKUP(A3556,#REF!,2,0),"")</f>
        <v/>
      </c>
      <c r="G3556" s="3">
        <f t="array" ref="G3556">_xlfn.XLOOKUP(I3556,Base_Datos!D:D,Base_Datos!B:B,"")</f>
        <v>0</v>
      </c>
      <c r="H3556" s="3" t="str">
        <f t="array" ref="H3556">IF(I3556="","",IFERROR(_xlfn.XLOOKUP(I3556,Base_Datos!$D$2:$D3876,Base_Datos!$C$2:$C3876),""))</f>
        <v/>
      </c>
      <c r="I3556" s="3"/>
      <c r="J3556" s="3" t="str">
        <f>IF(I3556="","",IFERROR(VLOOKUP(I3556,Base_Datos!$D$2:$E$72,2,0),""))</f>
        <v/>
      </c>
      <c r="K3556" s="3"/>
      <c r="L3556" s="3"/>
      <c r="M3556" s="3"/>
      <c r="N3556" s="3"/>
    </row>
    <row r="3557" spans="1:14" ht="14.25" x14ac:dyDescent="0.2">
      <c r="A3557" s="3"/>
      <c r="B3557" s="3"/>
      <c r="C3557" s="3"/>
      <c r="D3557" s="6"/>
      <c r="E3557" s="10"/>
      <c r="F3557" s="3" t="str">
        <f>IFERROR( VLOOKUP(A3557,#REF!,2,0),"")</f>
        <v/>
      </c>
      <c r="G3557" s="3">
        <f t="array" ref="G3557">_xlfn.XLOOKUP(I3557,Base_Datos!D:D,Base_Datos!B:B,"")</f>
        <v>0</v>
      </c>
      <c r="H3557" s="3" t="str">
        <f t="array" ref="H3557">IF(I3557="","",IFERROR(_xlfn.XLOOKUP(I3557,Base_Datos!$D$2:$D3876,Base_Datos!$C$2:$C3876),""))</f>
        <v/>
      </c>
      <c r="I3557" s="3"/>
      <c r="J3557" s="3" t="str">
        <f>IF(I3557="","",IFERROR(VLOOKUP(I3557,Base_Datos!$D$2:$E$72,2,0),""))</f>
        <v/>
      </c>
      <c r="K3557" s="3"/>
      <c r="L3557" s="3"/>
      <c r="M3557" s="3"/>
      <c r="N3557" s="3"/>
    </row>
    <row r="3558" spans="1:14" ht="14.25" x14ac:dyDescent="0.2">
      <c r="A3558" s="3"/>
      <c r="B3558" s="3"/>
      <c r="C3558" s="3"/>
      <c r="D3558" s="6"/>
      <c r="E3558" s="10"/>
      <c r="F3558" s="3" t="str">
        <f>IFERROR( VLOOKUP(A3558,#REF!,2,0),"")</f>
        <v/>
      </c>
      <c r="G3558" s="3">
        <f t="array" ref="G3558">_xlfn.XLOOKUP(I3558,Base_Datos!D:D,Base_Datos!B:B,"")</f>
        <v>0</v>
      </c>
      <c r="H3558" s="3" t="str">
        <f t="array" ref="H3558">IF(I3558="","",IFERROR(_xlfn.XLOOKUP(I3558,Base_Datos!$D$2:$D3876,Base_Datos!$C$2:$C3876),""))</f>
        <v/>
      </c>
      <c r="I3558" s="3"/>
      <c r="J3558" s="3" t="str">
        <f>IF(I3558="","",IFERROR(VLOOKUP(I3558,Base_Datos!$D$2:$E$72,2,0),""))</f>
        <v/>
      </c>
      <c r="K3558" s="3"/>
      <c r="L3558" s="3"/>
      <c r="M3558" s="3"/>
      <c r="N3558" s="3"/>
    </row>
    <row r="3559" spans="1:14" ht="14.25" x14ac:dyDescent="0.2">
      <c r="A3559" s="3"/>
      <c r="B3559" s="3"/>
      <c r="C3559" s="3"/>
      <c r="D3559" s="6"/>
      <c r="E3559" s="10"/>
      <c r="F3559" s="3" t="str">
        <f>IFERROR( VLOOKUP(A3559,#REF!,2,0),"")</f>
        <v/>
      </c>
      <c r="G3559" s="3">
        <f t="array" ref="G3559">_xlfn.XLOOKUP(I3559,Base_Datos!D:D,Base_Datos!B:B,"")</f>
        <v>0</v>
      </c>
      <c r="H3559" s="3" t="str">
        <f t="array" ref="H3559">IF(I3559="","",IFERROR(_xlfn.XLOOKUP(I3559,Base_Datos!$D$2:$D3876,Base_Datos!$C$2:$C3876),""))</f>
        <v/>
      </c>
      <c r="I3559" s="3"/>
      <c r="J3559" s="3" t="str">
        <f>IF(I3559="","",IFERROR(VLOOKUP(I3559,Base_Datos!$D$2:$E$72,2,0),""))</f>
        <v/>
      </c>
      <c r="K3559" s="3"/>
      <c r="L3559" s="3"/>
      <c r="M3559" s="3"/>
      <c r="N3559" s="3"/>
    </row>
    <row r="3560" spans="1:14" ht="14.25" x14ac:dyDescent="0.2">
      <c r="A3560" s="3"/>
      <c r="B3560" s="3"/>
      <c r="C3560" s="3"/>
      <c r="D3560" s="6"/>
      <c r="E3560" s="10"/>
      <c r="F3560" s="3" t="str">
        <f>IFERROR( VLOOKUP(A3560,#REF!,2,0),"")</f>
        <v/>
      </c>
      <c r="G3560" s="3">
        <f t="array" ref="G3560">_xlfn.XLOOKUP(I3560,Base_Datos!D:D,Base_Datos!B:B,"")</f>
        <v>0</v>
      </c>
      <c r="H3560" s="3" t="str">
        <f t="array" ref="H3560">IF(I3560="","",IFERROR(_xlfn.XLOOKUP(I3560,Base_Datos!$D$2:$D3876,Base_Datos!$C$2:$C3876),""))</f>
        <v/>
      </c>
      <c r="I3560" s="3"/>
      <c r="J3560" s="3" t="str">
        <f>IF(I3560="","",IFERROR(VLOOKUP(I3560,Base_Datos!$D$2:$E$72,2,0),""))</f>
        <v/>
      </c>
      <c r="K3560" s="3"/>
      <c r="L3560" s="3"/>
      <c r="M3560" s="3"/>
      <c r="N3560" s="3"/>
    </row>
    <row r="3561" spans="1:14" ht="14.25" x14ac:dyDescent="0.2">
      <c r="A3561" s="3"/>
      <c r="B3561" s="3"/>
      <c r="C3561" s="3"/>
      <c r="D3561" s="6"/>
      <c r="E3561" s="10"/>
      <c r="F3561" s="3" t="str">
        <f>IFERROR( VLOOKUP(A3561,#REF!,2,0),"")</f>
        <v/>
      </c>
      <c r="G3561" s="3">
        <f t="array" ref="G3561">_xlfn.XLOOKUP(I3561,Base_Datos!D:D,Base_Datos!B:B,"")</f>
        <v>0</v>
      </c>
      <c r="H3561" s="3" t="str">
        <f t="array" ref="H3561">IF(I3561="","",IFERROR(_xlfn.XLOOKUP(I3561,Base_Datos!$D$2:$D3876,Base_Datos!$C$2:$C3876),""))</f>
        <v/>
      </c>
      <c r="I3561" s="3"/>
      <c r="J3561" s="3" t="str">
        <f>IF(I3561="","",IFERROR(VLOOKUP(I3561,Base_Datos!$D$2:$E$72,2,0),""))</f>
        <v/>
      </c>
      <c r="K3561" s="3"/>
      <c r="L3561" s="3"/>
      <c r="M3561" s="3"/>
      <c r="N3561" s="3"/>
    </row>
    <row r="3562" spans="1:14" ht="14.25" x14ac:dyDescent="0.2">
      <c r="A3562" s="3"/>
      <c r="B3562" s="3"/>
      <c r="C3562" s="3"/>
      <c r="D3562" s="6"/>
      <c r="E3562" s="10"/>
      <c r="F3562" s="3" t="str">
        <f>IFERROR( VLOOKUP(A3562,#REF!,2,0),"")</f>
        <v/>
      </c>
      <c r="G3562" s="3">
        <f t="array" ref="G3562">_xlfn.XLOOKUP(I3562,Base_Datos!D:D,Base_Datos!B:B,"")</f>
        <v>0</v>
      </c>
      <c r="H3562" s="3" t="str">
        <f t="array" ref="H3562">IF(I3562="","",IFERROR(_xlfn.XLOOKUP(I3562,Base_Datos!$D$2:$D3876,Base_Datos!$C$2:$C3876),""))</f>
        <v/>
      </c>
      <c r="I3562" s="3"/>
      <c r="J3562" s="3" t="str">
        <f>IF(I3562="","",IFERROR(VLOOKUP(I3562,Base_Datos!$D$2:$E$72,2,0),""))</f>
        <v/>
      </c>
      <c r="K3562" s="3"/>
      <c r="L3562" s="3"/>
      <c r="M3562" s="3"/>
      <c r="N3562" s="3"/>
    </row>
    <row r="3563" spans="1:14" ht="14.25" x14ac:dyDescent="0.2">
      <c r="A3563" s="3"/>
      <c r="B3563" s="3"/>
      <c r="C3563" s="3"/>
      <c r="D3563" s="6"/>
      <c r="E3563" s="10"/>
      <c r="F3563" s="3" t="str">
        <f>IFERROR( VLOOKUP(A3563,#REF!,2,0),"")</f>
        <v/>
      </c>
      <c r="G3563" s="3">
        <f t="array" ref="G3563">_xlfn.XLOOKUP(I3563,Base_Datos!D:D,Base_Datos!B:B,"")</f>
        <v>0</v>
      </c>
      <c r="H3563" s="3" t="str">
        <f t="array" ref="H3563">IF(I3563="","",IFERROR(_xlfn.XLOOKUP(I3563,Base_Datos!$D$2:$D3876,Base_Datos!$C$2:$C3876),""))</f>
        <v/>
      </c>
      <c r="I3563" s="3"/>
      <c r="J3563" s="3" t="str">
        <f>IF(I3563="","",IFERROR(VLOOKUP(I3563,Base_Datos!$D$2:$E$72,2,0),""))</f>
        <v/>
      </c>
      <c r="K3563" s="3"/>
      <c r="L3563" s="3"/>
      <c r="M3563" s="3"/>
      <c r="N3563" s="3"/>
    </row>
    <row r="3564" spans="1:14" ht="14.25" x14ac:dyDescent="0.2">
      <c r="A3564" s="3"/>
      <c r="B3564" s="3"/>
      <c r="C3564" s="3"/>
      <c r="D3564" s="6"/>
      <c r="E3564" s="10"/>
      <c r="F3564" s="3" t="str">
        <f>IFERROR( VLOOKUP(A3564,#REF!,2,0),"")</f>
        <v/>
      </c>
      <c r="G3564" s="3">
        <f t="array" ref="G3564">_xlfn.XLOOKUP(I3564,Base_Datos!D:D,Base_Datos!B:B,"")</f>
        <v>0</v>
      </c>
      <c r="H3564" s="3" t="str">
        <f t="array" ref="H3564">IF(I3564="","",IFERROR(_xlfn.XLOOKUP(I3564,Base_Datos!$D$2:$D3876,Base_Datos!$C$2:$C3876),""))</f>
        <v/>
      </c>
      <c r="I3564" s="3"/>
      <c r="J3564" s="3" t="str">
        <f>IF(I3564="","",IFERROR(VLOOKUP(I3564,Base_Datos!$D$2:$E$72,2,0),""))</f>
        <v/>
      </c>
      <c r="K3564" s="3"/>
      <c r="L3564" s="3"/>
      <c r="M3564" s="3"/>
      <c r="N3564" s="3"/>
    </row>
    <row r="3565" spans="1:14" ht="14.25" x14ac:dyDescent="0.2">
      <c r="A3565" s="3"/>
      <c r="B3565" s="3"/>
      <c r="C3565" s="3"/>
      <c r="D3565" s="6"/>
      <c r="E3565" s="10"/>
      <c r="F3565" s="3" t="str">
        <f>IFERROR( VLOOKUP(A3565,#REF!,2,0),"")</f>
        <v/>
      </c>
      <c r="G3565" s="3">
        <f t="array" ref="G3565">_xlfn.XLOOKUP(I3565,Base_Datos!D:D,Base_Datos!B:B,"")</f>
        <v>0</v>
      </c>
      <c r="H3565" s="3" t="str">
        <f t="array" ref="H3565">IF(I3565="","",IFERROR(_xlfn.XLOOKUP(I3565,Base_Datos!$D$2:$D3876,Base_Datos!$C$2:$C3876),""))</f>
        <v/>
      </c>
      <c r="I3565" s="3"/>
      <c r="J3565" s="3" t="str">
        <f>IF(I3565="","",IFERROR(VLOOKUP(I3565,Base_Datos!$D$2:$E$72,2,0),""))</f>
        <v/>
      </c>
      <c r="K3565" s="3"/>
      <c r="L3565" s="3"/>
      <c r="M3565" s="3"/>
      <c r="N3565" s="3"/>
    </row>
    <row r="3566" spans="1:14" ht="14.25" x14ac:dyDescent="0.2">
      <c r="A3566" s="3"/>
      <c r="B3566" s="3"/>
      <c r="C3566" s="3"/>
      <c r="D3566" s="6"/>
      <c r="E3566" s="10"/>
      <c r="F3566" s="3" t="str">
        <f>IFERROR( VLOOKUP(A3566,#REF!,2,0),"")</f>
        <v/>
      </c>
      <c r="G3566" s="3">
        <f t="array" ref="G3566">_xlfn.XLOOKUP(I3566,Base_Datos!D:D,Base_Datos!B:B,"")</f>
        <v>0</v>
      </c>
      <c r="H3566" s="3" t="str">
        <f t="array" ref="H3566">IF(I3566="","",IFERROR(_xlfn.XLOOKUP(I3566,Base_Datos!$D$2:$D3876,Base_Datos!$C$2:$C3876),""))</f>
        <v/>
      </c>
      <c r="I3566" s="3"/>
      <c r="J3566" s="3" t="str">
        <f>IF(I3566="","",IFERROR(VLOOKUP(I3566,Base_Datos!$D$2:$E$72,2,0),""))</f>
        <v/>
      </c>
      <c r="K3566" s="3"/>
      <c r="L3566" s="3"/>
      <c r="M3566" s="3"/>
      <c r="N3566" s="3"/>
    </row>
    <row r="3567" spans="1:14" ht="14.25" x14ac:dyDescent="0.2">
      <c r="A3567" s="3"/>
      <c r="B3567" s="3"/>
      <c r="C3567" s="3"/>
      <c r="D3567" s="6"/>
      <c r="E3567" s="10"/>
      <c r="F3567" s="3" t="str">
        <f>IFERROR( VLOOKUP(A3567,#REF!,2,0),"")</f>
        <v/>
      </c>
      <c r="G3567" s="3">
        <f t="array" ref="G3567">_xlfn.XLOOKUP(I3567,Base_Datos!D:D,Base_Datos!B:B,"")</f>
        <v>0</v>
      </c>
      <c r="H3567" s="3" t="str">
        <f t="array" ref="H3567">IF(I3567="","",IFERROR(_xlfn.XLOOKUP(I3567,Base_Datos!$D$2:$D3876,Base_Datos!$C$2:$C3876),""))</f>
        <v/>
      </c>
      <c r="I3567" s="3"/>
      <c r="J3567" s="3" t="str">
        <f>IF(I3567="","",IFERROR(VLOOKUP(I3567,Base_Datos!$D$2:$E$72,2,0),""))</f>
        <v/>
      </c>
      <c r="K3567" s="3"/>
      <c r="L3567" s="3"/>
      <c r="M3567" s="3"/>
      <c r="N3567" s="3"/>
    </row>
    <row r="3568" spans="1:14" ht="14.25" x14ac:dyDescent="0.2">
      <c r="A3568" s="3"/>
      <c r="B3568" s="3"/>
      <c r="C3568" s="3"/>
      <c r="D3568" s="6"/>
      <c r="E3568" s="10"/>
      <c r="F3568" s="3" t="str">
        <f>IFERROR( VLOOKUP(A3568,#REF!,2,0),"")</f>
        <v/>
      </c>
      <c r="G3568" s="3">
        <f t="array" ref="G3568">_xlfn.XLOOKUP(I3568,Base_Datos!D:D,Base_Datos!B:B,"")</f>
        <v>0</v>
      </c>
      <c r="H3568" s="3" t="str">
        <f t="array" ref="H3568">IF(I3568="","",IFERROR(_xlfn.XLOOKUP(I3568,Base_Datos!$D$2:$D3876,Base_Datos!$C$2:$C3876),""))</f>
        <v/>
      </c>
      <c r="I3568" s="3"/>
      <c r="J3568" s="3" t="str">
        <f>IF(I3568="","",IFERROR(VLOOKUP(I3568,Base_Datos!$D$2:$E$72,2,0),""))</f>
        <v/>
      </c>
      <c r="K3568" s="3"/>
      <c r="L3568" s="3"/>
      <c r="M3568" s="3"/>
      <c r="N3568" s="3"/>
    </row>
    <row r="3569" spans="1:14" ht="14.25" x14ac:dyDescent="0.2">
      <c r="A3569" s="3"/>
      <c r="B3569" s="3"/>
      <c r="C3569" s="3"/>
      <c r="D3569" s="6"/>
      <c r="E3569" s="10"/>
      <c r="F3569" s="3" t="str">
        <f>IFERROR( VLOOKUP(A3569,#REF!,2,0),"")</f>
        <v/>
      </c>
      <c r="G3569" s="3">
        <f t="array" ref="G3569">_xlfn.XLOOKUP(I3569,Base_Datos!D:D,Base_Datos!B:B,"")</f>
        <v>0</v>
      </c>
      <c r="H3569" s="3" t="str">
        <f t="array" ref="H3569">IF(I3569="","",IFERROR(_xlfn.XLOOKUP(I3569,Base_Datos!$D$2:$D3876,Base_Datos!$C$2:$C3876),""))</f>
        <v/>
      </c>
      <c r="I3569" s="3"/>
      <c r="J3569" s="3" t="str">
        <f>IF(I3569="","",IFERROR(VLOOKUP(I3569,Base_Datos!$D$2:$E$72,2,0),""))</f>
        <v/>
      </c>
      <c r="K3569" s="3"/>
      <c r="L3569" s="3"/>
      <c r="M3569" s="3"/>
      <c r="N3569" s="3"/>
    </row>
    <row r="3570" spans="1:14" ht="14.25" x14ac:dyDescent="0.2">
      <c r="A3570" s="3"/>
      <c r="B3570" s="3"/>
      <c r="C3570" s="3"/>
      <c r="D3570" s="6"/>
      <c r="E3570" s="10"/>
      <c r="F3570" s="3" t="str">
        <f>IFERROR( VLOOKUP(A3570,#REF!,2,0),"")</f>
        <v/>
      </c>
      <c r="G3570" s="3">
        <f t="array" ref="G3570">_xlfn.XLOOKUP(I3570,Base_Datos!D:D,Base_Datos!B:B,"")</f>
        <v>0</v>
      </c>
      <c r="H3570" s="3" t="str">
        <f t="array" ref="H3570">IF(I3570="","",IFERROR(_xlfn.XLOOKUP(I3570,Base_Datos!$D$2:$D3876,Base_Datos!$C$2:$C3876),""))</f>
        <v/>
      </c>
      <c r="I3570" s="3"/>
      <c r="J3570" s="3" t="str">
        <f>IF(I3570="","",IFERROR(VLOOKUP(I3570,Base_Datos!$D$2:$E$72,2,0),""))</f>
        <v/>
      </c>
      <c r="K3570" s="3"/>
      <c r="L3570" s="3"/>
      <c r="M3570" s="3"/>
      <c r="N3570" s="3"/>
    </row>
    <row r="3571" spans="1:14" ht="14.25" x14ac:dyDescent="0.2">
      <c r="A3571" s="3"/>
      <c r="B3571" s="3"/>
      <c r="C3571" s="3"/>
      <c r="D3571" s="6"/>
      <c r="E3571" s="10"/>
      <c r="F3571" s="3" t="str">
        <f>IFERROR( VLOOKUP(A3571,#REF!,2,0),"")</f>
        <v/>
      </c>
      <c r="G3571" s="3">
        <f t="array" ref="G3571">_xlfn.XLOOKUP(I3571,Base_Datos!D:D,Base_Datos!B:B,"")</f>
        <v>0</v>
      </c>
      <c r="H3571" s="3" t="str">
        <f t="array" ref="H3571">IF(I3571="","",IFERROR(_xlfn.XLOOKUP(I3571,Base_Datos!$D$2:$D3876,Base_Datos!$C$2:$C3876),""))</f>
        <v/>
      </c>
      <c r="I3571" s="3"/>
      <c r="J3571" s="3" t="str">
        <f>IF(I3571="","",IFERROR(VLOOKUP(I3571,Base_Datos!$D$2:$E$72,2,0),""))</f>
        <v/>
      </c>
      <c r="K3571" s="3"/>
      <c r="L3571" s="3"/>
      <c r="M3571" s="3"/>
      <c r="N3571" s="3"/>
    </row>
    <row r="3572" spans="1:14" ht="14.25" x14ac:dyDescent="0.2">
      <c r="A3572" s="3"/>
      <c r="B3572" s="3"/>
      <c r="C3572" s="3"/>
      <c r="D3572" s="6"/>
      <c r="E3572" s="10"/>
      <c r="F3572" s="3" t="str">
        <f>IFERROR( VLOOKUP(A3572,#REF!,2,0),"")</f>
        <v/>
      </c>
      <c r="G3572" s="3">
        <f t="array" ref="G3572">_xlfn.XLOOKUP(I3572,Base_Datos!D:D,Base_Datos!B:B,"")</f>
        <v>0</v>
      </c>
      <c r="H3572" s="3" t="str">
        <f t="array" ref="H3572">IF(I3572="","",IFERROR(_xlfn.XLOOKUP(I3572,Base_Datos!$D$2:$D3876,Base_Datos!$C$2:$C3876),""))</f>
        <v/>
      </c>
      <c r="I3572" s="3"/>
      <c r="J3572" s="3" t="str">
        <f>IF(I3572="","",IFERROR(VLOOKUP(I3572,Base_Datos!$D$2:$E$72,2,0),""))</f>
        <v/>
      </c>
      <c r="K3572" s="3"/>
      <c r="L3572" s="3"/>
      <c r="M3572" s="3"/>
      <c r="N3572" s="3"/>
    </row>
    <row r="3573" spans="1:14" ht="14.25" x14ac:dyDescent="0.2">
      <c r="A3573" s="3"/>
      <c r="B3573" s="3"/>
      <c r="C3573" s="3"/>
      <c r="D3573" s="6"/>
      <c r="E3573" s="10"/>
      <c r="F3573" s="3" t="str">
        <f>IFERROR( VLOOKUP(A3573,#REF!,2,0),"")</f>
        <v/>
      </c>
      <c r="G3573" s="3">
        <f t="array" ref="G3573">_xlfn.XLOOKUP(I3573,Base_Datos!D:D,Base_Datos!B:B,"")</f>
        <v>0</v>
      </c>
      <c r="H3573" s="3" t="str">
        <f t="array" ref="H3573">IF(I3573="","",IFERROR(_xlfn.XLOOKUP(I3573,Base_Datos!$D$2:$D3876,Base_Datos!$C$2:$C3876),""))</f>
        <v/>
      </c>
      <c r="I3573" s="3"/>
      <c r="J3573" s="3" t="str">
        <f>IF(I3573="","",IFERROR(VLOOKUP(I3573,Base_Datos!$D$2:$E$72,2,0),""))</f>
        <v/>
      </c>
      <c r="K3573" s="3"/>
      <c r="L3573" s="3"/>
      <c r="M3573" s="3"/>
      <c r="N3573" s="3"/>
    </row>
    <row r="3574" spans="1:14" ht="14.25" x14ac:dyDescent="0.2">
      <c r="A3574" s="3"/>
      <c r="B3574" s="3"/>
      <c r="C3574" s="3"/>
      <c r="D3574" s="6"/>
      <c r="E3574" s="10"/>
      <c r="F3574" s="3" t="str">
        <f>IFERROR( VLOOKUP(A3574,#REF!,2,0),"")</f>
        <v/>
      </c>
      <c r="G3574" s="3">
        <f t="array" ref="G3574">_xlfn.XLOOKUP(I3574,Base_Datos!D:D,Base_Datos!B:B,"")</f>
        <v>0</v>
      </c>
      <c r="H3574" s="3" t="str">
        <f t="array" ref="H3574">IF(I3574="","",IFERROR(_xlfn.XLOOKUP(I3574,Base_Datos!$D$2:$D3876,Base_Datos!$C$2:$C3876),""))</f>
        <v/>
      </c>
      <c r="I3574" s="3"/>
      <c r="J3574" s="3" t="str">
        <f>IF(I3574="","",IFERROR(VLOOKUP(I3574,Base_Datos!$D$2:$E$72,2,0),""))</f>
        <v/>
      </c>
      <c r="K3574" s="3"/>
      <c r="L3574" s="3"/>
      <c r="M3574" s="3"/>
      <c r="N3574" s="3"/>
    </row>
    <row r="3575" spans="1:14" ht="14.25" x14ac:dyDescent="0.2">
      <c r="A3575" s="3"/>
      <c r="B3575" s="3"/>
      <c r="C3575" s="3"/>
      <c r="D3575" s="6"/>
      <c r="E3575" s="10"/>
      <c r="F3575" s="3" t="str">
        <f>IFERROR( VLOOKUP(A3575,#REF!,2,0),"")</f>
        <v/>
      </c>
      <c r="G3575" s="3">
        <f t="array" ref="G3575">_xlfn.XLOOKUP(I3575,Base_Datos!D:D,Base_Datos!B:B,"")</f>
        <v>0</v>
      </c>
      <c r="H3575" s="3" t="str">
        <f t="array" ref="H3575">IF(I3575="","",IFERROR(_xlfn.XLOOKUP(I3575,Base_Datos!$D$2:$D3876,Base_Datos!$C$2:$C3876),""))</f>
        <v/>
      </c>
      <c r="I3575" s="3"/>
      <c r="J3575" s="3" t="str">
        <f>IF(I3575="","",IFERROR(VLOOKUP(I3575,Base_Datos!$D$2:$E$72,2,0),""))</f>
        <v/>
      </c>
      <c r="K3575" s="3"/>
      <c r="L3575" s="3"/>
      <c r="M3575" s="3"/>
      <c r="N3575" s="3"/>
    </row>
    <row r="3576" spans="1:14" ht="14.25" x14ac:dyDescent="0.2">
      <c r="A3576" s="3"/>
      <c r="B3576" s="3"/>
      <c r="C3576" s="3"/>
      <c r="D3576" s="6"/>
      <c r="E3576" s="10"/>
      <c r="F3576" s="3" t="str">
        <f>IFERROR( VLOOKUP(A3576,#REF!,2,0),"")</f>
        <v/>
      </c>
      <c r="G3576" s="3">
        <f t="array" ref="G3576">_xlfn.XLOOKUP(I3576,Base_Datos!D:D,Base_Datos!B:B,"")</f>
        <v>0</v>
      </c>
      <c r="H3576" s="3" t="str">
        <f t="array" ref="H3576">IF(I3576="","",IFERROR(_xlfn.XLOOKUP(I3576,Base_Datos!$D$2:$D3876,Base_Datos!$C$2:$C3876),""))</f>
        <v/>
      </c>
      <c r="I3576" s="3"/>
      <c r="J3576" s="3" t="str">
        <f>IF(I3576="","",IFERROR(VLOOKUP(I3576,Base_Datos!$D$2:$E$72,2,0),""))</f>
        <v/>
      </c>
      <c r="K3576" s="3"/>
      <c r="L3576" s="3"/>
      <c r="M3576" s="3"/>
      <c r="N3576" s="3"/>
    </row>
    <row r="3577" spans="1:14" ht="14.25" x14ac:dyDescent="0.2">
      <c r="A3577" s="3"/>
      <c r="B3577" s="3"/>
      <c r="C3577" s="3"/>
      <c r="D3577" s="6"/>
      <c r="E3577" s="10"/>
      <c r="F3577" s="3" t="str">
        <f>IFERROR( VLOOKUP(A3577,#REF!,2,0),"")</f>
        <v/>
      </c>
      <c r="G3577" s="3">
        <f t="array" ref="G3577">_xlfn.XLOOKUP(I3577,Base_Datos!D:D,Base_Datos!B:B,"")</f>
        <v>0</v>
      </c>
      <c r="H3577" s="3" t="str">
        <f t="array" ref="H3577">IF(I3577="","",IFERROR(_xlfn.XLOOKUP(I3577,Base_Datos!$D$2:$D3876,Base_Datos!$C$2:$C3876),""))</f>
        <v/>
      </c>
      <c r="I3577" s="3"/>
      <c r="J3577" s="3" t="str">
        <f>IF(I3577="","",IFERROR(VLOOKUP(I3577,Base_Datos!$D$2:$E$72,2,0),""))</f>
        <v/>
      </c>
      <c r="K3577" s="3"/>
      <c r="L3577" s="3"/>
      <c r="M3577" s="3"/>
      <c r="N3577" s="3"/>
    </row>
    <row r="3578" spans="1:14" ht="14.25" x14ac:dyDescent="0.2">
      <c r="A3578" s="3"/>
      <c r="B3578" s="3"/>
      <c r="C3578" s="3"/>
      <c r="D3578" s="6"/>
      <c r="E3578" s="10"/>
      <c r="F3578" s="3" t="str">
        <f>IFERROR( VLOOKUP(A3578,#REF!,2,0),"")</f>
        <v/>
      </c>
      <c r="G3578" s="3">
        <f t="array" ref="G3578">_xlfn.XLOOKUP(I3578,Base_Datos!D:D,Base_Datos!B:B,"")</f>
        <v>0</v>
      </c>
      <c r="H3578" s="3" t="str">
        <f t="array" ref="H3578">IF(I3578="","",IFERROR(_xlfn.XLOOKUP(I3578,Base_Datos!$D$2:$D3876,Base_Datos!$C$2:$C3876),""))</f>
        <v/>
      </c>
      <c r="I3578" s="3"/>
      <c r="J3578" s="3" t="str">
        <f>IF(I3578="","",IFERROR(VLOOKUP(I3578,Base_Datos!$D$2:$E$72,2,0),""))</f>
        <v/>
      </c>
      <c r="K3578" s="3"/>
      <c r="L3578" s="3"/>
      <c r="M3578" s="3"/>
      <c r="N3578" s="3"/>
    </row>
    <row r="3579" spans="1:14" ht="14.25" x14ac:dyDescent="0.2">
      <c r="A3579" s="3"/>
      <c r="B3579" s="3"/>
      <c r="C3579" s="3"/>
      <c r="D3579" s="6"/>
      <c r="E3579" s="10"/>
      <c r="F3579" s="3" t="str">
        <f>IFERROR( VLOOKUP(A3579,#REF!,2,0),"")</f>
        <v/>
      </c>
      <c r="G3579" s="3">
        <f t="array" ref="G3579">_xlfn.XLOOKUP(I3579,Base_Datos!D:D,Base_Datos!B:B,"")</f>
        <v>0</v>
      </c>
      <c r="H3579" s="3" t="str">
        <f t="array" ref="H3579">IF(I3579="","",IFERROR(_xlfn.XLOOKUP(I3579,Base_Datos!$D$2:$D3876,Base_Datos!$C$2:$C3876),""))</f>
        <v/>
      </c>
      <c r="I3579" s="3"/>
      <c r="J3579" s="3" t="str">
        <f>IF(I3579="","",IFERROR(VLOOKUP(I3579,Base_Datos!$D$2:$E$72,2,0),""))</f>
        <v/>
      </c>
      <c r="K3579" s="3"/>
      <c r="L3579" s="3"/>
      <c r="M3579" s="3"/>
      <c r="N3579" s="3"/>
    </row>
    <row r="3580" spans="1:14" ht="14.25" x14ac:dyDescent="0.2">
      <c r="A3580" s="3"/>
      <c r="B3580" s="3"/>
      <c r="C3580" s="3"/>
      <c r="D3580" s="6"/>
      <c r="E3580" s="10"/>
      <c r="F3580" s="3" t="str">
        <f>IFERROR( VLOOKUP(A3580,#REF!,2,0),"")</f>
        <v/>
      </c>
      <c r="G3580" s="3">
        <f t="array" ref="G3580">_xlfn.XLOOKUP(I3580,Base_Datos!D:D,Base_Datos!B:B,"")</f>
        <v>0</v>
      </c>
      <c r="H3580" s="3" t="str">
        <f t="array" ref="H3580">IF(I3580="","",IFERROR(_xlfn.XLOOKUP(I3580,Base_Datos!$D$2:$D3876,Base_Datos!$C$2:$C3876),""))</f>
        <v/>
      </c>
      <c r="I3580" s="3"/>
      <c r="J3580" s="3" t="str">
        <f>IF(I3580="","",IFERROR(VLOOKUP(I3580,Base_Datos!$D$2:$E$72,2,0),""))</f>
        <v/>
      </c>
      <c r="K3580" s="3"/>
      <c r="L3580" s="3"/>
      <c r="M3580" s="3"/>
      <c r="N3580" s="3"/>
    </row>
    <row r="3581" spans="1:14" ht="14.25" x14ac:dyDescent="0.2">
      <c r="A3581" s="3"/>
      <c r="B3581" s="3"/>
      <c r="C3581" s="3"/>
      <c r="D3581" s="6"/>
      <c r="E3581" s="10"/>
      <c r="F3581" s="3" t="str">
        <f>IFERROR( VLOOKUP(A3581,#REF!,2,0),"")</f>
        <v/>
      </c>
      <c r="G3581" s="3">
        <f t="array" ref="G3581">_xlfn.XLOOKUP(I3581,Base_Datos!D:D,Base_Datos!B:B,"")</f>
        <v>0</v>
      </c>
      <c r="H3581" s="3" t="str">
        <f t="array" ref="H3581">IF(I3581="","",IFERROR(_xlfn.XLOOKUP(I3581,Base_Datos!$D$2:$D3876,Base_Datos!$C$2:$C3876),""))</f>
        <v/>
      </c>
      <c r="I3581" s="3"/>
      <c r="J3581" s="3" t="str">
        <f>IF(I3581="","",IFERROR(VLOOKUP(I3581,Base_Datos!$D$2:$E$72,2,0),""))</f>
        <v/>
      </c>
      <c r="K3581" s="3"/>
      <c r="L3581" s="3"/>
      <c r="M3581" s="3"/>
      <c r="N3581" s="3"/>
    </row>
    <row r="3582" spans="1:14" ht="14.25" x14ac:dyDescent="0.2">
      <c r="A3582" s="3"/>
      <c r="B3582" s="3"/>
      <c r="C3582" s="3"/>
      <c r="D3582" s="6"/>
      <c r="E3582" s="10"/>
      <c r="F3582" s="3" t="str">
        <f>IFERROR( VLOOKUP(A3582,#REF!,2,0),"")</f>
        <v/>
      </c>
      <c r="G3582" s="3">
        <f t="array" ref="G3582">_xlfn.XLOOKUP(I3582,Base_Datos!D:D,Base_Datos!B:B,"")</f>
        <v>0</v>
      </c>
      <c r="H3582" s="3" t="str">
        <f t="array" ref="H3582">IF(I3582="","",IFERROR(_xlfn.XLOOKUP(I3582,Base_Datos!$D$2:$D3876,Base_Datos!$C$2:$C3876),""))</f>
        <v/>
      </c>
      <c r="I3582" s="3"/>
      <c r="J3582" s="3" t="str">
        <f>IF(I3582="","",IFERROR(VLOOKUP(I3582,Base_Datos!$D$2:$E$72,2,0),""))</f>
        <v/>
      </c>
      <c r="K3582" s="3"/>
      <c r="L3582" s="3"/>
      <c r="M3582" s="3"/>
      <c r="N3582" s="3"/>
    </row>
    <row r="3583" spans="1:14" ht="14.25" x14ac:dyDescent="0.2">
      <c r="A3583" s="3"/>
      <c r="B3583" s="3"/>
      <c r="C3583" s="3"/>
      <c r="D3583" s="6"/>
      <c r="E3583" s="10"/>
      <c r="F3583" s="3" t="str">
        <f>IFERROR( VLOOKUP(A3583,#REF!,2,0),"")</f>
        <v/>
      </c>
      <c r="G3583" s="3">
        <f t="array" ref="G3583">_xlfn.XLOOKUP(I3583,Base_Datos!D:D,Base_Datos!B:B,"")</f>
        <v>0</v>
      </c>
      <c r="H3583" s="3" t="str">
        <f t="array" ref="H3583">IF(I3583="","",IFERROR(_xlfn.XLOOKUP(I3583,Base_Datos!$D$2:$D3876,Base_Datos!$C$2:$C3876),""))</f>
        <v/>
      </c>
      <c r="I3583" s="3"/>
      <c r="J3583" s="3" t="str">
        <f>IF(I3583="","",IFERROR(VLOOKUP(I3583,Base_Datos!$D$2:$E$72,2,0),""))</f>
        <v/>
      </c>
      <c r="K3583" s="3"/>
      <c r="L3583" s="3"/>
      <c r="M3583" s="3"/>
      <c r="N3583" s="3"/>
    </row>
    <row r="3584" spans="1:14" ht="14.25" x14ac:dyDescent="0.2">
      <c r="A3584" s="3"/>
      <c r="B3584" s="3"/>
      <c r="C3584" s="3"/>
      <c r="D3584" s="6"/>
      <c r="E3584" s="10"/>
      <c r="F3584" s="3" t="str">
        <f>IFERROR( VLOOKUP(A3584,#REF!,2,0),"")</f>
        <v/>
      </c>
      <c r="G3584" s="3">
        <f t="array" ref="G3584">_xlfn.XLOOKUP(I3584,Base_Datos!D:D,Base_Datos!B:B,"")</f>
        <v>0</v>
      </c>
      <c r="H3584" s="3" t="str">
        <f t="array" ref="H3584">IF(I3584="","",IFERROR(_xlfn.XLOOKUP(I3584,Base_Datos!$D$2:$D3876,Base_Datos!$C$2:$C3876),""))</f>
        <v/>
      </c>
      <c r="I3584" s="3"/>
      <c r="J3584" s="3" t="str">
        <f>IF(I3584="","",IFERROR(VLOOKUP(I3584,Base_Datos!$D$2:$E$72,2,0),""))</f>
        <v/>
      </c>
      <c r="K3584" s="3"/>
      <c r="L3584" s="3"/>
      <c r="M3584" s="3"/>
      <c r="N3584" s="3"/>
    </row>
    <row r="3585" spans="1:14" ht="14.25" x14ac:dyDescent="0.2">
      <c r="A3585" s="3"/>
      <c r="B3585" s="3"/>
      <c r="C3585" s="3"/>
      <c r="D3585" s="6"/>
      <c r="E3585" s="10"/>
      <c r="F3585" s="3" t="str">
        <f>IFERROR( VLOOKUP(A3585,#REF!,2,0),"")</f>
        <v/>
      </c>
      <c r="G3585" s="3">
        <f t="array" ref="G3585">_xlfn.XLOOKUP(I3585,Base_Datos!D:D,Base_Datos!B:B,"")</f>
        <v>0</v>
      </c>
      <c r="H3585" s="3" t="str">
        <f t="array" ref="H3585">IF(I3585="","",IFERROR(_xlfn.XLOOKUP(I3585,Base_Datos!$D$2:$D3876,Base_Datos!$C$2:$C3876),""))</f>
        <v/>
      </c>
      <c r="I3585" s="3"/>
      <c r="J3585" s="3" t="str">
        <f>IF(I3585="","",IFERROR(VLOOKUP(I3585,Base_Datos!$D$2:$E$72,2,0),""))</f>
        <v/>
      </c>
      <c r="K3585" s="3"/>
      <c r="L3585" s="3"/>
      <c r="M3585" s="3"/>
      <c r="N3585" s="3"/>
    </row>
    <row r="3586" spans="1:14" ht="14.25" x14ac:dyDescent="0.2">
      <c r="A3586" s="3"/>
      <c r="B3586" s="3"/>
      <c r="C3586" s="3"/>
      <c r="D3586" s="6"/>
      <c r="E3586" s="10"/>
      <c r="F3586" s="3" t="str">
        <f>IFERROR( VLOOKUP(A3586,#REF!,2,0),"")</f>
        <v/>
      </c>
      <c r="G3586" s="3">
        <f t="array" ref="G3586">_xlfn.XLOOKUP(I3586,Base_Datos!D:D,Base_Datos!B:B,"")</f>
        <v>0</v>
      </c>
      <c r="H3586" s="3" t="str">
        <f t="array" ref="H3586">IF(I3586="","",IFERROR(_xlfn.XLOOKUP(I3586,Base_Datos!$D$2:$D3876,Base_Datos!$C$2:$C3876),""))</f>
        <v/>
      </c>
      <c r="I3586" s="3"/>
      <c r="J3586" s="3" t="str">
        <f>IF(I3586="","",IFERROR(VLOOKUP(I3586,Base_Datos!$D$2:$E$72,2,0),""))</f>
        <v/>
      </c>
      <c r="K3586" s="3"/>
      <c r="L3586" s="3"/>
      <c r="M3586" s="3"/>
      <c r="N3586" s="3"/>
    </row>
    <row r="3587" spans="1:14" ht="14.25" x14ac:dyDescent="0.2">
      <c r="A3587" s="3"/>
      <c r="B3587" s="3"/>
      <c r="C3587" s="3"/>
      <c r="D3587" s="6"/>
      <c r="E3587" s="10"/>
      <c r="F3587" s="3" t="str">
        <f>IFERROR( VLOOKUP(A3587,#REF!,2,0),"")</f>
        <v/>
      </c>
      <c r="G3587" s="3">
        <f t="array" ref="G3587">_xlfn.XLOOKUP(I3587,Base_Datos!D:D,Base_Datos!B:B,"")</f>
        <v>0</v>
      </c>
      <c r="H3587" s="3" t="str">
        <f t="array" ref="H3587">IF(I3587="","",IFERROR(_xlfn.XLOOKUP(I3587,Base_Datos!$D$2:$D3876,Base_Datos!$C$2:$C3876),""))</f>
        <v/>
      </c>
      <c r="I3587" s="3"/>
      <c r="J3587" s="3" t="str">
        <f>IF(I3587="","",IFERROR(VLOOKUP(I3587,Base_Datos!$D$2:$E$72,2,0),""))</f>
        <v/>
      </c>
      <c r="K3587" s="3"/>
      <c r="L3587" s="3"/>
      <c r="M3587" s="3"/>
      <c r="N3587" s="3"/>
    </row>
    <row r="3588" spans="1:14" ht="14.25" x14ac:dyDescent="0.2">
      <c r="A3588" s="3"/>
      <c r="B3588" s="3"/>
      <c r="C3588" s="3"/>
      <c r="D3588" s="6"/>
      <c r="E3588" s="10"/>
      <c r="F3588" s="3" t="str">
        <f>IFERROR( VLOOKUP(A3588,#REF!,2,0),"")</f>
        <v/>
      </c>
      <c r="G3588" s="3">
        <f t="array" ref="G3588">_xlfn.XLOOKUP(I3588,Base_Datos!D:D,Base_Datos!B:B,"")</f>
        <v>0</v>
      </c>
      <c r="H3588" s="3" t="str">
        <f t="array" ref="H3588">IF(I3588="","",IFERROR(_xlfn.XLOOKUP(I3588,Base_Datos!$D$2:$D3876,Base_Datos!$C$2:$C3876),""))</f>
        <v/>
      </c>
      <c r="I3588" s="3"/>
      <c r="J3588" s="3" t="str">
        <f>IF(I3588="","",IFERROR(VLOOKUP(I3588,Base_Datos!$D$2:$E$72,2,0),""))</f>
        <v/>
      </c>
      <c r="K3588" s="3"/>
      <c r="L3588" s="3"/>
      <c r="M3588" s="3"/>
      <c r="N3588" s="3"/>
    </row>
    <row r="3589" spans="1:14" ht="14.25" x14ac:dyDescent="0.2">
      <c r="A3589" s="3"/>
      <c r="B3589" s="3"/>
      <c r="C3589" s="3"/>
      <c r="D3589" s="6"/>
      <c r="E3589" s="10"/>
      <c r="F3589" s="3" t="str">
        <f>IFERROR( VLOOKUP(A3589,#REF!,2,0),"")</f>
        <v/>
      </c>
      <c r="G3589" s="3">
        <f t="array" ref="G3589">_xlfn.XLOOKUP(I3589,Base_Datos!D:D,Base_Datos!B:B,"")</f>
        <v>0</v>
      </c>
      <c r="H3589" s="3" t="str">
        <f t="array" ref="H3589">IF(I3589="","",IFERROR(_xlfn.XLOOKUP(I3589,Base_Datos!$D$2:$D3876,Base_Datos!$C$2:$C3876),""))</f>
        <v/>
      </c>
      <c r="I3589" s="3"/>
      <c r="J3589" s="3" t="str">
        <f>IF(I3589="","",IFERROR(VLOOKUP(I3589,Base_Datos!$D$2:$E$72,2,0),""))</f>
        <v/>
      </c>
      <c r="K3589" s="3"/>
      <c r="L3589" s="3"/>
      <c r="M3589" s="3"/>
      <c r="N3589" s="3"/>
    </row>
    <row r="3590" spans="1:14" ht="14.25" x14ac:dyDescent="0.2">
      <c r="A3590" s="3"/>
      <c r="B3590" s="3"/>
      <c r="C3590" s="3"/>
      <c r="D3590" s="6"/>
      <c r="E3590" s="10"/>
      <c r="F3590" s="3" t="str">
        <f>IFERROR( VLOOKUP(A3590,#REF!,2,0),"")</f>
        <v/>
      </c>
      <c r="G3590" s="3">
        <f t="array" ref="G3590">_xlfn.XLOOKUP(I3590,Base_Datos!D:D,Base_Datos!B:B,"")</f>
        <v>0</v>
      </c>
      <c r="H3590" s="3" t="str">
        <f t="array" ref="H3590">IF(I3590="","",IFERROR(_xlfn.XLOOKUP(I3590,Base_Datos!$D$2:$D3876,Base_Datos!$C$2:$C3876),""))</f>
        <v/>
      </c>
      <c r="I3590" s="3"/>
      <c r="J3590" s="3" t="str">
        <f>IF(I3590="","",IFERROR(VLOOKUP(I3590,Base_Datos!$D$2:$E$72,2,0),""))</f>
        <v/>
      </c>
      <c r="K3590" s="3"/>
      <c r="L3590" s="3"/>
      <c r="M3590" s="3"/>
      <c r="N3590" s="3"/>
    </row>
    <row r="3591" spans="1:14" ht="14.25" x14ac:dyDescent="0.2">
      <c r="A3591" s="3"/>
      <c r="B3591" s="3"/>
      <c r="C3591" s="3"/>
      <c r="D3591" s="6"/>
      <c r="E3591" s="10"/>
      <c r="F3591" s="3" t="str">
        <f>IFERROR( VLOOKUP(A3591,#REF!,2,0),"")</f>
        <v/>
      </c>
      <c r="G3591" s="3">
        <f t="array" ref="G3591">_xlfn.XLOOKUP(I3591,Base_Datos!D:D,Base_Datos!B:B,"")</f>
        <v>0</v>
      </c>
      <c r="H3591" s="3" t="str">
        <f t="array" ref="H3591">IF(I3591="","",IFERROR(_xlfn.XLOOKUP(I3591,Base_Datos!$D$2:$D3876,Base_Datos!$C$2:$C3876),""))</f>
        <v/>
      </c>
      <c r="I3591" s="3"/>
      <c r="J3591" s="3" t="str">
        <f>IF(I3591="","",IFERROR(VLOOKUP(I3591,Base_Datos!$D$2:$E$72,2,0),""))</f>
        <v/>
      </c>
      <c r="K3591" s="3"/>
      <c r="L3591" s="3"/>
      <c r="M3591" s="3"/>
      <c r="N3591" s="3"/>
    </row>
    <row r="3592" spans="1:14" ht="14.25" x14ac:dyDescent="0.2">
      <c r="A3592" s="3"/>
      <c r="B3592" s="3"/>
      <c r="C3592" s="3"/>
      <c r="D3592" s="6"/>
      <c r="E3592" s="10"/>
      <c r="F3592" s="3" t="str">
        <f>IFERROR( VLOOKUP(A3592,#REF!,2,0),"")</f>
        <v/>
      </c>
      <c r="G3592" s="3">
        <f t="array" ref="G3592">_xlfn.XLOOKUP(I3592,Base_Datos!D:D,Base_Datos!B:B,"")</f>
        <v>0</v>
      </c>
      <c r="H3592" s="3" t="str">
        <f t="array" ref="H3592">IF(I3592="","",IFERROR(_xlfn.XLOOKUP(I3592,Base_Datos!$D$2:$D3876,Base_Datos!$C$2:$C3876),""))</f>
        <v/>
      </c>
      <c r="I3592" s="3"/>
      <c r="J3592" s="3" t="str">
        <f>IF(I3592="","",IFERROR(VLOOKUP(I3592,Base_Datos!$D$2:$E$72,2,0),""))</f>
        <v/>
      </c>
      <c r="K3592" s="3"/>
      <c r="L3592" s="3"/>
      <c r="M3592" s="3"/>
      <c r="N3592" s="3"/>
    </row>
    <row r="3593" spans="1:14" ht="14.25" x14ac:dyDescent="0.2">
      <c r="A3593" s="3"/>
      <c r="B3593" s="3"/>
      <c r="C3593" s="3"/>
      <c r="D3593" s="6"/>
      <c r="E3593" s="10"/>
      <c r="F3593" s="3" t="str">
        <f>IFERROR( VLOOKUP(A3593,#REF!,2,0),"")</f>
        <v/>
      </c>
      <c r="G3593" s="3">
        <f t="array" ref="G3593">_xlfn.XLOOKUP(I3593,Base_Datos!D:D,Base_Datos!B:B,"")</f>
        <v>0</v>
      </c>
      <c r="H3593" s="3" t="str">
        <f t="array" ref="H3593">IF(I3593="","",IFERROR(_xlfn.XLOOKUP(I3593,Base_Datos!$D$2:$D3876,Base_Datos!$C$2:$C3876),""))</f>
        <v/>
      </c>
      <c r="I3593" s="3"/>
      <c r="J3593" s="3" t="str">
        <f>IF(I3593="","",IFERROR(VLOOKUP(I3593,Base_Datos!$D$2:$E$72,2,0),""))</f>
        <v/>
      </c>
      <c r="K3593" s="3"/>
      <c r="L3593" s="3"/>
      <c r="M3593" s="3"/>
      <c r="N3593" s="3"/>
    </row>
    <row r="3594" spans="1:14" ht="14.25" x14ac:dyDescent="0.2">
      <c r="A3594" s="3"/>
      <c r="B3594" s="3"/>
      <c r="C3594" s="3"/>
      <c r="D3594" s="6"/>
      <c r="E3594" s="10"/>
      <c r="F3594" s="3" t="str">
        <f>IFERROR( VLOOKUP(A3594,#REF!,2,0),"")</f>
        <v/>
      </c>
      <c r="G3594" s="3">
        <f t="array" ref="G3594">_xlfn.XLOOKUP(I3594,Base_Datos!D:D,Base_Datos!B:B,"")</f>
        <v>0</v>
      </c>
      <c r="H3594" s="3" t="str">
        <f t="array" ref="H3594">IF(I3594="","",IFERROR(_xlfn.XLOOKUP(I3594,Base_Datos!$D$2:$D3876,Base_Datos!$C$2:$C3876),""))</f>
        <v/>
      </c>
      <c r="I3594" s="3"/>
      <c r="J3594" s="3" t="str">
        <f>IF(I3594="","",IFERROR(VLOOKUP(I3594,Base_Datos!$D$2:$E$72,2,0),""))</f>
        <v/>
      </c>
      <c r="K3594" s="3"/>
      <c r="L3594" s="3"/>
      <c r="M3594" s="3"/>
      <c r="N3594" s="3"/>
    </row>
    <row r="3595" spans="1:14" ht="14.25" x14ac:dyDescent="0.2">
      <c r="A3595" s="3"/>
      <c r="B3595" s="3"/>
      <c r="C3595" s="3"/>
      <c r="D3595" s="6"/>
      <c r="E3595" s="10"/>
      <c r="F3595" s="3" t="str">
        <f>IFERROR( VLOOKUP(A3595,#REF!,2,0),"")</f>
        <v/>
      </c>
      <c r="G3595" s="3">
        <f t="array" ref="G3595">_xlfn.XLOOKUP(I3595,Base_Datos!D:D,Base_Datos!B:B,"")</f>
        <v>0</v>
      </c>
      <c r="H3595" s="3" t="str">
        <f t="array" ref="H3595">IF(I3595="","",IFERROR(_xlfn.XLOOKUP(I3595,Base_Datos!$D$2:$D3876,Base_Datos!$C$2:$C3876),""))</f>
        <v/>
      </c>
      <c r="I3595" s="3"/>
      <c r="J3595" s="3" t="str">
        <f>IF(I3595="","",IFERROR(VLOOKUP(I3595,Base_Datos!$D$2:$E$72,2,0),""))</f>
        <v/>
      </c>
      <c r="K3595" s="3"/>
      <c r="L3595" s="3"/>
      <c r="M3595" s="3"/>
      <c r="N3595" s="3"/>
    </row>
    <row r="3596" spans="1:14" ht="14.25" x14ac:dyDescent="0.2">
      <c r="A3596" s="3"/>
      <c r="B3596" s="3"/>
      <c r="C3596" s="3"/>
      <c r="D3596" s="6"/>
      <c r="E3596" s="10"/>
      <c r="F3596" s="3" t="str">
        <f>IFERROR( VLOOKUP(A3596,#REF!,2,0),"")</f>
        <v/>
      </c>
      <c r="G3596" s="3">
        <f t="array" ref="G3596">_xlfn.XLOOKUP(I3596,Base_Datos!D:D,Base_Datos!B:B,"")</f>
        <v>0</v>
      </c>
      <c r="H3596" s="3" t="str">
        <f t="array" ref="H3596">IF(I3596="","",IFERROR(_xlfn.XLOOKUP(I3596,Base_Datos!$D$2:$D3876,Base_Datos!$C$2:$C3876),""))</f>
        <v/>
      </c>
      <c r="I3596" s="3"/>
      <c r="J3596" s="3" t="str">
        <f>IF(I3596="","",IFERROR(VLOOKUP(I3596,Base_Datos!$D$2:$E$72,2,0),""))</f>
        <v/>
      </c>
      <c r="K3596" s="3"/>
      <c r="L3596" s="3"/>
      <c r="M3596" s="3"/>
      <c r="N3596" s="3"/>
    </row>
    <row r="3597" spans="1:14" ht="14.25" x14ac:dyDescent="0.2">
      <c r="A3597" s="3"/>
      <c r="B3597" s="3"/>
      <c r="C3597" s="3"/>
      <c r="D3597" s="6"/>
      <c r="E3597" s="10"/>
      <c r="F3597" s="3" t="str">
        <f>IFERROR( VLOOKUP(A3597,#REF!,2,0),"")</f>
        <v/>
      </c>
      <c r="G3597" s="3">
        <f t="array" ref="G3597">_xlfn.XLOOKUP(I3597,Base_Datos!D:D,Base_Datos!B:B,"")</f>
        <v>0</v>
      </c>
      <c r="H3597" s="3" t="str">
        <f t="array" ref="H3597">IF(I3597="","",IFERROR(_xlfn.XLOOKUP(I3597,Base_Datos!$D$2:$D3876,Base_Datos!$C$2:$C3876),""))</f>
        <v/>
      </c>
      <c r="I3597" s="3"/>
      <c r="J3597" s="3" t="str">
        <f>IF(I3597="","",IFERROR(VLOOKUP(I3597,Base_Datos!$D$2:$E$72,2,0),""))</f>
        <v/>
      </c>
      <c r="K3597" s="3"/>
      <c r="L3597" s="3"/>
      <c r="M3597" s="3"/>
      <c r="N3597" s="3"/>
    </row>
    <row r="3598" spans="1:14" ht="14.25" x14ac:dyDescent="0.2">
      <c r="A3598" s="3"/>
      <c r="B3598" s="3"/>
      <c r="C3598" s="3"/>
      <c r="D3598" s="6"/>
      <c r="E3598" s="10"/>
      <c r="F3598" s="3" t="str">
        <f>IFERROR( VLOOKUP(A3598,#REF!,2,0),"")</f>
        <v/>
      </c>
      <c r="G3598" s="3">
        <f t="array" ref="G3598">_xlfn.XLOOKUP(I3598,Base_Datos!D:D,Base_Datos!B:B,"")</f>
        <v>0</v>
      </c>
      <c r="H3598" s="3" t="str">
        <f t="array" ref="H3598">IF(I3598="","",IFERROR(_xlfn.XLOOKUP(I3598,Base_Datos!$D$2:$D3876,Base_Datos!$C$2:$C3876),""))</f>
        <v/>
      </c>
      <c r="I3598" s="3"/>
      <c r="J3598" s="3" t="str">
        <f>IF(I3598="","",IFERROR(VLOOKUP(I3598,Base_Datos!$D$2:$E$72,2,0),""))</f>
        <v/>
      </c>
      <c r="K3598" s="3"/>
      <c r="L3598" s="3"/>
      <c r="M3598" s="3"/>
      <c r="N3598" s="3"/>
    </row>
    <row r="3599" spans="1:14" ht="14.25" x14ac:dyDescent="0.2">
      <c r="A3599" s="3"/>
      <c r="B3599" s="3"/>
      <c r="C3599" s="3"/>
      <c r="D3599" s="6"/>
      <c r="E3599" s="10"/>
      <c r="F3599" s="3" t="str">
        <f>IFERROR( VLOOKUP(A3599,#REF!,2,0),"")</f>
        <v/>
      </c>
      <c r="G3599" s="3">
        <f t="array" ref="G3599">_xlfn.XLOOKUP(I3599,Base_Datos!D:D,Base_Datos!B:B,"")</f>
        <v>0</v>
      </c>
      <c r="H3599" s="3" t="str">
        <f t="array" ref="H3599">IF(I3599="","",IFERROR(_xlfn.XLOOKUP(I3599,Base_Datos!$D$2:$D3876,Base_Datos!$C$2:$C3876),""))</f>
        <v/>
      </c>
      <c r="I3599" s="3"/>
      <c r="J3599" s="3" t="str">
        <f>IF(I3599="","",IFERROR(VLOOKUP(I3599,Base_Datos!$D$2:$E$72,2,0),""))</f>
        <v/>
      </c>
      <c r="K3599" s="3"/>
      <c r="L3599" s="3"/>
      <c r="M3599" s="3"/>
      <c r="N3599" s="3"/>
    </row>
    <row r="3600" spans="1:14" ht="14.25" x14ac:dyDescent="0.2">
      <c r="A3600" s="3"/>
      <c r="B3600" s="3"/>
      <c r="C3600" s="3"/>
      <c r="D3600" s="6"/>
      <c r="E3600" s="10"/>
      <c r="F3600" s="3" t="str">
        <f>IFERROR( VLOOKUP(A3600,#REF!,2,0),"")</f>
        <v/>
      </c>
      <c r="G3600" s="3">
        <f t="array" ref="G3600">_xlfn.XLOOKUP(I3600,Base_Datos!D:D,Base_Datos!B:B,"")</f>
        <v>0</v>
      </c>
      <c r="H3600" s="3" t="str">
        <f t="array" ref="H3600">IF(I3600="","",IFERROR(_xlfn.XLOOKUP(I3600,Base_Datos!$D$2:$D3876,Base_Datos!$C$2:$C3876),""))</f>
        <v/>
      </c>
      <c r="I3600" s="3"/>
      <c r="J3600" s="3" t="str">
        <f>IF(I3600="","",IFERROR(VLOOKUP(I3600,Base_Datos!$D$2:$E$72,2,0),""))</f>
        <v/>
      </c>
      <c r="K3600" s="3"/>
      <c r="L3600" s="3"/>
      <c r="M3600" s="3"/>
      <c r="N3600" s="3"/>
    </row>
    <row r="3601" spans="1:14" ht="14.25" x14ac:dyDescent="0.2">
      <c r="A3601" s="3"/>
      <c r="B3601" s="3"/>
      <c r="C3601" s="3"/>
      <c r="D3601" s="6"/>
      <c r="E3601" s="10"/>
      <c r="F3601" s="3" t="str">
        <f>IFERROR( VLOOKUP(A3601,#REF!,2,0),"")</f>
        <v/>
      </c>
      <c r="G3601" s="3">
        <f t="array" ref="G3601">_xlfn.XLOOKUP(I3601,Base_Datos!D:D,Base_Datos!B:B,"")</f>
        <v>0</v>
      </c>
      <c r="H3601" s="3" t="str">
        <f t="array" ref="H3601">IF(I3601="","",IFERROR(_xlfn.XLOOKUP(I3601,Base_Datos!$D$2:$D3876,Base_Datos!$C$2:$C3876),""))</f>
        <v/>
      </c>
      <c r="I3601" s="3"/>
      <c r="J3601" s="3" t="str">
        <f>IF(I3601="","",IFERROR(VLOOKUP(I3601,Base_Datos!$D$2:$E$72,2,0),""))</f>
        <v/>
      </c>
      <c r="K3601" s="3"/>
      <c r="L3601" s="3"/>
      <c r="M3601" s="3"/>
      <c r="N3601" s="3"/>
    </row>
    <row r="3602" spans="1:14" ht="14.25" x14ac:dyDescent="0.2">
      <c r="A3602" s="3"/>
      <c r="B3602" s="3"/>
      <c r="C3602" s="3"/>
      <c r="D3602" s="6"/>
      <c r="E3602" s="10"/>
      <c r="F3602" s="3" t="str">
        <f>IFERROR( VLOOKUP(A3602,#REF!,2,0),"")</f>
        <v/>
      </c>
      <c r="G3602" s="3">
        <f t="array" ref="G3602">_xlfn.XLOOKUP(I3602,Base_Datos!D:D,Base_Datos!B:B,"")</f>
        <v>0</v>
      </c>
      <c r="H3602" s="3" t="str">
        <f t="array" ref="H3602">IF(I3602="","",IFERROR(_xlfn.XLOOKUP(I3602,Base_Datos!$D$2:$D3876,Base_Datos!$C$2:$C3876),""))</f>
        <v/>
      </c>
      <c r="I3602" s="3"/>
      <c r="J3602" s="3" t="str">
        <f>IF(I3602="","",IFERROR(VLOOKUP(I3602,Base_Datos!$D$2:$E$72,2,0),""))</f>
        <v/>
      </c>
      <c r="K3602" s="3"/>
      <c r="L3602" s="3"/>
      <c r="M3602" s="3"/>
      <c r="N3602" s="3"/>
    </row>
    <row r="3603" spans="1:14" ht="14.25" x14ac:dyDescent="0.2">
      <c r="A3603" s="3"/>
      <c r="B3603" s="3"/>
      <c r="C3603" s="3"/>
      <c r="D3603" s="6"/>
      <c r="E3603" s="10"/>
      <c r="F3603" s="3" t="str">
        <f>IFERROR( VLOOKUP(A3603,#REF!,2,0),"")</f>
        <v/>
      </c>
      <c r="G3603" s="3">
        <f t="array" ref="G3603">_xlfn.XLOOKUP(I3603,Base_Datos!D:D,Base_Datos!B:B,"")</f>
        <v>0</v>
      </c>
      <c r="H3603" s="3" t="str">
        <f t="array" ref="H3603">IF(I3603="","",IFERROR(_xlfn.XLOOKUP(I3603,Base_Datos!$D$2:$D3876,Base_Datos!$C$2:$C3876),""))</f>
        <v/>
      </c>
      <c r="I3603" s="3"/>
      <c r="J3603" s="3" t="str">
        <f>IF(I3603="","",IFERROR(VLOOKUP(I3603,Base_Datos!$D$2:$E$72,2,0),""))</f>
        <v/>
      </c>
      <c r="K3603" s="3"/>
      <c r="L3603" s="3"/>
      <c r="M3603" s="3"/>
      <c r="N3603" s="3"/>
    </row>
    <row r="3604" spans="1:14" ht="14.25" x14ac:dyDescent="0.2">
      <c r="A3604" s="3"/>
      <c r="B3604" s="3"/>
      <c r="C3604" s="3"/>
      <c r="D3604" s="6"/>
      <c r="E3604" s="10"/>
      <c r="F3604" s="3" t="str">
        <f>IFERROR( VLOOKUP(A3604,#REF!,2,0),"")</f>
        <v/>
      </c>
      <c r="G3604" s="3">
        <f t="array" ref="G3604">_xlfn.XLOOKUP(I3604,Base_Datos!D:D,Base_Datos!B:B,"")</f>
        <v>0</v>
      </c>
      <c r="H3604" s="3" t="str">
        <f t="array" ref="H3604">IF(I3604="","",IFERROR(_xlfn.XLOOKUP(I3604,Base_Datos!$D$2:$D3876,Base_Datos!$C$2:$C3876),""))</f>
        <v/>
      </c>
      <c r="I3604" s="3"/>
      <c r="J3604" s="3" t="str">
        <f>IF(I3604="","",IFERROR(VLOOKUP(I3604,Base_Datos!$D$2:$E$72,2,0),""))</f>
        <v/>
      </c>
      <c r="K3604" s="3"/>
      <c r="L3604" s="3"/>
      <c r="M3604" s="3"/>
      <c r="N3604" s="3"/>
    </row>
    <row r="3605" spans="1:14" ht="14.25" x14ac:dyDescent="0.2">
      <c r="A3605" s="3"/>
      <c r="B3605" s="3"/>
      <c r="C3605" s="3"/>
      <c r="D3605" s="6"/>
      <c r="E3605" s="10"/>
      <c r="F3605" s="3" t="str">
        <f>IFERROR( VLOOKUP(A3605,#REF!,2,0),"")</f>
        <v/>
      </c>
      <c r="G3605" s="3">
        <f t="array" ref="G3605">_xlfn.XLOOKUP(I3605,Base_Datos!D:D,Base_Datos!B:B,"")</f>
        <v>0</v>
      </c>
      <c r="H3605" s="3" t="str">
        <f t="array" ref="H3605">IF(I3605="","",IFERROR(_xlfn.XLOOKUP(I3605,Base_Datos!$D$2:$D3876,Base_Datos!$C$2:$C3876),""))</f>
        <v/>
      </c>
      <c r="I3605" s="3"/>
      <c r="J3605" s="3" t="str">
        <f>IF(I3605="","",IFERROR(VLOOKUP(I3605,Base_Datos!$D$2:$E$72,2,0),""))</f>
        <v/>
      </c>
      <c r="K3605" s="3"/>
      <c r="L3605" s="3"/>
      <c r="M3605" s="3"/>
      <c r="N3605" s="3"/>
    </row>
    <row r="3606" spans="1:14" ht="14.25" x14ac:dyDescent="0.2">
      <c r="A3606" s="3"/>
      <c r="B3606" s="3"/>
      <c r="C3606" s="3"/>
      <c r="D3606" s="6"/>
      <c r="E3606" s="10"/>
      <c r="F3606" s="3" t="str">
        <f>IFERROR( VLOOKUP(A3606,#REF!,2,0),"")</f>
        <v/>
      </c>
      <c r="G3606" s="3">
        <f t="array" ref="G3606">_xlfn.XLOOKUP(I3606,Base_Datos!D:D,Base_Datos!B:B,"")</f>
        <v>0</v>
      </c>
      <c r="H3606" s="3" t="str">
        <f t="array" ref="H3606">IF(I3606="","",IFERROR(_xlfn.XLOOKUP(I3606,Base_Datos!$D$2:$D3876,Base_Datos!$C$2:$C3876),""))</f>
        <v/>
      </c>
      <c r="I3606" s="3"/>
      <c r="J3606" s="3" t="str">
        <f>IF(I3606="","",IFERROR(VLOOKUP(I3606,Base_Datos!$D$2:$E$72,2,0),""))</f>
        <v/>
      </c>
      <c r="K3606" s="3"/>
      <c r="L3606" s="3"/>
      <c r="M3606" s="3"/>
      <c r="N3606" s="3"/>
    </row>
    <row r="3607" spans="1:14" ht="14.25" x14ac:dyDescent="0.2">
      <c r="A3607" s="3"/>
      <c r="B3607" s="3"/>
      <c r="C3607" s="3"/>
      <c r="D3607" s="6"/>
      <c r="E3607" s="10"/>
      <c r="F3607" s="3" t="str">
        <f>IFERROR( VLOOKUP(A3607,#REF!,2,0),"")</f>
        <v/>
      </c>
      <c r="G3607" s="3">
        <f t="array" ref="G3607">_xlfn.XLOOKUP(I3607,Base_Datos!D:D,Base_Datos!B:B,"")</f>
        <v>0</v>
      </c>
      <c r="H3607" s="3" t="str">
        <f t="array" ref="H3607">IF(I3607="","",IFERROR(_xlfn.XLOOKUP(I3607,Base_Datos!$D$2:$D3876,Base_Datos!$C$2:$C3876),""))</f>
        <v/>
      </c>
      <c r="I3607" s="3"/>
      <c r="J3607" s="3" t="str">
        <f>IF(I3607="","",IFERROR(VLOOKUP(I3607,Base_Datos!$D$2:$E$72,2,0),""))</f>
        <v/>
      </c>
      <c r="K3607" s="3"/>
      <c r="L3607" s="3"/>
      <c r="M3607" s="3"/>
      <c r="N3607" s="3"/>
    </row>
    <row r="3608" spans="1:14" ht="14.25" x14ac:dyDescent="0.2">
      <c r="A3608" s="3"/>
      <c r="B3608" s="3"/>
      <c r="C3608" s="3"/>
      <c r="D3608" s="6"/>
      <c r="E3608" s="10"/>
      <c r="F3608" s="3" t="str">
        <f>IFERROR( VLOOKUP(A3608,#REF!,2,0),"")</f>
        <v/>
      </c>
      <c r="G3608" s="3">
        <f t="array" ref="G3608">_xlfn.XLOOKUP(I3608,Base_Datos!D:D,Base_Datos!B:B,"")</f>
        <v>0</v>
      </c>
      <c r="H3608" s="3" t="str">
        <f t="array" ref="H3608">IF(I3608="","",IFERROR(_xlfn.XLOOKUP(I3608,Base_Datos!$D$2:$D3876,Base_Datos!$C$2:$C3876),""))</f>
        <v/>
      </c>
      <c r="I3608" s="3"/>
      <c r="J3608" s="3" t="str">
        <f>IF(I3608="","",IFERROR(VLOOKUP(I3608,Base_Datos!$D$2:$E$72,2,0),""))</f>
        <v/>
      </c>
      <c r="K3608" s="3"/>
      <c r="L3608" s="3"/>
      <c r="M3608" s="3"/>
      <c r="N3608" s="3"/>
    </row>
    <row r="3609" spans="1:14" ht="14.25" x14ac:dyDescent="0.2">
      <c r="A3609" s="3"/>
      <c r="B3609" s="3"/>
      <c r="C3609" s="3"/>
      <c r="D3609" s="6"/>
      <c r="E3609" s="10"/>
      <c r="F3609" s="3" t="str">
        <f>IFERROR( VLOOKUP(A3609,#REF!,2,0),"")</f>
        <v/>
      </c>
      <c r="G3609" s="3">
        <f t="array" ref="G3609">_xlfn.XLOOKUP(I3609,Base_Datos!D:D,Base_Datos!B:B,"")</f>
        <v>0</v>
      </c>
      <c r="H3609" s="3" t="str">
        <f t="array" ref="H3609">IF(I3609="","",IFERROR(_xlfn.XLOOKUP(I3609,Base_Datos!$D$2:$D3876,Base_Datos!$C$2:$C3876),""))</f>
        <v/>
      </c>
      <c r="I3609" s="3"/>
      <c r="J3609" s="3" t="str">
        <f>IF(I3609="","",IFERROR(VLOOKUP(I3609,Base_Datos!$D$2:$E$72,2,0),""))</f>
        <v/>
      </c>
      <c r="K3609" s="3"/>
      <c r="L3609" s="3"/>
      <c r="M3609" s="3"/>
      <c r="N3609" s="3"/>
    </row>
    <row r="3610" spans="1:14" ht="14.25" x14ac:dyDescent="0.2">
      <c r="A3610" s="3"/>
      <c r="B3610" s="3"/>
      <c r="C3610" s="3"/>
      <c r="D3610" s="6"/>
      <c r="E3610" s="10"/>
      <c r="F3610" s="3" t="str">
        <f>IFERROR( VLOOKUP(A3610,#REF!,2,0),"")</f>
        <v/>
      </c>
      <c r="G3610" s="3">
        <f t="array" ref="G3610">_xlfn.XLOOKUP(I3610,Base_Datos!D:D,Base_Datos!B:B,"")</f>
        <v>0</v>
      </c>
      <c r="H3610" s="3" t="str">
        <f t="array" ref="H3610">IF(I3610="","",IFERROR(_xlfn.XLOOKUP(I3610,Base_Datos!$D$2:$D3876,Base_Datos!$C$2:$C3876),""))</f>
        <v/>
      </c>
      <c r="I3610" s="3"/>
      <c r="J3610" s="3" t="str">
        <f>IF(I3610="","",IFERROR(VLOOKUP(I3610,Base_Datos!$D$2:$E$72,2,0),""))</f>
        <v/>
      </c>
      <c r="K3610" s="3"/>
      <c r="L3610" s="3"/>
      <c r="M3610" s="3"/>
      <c r="N3610" s="3"/>
    </row>
    <row r="3611" spans="1:14" ht="14.25" x14ac:dyDescent="0.2">
      <c r="A3611" s="3"/>
      <c r="B3611" s="3"/>
      <c r="C3611" s="3"/>
      <c r="D3611" s="6"/>
      <c r="E3611" s="10"/>
      <c r="F3611" s="3" t="str">
        <f>IFERROR( VLOOKUP(A3611,#REF!,2,0),"")</f>
        <v/>
      </c>
      <c r="G3611" s="3">
        <f t="array" ref="G3611">_xlfn.XLOOKUP(I3611,Base_Datos!D:D,Base_Datos!B:B,"")</f>
        <v>0</v>
      </c>
      <c r="H3611" s="3" t="str">
        <f t="array" ref="H3611">IF(I3611="","",IFERROR(_xlfn.XLOOKUP(I3611,Base_Datos!$D$2:$D3876,Base_Datos!$C$2:$C3876),""))</f>
        <v/>
      </c>
      <c r="I3611" s="3"/>
      <c r="J3611" s="3" t="str">
        <f>IF(I3611="","",IFERROR(VLOOKUP(I3611,Base_Datos!$D$2:$E$72,2,0),""))</f>
        <v/>
      </c>
      <c r="K3611" s="3"/>
      <c r="L3611" s="3"/>
      <c r="M3611" s="3"/>
      <c r="N3611" s="3"/>
    </row>
    <row r="3612" spans="1:14" ht="14.25" x14ac:dyDescent="0.2">
      <c r="A3612" s="3"/>
      <c r="B3612" s="3"/>
      <c r="C3612" s="3"/>
      <c r="D3612" s="6"/>
      <c r="E3612" s="10"/>
      <c r="F3612" s="3" t="str">
        <f>IFERROR( VLOOKUP(A3612,#REF!,2,0),"")</f>
        <v/>
      </c>
      <c r="G3612" s="3">
        <f t="array" ref="G3612">_xlfn.XLOOKUP(I3612,Base_Datos!D:D,Base_Datos!B:B,"")</f>
        <v>0</v>
      </c>
      <c r="H3612" s="3" t="str">
        <f t="array" ref="H3612">IF(I3612="","",IFERROR(_xlfn.XLOOKUP(I3612,Base_Datos!$D$2:$D3876,Base_Datos!$C$2:$C3876),""))</f>
        <v/>
      </c>
      <c r="I3612" s="3"/>
      <c r="J3612" s="3" t="str">
        <f>IF(I3612="","",IFERROR(VLOOKUP(I3612,Base_Datos!$D$2:$E$72,2,0),""))</f>
        <v/>
      </c>
      <c r="K3612" s="3"/>
      <c r="L3612" s="3"/>
      <c r="M3612" s="3"/>
      <c r="N3612" s="3"/>
    </row>
    <row r="3613" spans="1:14" ht="14.25" x14ac:dyDescent="0.2">
      <c r="A3613" s="3"/>
      <c r="B3613" s="3"/>
      <c r="C3613" s="3"/>
      <c r="D3613" s="6"/>
      <c r="E3613" s="10"/>
      <c r="F3613" s="3" t="str">
        <f>IFERROR( VLOOKUP(A3613,#REF!,2,0),"")</f>
        <v/>
      </c>
      <c r="G3613" s="3">
        <f t="array" ref="G3613">_xlfn.XLOOKUP(I3613,Base_Datos!D:D,Base_Datos!B:B,"")</f>
        <v>0</v>
      </c>
      <c r="H3613" s="3" t="str">
        <f t="array" ref="H3613">IF(I3613="","",IFERROR(_xlfn.XLOOKUP(I3613,Base_Datos!$D$2:$D3876,Base_Datos!$C$2:$C3876),""))</f>
        <v/>
      </c>
      <c r="I3613" s="3"/>
      <c r="J3613" s="3" t="str">
        <f>IF(I3613="","",IFERROR(VLOOKUP(I3613,Base_Datos!$D$2:$E$72,2,0),""))</f>
        <v/>
      </c>
      <c r="K3613" s="3"/>
      <c r="L3613" s="3"/>
      <c r="M3613" s="3"/>
      <c r="N3613" s="3"/>
    </row>
    <row r="3614" spans="1:14" ht="14.25" x14ac:dyDescent="0.2">
      <c r="A3614" s="3"/>
      <c r="B3614" s="3"/>
      <c r="C3614" s="3"/>
      <c r="D3614" s="6"/>
      <c r="E3614" s="10"/>
      <c r="F3614" s="3" t="str">
        <f>IFERROR( VLOOKUP(A3614,#REF!,2,0),"")</f>
        <v/>
      </c>
      <c r="G3614" s="3">
        <f t="array" ref="G3614">_xlfn.XLOOKUP(I3614,Base_Datos!D:D,Base_Datos!B:B,"")</f>
        <v>0</v>
      </c>
      <c r="H3614" s="3" t="str">
        <f t="array" ref="H3614">IF(I3614="","",IFERROR(_xlfn.XLOOKUP(I3614,Base_Datos!$D$2:$D3876,Base_Datos!$C$2:$C3876),""))</f>
        <v/>
      </c>
      <c r="I3614" s="3"/>
      <c r="J3614" s="3" t="str">
        <f>IF(I3614="","",IFERROR(VLOOKUP(I3614,Base_Datos!$D$2:$E$72,2,0),""))</f>
        <v/>
      </c>
      <c r="K3614" s="3"/>
      <c r="L3614" s="3"/>
      <c r="M3614" s="3"/>
      <c r="N3614" s="3"/>
    </row>
    <row r="3615" spans="1:14" ht="14.25" x14ac:dyDescent="0.2">
      <c r="A3615" s="3"/>
      <c r="B3615" s="3"/>
      <c r="C3615" s="3"/>
      <c r="D3615" s="6"/>
      <c r="E3615" s="10"/>
      <c r="F3615" s="3" t="str">
        <f>IFERROR( VLOOKUP(A3615,#REF!,2,0),"")</f>
        <v/>
      </c>
      <c r="G3615" s="3">
        <f t="array" ref="G3615">_xlfn.XLOOKUP(I3615,Base_Datos!D:D,Base_Datos!B:B,"")</f>
        <v>0</v>
      </c>
      <c r="H3615" s="3" t="str">
        <f t="array" ref="H3615">IF(I3615="","",IFERROR(_xlfn.XLOOKUP(I3615,Base_Datos!$D$2:$D3876,Base_Datos!$C$2:$C3876),""))</f>
        <v/>
      </c>
      <c r="I3615" s="3"/>
      <c r="J3615" s="3" t="str">
        <f>IF(I3615="","",IFERROR(VLOOKUP(I3615,Base_Datos!$D$2:$E$72,2,0),""))</f>
        <v/>
      </c>
      <c r="K3615" s="3"/>
      <c r="L3615" s="3"/>
      <c r="M3615" s="3"/>
      <c r="N3615" s="3"/>
    </row>
    <row r="3616" spans="1:14" ht="14.25" x14ac:dyDescent="0.2">
      <c r="A3616" s="3"/>
      <c r="B3616" s="3"/>
      <c r="C3616" s="3"/>
      <c r="D3616" s="6"/>
      <c r="E3616" s="10"/>
      <c r="F3616" s="3" t="str">
        <f>IFERROR( VLOOKUP(A3616,#REF!,2,0),"")</f>
        <v/>
      </c>
      <c r="G3616" s="3">
        <f t="array" ref="G3616">_xlfn.XLOOKUP(I3616,Base_Datos!D:D,Base_Datos!B:B,"")</f>
        <v>0</v>
      </c>
      <c r="H3616" s="3" t="str">
        <f t="array" ref="H3616">IF(I3616="","",IFERROR(_xlfn.XLOOKUP(I3616,Base_Datos!$D$2:$D3876,Base_Datos!$C$2:$C3876),""))</f>
        <v/>
      </c>
      <c r="I3616" s="3"/>
      <c r="J3616" s="3" t="str">
        <f>IF(I3616="","",IFERROR(VLOOKUP(I3616,Base_Datos!$D$2:$E$72,2,0),""))</f>
        <v/>
      </c>
      <c r="K3616" s="3"/>
      <c r="L3616" s="3"/>
      <c r="M3616" s="3"/>
      <c r="N3616" s="3"/>
    </row>
    <row r="3617" spans="1:14" ht="14.25" x14ac:dyDescent="0.2">
      <c r="A3617" s="3"/>
      <c r="B3617" s="3"/>
      <c r="C3617" s="3"/>
      <c r="D3617" s="6"/>
      <c r="E3617" s="10"/>
      <c r="F3617" s="3" t="str">
        <f>IFERROR( VLOOKUP(A3617,#REF!,2,0),"")</f>
        <v/>
      </c>
      <c r="G3617" s="3">
        <f t="array" ref="G3617">_xlfn.XLOOKUP(I3617,Base_Datos!D:D,Base_Datos!B:B,"")</f>
        <v>0</v>
      </c>
      <c r="H3617" s="3" t="str">
        <f t="array" ref="H3617">IF(I3617="","",IFERROR(_xlfn.XLOOKUP(I3617,Base_Datos!$D$2:$D3876,Base_Datos!$C$2:$C3876),""))</f>
        <v/>
      </c>
      <c r="I3617" s="3"/>
      <c r="J3617" s="3" t="str">
        <f>IF(I3617="","",IFERROR(VLOOKUP(I3617,Base_Datos!$D$2:$E$72,2,0),""))</f>
        <v/>
      </c>
      <c r="K3617" s="3"/>
      <c r="L3617" s="3"/>
      <c r="M3617" s="3"/>
      <c r="N3617" s="3"/>
    </row>
    <row r="3618" spans="1:14" ht="14.25" x14ac:dyDescent="0.2">
      <c r="A3618" s="3"/>
      <c r="B3618" s="3"/>
      <c r="C3618" s="3"/>
      <c r="D3618" s="6"/>
      <c r="E3618" s="10"/>
      <c r="F3618" s="3" t="str">
        <f>IFERROR( VLOOKUP(A3618,#REF!,2,0),"")</f>
        <v/>
      </c>
      <c r="G3618" s="3">
        <f t="array" ref="G3618">_xlfn.XLOOKUP(I3618,Base_Datos!D:D,Base_Datos!B:B,"")</f>
        <v>0</v>
      </c>
      <c r="H3618" s="3" t="str">
        <f t="array" ref="H3618">IF(I3618="","",IFERROR(_xlfn.XLOOKUP(I3618,Base_Datos!$D$2:$D3876,Base_Datos!$C$2:$C3876),""))</f>
        <v/>
      </c>
      <c r="I3618" s="3"/>
      <c r="J3618" s="3" t="str">
        <f>IF(I3618="","",IFERROR(VLOOKUP(I3618,Base_Datos!$D$2:$E$72,2,0),""))</f>
        <v/>
      </c>
      <c r="K3618" s="3"/>
      <c r="L3618" s="3"/>
      <c r="M3618" s="3"/>
      <c r="N3618" s="3"/>
    </row>
    <row r="3619" spans="1:14" ht="14.25" x14ac:dyDescent="0.2">
      <c r="A3619" s="3"/>
      <c r="B3619" s="3"/>
      <c r="C3619" s="3"/>
      <c r="D3619" s="6"/>
      <c r="E3619" s="10"/>
      <c r="F3619" s="3" t="str">
        <f>IFERROR( VLOOKUP(A3619,#REF!,2,0),"")</f>
        <v/>
      </c>
      <c r="G3619" s="3">
        <f t="array" ref="G3619">_xlfn.XLOOKUP(I3619,Base_Datos!D:D,Base_Datos!B:B,"")</f>
        <v>0</v>
      </c>
      <c r="H3619" s="3" t="str">
        <f t="array" ref="H3619">IF(I3619="","",IFERROR(_xlfn.XLOOKUP(I3619,Base_Datos!$D$2:$D3876,Base_Datos!$C$2:$C3876),""))</f>
        <v/>
      </c>
      <c r="I3619" s="3"/>
      <c r="J3619" s="3" t="str">
        <f>IF(I3619="","",IFERROR(VLOOKUP(I3619,Base_Datos!$D$2:$E$72,2,0),""))</f>
        <v/>
      </c>
      <c r="K3619" s="3"/>
      <c r="L3619" s="3"/>
      <c r="M3619" s="3"/>
      <c r="N3619" s="3"/>
    </row>
    <row r="3620" spans="1:14" ht="14.25" x14ac:dyDescent="0.2">
      <c r="A3620" s="3"/>
      <c r="B3620" s="3"/>
      <c r="C3620" s="3"/>
      <c r="D3620" s="6"/>
      <c r="E3620" s="10"/>
      <c r="F3620" s="3" t="str">
        <f>IFERROR( VLOOKUP(A3620,#REF!,2,0),"")</f>
        <v/>
      </c>
      <c r="G3620" s="3">
        <f t="array" ref="G3620">_xlfn.XLOOKUP(I3620,Base_Datos!D:D,Base_Datos!B:B,"")</f>
        <v>0</v>
      </c>
      <c r="H3620" s="3" t="str">
        <f t="array" ref="H3620">IF(I3620="","",IFERROR(_xlfn.XLOOKUP(I3620,Base_Datos!$D$2:$D3876,Base_Datos!$C$2:$C3876),""))</f>
        <v/>
      </c>
      <c r="I3620" s="3"/>
      <c r="J3620" s="3" t="str">
        <f>IF(I3620="","",IFERROR(VLOOKUP(I3620,Base_Datos!$D$2:$E$72,2,0),""))</f>
        <v/>
      </c>
      <c r="K3620" s="3"/>
      <c r="L3620" s="3"/>
      <c r="M3620" s="3"/>
      <c r="N3620" s="3"/>
    </row>
    <row r="3621" spans="1:14" ht="14.25" x14ac:dyDescent="0.2">
      <c r="A3621" s="3"/>
      <c r="B3621" s="3"/>
      <c r="C3621" s="3"/>
      <c r="D3621" s="6"/>
      <c r="E3621" s="10"/>
      <c r="F3621" s="3" t="str">
        <f>IFERROR( VLOOKUP(A3621,#REF!,2,0),"")</f>
        <v/>
      </c>
      <c r="G3621" s="3">
        <f t="array" ref="G3621">_xlfn.XLOOKUP(I3621,Base_Datos!D:D,Base_Datos!B:B,"")</f>
        <v>0</v>
      </c>
      <c r="H3621" s="3" t="str">
        <f t="array" ref="H3621">IF(I3621="","",IFERROR(_xlfn.XLOOKUP(I3621,Base_Datos!$D$2:$D3876,Base_Datos!$C$2:$C3876),""))</f>
        <v/>
      </c>
      <c r="I3621" s="3"/>
      <c r="J3621" s="3" t="str">
        <f>IF(I3621="","",IFERROR(VLOOKUP(I3621,Base_Datos!$D$2:$E$72,2,0),""))</f>
        <v/>
      </c>
      <c r="K3621" s="3"/>
      <c r="L3621" s="3"/>
      <c r="M3621" s="3"/>
      <c r="N3621" s="3"/>
    </row>
    <row r="3622" spans="1:14" ht="14.25" x14ac:dyDescent="0.2">
      <c r="A3622" s="3"/>
      <c r="B3622" s="3"/>
      <c r="C3622" s="3"/>
      <c r="D3622" s="6"/>
      <c r="E3622" s="10"/>
      <c r="F3622" s="3" t="str">
        <f>IFERROR( VLOOKUP(A3622,#REF!,2,0),"")</f>
        <v/>
      </c>
      <c r="G3622" s="3">
        <f t="array" ref="G3622">_xlfn.XLOOKUP(I3622,Base_Datos!D:D,Base_Datos!B:B,"")</f>
        <v>0</v>
      </c>
      <c r="H3622" s="3" t="str">
        <f t="array" ref="H3622">IF(I3622="","",IFERROR(_xlfn.XLOOKUP(I3622,Base_Datos!$D$2:$D3876,Base_Datos!$C$2:$C3876),""))</f>
        <v/>
      </c>
      <c r="I3622" s="3"/>
      <c r="J3622" s="3" t="str">
        <f>IF(I3622="","",IFERROR(VLOOKUP(I3622,Base_Datos!$D$2:$E$72,2,0),""))</f>
        <v/>
      </c>
      <c r="K3622" s="3"/>
      <c r="L3622" s="3"/>
      <c r="M3622" s="3"/>
      <c r="N3622" s="3"/>
    </row>
    <row r="3623" spans="1:14" ht="14.25" x14ac:dyDescent="0.2">
      <c r="A3623" s="3"/>
      <c r="B3623" s="3"/>
      <c r="C3623" s="3"/>
      <c r="D3623" s="6"/>
      <c r="E3623" s="10"/>
      <c r="F3623" s="3" t="str">
        <f>IFERROR( VLOOKUP(A3623,#REF!,2,0),"")</f>
        <v/>
      </c>
      <c r="G3623" s="3">
        <f t="array" ref="G3623">_xlfn.XLOOKUP(I3623,Base_Datos!D:D,Base_Datos!B:B,"")</f>
        <v>0</v>
      </c>
      <c r="H3623" s="3" t="str">
        <f t="array" ref="H3623">IF(I3623="","",IFERROR(_xlfn.XLOOKUP(I3623,Base_Datos!$D$2:$D3876,Base_Datos!$C$2:$C3876),""))</f>
        <v/>
      </c>
      <c r="I3623" s="3"/>
      <c r="J3623" s="3" t="str">
        <f>IF(I3623="","",IFERROR(VLOOKUP(I3623,Base_Datos!$D$2:$E$72,2,0),""))</f>
        <v/>
      </c>
      <c r="K3623" s="3"/>
      <c r="L3623" s="3"/>
      <c r="M3623" s="3"/>
      <c r="N3623" s="3"/>
    </row>
    <row r="3624" spans="1:14" ht="14.25" x14ac:dyDescent="0.2">
      <c r="A3624" s="3"/>
      <c r="B3624" s="3"/>
      <c r="C3624" s="3"/>
      <c r="D3624" s="6"/>
      <c r="E3624" s="10"/>
      <c r="F3624" s="3" t="str">
        <f>IFERROR( VLOOKUP(A3624,#REF!,2,0),"")</f>
        <v/>
      </c>
      <c r="G3624" s="3">
        <f t="array" ref="G3624">_xlfn.XLOOKUP(I3624,Base_Datos!D:D,Base_Datos!B:B,"")</f>
        <v>0</v>
      </c>
      <c r="H3624" s="3" t="str">
        <f t="array" ref="H3624">IF(I3624="","",IFERROR(_xlfn.XLOOKUP(I3624,Base_Datos!$D$2:$D3876,Base_Datos!$C$2:$C3876),""))</f>
        <v/>
      </c>
      <c r="I3624" s="3"/>
      <c r="J3624" s="3" t="str">
        <f>IF(I3624="","",IFERROR(VLOOKUP(I3624,Base_Datos!$D$2:$E$72,2,0),""))</f>
        <v/>
      </c>
      <c r="K3624" s="3"/>
      <c r="L3624" s="3"/>
      <c r="M3624" s="3"/>
      <c r="N3624" s="3"/>
    </row>
    <row r="3625" spans="1:14" ht="14.25" x14ac:dyDescent="0.2">
      <c r="A3625" s="3"/>
      <c r="B3625" s="3"/>
      <c r="C3625" s="3"/>
      <c r="D3625" s="6"/>
      <c r="E3625" s="10"/>
      <c r="F3625" s="3" t="str">
        <f>IFERROR( VLOOKUP(A3625,#REF!,2,0),"")</f>
        <v/>
      </c>
      <c r="G3625" s="3">
        <f t="array" ref="G3625">_xlfn.XLOOKUP(I3625,Base_Datos!D:D,Base_Datos!B:B,"")</f>
        <v>0</v>
      </c>
      <c r="H3625" s="3" t="str">
        <f t="array" ref="H3625">IF(I3625="","",IFERROR(_xlfn.XLOOKUP(I3625,Base_Datos!$D$2:$D3876,Base_Datos!$C$2:$C3876),""))</f>
        <v/>
      </c>
      <c r="I3625" s="3"/>
      <c r="J3625" s="3" t="str">
        <f>IF(I3625="","",IFERROR(VLOOKUP(I3625,Base_Datos!$D$2:$E$72,2,0),""))</f>
        <v/>
      </c>
      <c r="K3625" s="3"/>
      <c r="L3625" s="3"/>
      <c r="M3625" s="3"/>
      <c r="N3625" s="3"/>
    </row>
    <row r="3626" spans="1:14" ht="14.25" x14ac:dyDescent="0.2">
      <c r="A3626" s="3"/>
      <c r="B3626" s="3"/>
      <c r="C3626" s="3"/>
      <c r="D3626" s="6"/>
      <c r="E3626" s="10"/>
      <c r="F3626" s="3" t="str">
        <f>IFERROR( VLOOKUP(A3626,#REF!,2,0),"")</f>
        <v/>
      </c>
      <c r="G3626" s="3">
        <f t="array" ref="G3626">_xlfn.XLOOKUP(I3626,Base_Datos!D:D,Base_Datos!B:B,"")</f>
        <v>0</v>
      </c>
      <c r="H3626" s="3" t="str">
        <f t="array" ref="H3626">IF(I3626="","",IFERROR(_xlfn.XLOOKUP(I3626,Base_Datos!$D$2:$D3876,Base_Datos!$C$2:$C3876),""))</f>
        <v/>
      </c>
      <c r="I3626" s="3"/>
      <c r="J3626" s="3" t="str">
        <f>IF(I3626="","",IFERROR(VLOOKUP(I3626,Base_Datos!$D$2:$E$72,2,0),""))</f>
        <v/>
      </c>
      <c r="K3626" s="3"/>
      <c r="L3626" s="3"/>
      <c r="M3626" s="3"/>
      <c r="N3626" s="3"/>
    </row>
    <row r="3627" spans="1:14" ht="14.25" x14ac:dyDescent="0.2">
      <c r="A3627" s="3"/>
      <c r="B3627" s="3"/>
      <c r="C3627" s="3"/>
      <c r="D3627" s="6"/>
      <c r="E3627" s="10"/>
      <c r="F3627" s="3" t="str">
        <f>IFERROR( VLOOKUP(A3627,#REF!,2,0),"")</f>
        <v/>
      </c>
      <c r="G3627" s="3">
        <f t="array" ref="G3627">_xlfn.XLOOKUP(I3627,Base_Datos!D:D,Base_Datos!B:B,"")</f>
        <v>0</v>
      </c>
      <c r="H3627" s="3" t="str">
        <f t="array" ref="H3627">IF(I3627="","",IFERROR(_xlfn.XLOOKUP(I3627,Base_Datos!$D$2:$D3876,Base_Datos!$C$2:$C3876),""))</f>
        <v/>
      </c>
      <c r="I3627" s="3"/>
      <c r="J3627" s="3" t="str">
        <f>IF(I3627="","",IFERROR(VLOOKUP(I3627,Base_Datos!$D$2:$E$72,2,0),""))</f>
        <v/>
      </c>
      <c r="K3627" s="3"/>
      <c r="L3627" s="3"/>
      <c r="M3627" s="3"/>
      <c r="N3627" s="3"/>
    </row>
    <row r="3628" spans="1:14" ht="14.25" x14ac:dyDescent="0.2">
      <c r="A3628" s="3"/>
      <c r="B3628" s="3"/>
      <c r="C3628" s="3"/>
      <c r="D3628" s="6"/>
      <c r="E3628" s="10"/>
      <c r="F3628" s="3" t="str">
        <f>IFERROR( VLOOKUP(A3628,#REF!,2,0),"")</f>
        <v/>
      </c>
      <c r="G3628" s="3">
        <f t="array" ref="G3628">_xlfn.XLOOKUP(I3628,Base_Datos!D:D,Base_Datos!B:B,"")</f>
        <v>0</v>
      </c>
      <c r="H3628" s="3" t="str">
        <f t="array" ref="H3628">IF(I3628="","",IFERROR(_xlfn.XLOOKUP(I3628,Base_Datos!$D$2:$D3876,Base_Datos!$C$2:$C3876),""))</f>
        <v/>
      </c>
      <c r="I3628" s="3"/>
      <c r="J3628" s="3" t="str">
        <f>IF(I3628="","",IFERROR(VLOOKUP(I3628,Base_Datos!$D$2:$E$72,2,0),""))</f>
        <v/>
      </c>
      <c r="K3628" s="3"/>
      <c r="L3628" s="3"/>
      <c r="M3628" s="3"/>
      <c r="N3628" s="3"/>
    </row>
    <row r="3629" spans="1:14" ht="14.25" x14ac:dyDescent="0.2">
      <c r="A3629" s="3"/>
      <c r="B3629" s="3"/>
      <c r="C3629" s="3"/>
      <c r="D3629" s="6"/>
      <c r="E3629" s="10"/>
      <c r="F3629" s="3" t="str">
        <f>IFERROR( VLOOKUP(A3629,#REF!,2,0),"")</f>
        <v/>
      </c>
      <c r="G3629" s="3">
        <f t="array" ref="G3629">_xlfn.XLOOKUP(I3629,Base_Datos!D:D,Base_Datos!B:B,"")</f>
        <v>0</v>
      </c>
      <c r="H3629" s="3" t="str">
        <f t="array" ref="H3629">IF(I3629="","",IFERROR(_xlfn.XLOOKUP(I3629,Base_Datos!$D$2:$D3876,Base_Datos!$C$2:$C3876),""))</f>
        <v/>
      </c>
      <c r="I3629" s="3"/>
      <c r="J3629" s="3" t="str">
        <f>IF(I3629="","",IFERROR(VLOOKUP(I3629,Base_Datos!$D$2:$E$72,2,0),""))</f>
        <v/>
      </c>
      <c r="K3629" s="3"/>
      <c r="L3629" s="3"/>
      <c r="M3629" s="3"/>
      <c r="N3629" s="3"/>
    </row>
    <row r="3630" spans="1:14" ht="14.25" x14ac:dyDescent="0.2">
      <c r="A3630" s="3"/>
      <c r="B3630" s="3"/>
      <c r="C3630" s="3"/>
      <c r="D3630" s="6"/>
      <c r="E3630" s="10"/>
      <c r="F3630" s="3" t="str">
        <f>IFERROR( VLOOKUP(A3630,#REF!,2,0),"")</f>
        <v/>
      </c>
      <c r="G3630" s="3">
        <f t="array" ref="G3630">_xlfn.XLOOKUP(I3630,Base_Datos!D:D,Base_Datos!B:B,"")</f>
        <v>0</v>
      </c>
      <c r="H3630" s="3" t="str">
        <f t="array" ref="H3630">IF(I3630="","",IFERROR(_xlfn.XLOOKUP(I3630,Base_Datos!$D$2:$D3876,Base_Datos!$C$2:$C3876),""))</f>
        <v/>
      </c>
      <c r="I3630" s="3"/>
      <c r="J3630" s="3" t="str">
        <f>IF(I3630="","",IFERROR(VLOOKUP(I3630,Base_Datos!$D$2:$E$72,2,0),""))</f>
        <v/>
      </c>
      <c r="K3630" s="3"/>
      <c r="L3630" s="3"/>
      <c r="M3630" s="3"/>
      <c r="N3630" s="3"/>
    </row>
    <row r="3631" spans="1:14" ht="14.25" x14ac:dyDescent="0.2">
      <c r="A3631" s="3"/>
      <c r="B3631" s="3"/>
      <c r="C3631" s="3"/>
      <c r="D3631" s="6"/>
      <c r="E3631" s="10"/>
      <c r="F3631" s="3" t="str">
        <f>IFERROR( VLOOKUP(A3631,#REF!,2,0),"")</f>
        <v/>
      </c>
      <c r="G3631" s="3">
        <f t="array" ref="G3631">_xlfn.XLOOKUP(I3631,Base_Datos!D:D,Base_Datos!B:B,"")</f>
        <v>0</v>
      </c>
      <c r="H3631" s="3" t="str">
        <f t="array" ref="H3631">IF(I3631="","",IFERROR(_xlfn.XLOOKUP(I3631,Base_Datos!$D$2:$D3876,Base_Datos!$C$2:$C3876),""))</f>
        <v/>
      </c>
      <c r="I3631" s="3"/>
      <c r="J3631" s="3" t="str">
        <f>IF(I3631="","",IFERROR(VLOOKUP(I3631,Base_Datos!$D$2:$E$72,2,0),""))</f>
        <v/>
      </c>
      <c r="K3631" s="3"/>
      <c r="L3631" s="3"/>
      <c r="M3631" s="3"/>
      <c r="N3631" s="3"/>
    </row>
    <row r="3632" spans="1:14" ht="14.25" x14ac:dyDescent="0.2">
      <c r="A3632" s="3"/>
      <c r="B3632" s="3"/>
      <c r="C3632" s="3"/>
      <c r="D3632" s="6"/>
      <c r="E3632" s="10"/>
      <c r="F3632" s="3" t="str">
        <f>IFERROR( VLOOKUP(A3632,#REF!,2,0),"")</f>
        <v/>
      </c>
      <c r="G3632" s="3">
        <f t="array" ref="G3632">_xlfn.XLOOKUP(I3632,Base_Datos!D:D,Base_Datos!B:B,"")</f>
        <v>0</v>
      </c>
      <c r="H3632" s="3" t="str">
        <f t="array" ref="H3632">IF(I3632="","",IFERROR(_xlfn.XLOOKUP(I3632,Base_Datos!$D$2:$D3876,Base_Datos!$C$2:$C3876),""))</f>
        <v/>
      </c>
      <c r="I3632" s="3"/>
      <c r="J3632" s="3" t="str">
        <f>IF(I3632="","",IFERROR(VLOOKUP(I3632,Base_Datos!$D$2:$E$72,2,0),""))</f>
        <v/>
      </c>
      <c r="K3632" s="3"/>
      <c r="L3632" s="3"/>
      <c r="M3632" s="3"/>
      <c r="N3632" s="3"/>
    </row>
    <row r="3633" spans="1:14" ht="14.25" x14ac:dyDescent="0.2">
      <c r="A3633" s="3"/>
      <c r="B3633" s="3"/>
      <c r="C3633" s="3"/>
      <c r="D3633" s="6"/>
      <c r="E3633" s="10"/>
      <c r="F3633" s="3" t="str">
        <f>IFERROR( VLOOKUP(A3633,#REF!,2,0),"")</f>
        <v/>
      </c>
      <c r="G3633" s="3">
        <f t="array" ref="G3633">_xlfn.XLOOKUP(I3633,Base_Datos!D:D,Base_Datos!B:B,"")</f>
        <v>0</v>
      </c>
      <c r="H3633" s="3" t="str">
        <f t="array" ref="H3633">IF(I3633="","",IFERROR(_xlfn.XLOOKUP(I3633,Base_Datos!$D$2:$D3876,Base_Datos!$C$2:$C3876),""))</f>
        <v/>
      </c>
      <c r="I3633" s="3"/>
      <c r="J3633" s="3" t="str">
        <f>IF(I3633="","",IFERROR(VLOOKUP(I3633,Base_Datos!$D$2:$E$72,2,0),""))</f>
        <v/>
      </c>
      <c r="K3633" s="3"/>
      <c r="L3633" s="3"/>
      <c r="M3633" s="3"/>
      <c r="N3633" s="3"/>
    </row>
    <row r="3634" spans="1:14" ht="14.25" x14ac:dyDescent="0.2">
      <c r="A3634" s="3"/>
      <c r="B3634" s="3"/>
      <c r="C3634" s="3"/>
      <c r="D3634" s="6"/>
      <c r="E3634" s="10"/>
      <c r="F3634" s="3" t="str">
        <f>IFERROR( VLOOKUP(A3634,#REF!,2,0),"")</f>
        <v/>
      </c>
      <c r="G3634" s="3">
        <f t="array" ref="G3634">_xlfn.XLOOKUP(I3634,Base_Datos!D:D,Base_Datos!B:B,"")</f>
        <v>0</v>
      </c>
      <c r="H3634" s="3" t="str">
        <f t="array" ref="H3634">IF(I3634="","",IFERROR(_xlfn.XLOOKUP(I3634,Base_Datos!$D$2:$D3876,Base_Datos!$C$2:$C3876),""))</f>
        <v/>
      </c>
      <c r="I3634" s="3"/>
      <c r="J3634" s="3" t="str">
        <f>IF(I3634="","",IFERROR(VLOOKUP(I3634,Base_Datos!$D$2:$E$72,2,0),""))</f>
        <v/>
      </c>
      <c r="K3634" s="3"/>
      <c r="L3634" s="3"/>
      <c r="M3634" s="3"/>
      <c r="N3634" s="3"/>
    </row>
    <row r="3635" spans="1:14" ht="14.25" x14ac:dyDescent="0.2">
      <c r="A3635" s="3"/>
      <c r="B3635" s="3"/>
      <c r="C3635" s="3"/>
      <c r="D3635" s="6"/>
      <c r="E3635" s="10"/>
      <c r="F3635" s="3" t="str">
        <f>IFERROR( VLOOKUP(A3635,#REF!,2,0),"")</f>
        <v/>
      </c>
      <c r="G3635" s="3">
        <f t="array" ref="G3635">_xlfn.XLOOKUP(I3635,Base_Datos!D:D,Base_Datos!B:B,"")</f>
        <v>0</v>
      </c>
      <c r="H3635" s="3" t="str">
        <f t="array" ref="H3635">IF(I3635="","",IFERROR(_xlfn.XLOOKUP(I3635,Base_Datos!$D$2:$D3876,Base_Datos!$C$2:$C3876),""))</f>
        <v/>
      </c>
      <c r="I3635" s="3"/>
      <c r="J3635" s="3" t="str">
        <f>IF(I3635="","",IFERROR(VLOOKUP(I3635,Base_Datos!$D$2:$E$72,2,0),""))</f>
        <v/>
      </c>
      <c r="K3635" s="3"/>
      <c r="L3635" s="3"/>
      <c r="M3635" s="3"/>
      <c r="N3635" s="3"/>
    </row>
    <row r="3636" spans="1:14" ht="14.25" x14ac:dyDescent="0.2">
      <c r="A3636" s="3"/>
      <c r="B3636" s="3"/>
      <c r="C3636" s="3"/>
      <c r="D3636" s="6"/>
      <c r="E3636" s="10"/>
      <c r="F3636" s="3" t="str">
        <f>IFERROR( VLOOKUP(A3636,#REF!,2,0),"")</f>
        <v/>
      </c>
      <c r="G3636" s="3">
        <f t="array" ref="G3636">_xlfn.XLOOKUP(I3636,Base_Datos!D:D,Base_Datos!B:B,"")</f>
        <v>0</v>
      </c>
      <c r="H3636" s="3" t="str">
        <f t="array" ref="H3636">IF(I3636="","",IFERROR(_xlfn.XLOOKUP(I3636,Base_Datos!$D$2:$D3876,Base_Datos!$C$2:$C3876),""))</f>
        <v/>
      </c>
      <c r="I3636" s="3"/>
      <c r="J3636" s="3" t="str">
        <f>IF(I3636="","",IFERROR(VLOOKUP(I3636,Base_Datos!$D$2:$E$72,2,0),""))</f>
        <v/>
      </c>
      <c r="K3636" s="3"/>
      <c r="L3636" s="3"/>
      <c r="M3636" s="3"/>
      <c r="N3636" s="3"/>
    </row>
    <row r="3637" spans="1:14" ht="14.25" x14ac:dyDescent="0.2">
      <c r="A3637" s="3"/>
      <c r="B3637" s="3"/>
      <c r="C3637" s="3"/>
      <c r="D3637" s="6"/>
      <c r="E3637" s="10"/>
      <c r="F3637" s="3" t="str">
        <f>IFERROR( VLOOKUP(A3637,#REF!,2,0),"")</f>
        <v/>
      </c>
      <c r="G3637" s="3">
        <f t="array" ref="G3637">_xlfn.XLOOKUP(I3637,Base_Datos!D:D,Base_Datos!B:B,"")</f>
        <v>0</v>
      </c>
      <c r="H3637" s="3" t="str">
        <f t="array" ref="H3637">IF(I3637="","",IFERROR(_xlfn.XLOOKUP(I3637,Base_Datos!$D$2:$D3876,Base_Datos!$C$2:$C3876),""))</f>
        <v/>
      </c>
      <c r="I3637" s="3"/>
      <c r="J3637" s="3" t="str">
        <f>IF(I3637="","",IFERROR(VLOOKUP(I3637,Base_Datos!$D$2:$E$72,2,0),""))</f>
        <v/>
      </c>
      <c r="K3637" s="3"/>
      <c r="L3637" s="3"/>
      <c r="M3637" s="3"/>
      <c r="N3637" s="3"/>
    </row>
    <row r="3638" spans="1:14" ht="14.25" x14ac:dyDescent="0.2">
      <c r="A3638" s="3"/>
      <c r="B3638" s="3"/>
      <c r="C3638" s="3"/>
      <c r="D3638" s="6"/>
      <c r="E3638" s="10"/>
      <c r="F3638" s="3" t="str">
        <f>IFERROR( VLOOKUP(A3638,#REF!,2,0),"")</f>
        <v/>
      </c>
      <c r="G3638" s="3">
        <f t="array" ref="G3638">_xlfn.XLOOKUP(I3638,Base_Datos!D:D,Base_Datos!B:B,"")</f>
        <v>0</v>
      </c>
      <c r="H3638" s="3" t="str">
        <f t="array" ref="H3638">IF(I3638="","",IFERROR(_xlfn.XLOOKUP(I3638,Base_Datos!$D$2:$D3876,Base_Datos!$C$2:$C3876),""))</f>
        <v/>
      </c>
      <c r="I3638" s="3"/>
      <c r="J3638" s="3" t="str">
        <f>IF(I3638="","",IFERROR(VLOOKUP(I3638,Base_Datos!$D$2:$E$72,2,0),""))</f>
        <v/>
      </c>
      <c r="K3638" s="3"/>
      <c r="L3638" s="3"/>
      <c r="M3638" s="3"/>
      <c r="N3638" s="3"/>
    </row>
    <row r="3639" spans="1:14" ht="14.25" x14ac:dyDescent="0.2">
      <c r="A3639" s="3"/>
      <c r="B3639" s="3"/>
      <c r="C3639" s="3"/>
      <c r="D3639" s="6"/>
      <c r="E3639" s="10"/>
      <c r="F3639" s="3" t="str">
        <f>IFERROR( VLOOKUP(A3639,#REF!,2,0),"")</f>
        <v/>
      </c>
      <c r="G3639" s="3">
        <f t="array" ref="G3639">_xlfn.XLOOKUP(I3639,Base_Datos!D:D,Base_Datos!B:B,"")</f>
        <v>0</v>
      </c>
      <c r="H3639" s="3" t="str">
        <f t="array" ref="H3639">IF(I3639="","",IFERROR(_xlfn.XLOOKUP(I3639,Base_Datos!$D$2:$D3876,Base_Datos!$C$2:$C3876),""))</f>
        <v/>
      </c>
      <c r="I3639" s="3"/>
      <c r="J3639" s="3" t="str">
        <f>IF(I3639="","",IFERROR(VLOOKUP(I3639,Base_Datos!$D$2:$E$72,2,0),""))</f>
        <v/>
      </c>
      <c r="K3639" s="3"/>
      <c r="L3639" s="3"/>
      <c r="M3639" s="3"/>
      <c r="N3639" s="3"/>
    </row>
    <row r="3640" spans="1:14" ht="14.25" x14ac:dyDescent="0.2">
      <c r="A3640" s="3"/>
      <c r="B3640" s="3"/>
      <c r="C3640" s="3"/>
      <c r="D3640" s="6"/>
      <c r="E3640" s="10"/>
      <c r="F3640" s="3" t="str">
        <f>IFERROR( VLOOKUP(A3640,#REF!,2,0),"")</f>
        <v/>
      </c>
      <c r="G3640" s="3">
        <f t="array" ref="G3640">_xlfn.XLOOKUP(I3640,Base_Datos!D:D,Base_Datos!B:B,"")</f>
        <v>0</v>
      </c>
      <c r="H3640" s="3" t="str">
        <f t="array" ref="H3640">IF(I3640="","",IFERROR(_xlfn.XLOOKUP(I3640,Base_Datos!$D$2:$D3876,Base_Datos!$C$2:$C3876),""))</f>
        <v/>
      </c>
      <c r="I3640" s="3"/>
      <c r="J3640" s="3" t="str">
        <f>IF(I3640="","",IFERROR(VLOOKUP(I3640,Base_Datos!$D$2:$E$72,2,0),""))</f>
        <v/>
      </c>
      <c r="K3640" s="3"/>
      <c r="L3640" s="3"/>
      <c r="M3640" s="3"/>
      <c r="N3640" s="3"/>
    </row>
    <row r="3641" spans="1:14" ht="14.25" x14ac:dyDescent="0.2">
      <c r="A3641" s="3"/>
      <c r="B3641" s="3"/>
      <c r="C3641" s="3"/>
      <c r="D3641" s="6"/>
      <c r="E3641" s="10"/>
      <c r="F3641" s="3" t="str">
        <f>IFERROR( VLOOKUP(A3641,#REF!,2,0),"")</f>
        <v/>
      </c>
      <c r="G3641" s="3">
        <f t="array" ref="G3641">_xlfn.XLOOKUP(I3641,Base_Datos!D:D,Base_Datos!B:B,"")</f>
        <v>0</v>
      </c>
      <c r="H3641" s="3" t="str">
        <f t="array" ref="H3641">IF(I3641="","",IFERROR(_xlfn.XLOOKUP(I3641,Base_Datos!$D$2:$D3876,Base_Datos!$C$2:$C3876),""))</f>
        <v/>
      </c>
      <c r="I3641" s="3"/>
      <c r="J3641" s="3" t="str">
        <f>IF(I3641="","",IFERROR(VLOOKUP(I3641,Base_Datos!$D$2:$E$72,2,0),""))</f>
        <v/>
      </c>
      <c r="K3641" s="3"/>
      <c r="L3641" s="3"/>
      <c r="M3641" s="3"/>
      <c r="N3641" s="3"/>
    </row>
    <row r="3642" spans="1:14" ht="14.25" x14ac:dyDescent="0.2">
      <c r="A3642" s="3"/>
      <c r="B3642" s="3"/>
      <c r="C3642" s="3"/>
      <c r="D3642" s="6"/>
      <c r="E3642" s="10"/>
      <c r="F3642" s="3" t="str">
        <f>IFERROR( VLOOKUP(A3642,#REF!,2,0),"")</f>
        <v/>
      </c>
      <c r="G3642" s="3">
        <f t="array" ref="G3642">_xlfn.XLOOKUP(I3642,Base_Datos!D:D,Base_Datos!B:B,"")</f>
        <v>0</v>
      </c>
      <c r="H3642" s="3" t="str">
        <f t="array" ref="H3642">IF(I3642="","",IFERROR(_xlfn.XLOOKUP(I3642,Base_Datos!$D$2:$D3876,Base_Datos!$C$2:$C3876),""))</f>
        <v/>
      </c>
      <c r="I3642" s="3"/>
      <c r="J3642" s="3" t="str">
        <f>IF(I3642="","",IFERROR(VLOOKUP(I3642,Base_Datos!$D$2:$E$72,2,0),""))</f>
        <v/>
      </c>
      <c r="K3642" s="3"/>
      <c r="L3642" s="3"/>
      <c r="M3642" s="3"/>
      <c r="N3642" s="3"/>
    </row>
    <row r="3643" spans="1:14" ht="14.25" x14ac:dyDescent="0.2">
      <c r="A3643" s="3"/>
      <c r="B3643" s="3"/>
      <c r="C3643" s="3"/>
      <c r="D3643" s="6"/>
      <c r="E3643" s="10"/>
      <c r="F3643" s="3" t="str">
        <f>IFERROR( VLOOKUP(A3643,#REF!,2,0),"")</f>
        <v/>
      </c>
      <c r="G3643" s="3">
        <f t="array" ref="G3643">_xlfn.XLOOKUP(I3643,Base_Datos!D:D,Base_Datos!B:B,"")</f>
        <v>0</v>
      </c>
      <c r="H3643" s="3" t="str">
        <f t="array" ref="H3643">IF(I3643="","",IFERROR(_xlfn.XLOOKUP(I3643,Base_Datos!$D$2:$D3876,Base_Datos!$C$2:$C3876),""))</f>
        <v/>
      </c>
      <c r="I3643" s="3"/>
      <c r="J3643" s="3" t="str">
        <f>IF(I3643="","",IFERROR(VLOOKUP(I3643,Base_Datos!$D$2:$E$72,2,0),""))</f>
        <v/>
      </c>
      <c r="K3643" s="3"/>
      <c r="L3643" s="3"/>
      <c r="M3643" s="3"/>
      <c r="N3643" s="3"/>
    </row>
    <row r="3644" spans="1:14" ht="14.25" x14ac:dyDescent="0.2">
      <c r="A3644" s="3"/>
      <c r="B3644" s="3"/>
      <c r="C3644" s="3"/>
      <c r="D3644" s="6"/>
      <c r="E3644" s="10"/>
      <c r="F3644" s="3" t="str">
        <f>IFERROR( VLOOKUP(A3644,#REF!,2,0),"")</f>
        <v/>
      </c>
      <c r="G3644" s="3">
        <f t="array" ref="G3644">_xlfn.XLOOKUP(I3644,Base_Datos!D:D,Base_Datos!B:B,"")</f>
        <v>0</v>
      </c>
      <c r="H3644" s="3" t="str">
        <f t="array" ref="H3644">IF(I3644="","",IFERROR(_xlfn.XLOOKUP(I3644,Base_Datos!$D$2:$D3876,Base_Datos!$C$2:$C3876),""))</f>
        <v/>
      </c>
      <c r="I3644" s="3"/>
      <c r="J3644" s="3" t="str">
        <f>IF(I3644="","",IFERROR(VLOOKUP(I3644,Base_Datos!$D$2:$E$72,2,0),""))</f>
        <v/>
      </c>
      <c r="K3644" s="3"/>
      <c r="L3644" s="3"/>
      <c r="M3644" s="3"/>
      <c r="N3644" s="3"/>
    </row>
    <row r="3645" spans="1:14" ht="14.25" x14ac:dyDescent="0.2">
      <c r="A3645" s="3"/>
      <c r="B3645" s="3"/>
      <c r="C3645" s="3"/>
      <c r="D3645" s="6"/>
      <c r="E3645" s="10"/>
      <c r="F3645" s="3" t="str">
        <f>IFERROR( VLOOKUP(A3645,#REF!,2,0),"")</f>
        <v/>
      </c>
      <c r="G3645" s="3">
        <f t="array" ref="G3645">_xlfn.XLOOKUP(I3645,Base_Datos!D:D,Base_Datos!B:B,"")</f>
        <v>0</v>
      </c>
      <c r="H3645" s="3" t="str">
        <f t="array" ref="H3645">IF(I3645="","",IFERROR(_xlfn.XLOOKUP(I3645,Base_Datos!$D$2:$D3876,Base_Datos!$C$2:$C3876),""))</f>
        <v/>
      </c>
      <c r="I3645" s="3"/>
      <c r="J3645" s="3" t="str">
        <f>IF(I3645="","",IFERROR(VLOOKUP(I3645,Base_Datos!$D$2:$E$72,2,0),""))</f>
        <v/>
      </c>
      <c r="K3645" s="3"/>
      <c r="L3645" s="3"/>
      <c r="M3645" s="3"/>
      <c r="N3645" s="3"/>
    </row>
    <row r="3646" spans="1:14" ht="14.25" x14ac:dyDescent="0.2">
      <c r="A3646" s="3"/>
      <c r="B3646" s="3"/>
      <c r="C3646" s="3"/>
      <c r="D3646" s="6"/>
      <c r="E3646" s="10"/>
      <c r="F3646" s="3" t="str">
        <f>IFERROR( VLOOKUP(A3646,#REF!,2,0),"")</f>
        <v/>
      </c>
      <c r="G3646" s="3">
        <f t="array" ref="G3646">_xlfn.XLOOKUP(I3646,Base_Datos!D:D,Base_Datos!B:B,"")</f>
        <v>0</v>
      </c>
      <c r="H3646" s="3" t="str">
        <f t="array" ref="H3646">IF(I3646="","",IFERROR(_xlfn.XLOOKUP(I3646,Base_Datos!$D$2:$D3876,Base_Datos!$C$2:$C3876),""))</f>
        <v/>
      </c>
      <c r="I3646" s="3"/>
      <c r="J3646" s="3" t="str">
        <f>IF(I3646="","",IFERROR(VLOOKUP(I3646,Base_Datos!$D$2:$E$72,2,0),""))</f>
        <v/>
      </c>
      <c r="K3646" s="3"/>
      <c r="L3646" s="3"/>
      <c r="M3646" s="3"/>
      <c r="N3646" s="3"/>
    </row>
    <row r="3647" spans="1:14" ht="14.25" x14ac:dyDescent="0.2">
      <c r="A3647" s="3"/>
      <c r="B3647" s="3"/>
      <c r="C3647" s="3"/>
      <c r="D3647" s="6"/>
      <c r="E3647" s="10"/>
      <c r="F3647" s="3" t="str">
        <f>IFERROR( VLOOKUP(A3647,#REF!,2,0),"")</f>
        <v/>
      </c>
      <c r="G3647" s="3">
        <f t="array" ref="G3647">_xlfn.XLOOKUP(I3647,Base_Datos!D:D,Base_Datos!B:B,"")</f>
        <v>0</v>
      </c>
      <c r="H3647" s="3" t="str">
        <f t="array" ref="H3647">IF(I3647="","",IFERROR(_xlfn.XLOOKUP(I3647,Base_Datos!$D$2:$D3876,Base_Datos!$C$2:$C3876),""))</f>
        <v/>
      </c>
      <c r="I3647" s="3"/>
      <c r="J3647" s="3" t="str">
        <f>IF(I3647="","",IFERROR(VLOOKUP(I3647,Base_Datos!$D$2:$E$72,2,0),""))</f>
        <v/>
      </c>
      <c r="K3647" s="3"/>
      <c r="L3647" s="3"/>
      <c r="M3647" s="3"/>
      <c r="N3647" s="3"/>
    </row>
    <row r="3648" spans="1:14" ht="14.25" x14ac:dyDescent="0.2">
      <c r="A3648" s="3"/>
      <c r="B3648" s="3"/>
      <c r="C3648" s="3"/>
      <c r="D3648" s="6"/>
      <c r="E3648" s="10"/>
      <c r="F3648" s="3" t="str">
        <f>IFERROR( VLOOKUP(A3648,#REF!,2,0),"")</f>
        <v/>
      </c>
      <c r="G3648" s="3">
        <f t="array" ref="G3648">_xlfn.XLOOKUP(I3648,Base_Datos!D:D,Base_Datos!B:B,"")</f>
        <v>0</v>
      </c>
      <c r="H3648" s="3" t="str">
        <f t="array" ref="H3648">IF(I3648="","",IFERROR(_xlfn.XLOOKUP(I3648,Base_Datos!$D$2:$D3876,Base_Datos!$C$2:$C3876),""))</f>
        <v/>
      </c>
      <c r="I3648" s="3"/>
      <c r="J3648" s="3" t="str">
        <f>IF(I3648="","",IFERROR(VLOOKUP(I3648,Base_Datos!$D$2:$E$72,2,0),""))</f>
        <v/>
      </c>
      <c r="K3648" s="3"/>
      <c r="L3648" s="3"/>
      <c r="M3648" s="3"/>
      <c r="N3648" s="3"/>
    </row>
    <row r="3649" spans="1:14" ht="14.25" x14ac:dyDescent="0.2">
      <c r="A3649" s="3"/>
      <c r="B3649" s="3"/>
      <c r="C3649" s="3"/>
      <c r="D3649" s="6"/>
      <c r="E3649" s="10"/>
      <c r="F3649" s="3" t="str">
        <f>IFERROR( VLOOKUP(A3649,#REF!,2,0),"")</f>
        <v/>
      </c>
      <c r="G3649" s="3">
        <f t="array" ref="G3649">_xlfn.XLOOKUP(I3649,Base_Datos!D:D,Base_Datos!B:B,"")</f>
        <v>0</v>
      </c>
      <c r="H3649" s="3" t="str">
        <f t="array" ref="H3649">IF(I3649="","",IFERROR(_xlfn.XLOOKUP(I3649,Base_Datos!$D$2:$D3876,Base_Datos!$C$2:$C3876),""))</f>
        <v/>
      </c>
      <c r="I3649" s="3"/>
      <c r="J3649" s="3" t="str">
        <f>IF(I3649="","",IFERROR(VLOOKUP(I3649,Base_Datos!$D$2:$E$72,2,0),""))</f>
        <v/>
      </c>
      <c r="K3649" s="3"/>
      <c r="L3649" s="3"/>
      <c r="M3649" s="3"/>
      <c r="N3649" s="3"/>
    </row>
    <row r="3650" spans="1:14" ht="14.25" x14ac:dyDescent="0.2">
      <c r="A3650" s="3"/>
      <c r="B3650" s="3"/>
      <c r="C3650" s="3"/>
      <c r="D3650" s="6"/>
      <c r="E3650" s="10"/>
      <c r="F3650" s="3" t="str">
        <f>IFERROR( VLOOKUP(A3650,#REF!,2,0),"")</f>
        <v/>
      </c>
      <c r="G3650" s="3">
        <f t="array" ref="G3650">_xlfn.XLOOKUP(I3650,Base_Datos!D:D,Base_Datos!B:B,"")</f>
        <v>0</v>
      </c>
      <c r="H3650" s="3" t="str">
        <f t="array" ref="H3650">IF(I3650="","",IFERROR(_xlfn.XLOOKUP(I3650,Base_Datos!$D$2:$D3876,Base_Datos!$C$2:$C3876),""))</f>
        <v/>
      </c>
      <c r="I3650" s="3"/>
      <c r="J3650" s="3" t="str">
        <f>IF(I3650="","",IFERROR(VLOOKUP(I3650,Base_Datos!$D$2:$E$72,2,0),""))</f>
        <v/>
      </c>
      <c r="K3650" s="3"/>
      <c r="L3650" s="3"/>
      <c r="M3650" s="3"/>
      <c r="N3650" s="3"/>
    </row>
    <row r="3651" spans="1:14" ht="14.25" x14ac:dyDescent="0.2">
      <c r="A3651" s="3"/>
      <c r="B3651" s="3"/>
      <c r="C3651" s="3"/>
      <c r="D3651" s="6"/>
      <c r="E3651" s="10"/>
      <c r="F3651" s="3" t="str">
        <f>IFERROR( VLOOKUP(A3651,#REF!,2,0),"")</f>
        <v/>
      </c>
      <c r="G3651" s="3">
        <f t="array" ref="G3651">_xlfn.XLOOKUP(I3651,Base_Datos!D:D,Base_Datos!B:B,"")</f>
        <v>0</v>
      </c>
      <c r="H3651" s="3" t="str">
        <f t="array" ref="H3651">IF(I3651="","",IFERROR(_xlfn.XLOOKUP(I3651,Base_Datos!$D$2:$D3876,Base_Datos!$C$2:$C3876),""))</f>
        <v/>
      </c>
      <c r="I3651" s="3"/>
      <c r="J3651" s="3" t="str">
        <f>IF(I3651="","",IFERROR(VLOOKUP(I3651,Base_Datos!$D$2:$E$72,2,0),""))</f>
        <v/>
      </c>
      <c r="K3651" s="3"/>
      <c r="L3651" s="3"/>
      <c r="M3651" s="3"/>
      <c r="N3651" s="3"/>
    </row>
    <row r="3652" spans="1:14" ht="14.25" x14ac:dyDescent="0.2">
      <c r="A3652" s="3"/>
      <c r="B3652" s="3"/>
      <c r="C3652" s="3"/>
      <c r="D3652" s="6"/>
      <c r="E3652" s="10"/>
      <c r="F3652" s="3" t="str">
        <f>IFERROR( VLOOKUP(A3652,#REF!,2,0),"")</f>
        <v/>
      </c>
      <c r="G3652" s="3">
        <f t="array" ref="G3652">_xlfn.XLOOKUP(I3652,Base_Datos!D:D,Base_Datos!B:B,"")</f>
        <v>0</v>
      </c>
      <c r="H3652" s="3" t="str">
        <f t="array" ref="H3652">IF(I3652="","",IFERROR(_xlfn.XLOOKUP(I3652,Base_Datos!$D$2:$D3876,Base_Datos!$C$2:$C3876),""))</f>
        <v/>
      </c>
      <c r="I3652" s="3"/>
      <c r="J3652" s="3" t="str">
        <f>IF(I3652="","",IFERROR(VLOOKUP(I3652,Base_Datos!$D$2:$E$72,2,0),""))</f>
        <v/>
      </c>
      <c r="K3652" s="3"/>
      <c r="L3652" s="3"/>
      <c r="M3652" s="3"/>
      <c r="N3652" s="3"/>
    </row>
    <row r="3653" spans="1:14" ht="14.25" x14ac:dyDescent="0.2">
      <c r="A3653" s="3"/>
      <c r="B3653" s="3"/>
      <c r="C3653" s="3"/>
      <c r="D3653" s="6"/>
      <c r="E3653" s="10"/>
      <c r="F3653" s="3" t="str">
        <f>IFERROR( VLOOKUP(A3653,#REF!,2,0),"")</f>
        <v/>
      </c>
      <c r="G3653" s="3">
        <f t="array" ref="G3653">_xlfn.XLOOKUP(I3653,Base_Datos!D:D,Base_Datos!B:B,"")</f>
        <v>0</v>
      </c>
      <c r="H3653" s="3" t="str">
        <f t="array" ref="H3653">IF(I3653="","",IFERROR(_xlfn.XLOOKUP(I3653,Base_Datos!$D$2:$D3876,Base_Datos!$C$2:$C3876),""))</f>
        <v/>
      </c>
      <c r="I3653" s="3"/>
      <c r="J3653" s="3" t="str">
        <f>IF(I3653="","",IFERROR(VLOOKUP(I3653,Base_Datos!$D$2:$E$72,2,0),""))</f>
        <v/>
      </c>
      <c r="K3653" s="3"/>
      <c r="L3653" s="3"/>
      <c r="M3653" s="3"/>
      <c r="N3653" s="3"/>
    </row>
    <row r="3654" spans="1:14" ht="14.25" x14ac:dyDescent="0.2">
      <c r="A3654" s="3"/>
      <c r="B3654" s="3"/>
      <c r="C3654" s="3"/>
      <c r="D3654" s="6"/>
      <c r="E3654" s="10"/>
      <c r="F3654" s="3" t="str">
        <f>IFERROR( VLOOKUP(A3654,#REF!,2,0),"")</f>
        <v/>
      </c>
      <c r="G3654" s="3">
        <f t="array" ref="G3654">_xlfn.XLOOKUP(I3654,Base_Datos!D:D,Base_Datos!B:B,"")</f>
        <v>0</v>
      </c>
      <c r="H3654" s="3" t="str">
        <f t="array" ref="H3654">IF(I3654="","",IFERROR(_xlfn.XLOOKUP(I3654,Base_Datos!$D$2:$D3876,Base_Datos!$C$2:$C3876),""))</f>
        <v/>
      </c>
      <c r="I3654" s="3"/>
      <c r="J3654" s="3" t="str">
        <f>IF(I3654="","",IFERROR(VLOOKUP(I3654,Base_Datos!$D$2:$E$72,2,0),""))</f>
        <v/>
      </c>
      <c r="K3654" s="3"/>
      <c r="L3654" s="3"/>
      <c r="M3654" s="3"/>
      <c r="N3654" s="3"/>
    </row>
    <row r="3655" spans="1:14" ht="14.25" x14ac:dyDescent="0.2">
      <c r="A3655" s="3"/>
      <c r="B3655" s="3"/>
      <c r="C3655" s="3"/>
      <c r="D3655" s="6"/>
      <c r="E3655" s="10"/>
      <c r="F3655" s="3" t="str">
        <f>IFERROR( VLOOKUP(A3655,#REF!,2,0),"")</f>
        <v/>
      </c>
      <c r="G3655" s="3">
        <f t="array" ref="G3655">_xlfn.XLOOKUP(I3655,Base_Datos!D:D,Base_Datos!B:B,"")</f>
        <v>0</v>
      </c>
      <c r="H3655" s="3" t="str">
        <f t="array" ref="H3655">IF(I3655="","",IFERROR(_xlfn.XLOOKUP(I3655,Base_Datos!$D$2:$D3876,Base_Datos!$C$2:$C3876),""))</f>
        <v/>
      </c>
      <c r="I3655" s="3"/>
      <c r="J3655" s="3" t="str">
        <f>IF(I3655="","",IFERROR(VLOOKUP(I3655,Base_Datos!$D$2:$E$72,2,0),""))</f>
        <v/>
      </c>
      <c r="K3655" s="3"/>
      <c r="L3655" s="3"/>
      <c r="M3655" s="3"/>
      <c r="N3655" s="3"/>
    </row>
    <row r="3656" spans="1:14" ht="14.25" x14ac:dyDescent="0.2">
      <c r="A3656" s="3"/>
      <c r="B3656" s="3"/>
      <c r="C3656" s="3"/>
      <c r="D3656" s="6"/>
      <c r="E3656" s="10"/>
      <c r="F3656" s="3" t="str">
        <f>IFERROR( VLOOKUP(A3656,#REF!,2,0),"")</f>
        <v/>
      </c>
      <c r="G3656" s="3">
        <f t="array" ref="G3656">_xlfn.XLOOKUP(I3656,Base_Datos!D:D,Base_Datos!B:B,"")</f>
        <v>0</v>
      </c>
      <c r="H3656" s="3" t="str">
        <f t="array" ref="H3656">IF(I3656="","",IFERROR(_xlfn.XLOOKUP(I3656,Base_Datos!$D$2:$D3876,Base_Datos!$C$2:$C3876),""))</f>
        <v/>
      </c>
      <c r="I3656" s="3"/>
      <c r="J3656" s="3" t="str">
        <f>IF(I3656="","",IFERROR(VLOOKUP(I3656,Base_Datos!$D$2:$E$72,2,0),""))</f>
        <v/>
      </c>
      <c r="K3656" s="3"/>
      <c r="L3656" s="3"/>
      <c r="M3656" s="3"/>
      <c r="N3656" s="3"/>
    </row>
    <row r="3657" spans="1:14" ht="14.25" x14ac:dyDescent="0.2">
      <c r="A3657" s="3"/>
      <c r="B3657" s="3"/>
      <c r="C3657" s="3"/>
      <c r="D3657" s="6"/>
      <c r="E3657" s="10"/>
      <c r="F3657" s="3" t="str">
        <f>IFERROR( VLOOKUP(A3657,#REF!,2,0),"")</f>
        <v/>
      </c>
      <c r="G3657" s="3">
        <f t="array" ref="G3657">_xlfn.XLOOKUP(I3657,Base_Datos!D:D,Base_Datos!B:B,"")</f>
        <v>0</v>
      </c>
      <c r="H3657" s="3" t="str">
        <f t="array" ref="H3657">IF(I3657="","",IFERROR(_xlfn.XLOOKUP(I3657,Base_Datos!$D$2:$D3876,Base_Datos!$C$2:$C3876),""))</f>
        <v/>
      </c>
      <c r="I3657" s="3"/>
      <c r="J3657" s="3" t="str">
        <f>IF(I3657="","",IFERROR(VLOOKUP(I3657,Base_Datos!$D$2:$E$72,2,0),""))</f>
        <v/>
      </c>
      <c r="K3657" s="3"/>
      <c r="L3657" s="3"/>
      <c r="M3657" s="3"/>
      <c r="N3657" s="3"/>
    </row>
    <row r="3658" spans="1:14" ht="14.25" x14ac:dyDescent="0.2">
      <c r="A3658" s="3"/>
      <c r="B3658" s="3"/>
      <c r="C3658" s="3"/>
      <c r="D3658" s="6"/>
      <c r="E3658" s="10"/>
      <c r="F3658" s="3" t="str">
        <f>IFERROR( VLOOKUP(A3658,#REF!,2,0),"")</f>
        <v/>
      </c>
      <c r="G3658" s="3">
        <f t="array" ref="G3658">_xlfn.XLOOKUP(I3658,Base_Datos!D:D,Base_Datos!B:B,"")</f>
        <v>0</v>
      </c>
      <c r="H3658" s="3" t="str">
        <f t="array" ref="H3658">IF(I3658="","",IFERROR(_xlfn.XLOOKUP(I3658,Base_Datos!$D$2:$D3876,Base_Datos!$C$2:$C3876),""))</f>
        <v/>
      </c>
      <c r="I3658" s="3"/>
      <c r="J3658" s="3" t="str">
        <f>IF(I3658="","",IFERROR(VLOOKUP(I3658,Base_Datos!$D$2:$E$72,2,0),""))</f>
        <v/>
      </c>
      <c r="K3658" s="3"/>
      <c r="L3658" s="3"/>
      <c r="M3658" s="3"/>
      <c r="N3658" s="3"/>
    </row>
    <row r="3659" spans="1:14" ht="14.25" x14ac:dyDescent="0.2">
      <c r="A3659" s="3"/>
      <c r="B3659" s="3"/>
      <c r="C3659" s="3"/>
      <c r="D3659" s="6"/>
      <c r="E3659" s="10"/>
      <c r="F3659" s="3" t="str">
        <f>IFERROR( VLOOKUP(A3659,#REF!,2,0),"")</f>
        <v/>
      </c>
      <c r="G3659" s="3">
        <f t="array" ref="G3659">_xlfn.XLOOKUP(I3659,Base_Datos!D:D,Base_Datos!B:B,"")</f>
        <v>0</v>
      </c>
      <c r="H3659" s="3" t="str">
        <f t="array" ref="H3659">IF(I3659="","",IFERROR(_xlfn.XLOOKUP(I3659,Base_Datos!$D$2:$D3876,Base_Datos!$C$2:$C3876),""))</f>
        <v/>
      </c>
      <c r="I3659" s="3"/>
      <c r="J3659" s="3" t="str">
        <f>IF(I3659="","",IFERROR(VLOOKUP(I3659,Base_Datos!$D$2:$E$72,2,0),""))</f>
        <v/>
      </c>
      <c r="K3659" s="3"/>
      <c r="L3659" s="3"/>
      <c r="M3659" s="3"/>
      <c r="N3659" s="3"/>
    </row>
    <row r="3660" spans="1:14" ht="14.25" x14ac:dyDescent="0.2">
      <c r="A3660" s="3"/>
      <c r="B3660" s="3"/>
      <c r="C3660" s="3"/>
      <c r="D3660" s="6"/>
      <c r="E3660" s="10"/>
      <c r="F3660" s="3" t="str">
        <f>IFERROR( VLOOKUP(A3660,#REF!,2,0),"")</f>
        <v/>
      </c>
      <c r="G3660" s="3">
        <f t="array" ref="G3660">_xlfn.XLOOKUP(I3660,Base_Datos!D:D,Base_Datos!B:B,"")</f>
        <v>0</v>
      </c>
      <c r="H3660" s="3" t="str">
        <f t="array" ref="H3660">IF(I3660="","",IFERROR(_xlfn.XLOOKUP(I3660,Base_Datos!$D$2:$D3876,Base_Datos!$C$2:$C3876),""))</f>
        <v/>
      </c>
      <c r="I3660" s="3"/>
      <c r="J3660" s="3" t="str">
        <f>IF(I3660="","",IFERROR(VLOOKUP(I3660,Base_Datos!$D$2:$E$72,2,0),""))</f>
        <v/>
      </c>
      <c r="K3660" s="3"/>
      <c r="L3660" s="3"/>
      <c r="M3660" s="3"/>
      <c r="N3660" s="3"/>
    </row>
    <row r="3661" spans="1:14" ht="14.25" x14ac:dyDescent="0.2">
      <c r="A3661" s="3"/>
      <c r="B3661" s="3"/>
      <c r="C3661" s="3"/>
      <c r="D3661" s="6"/>
      <c r="E3661" s="10"/>
      <c r="F3661" s="3" t="str">
        <f>IFERROR( VLOOKUP(A3661,#REF!,2,0),"")</f>
        <v/>
      </c>
      <c r="G3661" s="3">
        <f t="array" ref="G3661">_xlfn.XLOOKUP(I3661,Base_Datos!D:D,Base_Datos!B:B,"")</f>
        <v>0</v>
      </c>
      <c r="H3661" s="3" t="str">
        <f t="array" ref="H3661">IF(I3661="","",IFERROR(_xlfn.XLOOKUP(I3661,Base_Datos!$D$2:$D3876,Base_Datos!$C$2:$C3876),""))</f>
        <v/>
      </c>
      <c r="I3661" s="3"/>
      <c r="J3661" s="3" t="str">
        <f>IF(I3661="","",IFERROR(VLOOKUP(I3661,Base_Datos!$D$2:$E$72,2,0),""))</f>
        <v/>
      </c>
      <c r="K3661" s="3"/>
      <c r="L3661" s="3"/>
      <c r="M3661" s="3"/>
      <c r="N3661" s="3"/>
    </row>
    <row r="3662" spans="1:14" ht="14.25" x14ac:dyDescent="0.2">
      <c r="A3662" s="3"/>
      <c r="B3662" s="3"/>
      <c r="C3662" s="3"/>
      <c r="D3662" s="6"/>
      <c r="E3662" s="10"/>
      <c r="F3662" s="3" t="str">
        <f>IFERROR( VLOOKUP(A3662,#REF!,2,0),"")</f>
        <v/>
      </c>
      <c r="G3662" s="3">
        <f t="array" ref="G3662">_xlfn.XLOOKUP(I3662,Base_Datos!D:D,Base_Datos!B:B,"")</f>
        <v>0</v>
      </c>
      <c r="H3662" s="3" t="str">
        <f t="array" ref="H3662">IF(I3662="","",IFERROR(_xlfn.XLOOKUP(I3662,Base_Datos!$D$2:$D3876,Base_Datos!$C$2:$C3876),""))</f>
        <v/>
      </c>
      <c r="I3662" s="3"/>
      <c r="J3662" s="3" t="str">
        <f>IF(I3662="","",IFERROR(VLOOKUP(I3662,Base_Datos!$D$2:$E$72,2,0),""))</f>
        <v/>
      </c>
      <c r="K3662" s="3"/>
      <c r="L3662" s="3"/>
      <c r="M3662" s="3"/>
      <c r="N3662" s="3"/>
    </row>
    <row r="3663" spans="1:14" ht="14.25" x14ac:dyDescent="0.2">
      <c r="A3663" s="3"/>
      <c r="B3663" s="3"/>
      <c r="C3663" s="3"/>
      <c r="D3663" s="6"/>
      <c r="E3663" s="10"/>
      <c r="F3663" s="3" t="str">
        <f>IFERROR( VLOOKUP(A3663,#REF!,2,0),"")</f>
        <v/>
      </c>
      <c r="G3663" s="3">
        <f t="array" ref="G3663">_xlfn.XLOOKUP(I3663,Base_Datos!D:D,Base_Datos!B:B,"")</f>
        <v>0</v>
      </c>
      <c r="H3663" s="3" t="str">
        <f t="array" ref="H3663">IF(I3663="","",IFERROR(_xlfn.XLOOKUP(I3663,Base_Datos!$D$2:$D3876,Base_Datos!$C$2:$C3876),""))</f>
        <v/>
      </c>
      <c r="I3663" s="3"/>
      <c r="J3663" s="3" t="str">
        <f>IF(I3663="","",IFERROR(VLOOKUP(I3663,Base_Datos!$D$2:$E$72,2,0),""))</f>
        <v/>
      </c>
      <c r="K3663" s="3"/>
      <c r="L3663" s="3"/>
      <c r="M3663" s="3"/>
      <c r="N3663" s="3"/>
    </row>
    <row r="3664" spans="1:14" ht="14.25" x14ac:dyDescent="0.2">
      <c r="A3664" s="3"/>
      <c r="B3664" s="3"/>
      <c r="C3664" s="3"/>
      <c r="D3664" s="6"/>
      <c r="E3664" s="10"/>
      <c r="F3664" s="3" t="str">
        <f>IFERROR( VLOOKUP(A3664,#REF!,2,0),"")</f>
        <v/>
      </c>
      <c r="G3664" s="3">
        <f t="array" ref="G3664">_xlfn.XLOOKUP(I3664,Base_Datos!D:D,Base_Datos!B:B,"")</f>
        <v>0</v>
      </c>
      <c r="H3664" s="3" t="str">
        <f t="array" ref="H3664">IF(I3664="","",IFERROR(_xlfn.XLOOKUP(I3664,Base_Datos!$D$2:$D3876,Base_Datos!$C$2:$C3876),""))</f>
        <v/>
      </c>
      <c r="I3664" s="3"/>
      <c r="J3664" s="3" t="str">
        <f>IF(I3664="","",IFERROR(VLOOKUP(I3664,Base_Datos!$D$2:$E$72,2,0),""))</f>
        <v/>
      </c>
      <c r="K3664" s="3"/>
      <c r="L3664" s="3"/>
      <c r="M3664" s="3"/>
      <c r="N3664" s="3"/>
    </row>
    <row r="3665" spans="1:14" ht="14.25" x14ac:dyDescent="0.2">
      <c r="A3665" s="3"/>
      <c r="B3665" s="3"/>
      <c r="C3665" s="3"/>
      <c r="D3665" s="6"/>
      <c r="E3665" s="10"/>
      <c r="F3665" s="3" t="str">
        <f>IFERROR( VLOOKUP(A3665,#REF!,2,0),"")</f>
        <v/>
      </c>
      <c r="G3665" s="3">
        <f t="array" ref="G3665">_xlfn.XLOOKUP(I3665,Base_Datos!D:D,Base_Datos!B:B,"")</f>
        <v>0</v>
      </c>
      <c r="H3665" s="3" t="str">
        <f t="array" ref="H3665">IF(I3665="","",IFERROR(_xlfn.XLOOKUP(I3665,Base_Datos!$D$2:$D3876,Base_Datos!$C$2:$C3876),""))</f>
        <v/>
      </c>
      <c r="I3665" s="3"/>
      <c r="J3665" s="3" t="str">
        <f>IF(I3665="","",IFERROR(VLOOKUP(I3665,Base_Datos!$D$2:$E$72,2,0),""))</f>
        <v/>
      </c>
      <c r="K3665" s="3"/>
      <c r="L3665" s="3"/>
      <c r="M3665" s="3"/>
      <c r="N3665" s="3"/>
    </row>
    <row r="3666" spans="1:14" ht="14.25" x14ac:dyDescent="0.2">
      <c r="A3666" s="3"/>
      <c r="B3666" s="3"/>
      <c r="C3666" s="3"/>
      <c r="D3666" s="6"/>
      <c r="E3666" s="10"/>
      <c r="F3666" s="3" t="str">
        <f>IFERROR( VLOOKUP(A3666,#REF!,2,0),"")</f>
        <v/>
      </c>
      <c r="G3666" s="3">
        <f t="array" ref="G3666">_xlfn.XLOOKUP(I3666,Base_Datos!D:D,Base_Datos!B:B,"")</f>
        <v>0</v>
      </c>
      <c r="H3666" s="3" t="str">
        <f t="array" ref="H3666">IF(I3666="","",IFERROR(_xlfn.XLOOKUP(I3666,Base_Datos!$D$2:$D3876,Base_Datos!$C$2:$C3876),""))</f>
        <v/>
      </c>
      <c r="I3666" s="3"/>
      <c r="J3666" s="3" t="str">
        <f>IF(I3666="","",IFERROR(VLOOKUP(I3666,Base_Datos!$D$2:$E$72,2,0),""))</f>
        <v/>
      </c>
      <c r="K3666" s="3"/>
      <c r="L3666" s="3"/>
      <c r="M3666" s="3"/>
      <c r="N3666" s="3"/>
    </row>
    <row r="3667" spans="1:14" ht="14.25" x14ac:dyDescent="0.2">
      <c r="A3667" s="3"/>
      <c r="B3667" s="3"/>
      <c r="C3667" s="3"/>
      <c r="D3667" s="6"/>
      <c r="E3667" s="10"/>
      <c r="F3667" s="3" t="str">
        <f>IFERROR( VLOOKUP(A3667,#REF!,2,0),"")</f>
        <v/>
      </c>
      <c r="G3667" s="3">
        <f t="array" ref="G3667">_xlfn.XLOOKUP(I3667,Base_Datos!D:D,Base_Datos!B:B,"")</f>
        <v>0</v>
      </c>
      <c r="H3667" s="3" t="str">
        <f t="array" ref="H3667">IF(I3667="","",IFERROR(_xlfn.XLOOKUP(I3667,Base_Datos!$D$2:$D3876,Base_Datos!$C$2:$C3876),""))</f>
        <v/>
      </c>
      <c r="I3667" s="3"/>
      <c r="J3667" s="3" t="str">
        <f>IF(I3667="","",IFERROR(VLOOKUP(I3667,Base_Datos!$D$2:$E$72,2,0),""))</f>
        <v/>
      </c>
      <c r="K3667" s="3"/>
      <c r="L3667" s="3"/>
      <c r="M3667" s="3"/>
      <c r="N3667" s="3"/>
    </row>
    <row r="3668" spans="1:14" ht="14.25" x14ac:dyDescent="0.2">
      <c r="A3668" s="3"/>
      <c r="B3668" s="3"/>
      <c r="C3668" s="3"/>
      <c r="D3668" s="6"/>
      <c r="E3668" s="10"/>
      <c r="F3668" s="3" t="str">
        <f>IFERROR( VLOOKUP(A3668,#REF!,2,0),"")</f>
        <v/>
      </c>
      <c r="G3668" s="3">
        <f t="array" ref="G3668">_xlfn.XLOOKUP(I3668,Base_Datos!D:D,Base_Datos!B:B,"")</f>
        <v>0</v>
      </c>
      <c r="H3668" s="3" t="str">
        <f t="array" ref="H3668">IF(I3668="","",IFERROR(_xlfn.XLOOKUP(I3668,Base_Datos!$D$2:$D3876,Base_Datos!$C$2:$C3876),""))</f>
        <v/>
      </c>
      <c r="I3668" s="3"/>
      <c r="J3668" s="3" t="str">
        <f>IF(I3668="","",IFERROR(VLOOKUP(I3668,Base_Datos!$D$2:$E$72,2,0),""))</f>
        <v/>
      </c>
      <c r="K3668" s="3"/>
      <c r="L3668" s="3"/>
      <c r="M3668" s="3"/>
      <c r="N3668" s="3"/>
    </row>
    <row r="3669" spans="1:14" ht="14.25" x14ac:dyDescent="0.2">
      <c r="A3669" s="3"/>
      <c r="B3669" s="3"/>
      <c r="C3669" s="3"/>
      <c r="D3669" s="6"/>
      <c r="E3669" s="10"/>
      <c r="F3669" s="3" t="str">
        <f>IFERROR( VLOOKUP(A3669,#REF!,2,0),"")</f>
        <v/>
      </c>
      <c r="G3669" s="3">
        <f t="array" ref="G3669">_xlfn.XLOOKUP(I3669,Base_Datos!D:D,Base_Datos!B:B,"")</f>
        <v>0</v>
      </c>
      <c r="H3669" s="3" t="str">
        <f t="array" ref="H3669">IF(I3669="","",IFERROR(_xlfn.XLOOKUP(I3669,Base_Datos!$D$2:$D3876,Base_Datos!$C$2:$C3876),""))</f>
        <v/>
      </c>
      <c r="I3669" s="3"/>
      <c r="J3669" s="3" t="str">
        <f>IF(I3669="","",IFERROR(VLOOKUP(I3669,Base_Datos!$D$2:$E$72,2,0),""))</f>
        <v/>
      </c>
      <c r="K3669" s="3"/>
      <c r="L3669" s="3"/>
      <c r="M3669" s="3"/>
      <c r="N3669" s="3"/>
    </row>
    <row r="3670" spans="1:14" ht="14.25" x14ac:dyDescent="0.2">
      <c r="A3670" s="3"/>
      <c r="B3670" s="3"/>
      <c r="C3670" s="3"/>
      <c r="D3670" s="6"/>
      <c r="E3670" s="10"/>
      <c r="F3670" s="3" t="str">
        <f>IFERROR( VLOOKUP(A3670,#REF!,2,0),"")</f>
        <v/>
      </c>
      <c r="G3670" s="3">
        <f t="array" ref="G3670">_xlfn.XLOOKUP(I3670,Base_Datos!D:D,Base_Datos!B:B,"")</f>
        <v>0</v>
      </c>
      <c r="H3670" s="3" t="str">
        <f t="array" ref="H3670">IF(I3670="","",IFERROR(_xlfn.XLOOKUP(I3670,Base_Datos!$D$2:$D3876,Base_Datos!$C$2:$C3876),""))</f>
        <v/>
      </c>
      <c r="I3670" s="3"/>
      <c r="J3670" s="3" t="str">
        <f>IF(I3670="","",IFERROR(VLOOKUP(I3670,Base_Datos!$D$2:$E$72,2,0),""))</f>
        <v/>
      </c>
      <c r="K3670" s="3"/>
      <c r="L3670" s="3"/>
      <c r="M3670" s="3"/>
      <c r="N3670" s="3"/>
    </row>
    <row r="3671" spans="1:14" ht="14.25" x14ac:dyDescent="0.2">
      <c r="A3671" s="3"/>
      <c r="B3671" s="3"/>
      <c r="C3671" s="3"/>
      <c r="D3671" s="6"/>
      <c r="E3671" s="10"/>
      <c r="F3671" s="3" t="str">
        <f>IFERROR( VLOOKUP(A3671,#REF!,2,0),"")</f>
        <v/>
      </c>
      <c r="G3671" s="3">
        <f t="array" ref="G3671">_xlfn.XLOOKUP(I3671,Base_Datos!D:D,Base_Datos!B:B,"")</f>
        <v>0</v>
      </c>
      <c r="H3671" s="3" t="str">
        <f t="array" ref="H3671">IF(I3671="","",IFERROR(_xlfn.XLOOKUP(I3671,Base_Datos!$D$2:$D3876,Base_Datos!$C$2:$C3876),""))</f>
        <v/>
      </c>
      <c r="I3671" s="3"/>
      <c r="J3671" s="3" t="str">
        <f>IF(I3671="","",IFERROR(VLOOKUP(I3671,Base_Datos!$D$2:$E$72,2,0),""))</f>
        <v/>
      </c>
      <c r="K3671" s="3"/>
      <c r="L3671" s="3"/>
      <c r="M3671" s="3"/>
      <c r="N3671" s="3"/>
    </row>
    <row r="3672" spans="1:14" ht="14.25" x14ac:dyDescent="0.2">
      <c r="A3672" s="3"/>
      <c r="B3672" s="3"/>
      <c r="C3672" s="3"/>
      <c r="D3672" s="6"/>
      <c r="E3672" s="10"/>
      <c r="F3672" s="3" t="str">
        <f>IFERROR( VLOOKUP(A3672,#REF!,2,0),"")</f>
        <v/>
      </c>
      <c r="G3672" s="3">
        <f t="array" ref="G3672">_xlfn.XLOOKUP(I3672,Base_Datos!D:D,Base_Datos!B:B,"")</f>
        <v>0</v>
      </c>
      <c r="H3672" s="3" t="str">
        <f t="array" ref="H3672">IF(I3672="","",IFERROR(_xlfn.XLOOKUP(I3672,Base_Datos!$D$2:$D3876,Base_Datos!$C$2:$C3876),""))</f>
        <v/>
      </c>
      <c r="I3672" s="3"/>
      <c r="J3672" s="3" t="str">
        <f>IF(I3672="","",IFERROR(VLOOKUP(I3672,Base_Datos!$D$2:$E$72,2,0),""))</f>
        <v/>
      </c>
      <c r="K3672" s="3"/>
      <c r="L3672" s="3"/>
      <c r="M3672" s="3"/>
      <c r="N3672" s="3"/>
    </row>
    <row r="3673" spans="1:14" ht="14.25" x14ac:dyDescent="0.2">
      <c r="A3673" s="3"/>
      <c r="B3673" s="3"/>
      <c r="C3673" s="3"/>
      <c r="D3673" s="6"/>
      <c r="E3673" s="10"/>
      <c r="F3673" s="3" t="str">
        <f>IFERROR( VLOOKUP(A3673,#REF!,2,0),"")</f>
        <v/>
      </c>
      <c r="G3673" s="3">
        <f t="array" ref="G3673">_xlfn.XLOOKUP(I3673,Base_Datos!D:D,Base_Datos!B:B,"")</f>
        <v>0</v>
      </c>
      <c r="H3673" s="3" t="str">
        <f t="array" ref="H3673">IF(I3673="","",IFERROR(_xlfn.XLOOKUP(I3673,Base_Datos!$D$2:$D3876,Base_Datos!$C$2:$C3876),""))</f>
        <v/>
      </c>
      <c r="I3673" s="3"/>
      <c r="J3673" s="3" t="str">
        <f>IF(I3673="","",IFERROR(VLOOKUP(I3673,Base_Datos!$D$2:$E$72,2,0),""))</f>
        <v/>
      </c>
      <c r="K3673" s="3"/>
      <c r="L3673" s="3"/>
      <c r="M3673" s="3"/>
      <c r="N3673" s="3"/>
    </row>
    <row r="3674" spans="1:14" ht="14.25" x14ac:dyDescent="0.2">
      <c r="A3674" s="3"/>
      <c r="B3674" s="3"/>
      <c r="C3674" s="3"/>
      <c r="D3674" s="6"/>
      <c r="E3674" s="10"/>
      <c r="F3674" s="3" t="str">
        <f>IFERROR( VLOOKUP(A3674,#REF!,2,0),"")</f>
        <v/>
      </c>
      <c r="G3674" s="3">
        <f t="array" ref="G3674">_xlfn.XLOOKUP(I3674,Base_Datos!D:D,Base_Datos!B:B,"")</f>
        <v>0</v>
      </c>
      <c r="H3674" s="3" t="str">
        <f t="array" ref="H3674">IF(I3674="","",IFERROR(_xlfn.XLOOKUP(I3674,Base_Datos!$D$2:$D3876,Base_Datos!$C$2:$C3876),""))</f>
        <v/>
      </c>
      <c r="I3674" s="3"/>
      <c r="J3674" s="3" t="str">
        <f>IF(I3674="","",IFERROR(VLOOKUP(I3674,Base_Datos!$D$2:$E$72,2,0),""))</f>
        <v/>
      </c>
      <c r="K3674" s="3"/>
      <c r="L3674" s="3"/>
      <c r="M3674" s="3"/>
      <c r="N3674" s="3"/>
    </row>
    <row r="3675" spans="1:14" ht="14.25" x14ac:dyDescent="0.2">
      <c r="A3675" s="3"/>
      <c r="B3675" s="3"/>
      <c r="C3675" s="3"/>
      <c r="D3675" s="6"/>
      <c r="E3675" s="10"/>
      <c r="F3675" s="3" t="str">
        <f>IFERROR( VLOOKUP(A3675,#REF!,2,0),"")</f>
        <v/>
      </c>
      <c r="G3675" s="3">
        <f t="array" ref="G3675">_xlfn.XLOOKUP(I3675,Base_Datos!D:D,Base_Datos!B:B,"")</f>
        <v>0</v>
      </c>
      <c r="H3675" s="3" t="str">
        <f t="array" ref="H3675">IF(I3675="","",IFERROR(_xlfn.XLOOKUP(I3675,Base_Datos!$D$2:$D3876,Base_Datos!$C$2:$C3876),""))</f>
        <v/>
      </c>
      <c r="I3675" s="3"/>
      <c r="J3675" s="3" t="str">
        <f>IF(I3675="","",IFERROR(VLOOKUP(I3675,Base_Datos!$D$2:$E$72,2,0),""))</f>
        <v/>
      </c>
      <c r="K3675" s="3"/>
      <c r="L3675" s="3"/>
      <c r="M3675" s="3"/>
      <c r="N3675" s="3"/>
    </row>
    <row r="3676" spans="1:14" ht="14.25" x14ac:dyDescent="0.2">
      <c r="A3676" s="3"/>
      <c r="B3676" s="3"/>
      <c r="C3676" s="3"/>
      <c r="D3676" s="6"/>
      <c r="E3676" s="10"/>
      <c r="F3676" s="3" t="str">
        <f>IFERROR( VLOOKUP(A3676,#REF!,2,0),"")</f>
        <v/>
      </c>
      <c r="G3676" s="3">
        <f t="array" ref="G3676">_xlfn.XLOOKUP(I3676,Base_Datos!D:D,Base_Datos!B:B,"")</f>
        <v>0</v>
      </c>
      <c r="H3676" s="3" t="str">
        <f t="array" ref="H3676">IF(I3676="","",IFERROR(_xlfn.XLOOKUP(I3676,Base_Datos!$D$2:$D3876,Base_Datos!$C$2:$C3876),""))</f>
        <v/>
      </c>
      <c r="I3676" s="3"/>
      <c r="J3676" s="3" t="str">
        <f>IF(I3676="","",IFERROR(VLOOKUP(I3676,Base_Datos!$D$2:$E$72,2,0),""))</f>
        <v/>
      </c>
      <c r="K3676" s="3"/>
      <c r="L3676" s="3"/>
      <c r="M3676" s="3"/>
      <c r="N3676" s="3"/>
    </row>
    <row r="3677" spans="1:14" ht="14.25" x14ac:dyDescent="0.2">
      <c r="A3677" s="3"/>
      <c r="B3677" s="3"/>
      <c r="C3677" s="3"/>
      <c r="D3677" s="6"/>
      <c r="E3677" s="10"/>
      <c r="F3677" s="3" t="str">
        <f>IFERROR( VLOOKUP(A3677,#REF!,2,0),"")</f>
        <v/>
      </c>
      <c r="G3677" s="3">
        <f t="array" ref="G3677">_xlfn.XLOOKUP(I3677,Base_Datos!D:D,Base_Datos!B:B,"")</f>
        <v>0</v>
      </c>
      <c r="H3677" s="3" t="str">
        <f t="array" ref="H3677">IF(I3677="","",IFERROR(_xlfn.XLOOKUP(I3677,Base_Datos!$D$2:$D3876,Base_Datos!$C$2:$C3876),""))</f>
        <v/>
      </c>
      <c r="I3677" s="3"/>
      <c r="J3677" s="3" t="str">
        <f>IF(I3677="","",IFERROR(VLOOKUP(I3677,Base_Datos!$D$2:$E$72,2,0),""))</f>
        <v/>
      </c>
      <c r="K3677" s="3"/>
      <c r="L3677" s="3"/>
      <c r="M3677" s="3"/>
      <c r="N3677" s="3"/>
    </row>
    <row r="3678" spans="1:14" ht="14.25" x14ac:dyDescent="0.2">
      <c r="A3678" s="3"/>
      <c r="B3678" s="3"/>
      <c r="C3678" s="3"/>
      <c r="D3678" s="6"/>
      <c r="E3678" s="10"/>
      <c r="F3678" s="3" t="str">
        <f>IFERROR( VLOOKUP(A3678,#REF!,2,0),"")</f>
        <v/>
      </c>
      <c r="G3678" s="3">
        <f t="array" ref="G3678">_xlfn.XLOOKUP(I3678,Base_Datos!D:D,Base_Datos!B:B,"")</f>
        <v>0</v>
      </c>
      <c r="H3678" s="3" t="str">
        <f t="array" ref="H3678">IF(I3678="","",IFERROR(_xlfn.XLOOKUP(I3678,Base_Datos!$D$2:$D3876,Base_Datos!$C$2:$C3876),""))</f>
        <v/>
      </c>
      <c r="I3678" s="3"/>
      <c r="J3678" s="3" t="str">
        <f>IF(I3678="","",IFERROR(VLOOKUP(I3678,Base_Datos!$D$2:$E$72,2,0),""))</f>
        <v/>
      </c>
      <c r="K3678" s="3"/>
      <c r="L3678" s="3"/>
      <c r="M3678" s="3"/>
      <c r="N3678" s="3"/>
    </row>
    <row r="3679" spans="1:14" ht="14.25" x14ac:dyDescent="0.2">
      <c r="A3679" s="3"/>
      <c r="B3679" s="3"/>
      <c r="C3679" s="3"/>
      <c r="D3679" s="6"/>
      <c r="E3679" s="10"/>
      <c r="F3679" s="3" t="str">
        <f>IFERROR( VLOOKUP(A3679,#REF!,2,0),"")</f>
        <v/>
      </c>
      <c r="G3679" s="3">
        <f t="array" ref="G3679">_xlfn.XLOOKUP(I3679,Base_Datos!D:D,Base_Datos!B:B,"")</f>
        <v>0</v>
      </c>
      <c r="H3679" s="3" t="str">
        <f t="array" ref="H3679">IF(I3679="","",IFERROR(_xlfn.XLOOKUP(I3679,Base_Datos!$D$2:$D3876,Base_Datos!$C$2:$C3876),""))</f>
        <v/>
      </c>
      <c r="I3679" s="3"/>
      <c r="J3679" s="3" t="str">
        <f>IF(I3679="","",IFERROR(VLOOKUP(I3679,Base_Datos!$D$2:$E$72,2,0),""))</f>
        <v/>
      </c>
      <c r="K3679" s="3"/>
      <c r="L3679" s="3"/>
      <c r="M3679" s="3"/>
      <c r="N3679" s="3"/>
    </row>
    <row r="3680" spans="1:14" ht="14.25" x14ac:dyDescent="0.2">
      <c r="A3680" s="3"/>
      <c r="B3680" s="3"/>
      <c r="C3680" s="3"/>
      <c r="D3680" s="6"/>
      <c r="E3680" s="10"/>
      <c r="F3680" s="3" t="str">
        <f>IFERROR( VLOOKUP(A3680,#REF!,2,0),"")</f>
        <v/>
      </c>
      <c r="G3680" s="3">
        <f t="array" ref="G3680">_xlfn.XLOOKUP(I3680,Base_Datos!D:D,Base_Datos!B:B,"")</f>
        <v>0</v>
      </c>
      <c r="H3680" s="3" t="str">
        <f t="array" ref="H3680">IF(I3680="","",IFERROR(_xlfn.XLOOKUP(I3680,Base_Datos!$D$2:$D3876,Base_Datos!$C$2:$C3876),""))</f>
        <v/>
      </c>
      <c r="I3680" s="3"/>
      <c r="J3680" s="3" t="str">
        <f>IF(I3680="","",IFERROR(VLOOKUP(I3680,Base_Datos!$D$2:$E$72,2,0),""))</f>
        <v/>
      </c>
      <c r="K3680" s="3"/>
      <c r="L3680" s="3"/>
      <c r="M3680" s="3"/>
      <c r="N3680" s="3"/>
    </row>
    <row r="3681" spans="1:14" ht="14.25" x14ac:dyDescent="0.2">
      <c r="A3681" s="3"/>
      <c r="B3681" s="3"/>
      <c r="C3681" s="3"/>
      <c r="D3681" s="6"/>
      <c r="E3681" s="10"/>
      <c r="F3681" s="3" t="str">
        <f>IFERROR( VLOOKUP(A3681,#REF!,2,0),"")</f>
        <v/>
      </c>
      <c r="G3681" s="3">
        <f t="array" ref="G3681">_xlfn.XLOOKUP(I3681,Base_Datos!D:D,Base_Datos!B:B,"")</f>
        <v>0</v>
      </c>
      <c r="H3681" s="3" t="str">
        <f t="array" ref="H3681">IF(I3681="","",IFERROR(_xlfn.XLOOKUP(I3681,Base_Datos!$D$2:$D3876,Base_Datos!$C$2:$C3876),""))</f>
        <v/>
      </c>
      <c r="I3681" s="3"/>
      <c r="J3681" s="3" t="str">
        <f>IF(I3681="","",IFERROR(VLOOKUP(I3681,Base_Datos!$D$2:$E$72,2,0),""))</f>
        <v/>
      </c>
      <c r="K3681" s="3"/>
      <c r="L3681" s="3"/>
      <c r="M3681" s="3"/>
      <c r="N3681" s="3"/>
    </row>
    <row r="3682" spans="1:14" ht="14.25" x14ac:dyDescent="0.2">
      <c r="A3682" s="3"/>
      <c r="B3682" s="3"/>
      <c r="C3682" s="3"/>
      <c r="D3682" s="6"/>
      <c r="E3682" s="10"/>
      <c r="F3682" s="3" t="str">
        <f>IFERROR( VLOOKUP(A3682,#REF!,2,0),"")</f>
        <v/>
      </c>
      <c r="G3682" s="3">
        <f t="array" ref="G3682">_xlfn.XLOOKUP(I3682,Base_Datos!D:D,Base_Datos!B:B,"")</f>
        <v>0</v>
      </c>
      <c r="H3682" s="3" t="str">
        <f t="array" ref="H3682">IF(I3682="","",IFERROR(_xlfn.XLOOKUP(I3682,Base_Datos!$D$2:$D3876,Base_Datos!$C$2:$C3876),""))</f>
        <v/>
      </c>
      <c r="I3682" s="3"/>
      <c r="J3682" s="3" t="str">
        <f>IF(I3682="","",IFERROR(VLOOKUP(I3682,Base_Datos!$D$2:$E$72,2,0),""))</f>
        <v/>
      </c>
      <c r="K3682" s="3"/>
      <c r="L3682" s="3"/>
      <c r="M3682" s="3"/>
      <c r="N3682" s="3"/>
    </row>
    <row r="3683" spans="1:14" ht="14.25" x14ac:dyDescent="0.2">
      <c r="A3683" s="3"/>
      <c r="B3683" s="3"/>
      <c r="C3683" s="3"/>
      <c r="D3683" s="6"/>
      <c r="E3683" s="10"/>
      <c r="F3683" s="3" t="str">
        <f>IFERROR( VLOOKUP(A3683,#REF!,2,0),"")</f>
        <v/>
      </c>
      <c r="G3683" s="3">
        <f t="array" ref="G3683">_xlfn.XLOOKUP(I3683,Base_Datos!D:D,Base_Datos!B:B,"")</f>
        <v>0</v>
      </c>
      <c r="H3683" s="3" t="str">
        <f t="array" ref="H3683">IF(I3683="","",IFERROR(_xlfn.XLOOKUP(I3683,Base_Datos!$D$2:$D3876,Base_Datos!$C$2:$C3876),""))</f>
        <v/>
      </c>
      <c r="I3683" s="3"/>
      <c r="J3683" s="3" t="str">
        <f>IF(I3683="","",IFERROR(VLOOKUP(I3683,Base_Datos!$D$2:$E$72,2,0),""))</f>
        <v/>
      </c>
      <c r="K3683" s="3"/>
      <c r="L3683" s="3"/>
      <c r="M3683" s="3"/>
      <c r="N3683" s="3"/>
    </row>
    <row r="3684" spans="1:14" ht="14.25" x14ac:dyDescent="0.2">
      <c r="A3684" s="3"/>
      <c r="B3684" s="3"/>
      <c r="C3684" s="3"/>
      <c r="D3684" s="6"/>
      <c r="E3684" s="10"/>
      <c r="F3684" s="3" t="str">
        <f>IFERROR( VLOOKUP(A3684,#REF!,2,0),"")</f>
        <v/>
      </c>
      <c r="G3684" s="3">
        <f t="array" ref="G3684">_xlfn.XLOOKUP(I3684,Base_Datos!D:D,Base_Datos!B:B,"")</f>
        <v>0</v>
      </c>
      <c r="H3684" s="3" t="str">
        <f t="array" ref="H3684">IF(I3684="","",IFERROR(_xlfn.XLOOKUP(I3684,Base_Datos!$D$2:$D3876,Base_Datos!$C$2:$C3876),""))</f>
        <v/>
      </c>
      <c r="I3684" s="3"/>
      <c r="J3684" s="3" t="str">
        <f>IF(I3684="","",IFERROR(VLOOKUP(I3684,Base_Datos!$D$2:$E$72,2,0),""))</f>
        <v/>
      </c>
      <c r="K3684" s="3"/>
      <c r="L3684" s="3"/>
      <c r="M3684" s="3"/>
      <c r="N3684" s="3"/>
    </row>
    <row r="3685" spans="1:14" ht="14.25" x14ac:dyDescent="0.2">
      <c r="A3685" s="3"/>
      <c r="B3685" s="3"/>
      <c r="C3685" s="3"/>
      <c r="D3685" s="6"/>
      <c r="E3685" s="10"/>
      <c r="F3685" s="3" t="str">
        <f>IFERROR( VLOOKUP(A3685,#REF!,2,0),"")</f>
        <v/>
      </c>
      <c r="G3685" s="3">
        <f t="array" ref="G3685">_xlfn.XLOOKUP(I3685,Base_Datos!D:D,Base_Datos!B:B,"")</f>
        <v>0</v>
      </c>
      <c r="H3685" s="3" t="str">
        <f t="array" ref="H3685">IF(I3685="","",IFERROR(_xlfn.XLOOKUP(I3685,Base_Datos!$D$2:$D3876,Base_Datos!$C$2:$C3876),""))</f>
        <v/>
      </c>
      <c r="I3685" s="3"/>
      <c r="J3685" s="3" t="str">
        <f>IF(I3685="","",IFERROR(VLOOKUP(I3685,Base_Datos!$D$2:$E$72,2,0),""))</f>
        <v/>
      </c>
      <c r="K3685" s="3"/>
      <c r="L3685" s="3"/>
      <c r="M3685" s="3"/>
      <c r="N3685" s="3"/>
    </row>
    <row r="3686" spans="1:14" ht="14.25" x14ac:dyDescent="0.2">
      <c r="A3686" s="3"/>
      <c r="B3686" s="3"/>
      <c r="C3686" s="3"/>
      <c r="D3686" s="6"/>
      <c r="E3686" s="10"/>
      <c r="F3686" s="3" t="str">
        <f>IFERROR( VLOOKUP(A3686,#REF!,2,0),"")</f>
        <v/>
      </c>
      <c r="G3686" s="3">
        <f t="array" ref="G3686">_xlfn.XLOOKUP(I3686,Base_Datos!D:D,Base_Datos!B:B,"")</f>
        <v>0</v>
      </c>
      <c r="H3686" s="3" t="str">
        <f t="array" ref="H3686">IF(I3686="","",IFERROR(_xlfn.XLOOKUP(I3686,Base_Datos!$D$2:$D3876,Base_Datos!$C$2:$C3876),""))</f>
        <v/>
      </c>
      <c r="I3686" s="3"/>
      <c r="J3686" s="3" t="str">
        <f>IF(I3686="","",IFERROR(VLOOKUP(I3686,Base_Datos!$D$2:$E$72,2,0),""))</f>
        <v/>
      </c>
      <c r="K3686" s="3"/>
      <c r="L3686" s="3"/>
      <c r="M3686" s="3"/>
      <c r="N3686" s="3"/>
    </row>
    <row r="3687" spans="1:14" ht="14.25" x14ac:dyDescent="0.2">
      <c r="A3687" s="3"/>
      <c r="B3687" s="3"/>
      <c r="C3687" s="3"/>
      <c r="D3687" s="6"/>
      <c r="E3687" s="10"/>
      <c r="F3687" s="3" t="str">
        <f>IFERROR( VLOOKUP(A3687,#REF!,2,0),"")</f>
        <v/>
      </c>
      <c r="G3687" s="3">
        <f t="array" ref="G3687">_xlfn.XLOOKUP(I3687,Base_Datos!D:D,Base_Datos!B:B,"")</f>
        <v>0</v>
      </c>
      <c r="H3687" s="3" t="str">
        <f t="array" ref="H3687">IF(I3687="","",IFERROR(_xlfn.XLOOKUP(I3687,Base_Datos!$D$2:$D3876,Base_Datos!$C$2:$C3876),""))</f>
        <v/>
      </c>
      <c r="I3687" s="3"/>
      <c r="J3687" s="3" t="str">
        <f>IF(I3687="","",IFERROR(VLOOKUP(I3687,Base_Datos!$D$2:$E$72,2,0),""))</f>
        <v/>
      </c>
      <c r="K3687" s="3"/>
      <c r="L3687" s="3"/>
      <c r="M3687" s="3"/>
      <c r="N3687" s="3"/>
    </row>
    <row r="3688" spans="1:14" ht="14.25" x14ac:dyDescent="0.2">
      <c r="A3688" s="3"/>
      <c r="B3688" s="3"/>
      <c r="C3688" s="3"/>
      <c r="D3688" s="6"/>
      <c r="E3688" s="10"/>
      <c r="F3688" s="3" t="str">
        <f>IFERROR( VLOOKUP(A3688,#REF!,2,0),"")</f>
        <v/>
      </c>
      <c r="G3688" s="3">
        <f t="array" ref="G3688">_xlfn.XLOOKUP(I3688,Base_Datos!D:D,Base_Datos!B:B,"")</f>
        <v>0</v>
      </c>
      <c r="H3688" s="3" t="str">
        <f t="array" ref="H3688">IF(I3688="","",IFERROR(_xlfn.XLOOKUP(I3688,Base_Datos!$D$2:$D3876,Base_Datos!$C$2:$C3876),""))</f>
        <v/>
      </c>
      <c r="I3688" s="3"/>
      <c r="J3688" s="3" t="str">
        <f>IF(I3688="","",IFERROR(VLOOKUP(I3688,Base_Datos!$D$2:$E$72,2,0),""))</f>
        <v/>
      </c>
      <c r="K3688" s="3"/>
      <c r="L3688" s="3"/>
      <c r="M3688" s="3"/>
      <c r="N3688" s="3"/>
    </row>
    <row r="3689" spans="1:14" ht="14.25" x14ac:dyDescent="0.2">
      <c r="A3689" s="3"/>
      <c r="B3689" s="3"/>
      <c r="C3689" s="3"/>
      <c r="D3689" s="6"/>
      <c r="E3689" s="10"/>
      <c r="F3689" s="3" t="str">
        <f>IFERROR( VLOOKUP(A3689,#REF!,2,0),"")</f>
        <v/>
      </c>
      <c r="G3689" s="3">
        <f t="array" ref="G3689">_xlfn.XLOOKUP(I3689,Base_Datos!D:D,Base_Datos!B:B,"")</f>
        <v>0</v>
      </c>
      <c r="H3689" s="3" t="str">
        <f t="array" ref="H3689">IF(I3689="","",IFERROR(_xlfn.XLOOKUP(I3689,Base_Datos!$D$2:$D3876,Base_Datos!$C$2:$C3876),""))</f>
        <v/>
      </c>
      <c r="I3689" s="3"/>
      <c r="J3689" s="3" t="str">
        <f>IF(I3689="","",IFERROR(VLOOKUP(I3689,Base_Datos!$D$2:$E$72,2,0),""))</f>
        <v/>
      </c>
      <c r="K3689" s="3"/>
      <c r="L3689" s="3"/>
      <c r="M3689" s="3"/>
      <c r="N3689" s="3"/>
    </row>
    <row r="3690" spans="1:14" ht="14.25" x14ac:dyDescent="0.2">
      <c r="A3690" s="3"/>
      <c r="B3690" s="3"/>
      <c r="C3690" s="3"/>
      <c r="D3690" s="6"/>
      <c r="E3690" s="10"/>
      <c r="F3690" s="3" t="str">
        <f>IFERROR( VLOOKUP(A3690,#REF!,2,0),"")</f>
        <v/>
      </c>
      <c r="G3690" s="3">
        <f t="array" ref="G3690">_xlfn.XLOOKUP(I3690,Base_Datos!D:D,Base_Datos!B:B,"")</f>
        <v>0</v>
      </c>
      <c r="H3690" s="3" t="str">
        <f t="array" ref="H3690">IF(I3690="","",IFERROR(_xlfn.XLOOKUP(I3690,Base_Datos!$D$2:$D3876,Base_Datos!$C$2:$C3876),""))</f>
        <v/>
      </c>
      <c r="I3690" s="3"/>
      <c r="J3690" s="3" t="str">
        <f>IF(I3690="","",IFERROR(VLOOKUP(I3690,Base_Datos!$D$2:$E$72,2,0),""))</f>
        <v/>
      </c>
      <c r="K3690" s="3"/>
      <c r="L3690" s="3"/>
      <c r="M3690" s="3"/>
      <c r="N3690" s="3"/>
    </row>
    <row r="3691" spans="1:14" ht="14.25" x14ac:dyDescent="0.2">
      <c r="A3691" s="3"/>
      <c r="B3691" s="3"/>
      <c r="C3691" s="3"/>
      <c r="D3691" s="6"/>
      <c r="E3691" s="10"/>
      <c r="F3691" s="3" t="str">
        <f>IFERROR( VLOOKUP(A3691,#REF!,2,0),"")</f>
        <v/>
      </c>
      <c r="G3691" s="3">
        <f t="array" ref="G3691">_xlfn.XLOOKUP(I3691,Base_Datos!D:D,Base_Datos!B:B,"")</f>
        <v>0</v>
      </c>
      <c r="H3691" s="3" t="str">
        <f t="array" ref="H3691">IF(I3691="","",IFERROR(_xlfn.XLOOKUP(I3691,Base_Datos!$D$2:$D3876,Base_Datos!$C$2:$C3876),""))</f>
        <v/>
      </c>
      <c r="I3691" s="3"/>
      <c r="J3691" s="3" t="str">
        <f>IF(I3691="","",IFERROR(VLOOKUP(I3691,Base_Datos!$D$2:$E$72,2,0),""))</f>
        <v/>
      </c>
      <c r="K3691" s="3"/>
      <c r="L3691" s="3"/>
      <c r="M3691" s="3"/>
      <c r="N3691" s="3"/>
    </row>
    <row r="3692" spans="1:14" ht="14.25" x14ac:dyDescent="0.2">
      <c r="A3692" s="3"/>
      <c r="B3692" s="3"/>
      <c r="C3692" s="3"/>
      <c r="D3692" s="6"/>
      <c r="E3692" s="10"/>
      <c r="F3692" s="3" t="str">
        <f>IFERROR( VLOOKUP(A3692,#REF!,2,0),"")</f>
        <v/>
      </c>
      <c r="G3692" s="3">
        <f t="array" ref="G3692">_xlfn.XLOOKUP(I3692,Base_Datos!D:D,Base_Datos!B:B,"")</f>
        <v>0</v>
      </c>
      <c r="H3692" s="3" t="str">
        <f t="array" ref="H3692">IF(I3692="","",IFERROR(_xlfn.XLOOKUP(I3692,Base_Datos!$D$2:$D3876,Base_Datos!$C$2:$C3876),""))</f>
        <v/>
      </c>
      <c r="I3692" s="3"/>
      <c r="J3692" s="3" t="str">
        <f>IF(I3692="","",IFERROR(VLOOKUP(I3692,Base_Datos!$D$2:$E$72,2,0),""))</f>
        <v/>
      </c>
      <c r="K3692" s="3"/>
      <c r="L3692" s="3"/>
      <c r="M3692" s="3"/>
      <c r="N3692" s="3"/>
    </row>
    <row r="3693" spans="1:14" ht="14.25" x14ac:dyDescent="0.2">
      <c r="A3693" s="3"/>
      <c r="B3693" s="3"/>
      <c r="C3693" s="3"/>
      <c r="D3693" s="6"/>
      <c r="E3693" s="10"/>
      <c r="F3693" s="3" t="str">
        <f>IFERROR( VLOOKUP(A3693,#REF!,2,0),"")</f>
        <v/>
      </c>
      <c r="G3693" s="3">
        <f t="array" ref="G3693">_xlfn.XLOOKUP(I3693,Base_Datos!D:D,Base_Datos!B:B,"")</f>
        <v>0</v>
      </c>
      <c r="H3693" s="3" t="str">
        <f t="array" ref="H3693">IF(I3693="","",IFERROR(_xlfn.XLOOKUP(I3693,Base_Datos!$D$2:$D3876,Base_Datos!$C$2:$C3876),""))</f>
        <v/>
      </c>
      <c r="I3693" s="3"/>
      <c r="J3693" s="3" t="str">
        <f>IF(I3693="","",IFERROR(VLOOKUP(I3693,Base_Datos!$D$2:$E$72,2,0),""))</f>
        <v/>
      </c>
      <c r="K3693" s="3"/>
      <c r="L3693" s="3"/>
      <c r="M3693" s="3"/>
      <c r="N3693" s="3"/>
    </row>
    <row r="3694" spans="1:14" ht="14.25" x14ac:dyDescent="0.2">
      <c r="A3694" s="3"/>
      <c r="B3694" s="3"/>
      <c r="C3694" s="3"/>
      <c r="D3694" s="6"/>
      <c r="E3694" s="10"/>
      <c r="F3694" s="3" t="str">
        <f>IFERROR( VLOOKUP(A3694,#REF!,2,0),"")</f>
        <v/>
      </c>
      <c r="G3694" s="3">
        <f t="array" ref="G3694">_xlfn.XLOOKUP(I3694,Base_Datos!D:D,Base_Datos!B:B,"")</f>
        <v>0</v>
      </c>
      <c r="H3694" s="3" t="str">
        <f t="array" ref="H3694">IF(I3694="","",IFERROR(_xlfn.XLOOKUP(I3694,Base_Datos!$D$2:$D3876,Base_Datos!$C$2:$C3876),""))</f>
        <v/>
      </c>
      <c r="I3694" s="3"/>
      <c r="J3694" s="3" t="str">
        <f>IF(I3694="","",IFERROR(VLOOKUP(I3694,Base_Datos!$D$2:$E$72,2,0),""))</f>
        <v/>
      </c>
      <c r="K3694" s="3"/>
      <c r="L3694" s="3"/>
      <c r="M3694" s="3"/>
      <c r="N3694" s="3"/>
    </row>
    <row r="3695" spans="1:14" ht="14.25" x14ac:dyDescent="0.2">
      <c r="A3695" s="3"/>
      <c r="B3695" s="3"/>
      <c r="C3695" s="3"/>
      <c r="D3695" s="6"/>
      <c r="E3695" s="10"/>
      <c r="F3695" s="3" t="str">
        <f>IFERROR( VLOOKUP(A3695,#REF!,2,0),"")</f>
        <v/>
      </c>
      <c r="G3695" s="3">
        <f t="array" ref="G3695">_xlfn.XLOOKUP(I3695,Base_Datos!D:D,Base_Datos!B:B,"")</f>
        <v>0</v>
      </c>
      <c r="H3695" s="3" t="str">
        <f t="array" ref="H3695">IF(I3695="","",IFERROR(_xlfn.XLOOKUP(I3695,Base_Datos!$D$2:$D3876,Base_Datos!$C$2:$C3876),""))</f>
        <v/>
      </c>
      <c r="I3695" s="3"/>
      <c r="J3695" s="3" t="str">
        <f>IF(I3695="","",IFERROR(VLOOKUP(I3695,Base_Datos!$D$2:$E$72,2,0),""))</f>
        <v/>
      </c>
      <c r="K3695" s="3"/>
      <c r="L3695" s="3"/>
      <c r="M3695" s="3"/>
      <c r="N3695" s="3"/>
    </row>
    <row r="3696" spans="1:14" ht="14.25" x14ac:dyDescent="0.2">
      <c r="A3696" s="3"/>
      <c r="B3696" s="3"/>
      <c r="C3696" s="3"/>
      <c r="D3696" s="6"/>
      <c r="E3696" s="10"/>
      <c r="F3696" s="3" t="str">
        <f>IFERROR( VLOOKUP(A3696,#REF!,2,0),"")</f>
        <v/>
      </c>
      <c r="G3696" s="3">
        <f t="array" ref="G3696">_xlfn.XLOOKUP(I3696,Base_Datos!D:D,Base_Datos!B:B,"")</f>
        <v>0</v>
      </c>
      <c r="H3696" s="3" t="str">
        <f t="array" ref="H3696">IF(I3696="","",IFERROR(_xlfn.XLOOKUP(I3696,Base_Datos!$D$2:$D3876,Base_Datos!$C$2:$C3876),""))</f>
        <v/>
      </c>
      <c r="I3696" s="3"/>
      <c r="J3696" s="3" t="str">
        <f>IF(I3696="","",IFERROR(VLOOKUP(I3696,Base_Datos!$D$2:$E$72,2,0),""))</f>
        <v/>
      </c>
      <c r="K3696" s="3"/>
      <c r="L3696" s="3"/>
      <c r="M3696" s="3"/>
      <c r="N3696" s="3"/>
    </row>
    <row r="3697" spans="1:14" ht="14.25" x14ac:dyDescent="0.2">
      <c r="A3697" s="3"/>
      <c r="B3697" s="3"/>
      <c r="C3697" s="3"/>
      <c r="D3697" s="6"/>
      <c r="E3697" s="10"/>
      <c r="F3697" s="3" t="str">
        <f>IFERROR( VLOOKUP(A3697,#REF!,2,0),"")</f>
        <v/>
      </c>
      <c r="G3697" s="3">
        <f t="array" ref="G3697">_xlfn.XLOOKUP(I3697,Base_Datos!D:D,Base_Datos!B:B,"")</f>
        <v>0</v>
      </c>
      <c r="H3697" s="3" t="str">
        <f t="array" ref="H3697">IF(I3697="","",IFERROR(_xlfn.XLOOKUP(I3697,Base_Datos!$D$2:$D3876,Base_Datos!$C$2:$C3876),""))</f>
        <v/>
      </c>
      <c r="I3697" s="3"/>
      <c r="J3697" s="3" t="str">
        <f>IF(I3697="","",IFERROR(VLOOKUP(I3697,Base_Datos!$D$2:$E$72,2,0),""))</f>
        <v/>
      </c>
      <c r="K3697" s="3"/>
      <c r="L3697" s="3"/>
      <c r="M3697" s="3"/>
      <c r="N3697" s="3"/>
    </row>
    <row r="3698" spans="1:14" ht="14.25" x14ac:dyDescent="0.2">
      <c r="A3698" s="3"/>
      <c r="B3698" s="3"/>
      <c r="C3698" s="3"/>
      <c r="D3698" s="6"/>
      <c r="E3698" s="10"/>
      <c r="F3698" s="3" t="str">
        <f>IFERROR( VLOOKUP(A3698,#REF!,2,0),"")</f>
        <v/>
      </c>
      <c r="G3698" s="3">
        <f t="array" ref="G3698">_xlfn.XLOOKUP(I3698,Base_Datos!D:D,Base_Datos!B:B,"")</f>
        <v>0</v>
      </c>
      <c r="H3698" s="3" t="str">
        <f t="array" ref="H3698">IF(I3698="","",IFERROR(_xlfn.XLOOKUP(I3698,Base_Datos!$D$2:$D3876,Base_Datos!$C$2:$C3876),""))</f>
        <v/>
      </c>
      <c r="I3698" s="3"/>
      <c r="J3698" s="3" t="str">
        <f>IF(I3698="","",IFERROR(VLOOKUP(I3698,Base_Datos!$D$2:$E$72,2,0),""))</f>
        <v/>
      </c>
      <c r="K3698" s="3"/>
      <c r="L3698" s="3"/>
      <c r="M3698" s="3"/>
      <c r="N3698" s="3"/>
    </row>
    <row r="3699" spans="1:14" ht="14.25" x14ac:dyDescent="0.2">
      <c r="A3699" s="3"/>
      <c r="B3699" s="3"/>
      <c r="C3699" s="3"/>
      <c r="D3699" s="6"/>
      <c r="E3699" s="10"/>
      <c r="F3699" s="3" t="str">
        <f>IFERROR( VLOOKUP(A3699,#REF!,2,0),"")</f>
        <v/>
      </c>
      <c r="G3699" s="3">
        <f t="array" ref="G3699">_xlfn.XLOOKUP(I3699,Base_Datos!D:D,Base_Datos!B:B,"")</f>
        <v>0</v>
      </c>
      <c r="H3699" s="3" t="str">
        <f t="array" ref="H3699">IF(I3699="","",IFERROR(_xlfn.XLOOKUP(I3699,Base_Datos!$D$2:$D3876,Base_Datos!$C$2:$C3876),""))</f>
        <v/>
      </c>
      <c r="I3699" s="3"/>
      <c r="J3699" s="3" t="str">
        <f>IF(I3699="","",IFERROR(VLOOKUP(I3699,Base_Datos!$D$2:$E$72,2,0),""))</f>
        <v/>
      </c>
      <c r="K3699" s="3"/>
      <c r="L3699" s="3"/>
      <c r="M3699" s="3"/>
      <c r="N3699" s="3"/>
    </row>
    <row r="3700" spans="1:14" ht="14.25" x14ac:dyDescent="0.2">
      <c r="A3700" s="3"/>
      <c r="B3700" s="3"/>
      <c r="C3700" s="3"/>
      <c r="D3700" s="6"/>
      <c r="E3700" s="10"/>
      <c r="F3700" s="3" t="str">
        <f>IFERROR( VLOOKUP(A3700,#REF!,2,0),"")</f>
        <v/>
      </c>
      <c r="G3700" s="3">
        <f t="array" ref="G3700">_xlfn.XLOOKUP(I3700,Base_Datos!D:D,Base_Datos!B:B,"")</f>
        <v>0</v>
      </c>
      <c r="H3700" s="3" t="str">
        <f t="array" ref="H3700">IF(I3700="","",IFERROR(_xlfn.XLOOKUP(I3700,Base_Datos!$D$2:$D3876,Base_Datos!$C$2:$C3876),""))</f>
        <v/>
      </c>
      <c r="I3700" s="3"/>
      <c r="J3700" s="3" t="str">
        <f>IF(I3700="","",IFERROR(VLOOKUP(I3700,Base_Datos!$D$2:$E$72,2,0),""))</f>
        <v/>
      </c>
      <c r="K3700" s="3"/>
      <c r="L3700" s="3"/>
      <c r="M3700" s="3"/>
      <c r="N3700" s="3"/>
    </row>
    <row r="3701" spans="1:14" ht="14.25" x14ac:dyDescent="0.2">
      <c r="A3701" s="3"/>
      <c r="B3701" s="3"/>
      <c r="C3701" s="3"/>
      <c r="D3701" s="6"/>
      <c r="E3701" s="10"/>
      <c r="F3701" s="3" t="str">
        <f>IFERROR( VLOOKUP(A3701,#REF!,2,0),"")</f>
        <v/>
      </c>
      <c r="G3701" s="3">
        <f t="array" ref="G3701">_xlfn.XLOOKUP(I3701,Base_Datos!D:D,Base_Datos!B:B,"")</f>
        <v>0</v>
      </c>
      <c r="H3701" s="3" t="str">
        <f t="array" ref="H3701">IF(I3701="","",IFERROR(_xlfn.XLOOKUP(I3701,Base_Datos!$D$2:$D3876,Base_Datos!$C$2:$C3876),""))</f>
        <v/>
      </c>
      <c r="I3701" s="3"/>
      <c r="J3701" s="3" t="str">
        <f>IF(I3701="","",IFERROR(VLOOKUP(I3701,Base_Datos!$D$2:$E$72,2,0),""))</f>
        <v/>
      </c>
      <c r="K3701" s="3"/>
      <c r="L3701" s="3"/>
      <c r="M3701" s="3"/>
      <c r="N3701" s="3"/>
    </row>
    <row r="3702" spans="1:14" ht="14.25" x14ac:dyDescent="0.2">
      <c r="A3702" s="3"/>
      <c r="B3702" s="3"/>
      <c r="C3702" s="3"/>
      <c r="D3702" s="6"/>
      <c r="E3702" s="10"/>
      <c r="F3702" s="3" t="str">
        <f>IFERROR( VLOOKUP(A3702,#REF!,2,0),"")</f>
        <v/>
      </c>
      <c r="G3702" s="3">
        <f t="array" ref="G3702">_xlfn.XLOOKUP(I3702,Base_Datos!D:D,Base_Datos!B:B,"")</f>
        <v>0</v>
      </c>
      <c r="H3702" s="3" t="str">
        <f t="array" ref="H3702">IF(I3702="","",IFERROR(_xlfn.XLOOKUP(I3702,Base_Datos!$D$2:$D3876,Base_Datos!$C$2:$C3876),""))</f>
        <v/>
      </c>
      <c r="I3702" s="3"/>
      <c r="J3702" s="3" t="str">
        <f>IF(I3702="","",IFERROR(VLOOKUP(I3702,Base_Datos!$D$2:$E$72,2,0),""))</f>
        <v/>
      </c>
      <c r="K3702" s="3"/>
      <c r="L3702" s="3"/>
      <c r="M3702" s="3"/>
      <c r="N3702" s="3"/>
    </row>
    <row r="3703" spans="1:14" ht="14.25" x14ac:dyDescent="0.2">
      <c r="A3703" s="3"/>
      <c r="B3703" s="3"/>
      <c r="C3703" s="3"/>
      <c r="D3703" s="6"/>
      <c r="E3703" s="10"/>
      <c r="F3703" s="3" t="str">
        <f>IFERROR( VLOOKUP(A3703,#REF!,2,0),"")</f>
        <v/>
      </c>
      <c r="G3703" s="3">
        <f t="array" ref="G3703">_xlfn.XLOOKUP(I3703,Base_Datos!D:D,Base_Datos!B:B,"")</f>
        <v>0</v>
      </c>
      <c r="H3703" s="3" t="str">
        <f t="array" ref="H3703">IF(I3703="","",IFERROR(_xlfn.XLOOKUP(I3703,Base_Datos!$D$2:$D3876,Base_Datos!$C$2:$C3876),""))</f>
        <v/>
      </c>
      <c r="I3703" s="3"/>
      <c r="J3703" s="3" t="str">
        <f>IF(I3703="","",IFERROR(VLOOKUP(I3703,Base_Datos!$D$2:$E$72,2,0),""))</f>
        <v/>
      </c>
      <c r="K3703" s="3"/>
      <c r="L3703" s="3"/>
      <c r="M3703" s="3"/>
      <c r="N3703" s="3"/>
    </row>
    <row r="3704" spans="1:14" ht="14.25" x14ac:dyDescent="0.2">
      <c r="A3704" s="3"/>
      <c r="B3704" s="3"/>
      <c r="C3704" s="3"/>
      <c r="D3704" s="6"/>
      <c r="E3704" s="10"/>
      <c r="F3704" s="3" t="str">
        <f>IFERROR( VLOOKUP(A3704,#REF!,2,0),"")</f>
        <v/>
      </c>
      <c r="G3704" s="3">
        <f t="array" ref="G3704">_xlfn.XLOOKUP(I3704,Base_Datos!D:D,Base_Datos!B:B,"")</f>
        <v>0</v>
      </c>
      <c r="H3704" s="3" t="str">
        <f t="array" ref="H3704">IF(I3704="","",IFERROR(_xlfn.XLOOKUP(I3704,Base_Datos!$D$2:$D3876,Base_Datos!$C$2:$C3876),""))</f>
        <v/>
      </c>
      <c r="I3704" s="3"/>
      <c r="J3704" s="3" t="str">
        <f>IF(I3704="","",IFERROR(VLOOKUP(I3704,Base_Datos!$D$2:$E$72,2,0),""))</f>
        <v/>
      </c>
      <c r="K3704" s="3"/>
      <c r="L3704" s="3"/>
      <c r="M3704" s="3"/>
      <c r="N3704" s="3"/>
    </row>
    <row r="3705" spans="1:14" ht="14.25" x14ac:dyDescent="0.2">
      <c r="A3705" s="3"/>
      <c r="B3705" s="3"/>
      <c r="C3705" s="3"/>
      <c r="D3705" s="6"/>
      <c r="E3705" s="10"/>
      <c r="F3705" s="3" t="str">
        <f>IFERROR( VLOOKUP(A3705,#REF!,2,0),"")</f>
        <v/>
      </c>
      <c r="G3705" s="3">
        <f t="array" ref="G3705">_xlfn.XLOOKUP(I3705,Base_Datos!D:D,Base_Datos!B:B,"")</f>
        <v>0</v>
      </c>
      <c r="H3705" s="3" t="str">
        <f t="array" ref="H3705">IF(I3705="","",IFERROR(_xlfn.XLOOKUP(I3705,Base_Datos!$D$2:$D3876,Base_Datos!$C$2:$C3876),""))</f>
        <v/>
      </c>
      <c r="I3705" s="3"/>
      <c r="J3705" s="3" t="str">
        <f>IF(I3705="","",IFERROR(VLOOKUP(I3705,Base_Datos!$D$2:$E$72,2,0),""))</f>
        <v/>
      </c>
      <c r="K3705" s="3"/>
      <c r="L3705" s="3"/>
      <c r="M3705" s="3"/>
      <c r="N3705" s="3"/>
    </row>
    <row r="3706" spans="1:14" ht="14.25" x14ac:dyDescent="0.2">
      <c r="A3706" s="3"/>
      <c r="B3706" s="3"/>
      <c r="C3706" s="3"/>
      <c r="D3706" s="6"/>
      <c r="E3706" s="10"/>
      <c r="F3706" s="3" t="str">
        <f>IFERROR( VLOOKUP(A3706,#REF!,2,0),"")</f>
        <v/>
      </c>
      <c r="G3706" s="3">
        <f t="array" ref="G3706">_xlfn.XLOOKUP(I3706,Base_Datos!D:D,Base_Datos!B:B,"")</f>
        <v>0</v>
      </c>
      <c r="H3706" s="3" t="str">
        <f t="array" ref="H3706">IF(I3706="","",IFERROR(_xlfn.XLOOKUP(I3706,Base_Datos!$D$2:$D3876,Base_Datos!$C$2:$C3876),""))</f>
        <v/>
      </c>
      <c r="I3706" s="3"/>
      <c r="J3706" s="3" t="str">
        <f>IF(I3706="","",IFERROR(VLOOKUP(I3706,Base_Datos!$D$2:$E$72,2,0),""))</f>
        <v/>
      </c>
      <c r="K3706" s="3"/>
      <c r="L3706" s="3"/>
      <c r="M3706" s="3"/>
      <c r="N3706" s="3"/>
    </row>
    <row r="3707" spans="1:14" ht="14.25" x14ac:dyDescent="0.2">
      <c r="A3707" s="3"/>
      <c r="B3707" s="3"/>
      <c r="C3707" s="3"/>
      <c r="D3707" s="6"/>
      <c r="E3707" s="10"/>
      <c r="F3707" s="3" t="str">
        <f>IFERROR( VLOOKUP(A3707,#REF!,2,0),"")</f>
        <v/>
      </c>
      <c r="G3707" s="3">
        <f t="array" ref="G3707">_xlfn.XLOOKUP(I3707,Base_Datos!D:D,Base_Datos!B:B,"")</f>
        <v>0</v>
      </c>
      <c r="H3707" s="3" t="str">
        <f t="array" ref="H3707">IF(I3707="","",IFERROR(_xlfn.XLOOKUP(I3707,Base_Datos!$D$2:$D3876,Base_Datos!$C$2:$C3876),""))</f>
        <v/>
      </c>
      <c r="I3707" s="3"/>
      <c r="J3707" s="3" t="str">
        <f>IF(I3707="","",IFERROR(VLOOKUP(I3707,Base_Datos!$D$2:$E$72,2,0),""))</f>
        <v/>
      </c>
      <c r="K3707" s="3"/>
      <c r="L3707" s="3"/>
      <c r="M3707" s="3"/>
      <c r="N3707" s="3"/>
    </row>
    <row r="3708" spans="1:14" ht="14.25" x14ac:dyDescent="0.2">
      <c r="A3708" s="3"/>
      <c r="B3708" s="3"/>
      <c r="C3708" s="3"/>
      <c r="D3708" s="6"/>
      <c r="E3708" s="10"/>
      <c r="F3708" s="3" t="str">
        <f>IFERROR( VLOOKUP(A3708,#REF!,2,0),"")</f>
        <v/>
      </c>
      <c r="G3708" s="3">
        <f t="array" ref="G3708">_xlfn.XLOOKUP(I3708,Base_Datos!D:D,Base_Datos!B:B,"")</f>
        <v>0</v>
      </c>
      <c r="H3708" s="3" t="str">
        <f t="array" ref="H3708">IF(I3708="","",IFERROR(_xlfn.XLOOKUP(I3708,Base_Datos!$D$2:$D3876,Base_Datos!$C$2:$C3876),""))</f>
        <v/>
      </c>
      <c r="I3708" s="3"/>
      <c r="J3708" s="3" t="str">
        <f>IF(I3708="","",IFERROR(VLOOKUP(I3708,Base_Datos!$D$2:$E$72,2,0),""))</f>
        <v/>
      </c>
      <c r="K3708" s="3"/>
      <c r="L3708" s="3"/>
      <c r="M3708" s="3"/>
      <c r="N3708" s="3"/>
    </row>
    <row r="3709" spans="1:14" ht="14.25" x14ac:dyDescent="0.2">
      <c r="A3709" s="3"/>
      <c r="B3709" s="3"/>
      <c r="C3709" s="3"/>
      <c r="D3709" s="6"/>
      <c r="E3709" s="10"/>
      <c r="F3709" s="3" t="str">
        <f>IFERROR( VLOOKUP(A3709,#REF!,2,0),"")</f>
        <v/>
      </c>
      <c r="G3709" s="3">
        <f t="array" ref="G3709">_xlfn.XLOOKUP(I3709,Base_Datos!D:D,Base_Datos!B:B,"")</f>
        <v>0</v>
      </c>
      <c r="H3709" s="3" t="str">
        <f t="array" ref="H3709">IF(I3709="","",IFERROR(_xlfn.XLOOKUP(I3709,Base_Datos!$D$2:$D3876,Base_Datos!$C$2:$C3876),""))</f>
        <v/>
      </c>
      <c r="I3709" s="3"/>
      <c r="J3709" s="3" t="str">
        <f>IF(I3709="","",IFERROR(VLOOKUP(I3709,Base_Datos!$D$2:$E$72,2,0),""))</f>
        <v/>
      </c>
      <c r="K3709" s="3"/>
      <c r="L3709" s="3"/>
      <c r="M3709" s="3"/>
      <c r="N3709" s="3"/>
    </row>
    <row r="3710" spans="1:14" ht="14.25" x14ac:dyDescent="0.2">
      <c r="A3710" s="3"/>
      <c r="B3710" s="3"/>
      <c r="C3710" s="3"/>
      <c r="D3710" s="6"/>
      <c r="E3710" s="10"/>
      <c r="F3710" s="3" t="str">
        <f>IFERROR( VLOOKUP(A3710,#REF!,2,0),"")</f>
        <v/>
      </c>
      <c r="G3710" s="3">
        <f t="array" ref="G3710">_xlfn.XLOOKUP(I3710,Base_Datos!D:D,Base_Datos!B:B,"")</f>
        <v>0</v>
      </c>
      <c r="H3710" s="3" t="str">
        <f t="array" ref="H3710">IF(I3710="","",IFERROR(_xlfn.XLOOKUP(I3710,Base_Datos!$D$2:$D3876,Base_Datos!$C$2:$C3876),""))</f>
        <v/>
      </c>
      <c r="I3710" s="3"/>
      <c r="J3710" s="3" t="str">
        <f>IF(I3710="","",IFERROR(VLOOKUP(I3710,Base_Datos!$D$2:$E$72,2,0),""))</f>
        <v/>
      </c>
      <c r="K3710" s="3"/>
      <c r="L3710" s="3"/>
      <c r="M3710" s="3"/>
      <c r="N3710" s="3"/>
    </row>
    <row r="3711" spans="1:14" ht="14.25" x14ac:dyDescent="0.2">
      <c r="A3711" s="3"/>
      <c r="B3711" s="3"/>
      <c r="C3711" s="3"/>
      <c r="D3711" s="6"/>
      <c r="E3711" s="10"/>
      <c r="F3711" s="3" t="str">
        <f>IFERROR( VLOOKUP(A3711,#REF!,2,0),"")</f>
        <v/>
      </c>
      <c r="G3711" s="3">
        <f t="array" ref="G3711">_xlfn.XLOOKUP(I3711,Base_Datos!D:D,Base_Datos!B:B,"")</f>
        <v>0</v>
      </c>
      <c r="H3711" s="3" t="str">
        <f t="array" ref="H3711">IF(I3711="","",IFERROR(_xlfn.XLOOKUP(I3711,Base_Datos!$D$2:$D3876,Base_Datos!$C$2:$C3876),""))</f>
        <v/>
      </c>
      <c r="I3711" s="3"/>
      <c r="J3711" s="3" t="str">
        <f>IF(I3711="","",IFERROR(VLOOKUP(I3711,Base_Datos!$D$2:$E$72,2,0),""))</f>
        <v/>
      </c>
      <c r="K3711" s="3"/>
      <c r="L3711" s="3"/>
      <c r="M3711" s="3"/>
      <c r="N3711" s="3"/>
    </row>
    <row r="3712" spans="1:14" ht="14.25" x14ac:dyDescent="0.2">
      <c r="A3712" s="3"/>
      <c r="B3712" s="3"/>
      <c r="C3712" s="3"/>
      <c r="D3712" s="6"/>
      <c r="E3712" s="10"/>
      <c r="F3712" s="3" t="str">
        <f>IFERROR( VLOOKUP(A3712,#REF!,2,0),"")</f>
        <v/>
      </c>
      <c r="G3712" s="3">
        <f t="array" ref="G3712">_xlfn.XLOOKUP(I3712,Base_Datos!D:D,Base_Datos!B:B,"")</f>
        <v>0</v>
      </c>
      <c r="H3712" s="3" t="str">
        <f t="array" ref="H3712">IF(I3712="","",IFERROR(_xlfn.XLOOKUP(I3712,Base_Datos!$D$2:$D3876,Base_Datos!$C$2:$C3876),""))</f>
        <v/>
      </c>
      <c r="I3712" s="3"/>
      <c r="J3712" s="3" t="str">
        <f>IF(I3712="","",IFERROR(VLOOKUP(I3712,Base_Datos!$D$2:$E$72,2,0),""))</f>
        <v/>
      </c>
      <c r="K3712" s="3"/>
      <c r="L3712" s="3"/>
      <c r="M3712" s="3"/>
      <c r="N3712" s="3"/>
    </row>
    <row r="3713" spans="1:14" ht="14.25" x14ac:dyDescent="0.2">
      <c r="A3713" s="3"/>
      <c r="B3713" s="3"/>
      <c r="C3713" s="3"/>
      <c r="D3713" s="6"/>
      <c r="E3713" s="10"/>
      <c r="F3713" s="3" t="str">
        <f>IFERROR( VLOOKUP(A3713,#REF!,2,0),"")</f>
        <v/>
      </c>
      <c r="G3713" s="3">
        <f t="array" ref="G3713">_xlfn.XLOOKUP(I3713,Base_Datos!D:D,Base_Datos!B:B,"")</f>
        <v>0</v>
      </c>
      <c r="H3713" s="3" t="str">
        <f t="array" ref="H3713">IF(I3713="","",IFERROR(_xlfn.XLOOKUP(I3713,Base_Datos!$D$2:$D3876,Base_Datos!$C$2:$C3876),""))</f>
        <v/>
      </c>
      <c r="I3713" s="3"/>
      <c r="J3713" s="3" t="str">
        <f>IF(I3713="","",IFERROR(VLOOKUP(I3713,Base_Datos!$D$2:$E$72,2,0),""))</f>
        <v/>
      </c>
      <c r="K3713" s="3"/>
      <c r="L3713" s="3"/>
      <c r="M3713" s="3"/>
      <c r="N3713" s="3"/>
    </row>
    <row r="3714" spans="1:14" ht="14.25" x14ac:dyDescent="0.2">
      <c r="A3714" s="3"/>
      <c r="B3714" s="3"/>
      <c r="C3714" s="3"/>
      <c r="D3714" s="6"/>
      <c r="E3714" s="10"/>
      <c r="F3714" s="3" t="str">
        <f>IFERROR( VLOOKUP(A3714,#REF!,2,0),"")</f>
        <v/>
      </c>
      <c r="G3714" s="3">
        <f t="array" ref="G3714">_xlfn.XLOOKUP(I3714,Base_Datos!D:D,Base_Datos!B:B,"")</f>
        <v>0</v>
      </c>
      <c r="H3714" s="3" t="str">
        <f t="array" ref="H3714">IF(I3714="","",IFERROR(_xlfn.XLOOKUP(I3714,Base_Datos!$D$2:$D3876,Base_Datos!$C$2:$C3876),""))</f>
        <v/>
      </c>
      <c r="I3714" s="3"/>
      <c r="J3714" s="3" t="str">
        <f>IF(I3714="","",IFERROR(VLOOKUP(I3714,Base_Datos!$D$2:$E$72,2,0),""))</f>
        <v/>
      </c>
      <c r="K3714" s="3"/>
      <c r="L3714" s="3"/>
      <c r="M3714" s="3"/>
      <c r="N3714" s="3"/>
    </row>
    <row r="3715" spans="1:14" ht="14.25" x14ac:dyDescent="0.2">
      <c r="A3715" s="3"/>
      <c r="B3715" s="3"/>
      <c r="C3715" s="3"/>
      <c r="D3715" s="6"/>
      <c r="E3715" s="10"/>
      <c r="F3715" s="3" t="str">
        <f>IFERROR( VLOOKUP(A3715,#REF!,2,0),"")</f>
        <v/>
      </c>
      <c r="G3715" s="3">
        <f t="array" ref="G3715">_xlfn.XLOOKUP(I3715,Base_Datos!D:D,Base_Datos!B:B,"")</f>
        <v>0</v>
      </c>
      <c r="H3715" s="3" t="str">
        <f t="array" ref="H3715">IF(I3715="","",IFERROR(_xlfn.XLOOKUP(I3715,Base_Datos!$D$2:$D3876,Base_Datos!$C$2:$C3876),""))</f>
        <v/>
      </c>
      <c r="I3715" s="3"/>
      <c r="J3715" s="3" t="str">
        <f>IF(I3715="","",IFERROR(VLOOKUP(I3715,Base_Datos!$D$2:$E$72,2,0),""))</f>
        <v/>
      </c>
      <c r="K3715" s="3"/>
      <c r="L3715" s="3"/>
      <c r="M3715" s="3"/>
      <c r="N3715" s="3"/>
    </row>
    <row r="3716" spans="1:14" ht="14.25" x14ac:dyDescent="0.2">
      <c r="A3716" s="3"/>
      <c r="B3716" s="3"/>
      <c r="C3716" s="3"/>
      <c r="D3716" s="6"/>
      <c r="E3716" s="10"/>
      <c r="F3716" s="3" t="str">
        <f>IFERROR( VLOOKUP(A3716,#REF!,2,0),"")</f>
        <v/>
      </c>
      <c r="G3716" s="3">
        <f t="array" ref="G3716">_xlfn.XLOOKUP(I3716,Base_Datos!D:D,Base_Datos!B:B,"")</f>
        <v>0</v>
      </c>
      <c r="H3716" s="3" t="str">
        <f t="array" ref="H3716">IF(I3716="","",IFERROR(_xlfn.XLOOKUP(I3716,Base_Datos!$D$2:$D3876,Base_Datos!$C$2:$C3876),""))</f>
        <v/>
      </c>
      <c r="I3716" s="3"/>
      <c r="J3716" s="3" t="str">
        <f>IF(I3716="","",IFERROR(VLOOKUP(I3716,Base_Datos!$D$2:$E$72,2,0),""))</f>
        <v/>
      </c>
      <c r="K3716" s="3"/>
      <c r="L3716" s="3"/>
      <c r="M3716" s="3"/>
      <c r="N3716" s="3"/>
    </row>
    <row r="3717" spans="1:14" ht="14.25" x14ac:dyDescent="0.2">
      <c r="A3717" s="3"/>
      <c r="B3717" s="3"/>
      <c r="C3717" s="3"/>
      <c r="D3717" s="6"/>
      <c r="E3717" s="10"/>
      <c r="F3717" s="3" t="str">
        <f>IFERROR( VLOOKUP(A3717,#REF!,2,0),"")</f>
        <v/>
      </c>
      <c r="G3717" s="3">
        <f t="array" ref="G3717">_xlfn.XLOOKUP(I3717,Base_Datos!D:D,Base_Datos!B:B,"")</f>
        <v>0</v>
      </c>
      <c r="H3717" s="3" t="str">
        <f t="array" ref="H3717">IF(I3717="","",IFERROR(_xlfn.XLOOKUP(I3717,Base_Datos!$D$2:$D3876,Base_Datos!$C$2:$C3876),""))</f>
        <v/>
      </c>
      <c r="I3717" s="3"/>
      <c r="J3717" s="3" t="str">
        <f>IF(I3717="","",IFERROR(VLOOKUP(I3717,Base_Datos!$D$2:$E$72,2,0),""))</f>
        <v/>
      </c>
      <c r="K3717" s="3"/>
      <c r="L3717" s="3"/>
      <c r="M3717" s="3"/>
      <c r="N3717" s="3"/>
    </row>
    <row r="3718" spans="1:14" ht="14.25" x14ac:dyDescent="0.2">
      <c r="A3718" s="3"/>
      <c r="B3718" s="3"/>
      <c r="C3718" s="3"/>
      <c r="D3718" s="6"/>
      <c r="E3718" s="10"/>
      <c r="F3718" s="3" t="str">
        <f>IFERROR( VLOOKUP(A3718,#REF!,2,0),"")</f>
        <v/>
      </c>
      <c r="G3718" s="3">
        <f t="array" ref="G3718">_xlfn.XLOOKUP(I3718,Base_Datos!D:D,Base_Datos!B:B,"")</f>
        <v>0</v>
      </c>
      <c r="H3718" s="3" t="str">
        <f t="array" ref="H3718">IF(I3718="","",IFERROR(_xlfn.XLOOKUP(I3718,Base_Datos!$D$2:$D3876,Base_Datos!$C$2:$C3876),""))</f>
        <v/>
      </c>
      <c r="I3718" s="3"/>
      <c r="J3718" s="3" t="str">
        <f>IF(I3718="","",IFERROR(VLOOKUP(I3718,Base_Datos!$D$2:$E$72,2,0),""))</f>
        <v/>
      </c>
      <c r="K3718" s="3"/>
      <c r="L3718" s="3"/>
      <c r="M3718" s="3"/>
      <c r="N3718" s="3"/>
    </row>
    <row r="3719" spans="1:14" ht="14.25" x14ac:dyDescent="0.2">
      <c r="A3719" s="3"/>
      <c r="B3719" s="3"/>
      <c r="C3719" s="3"/>
      <c r="D3719" s="6"/>
      <c r="E3719" s="10"/>
      <c r="F3719" s="3" t="str">
        <f>IFERROR( VLOOKUP(A3719,#REF!,2,0),"")</f>
        <v/>
      </c>
      <c r="G3719" s="3">
        <f t="array" ref="G3719">_xlfn.XLOOKUP(I3719,Base_Datos!D:D,Base_Datos!B:B,"")</f>
        <v>0</v>
      </c>
      <c r="H3719" s="3" t="str">
        <f t="array" ref="H3719">IF(I3719="","",IFERROR(_xlfn.XLOOKUP(I3719,Base_Datos!$D$2:$D3876,Base_Datos!$C$2:$C3876),""))</f>
        <v/>
      </c>
      <c r="I3719" s="3"/>
      <c r="J3719" s="3" t="str">
        <f>IF(I3719="","",IFERROR(VLOOKUP(I3719,Base_Datos!$D$2:$E$72,2,0),""))</f>
        <v/>
      </c>
      <c r="K3719" s="3"/>
      <c r="L3719" s="3"/>
      <c r="M3719" s="3"/>
      <c r="N3719" s="3"/>
    </row>
    <row r="3720" spans="1:14" ht="14.25" x14ac:dyDescent="0.2">
      <c r="A3720" s="3"/>
      <c r="B3720" s="3"/>
      <c r="C3720" s="3"/>
      <c r="D3720" s="6"/>
      <c r="E3720" s="10"/>
      <c r="F3720" s="3" t="str">
        <f>IFERROR( VLOOKUP(A3720,#REF!,2,0),"")</f>
        <v/>
      </c>
      <c r="G3720" s="3">
        <f t="array" ref="G3720">_xlfn.XLOOKUP(I3720,Base_Datos!D:D,Base_Datos!B:B,"")</f>
        <v>0</v>
      </c>
      <c r="H3720" s="3" t="str">
        <f t="array" ref="H3720">IF(I3720="","",IFERROR(_xlfn.XLOOKUP(I3720,Base_Datos!$D$2:$D3876,Base_Datos!$C$2:$C3876),""))</f>
        <v/>
      </c>
      <c r="I3720" s="3"/>
      <c r="J3720" s="3" t="str">
        <f>IF(I3720="","",IFERROR(VLOOKUP(I3720,Base_Datos!$D$2:$E$72,2,0),""))</f>
        <v/>
      </c>
      <c r="K3720" s="3"/>
      <c r="L3720" s="3"/>
      <c r="M3720" s="3"/>
      <c r="N3720" s="3"/>
    </row>
    <row r="3721" spans="1:14" ht="14.25" x14ac:dyDescent="0.2">
      <c r="A3721" s="3"/>
      <c r="B3721" s="3"/>
      <c r="C3721" s="3"/>
      <c r="D3721" s="6"/>
      <c r="E3721" s="10"/>
      <c r="F3721" s="3" t="str">
        <f>IFERROR( VLOOKUP(A3721,#REF!,2,0),"")</f>
        <v/>
      </c>
      <c r="G3721" s="3">
        <f t="array" ref="G3721">_xlfn.XLOOKUP(I3721,Base_Datos!D:D,Base_Datos!B:B,"")</f>
        <v>0</v>
      </c>
      <c r="H3721" s="3" t="str">
        <f t="array" ref="H3721">IF(I3721="","",IFERROR(_xlfn.XLOOKUP(I3721,Base_Datos!$D$2:$D3876,Base_Datos!$C$2:$C3876),""))</f>
        <v/>
      </c>
      <c r="I3721" s="3"/>
      <c r="J3721" s="3" t="str">
        <f>IF(I3721="","",IFERROR(VLOOKUP(I3721,Base_Datos!$D$2:$E$72,2,0),""))</f>
        <v/>
      </c>
      <c r="K3721" s="3"/>
      <c r="L3721" s="3"/>
      <c r="M3721" s="3"/>
      <c r="N3721" s="3"/>
    </row>
    <row r="3722" spans="1:14" ht="14.25" x14ac:dyDescent="0.2">
      <c r="A3722" s="3"/>
      <c r="B3722" s="3"/>
      <c r="C3722" s="3"/>
      <c r="D3722" s="6"/>
      <c r="E3722" s="10"/>
      <c r="F3722" s="3" t="str">
        <f>IFERROR( VLOOKUP(A3722,#REF!,2,0),"")</f>
        <v/>
      </c>
      <c r="G3722" s="3">
        <f t="array" ref="G3722">_xlfn.XLOOKUP(I3722,Base_Datos!D:D,Base_Datos!B:B,"")</f>
        <v>0</v>
      </c>
      <c r="H3722" s="3" t="str">
        <f t="array" ref="H3722">IF(I3722="","",IFERROR(_xlfn.XLOOKUP(I3722,Base_Datos!$D$2:$D3876,Base_Datos!$C$2:$C3876),""))</f>
        <v/>
      </c>
      <c r="I3722" s="3"/>
      <c r="J3722" s="3" t="str">
        <f>IF(I3722="","",IFERROR(VLOOKUP(I3722,Base_Datos!$D$2:$E$72,2,0),""))</f>
        <v/>
      </c>
      <c r="K3722" s="3"/>
      <c r="L3722" s="3"/>
      <c r="M3722" s="3"/>
      <c r="N3722" s="3"/>
    </row>
    <row r="3723" spans="1:14" ht="14.25" x14ac:dyDescent="0.2">
      <c r="A3723" s="3"/>
      <c r="B3723" s="3"/>
      <c r="C3723" s="3"/>
      <c r="D3723" s="6"/>
      <c r="E3723" s="10"/>
      <c r="F3723" s="3" t="str">
        <f>IFERROR( VLOOKUP(A3723,#REF!,2,0),"")</f>
        <v/>
      </c>
      <c r="G3723" s="3">
        <f t="array" ref="G3723">_xlfn.XLOOKUP(I3723,Base_Datos!D:D,Base_Datos!B:B,"")</f>
        <v>0</v>
      </c>
      <c r="H3723" s="3" t="str">
        <f t="array" ref="H3723">IF(I3723="","",IFERROR(_xlfn.XLOOKUP(I3723,Base_Datos!$D$2:$D3876,Base_Datos!$C$2:$C3876),""))</f>
        <v/>
      </c>
      <c r="I3723" s="3"/>
      <c r="J3723" s="3" t="str">
        <f>IF(I3723="","",IFERROR(VLOOKUP(I3723,Base_Datos!$D$2:$E$72,2,0),""))</f>
        <v/>
      </c>
      <c r="K3723" s="3"/>
      <c r="L3723" s="3"/>
      <c r="M3723" s="3"/>
      <c r="N3723" s="3"/>
    </row>
    <row r="3724" spans="1:14" ht="14.25" x14ac:dyDescent="0.2">
      <c r="A3724" s="3"/>
      <c r="B3724" s="3"/>
      <c r="C3724" s="3"/>
      <c r="D3724" s="6"/>
      <c r="E3724" s="10"/>
      <c r="F3724" s="3" t="str">
        <f>IFERROR( VLOOKUP(A3724,#REF!,2,0),"")</f>
        <v/>
      </c>
      <c r="G3724" s="3">
        <f t="array" ref="G3724">_xlfn.XLOOKUP(I3724,Base_Datos!D:D,Base_Datos!B:B,"")</f>
        <v>0</v>
      </c>
      <c r="H3724" s="3" t="str">
        <f t="array" ref="H3724">IF(I3724="","",IFERROR(_xlfn.XLOOKUP(I3724,Base_Datos!$D$2:$D3876,Base_Datos!$C$2:$C3876),""))</f>
        <v/>
      </c>
      <c r="I3724" s="3"/>
      <c r="J3724" s="3" t="str">
        <f>IF(I3724="","",IFERROR(VLOOKUP(I3724,Base_Datos!$D$2:$E$72,2,0),""))</f>
        <v/>
      </c>
      <c r="K3724" s="3"/>
      <c r="L3724" s="3"/>
      <c r="M3724" s="3"/>
      <c r="N3724" s="3"/>
    </row>
    <row r="3725" spans="1:14" ht="14.25" x14ac:dyDescent="0.2">
      <c r="A3725" s="3"/>
      <c r="B3725" s="3"/>
      <c r="C3725" s="3"/>
      <c r="D3725" s="6"/>
      <c r="E3725" s="10"/>
      <c r="F3725" s="3" t="str">
        <f>IFERROR( VLOOKUP(A3725,#REF!,2,0),"")</f>
        <v/>
      </c>
      <c r="G3725" s="3">
        <f t="array" ref="G3725">_xlfn.XLOOKUP(I3725,Base_Datos!D:D,Base_Datos!B:B,"")</f>
        <v>0</v>
      </c>
      <c r="H3725" s="3" t="str">
        <f t="array" ref="H3725">IF(I3725="","",IFERROR(_xlfn.XLOOKUP(I3725,Base_Datos!$D$2:$D3876,Base_Datos!$C$2:$C3876),""))</f>
        <v/>
      </c>
      <c r="I3725" s="3"/>
      <c r="J3725" s="3" t="str">
        <f>IF(I3725="","",IFERROR(VLOOKUP(I3725,Base_Datos!$D$2:$E$72,2,0),""))</f>
        <v/>
      </c>
      <c r="K3725" s="3"/>
      <c r="L3725" s="3"/>
      <c r="M3725" s="3"/>
      <c r="N3725" s="3"/>
    </row>
    <row r="3726" spans="1:14" ht="14.25" x14ac:dyDescent="0.2">
      <c r="A3726" s="3"/>
      <c r="B3726" s="3"/>
      <c r="C3726" s="3"/>
      <c r="D3726" s="6"/>
      <c r="E3726" s="10"/>
      <c r="F3726" s="3" t="str">
        <f>IFERROR( VLOOKUP(A3726,#REF!,2,0),"")</f>
        <v/>
      </c>
      <c r="G3726" s="3">
        <f t="array" ref="G3726">_xlfn.XLOOKUP(I3726,Base_Datos!D:D,Base_Datos!B:B,"")</f>
        <v>0</v>
      </c>
      <c r="H3726" s="3" t="str">
        <f t="array" ref="H3726">IF(I3726="","",IFERROR(_xlfn.XLOOKUP(I3726,Base_Datos!$D$2:$D3876,Base_Datos!$C$2:$C3876),""))</f>
        <v/>
      </c>
      <c r="I3726" s="3"/>
      <c r="J3726" s="3" t="str">
        <f>IF(I3726="","",IFERROR(VLOOKUP(I3726,Base_Datos!$D$2:$E$72,2,0),""))</f>
        <v/>
      </c>
      <c r="K3726" s="3"/>
      <c r="L3726" s="3"/>
      <c r="M3726" s="3"/>
      <c r="N3726" s="3"/>
    </row>
    <row r="3727" spans="1:14" ht="14.25" x14ac:dyDescent="0.2">
      <c r="A3727" s="3"/>
      <c r="B3727" s="3"/>
      <c r="C3727" s="3"/>
      <c r="D3727" s="6"/>
      <c r="E3727" s="10"/>
      <c r="F3727" s="3" t="str">
        <f>IFERROR( VLOOKUP(A3727,#REF!,2,0),"")</f>
        <v/>
      </c>
      <c r="G3727" s="3">
        <f t="array" ref="G3727">_xlfn.XLOOKUP(I3727,Base_Datos!D:D,Base_Datos!B:B,"")</f>
        <v>0</v>
      </c>
      <c r="H3727" s="3" t="str">
        <f t="array" ref="H3727">IF(I3727="","",IFERROR(_xlfn.XLOOKUP(I3727,Base_Datos!$D$2:$D3876,Base_Datos!$C$2:$C3876),""))</f>
        <v/>
      </c>
      <c r="I3727" s="3"/>
      <c r="J3727" s="3" t="str">
        <f>IF(I3727="","",IFERROR(VLOOKUP(I3727,Base_Datos!$D$2:$E$72,2,0),""))</f>
        <v/>
      </c>
      <c r="K3727" s="3"/>
      <c r="L3727" s="3"/>
      <c r="M3727" s="3"/>
      <c r="N3727" s="3"/>
    </row>
    <row r="3728" spans="1:14" ht="14.25" x14ac:dyDescent="0.2">
      <c r="A3728" s="3"/>
      <c r="B3728" s="3"/>
      <c r="C3728" s="3"/>
      <c r="D3728" s="6"/>
      <c r="E3728" s="10"/>
      <c r="F3728" s="3" t="str">
        <f>IFERROR( VLOOKUP(A3728,#REF!,2,0),"")</f>
        <v/>
      </c>
      <c r="G3728" s="3">
        <f t="array" ref="G3728">_xlfn.XLOOKUP(I3728,Base_Datos!D:D,Base_Datos!B:B,"")</f>
        <v>0</v>
      </c>
      <c r="H3728" s="3" t="str">
        <f t="array" ref="H3728">IF(I3728="","",IFERROR(_xlfn.XLOOKUP(I3728,Base_Datos!$D$2:$D3876,Base_Datos!$C$2:$C3876),""))</f>
        <v/>
      </c>
      <c r="I3728" s="3"/>
      <c r="J3728" s="3" t="str">
        <f>IF(I3728="","",IFERROR(VLOOKUP(I3728,Base_Datos!$D$2:$E$72,2,0),""))</f>
        <v/>
      </c>
      <c r="K3728" s="3"/>
      <c r="L3728" s="3"/>
      <c r="M3728" s="3"/>
      <c r="N3728" s="3"/>
    </row>
    <row r="3729" spans="1:14" ht="14.25" x14ac:dyDescent="0.2">
      <c r="A3729" s="3"/>
      <c r="B3729" s="3"/>
      <c r="C3729" s="3"/>
      <c r="D3729" s="6"/>
      <c r="E3729" s="10"/>
      <c r="F3729" s="3" t="str">
        <f>IFERROR( VLOOKUP(A3729,#REF!,2,0),"")</f>
        <v/>
      </c>
      <c r="G3729" s="3">
        <f t="array" ref="G3729">_xlfn.XLOOKUP(I3729,Base_Datos!D:D,Base_Datos!B:B,"")</f>
        <v>0</v>
      </c>
      <c r="H3729" s="3" t="str">
        <f t="array" ref="H3729">IF(I3729="","",IFERROR(_xlfn.XLOOKUP(I3729,Base_Datos!$D$2:$D3876,Base_Datos!$C$2:$C3876),""))</f>
        <v/>
      </c>
      <c r="I3729" s="3"/>
      <c r="J3729" s="3" t="str">
        <f>IF(I3729="","",IFERROR(VLOOKUP(I3729,Base_Datos!$D$2:$E$72,2,0),""))</f>
        <v/>
      </c>
      <c r="K3729" s="3"/>
      <c r="L3729" s="3"/>
      <c r="M3729" s="3"/>
      <c r="N3729" s="3"/>
    </row>
    <row r="3730" spans="1:14" ht="14.25" x14ac:dyDescent="0.2">
      <c r="A3730" s="3"/>
      <c r="B3730" s="3"/>
      <c r="C3730" s="3"/>
      <c r="D3730" s="6"/>
      <c r="E3730" s="10"/>
      <c r="F3730" s="3" t="str">
        <f>IFERROR( VLOOKUP(A3730,#REF!,2,0),"")</f>
        <v/>
      </c>
      <c r="G3730" s="3">
        <f t="array" ref="G3730">_xlfn.XLOOKUP(I3730,Base_Datos!D:D,Base_Datos!B:B,"")</f>
        <v>0</v>
      </c>
      <c r="H3730" s="3" t="str">
        <f t="array" ref="H3730">IF(I3730="","",IFERROR(_xlfn.XLOOKUP(I3730,Base_Datos!$D$2:$D3876,Base_Datos!$C$2:$C3876),""))</f>
        <v/>
      </c>
      <c r="I3730" s="3"/>
      <c r="J3730" s="3" t="str">
        <f>IF(I3730="","",IFERROR(VLOOKUP(I3730,Base_Datos!$D$2:$E$72,2,0),""))</f>
        <v/>
      </c>
      <c r="K3730" s="3"/>
      <c r="L3730" s="3"/>
      <c r="M3730" s="3"/>
      <c r="N3730" s="3"/>
    </row>
    <row r="3731" spans="1:14" ht="14.25" x14ac:dyDescent="0.2">
      <c r="A3731" s="3"/>
      <c r="B3731" s="3"/>
      <c r="C3731" s="3"/>
      <c r="D3731" s="6"/>
      <c r="E3731" s="10"/>
      <c r="F3731" s="3" t="str">
        <f>IFERROR( VLOOKUP(A3731,#REF!,2,0),"")</f>
        <v/>
      </c>
      <c r="G3731" s="3">
        <f t="array" ref="G3731">_xlfn.XLOOKUP(I3731,Base_Datos!D:D,Base_Datos!B:B,"")</f>
        <v>0</v>
      </c>
      <c r="H3731" s="3" t="str">
        <f t="array" ref="H3731">IF(I3731="","",IFERROR(_xlfn.XLOOKUP(I3731,Base_Datos!$D$2:$D3876,Base_Datos!$C$2:$C3876),""))</f>
        <v/>
      </c>
      <c r="I3731" s="3"/>
      <c r="J3731" s="3" t="str">
        <f>IF(I3731="","",IFERROR(VLOOKUP(I3731,Base_Datos!$D$2:$E$72,2,0),""))</f>
        <v/>
      </c>
      <c r="K3731" s="3"/>
      <c r="L3731" s="3"/>
      <c r="M3731" s="3"/>
      <c r="N3731" s="3"/>
    </row>
    <row r="3732" spans="1:14" ht="14.25" x14ac:dyDescent="0.2">
      <c r="A3732" s="3"/>
      <c r="B3732" s="3"/>
      <c r="C3732" s="3"/>
      <c r="D3732" s="6"/>
      <c r="E3732" s="10"/>
      <c r="F3732" s="3" t="str">
        <f>IFERROR( VLOOKUP(A3732,#REF!,2,0),"")</f>
        <v/>
      </c>
      <c r="G3732" s="3">
        <f t="array" ref="G3732">_xlfn.XLOOKUP(I3732,Base_Datos!D:D,Base_Datos!B:B,"")</f>
        <v>0</v>
      </c>
      <c r="H3732" s="3" t="str">
        <f t="array" ref="H3732">IF(I3732="","",IFERROR(_xlfn.XLOOKUP(I3732,Base_Datos!$D$2:$D3876,Base_Datos!$C$2:$C3876),""))</f>
        <v/>
      </c>
      <c r="I3732" s="3"/>
      <c r="J3732" s="3" t="str">
        <f>IF(I3732="","",IFERROR(VLOOKUP(I3732,Base_Datos!$D$2:$E$72,2,0),""))</f>
        <v/>
      </c>
      <c r="K3732" s="3"/>
      <c r="L3732" s="3"/>
      <c r="M3732" s="3"/>
      <c r="N3732" s="3"/>
    </row>
    <row r="3733" spans="1:14" ht="14.25" x14ac:dyDescent="0.2">
      <c r="A3733" s="3"/>
      <c r="B3733" s="3"/>
      <c r="C3733" s="3"/>
      <c r="D3733" s="6"/>
      <c r="E3733" s="10"/>
      <c r="F3733" s="3" t="str">
        <f>IFERROR( VLOOKUP(A3733,#REF!,2,0),"")</f>
        <v/>
      </c>
      <c r="G3733" s="3">
        <f t="array" ref="G3733">_xlfn.XLOOKUP(I3733,Base_Datos!D:D,Base_Datos!B:B,"")</f>
        <v>0</v>
      </c>
      <c r="H3733" s="3" t="str">
        <f t="array" ref="H3733">IF(I3733="","",IFERROR(_xlfn.XLOOKUP(I3733,Base_Datos!$D$2:$D3876,Base_Datos!$C$2:$C3876),""))</f>
        <v/>
      </c>
      <c r="I3733" s="3"/>
      <c r="J3733" s="3" t="str">
        <f>IF(I3733="","",IFERROR(VLOOKUP(I3733,Base_Datos!$D$2:$E$72,2,0),""))</f>
        <v/>
      </c>
      <c r="K3733" s="3"/>
      <c r="L3733" s="3"/>
      <c r="M3733" s="3"/>
      <c r="N3733" s="3"/>
    </row>
    <row r="3734" spans="1:14" ht="14.25" x14ac:dyDescent="0.2">
      <c r="A3734" s="3"/>
      <c r="B3734" s="3"/>
      <c r="C3734" s="3"/>
      <c r="D3734" s="6"/>
      <c r="E3734" s="10"/>
      <c r="F3734" s="3" t="str">
        <f>IFERROR( VLOOKUP(A3734,#REF!,2,0),"")</f>
        <v/>
      </c>
      <c r="G3734" s="3">
        <f t="array" ref="G3734">_xlfn.XLOOKUP(I3734,Base_Datos!D:D,Base_Datos!B:B,"")</f>
        <v>0</v>
      </c>
      <c r="H3734" s="3" t="str">
        <f t="array" ref="H3734">IF(I3734="","",IFERROR(_xlfn.XLOOKUP(I3734,Base_Datos!$D$2:$D3876,Base_Datos!$C$2:$C3876),""))</f>
        <v/>
      </c>
      <c r="I3734" s="3"/>
      <c r="J3734" s="3" t="str">
        <f>IF(I3734="","",IFERROR(VLOOKUP(I3734,Base_Datos!$D$2:$E$72,2,0),""))</f>
        <v/>
      </c>
      <c r="K3734" s="3"/>
      <c r="L3734" s="3"/>
      <c r="M3734" s="3"/>
      <c r="N3734" s="3"/>
    </row>
    <row r="3735" spans="1:14" ht="14.25" x14ac:dyDescent="0.2">
      <c r="A3735" s="3"/>
      <c r="B3735" s="3"/>
      <c r="C3735" s="3"/>
      <c r="D3735" s="6"/>
      <c r="E3735" s="10"/>
      <c r="F3735" s="3" t="str">
        <f>IFERROR( VLOOKUP(A3735,#REF!,2,0),"")</f>
        <v/>
      </c>
      <c r="G3735" s="3">
        <f t="array" ref="G3735">_xlfn.XLOOKUP(I3735,Base_Datos!D:D,Base_Datos!B:B,"")</f>
        <v>0</v>
      </c>
      <c r="H3735" s="3" t="str">
        <f t="array" ref="H3735">IF(I3735="","",IFERROR(_xlfn.XLOOKUP(I3735,Base_Datos!$D$2:$D3876,Base_Datos!$C$2:$C3876),""))</f>
        <v/>
      </c>
      <c r="I3735" s="3"/>
      <c r="J3735" s="3" t="str">
        <f>IF(I3735="","",IFERROR(VLOOKUP(I3735,Base_Datos!$D$2:$E$72,2,0),""))</f>
        <v/>
      </c>
      <c r="K3735" s="3"/>
      <c r="L3735" s="3"/>
      <c r="M3735" s="3"/>
      <c r="N3735" s="3"/>
    </row>
    <row r="3736" spans="1:14" ht="14.25" x14ac:dyDescent="0.2">
      <c r="A3736" s="3"/>
      <c r="B3736" s="3"/>
      <c r="C3736" s="3"/>
      <c r="D3736" s="6"/>
      <c r="E3736" s="10"/>
      <c r="F3736" s="3" t="str">
        <f>IFERROR( VLOOKUP(A3736,#REF!,2,0),"")</f>
        <v/>
      </c>
      <c r="G3736" s="3">
        <f t="array" ref="G3736">_xlfn.XLOOKUP(I3736,Base_Datos!D:D,Base_Datos!B:B,"")</f>
        <v>0</v>
      </c>
      <c r="H3736" s="3" t="str">
        <f t="array" ref="H3736">IF(I3736="","",IFERROR(_xlfn.XLOOKUP(I3736,Base_Datos!$D$2:$D3876,Base_Datos!$C$2:$C3876),""))</f>
        <v/>
      </c>
      <c r="I3736" s="3"/>
      <c r="J3736" s="3" t="str">
        <f>IF(I3736="","",IFERROR(VLOOKUP(I3736,Base_Datos!$D$2:$E$72,2,0),""))</f>
        <v/>
      </c>
      <c r="K3736" s="3"/>
      <c r="L3736" s="3"/>
      <c r="M3736" s="3"/>
      <c r="N3736" s="3"/>
    </row>
    <row r="3737" spans="1:14" ht="14.25" x14ac:dyDescent="0.2">
      <c r="A3737" s="3"/>
      <c r="B3737" s="3"/>
      <c r="C3737" s="3"/>
      <c r="D3737" s="6"/>
      <c r="E3737" s="10"/>
      <c r="F3737" s="3" t="str">
        <f>IFERROR( VLOOKUP(A3737,#REF!,2,0),"")</f>
        <v/>
      </c>
      <c r="G3737" s="3">
        <f t="array" ref="G3737">_xlfn.XLOOKUP(I3737,Base_Datos!D:D,Base_Datos!B:B,"")</f>
        <v>0</v>
      </c>
      <c r="H3737" s="3" t="str">
        <f t="array" ref="H3737">IF(I3737="","",IFERROR(_xlfn.XLOOKUP(I3737,Base_Datos!$D$2:$D3876,Base_Datos!$C$2:$C3876),""))</f>
        <v/>
      </c>
      <c r="I3737" s="3"/>
      <c r="J3737" s="3" t="str">
        <f>IF(I3737="","",IFERROR(VLOOKUP(I3737,Base_Datos!$D$2:$E$72,2,0),""))</f>
        <v/>
      </c>
      <c r="K3737" s="3"/>
      <c r="L3737" s="3"/>
      <c r="M3737" s="3"/>
      <c r="N3737" s="3"/>
    </row>
    <row r="3738" spans="1:14" ht="14.25" x14ac:dyDescent="0.2">
      <c r="A3738" s="3"/>
      <c r="B3738" s="3"/>
      <c r="C3738" s="3"/>
      <c r="D3738" s="6"/>
      <c r="E3738" s="10"/>
      <c r="F3738" s="3" t="str">
        <f>IFERROR( VLOOKUP(A3738,#REF!,2,0),"")</f>
        <v/>
      </c>
      <c r="G3738" s="3">
        <f t="array" ref="G3738">_xlfn.XLOOKUP(I3738,Base_Datos!D:D,Base_Datos!B:B,"")</f>
        <v>0</v>
      </c>
      <c r="H3738" s="3" t="str">
        <f t="array" ref="H3738">IF(I3738="","",IFERROR(_xlfn.XLOOKUP(I3738,Base_Datos!$D$2:$D3876,Base_Datos!$C$2:$C3876),""))</f>
        <v/>
      </c>
      <c r="I3738" s="3"/>
      <c r="J3738" s="3" t="str">
        <f>IF(I3738="","",IFERROR(VLOOKUP(I3738,Base_Datos!$D$2:$E$72,2,0),""))</f>
        <v/>
      </c>
      <c r="K3738" s="3"/>
      <c r="L3738" s="3"/>
      <c r="M3738" s="3"/>
      <c r="N3738" s="3"/>
    </row>
    <row r="3739" spans="1:14" ht="14.25" x14ac:dyDescent="0.2">
      <c r="A3739" s="3"/>
      <c r="B3739" s="3"/>
      <c r="C3739" s="3"/>
      <c r="D3739" s="6"/>
      <c r="E3739" s="10"/>
      <c r="F3739" s="3" t="str">
        <f>IFERROR( VLOOKUP(A3739,#REF!,2,0),"")</f>
        <v/>
      </c>
      <c r="G3739" s="3">
        <f t="array" ref="G3739">_xlfn.XLOOKUP(I3739,Base_Datos!D:D,Base_Datos!B:B,"")</f>
        <v>0</v>
      </c>
      <c r="H3739" s="3" t="str">
        <f t="array" ref="H3739">IF(I3739="","",IFERROR(_xlfn.XLOOKUP(I3739,Base_Datos!$D$2:$D3876,Base_Datos!$C$2:$C3876),""))</f>
        <v/>
      </c>
      <c r="I3739" s="3"/>
      <c r="J3739" s="3" t="str">
        <f>IF(I3739="","",IFERROR(VLOOKUP(I3739,Base_Datos!$D$2:$E$72,2,0),""))</f>
        <v/>
      </c>
      <c r="K3739" s="3"/>
      <c r="L3739" s="3"/>
      <c r="M3739" s="3"/>
      <c r="N3739" s="3"/>
    </row>
    <row r="3740" spans="1:14" ht="14.25" x14ac:dyDescent="0.2">
      <c r="A3740" s="3"/>
      <c r="B3740" s="3"/>
      <c r="C3740" s="3"/>
      <c r="D3740" s="6"/>
      <c r="E3740" s="10"/>
      <c r="F3740" s="3" t="str">
        <f>IFERROR( VLOOKUP(A3740,#REF!,2,0),"")</f>
        <v/>
      </c>
      <c r="G3740" s="3">
        <f t="array" ref="G3740">_xlfn.XLOOKUP(I3740,Base_Datos!D:D,Base_Datos!B:B,"")</f>
        <v>0</v>
      </c>
      <c r="H3740" s="3" t="str">
        <f t="array" ref="H3740">IF(I3740="","",IFERROR(_xlfn.XLOOKUP(I3740,Base_Datos!$D$2:$D3876,Base_Datos!$C$2:$C3876),""))</f>
        <v/>
      </c>
      <c r="I3740" s="3"/>
      <c r="J3740" s="3" t="str">
        <f>IF(I3740="","",IFERROR(VLOOKUP(I3740,Base_Datos!$D$2:$E$72,2,0),""))</f>
        <v/>
      </c>
      <c r="K3740" s="3"/>
      <c r="L3740" s="3"/>
      <c r="M3740" s="3"/>
      <c r="N3740" s="3"/>
    </row>
    <row r="3741" spans="1:14" ht="14.25" x14ac:dyDescent="0.2">
      <c r="A3741" s="3"/>
      <c r="B3741" s="3"/>
      <c r="C3741" s="3"/>
      <c r="D3741" s="6"/>
      <c r="E3741" s="10"/>
      <c r="F3741" s="3" t="str">
        <f>IFERROR( VLOOKUP(A3741,#REF!,2,0),"")</f>
        <v/>
      </c>
      <c r="G3741" s="3">
        <f t="array" ref="G3741">_xlfn.XLOOKUP(I3741,Base_Datos!D:D,Base_Datos!B:B,"")</f>
        <v>0</v>
      </c>
      <c r="H3741" s="3" t="str">
        <f t="array" ref="H3741">IF(I3741="","",IFERROR(_xlfn.XLOOKUP(I3741,Base_Datos!$D$2:$D3876,Base_Datos!$C$2:$C3876),""))</f>
        <v/>
      </c>
      <c r="I3741" s="3"/>
      <c r="J3741" s="3" t="str">
        <f>IF(I3741="","",IFERROR(VLOOKUP(I3741,Base_Datos!$D$2:$E$72,2,0),""))</f>
        <v/>
      </c>
      <c r="K3741" s="3"/>
      <c r="L3741" s="3"/>
      <c r="M3741" s="3"/>
      <c r="N3741" s="3"/>
    </row>
    <row r="3742" spans="1:14" ht="14.25" x14ac:dyDescent="0.2">
      <c r="A3742" s="3"/>
      <c r="B3742" s="3"/>
      <c r="C3742" s="3"/>
      <c r="D3742" s="6"/>
      <c r="E3742" s="10"/>
      <c r="F3742" s="3" t="str">
        <f>IFERROR( VLOOKUP(A3742,#REF!,2,0),"")</f>
        <v/>
      </c>
      <c r="G3742" s="3">
        <f t="array" ref="G3742">_xlfn.XLOOKUP(I3742,Base_Datos!D:D,Base_Datos!B:B,"")</f>
        <v>0</v>
      </c>
      <c r="H3742" s="3" t="str">
        <f t="array" ref="H3742">IF(I3742="","",IFERROR(_xlfn.XLOOKUP(I3742,Base_Datos!$D$2:$D3876,Base_Datos!$C$2:$C3876),""))</f>
        <v/>
      </c>
      <c r="I3742" s="3"/>
      <c r="J3742" s="3" t="str">
        <f>IF(I3742="","",IFERROR(VLOOKUP(I3742,Base_Datos!$D$2:$E$72,2,0),""))</f>
        <v/>
      </c>
      <c r="K3742" s="3"/>
      <c r="L3742" s="3"/>
      <c r="M3742" s="3"/>
      <c r="N3742" s="3"/>
    </row>
    <row r="3743" spans="1:14" ht="14.25" x14ac:dyDescent="0.2">
      <c r="A3743" s="3"/>
      <c r="B3743" s="3"/>
      <c r="C3743" s="3"/>
      <c r="D3743" s="6"/>
      <c r="E3743" s="10"/>
      <c r="F3743" s="3" t="str">
        <f>IFERROR( VLOOKUP(A3743,#REF!,2,0),"")</f>
        <v/>
      </c>
      <c r="G3743" s="3">
        <f t="array" ref="G3743">_xlfn.XLOOKUP(I3743,Base_Datos!D:D,Base_Datos!B:B,"")</f>
        <v>0</v>
      </c>
      <c r="H3743" s="3" t="str">
        <f t="array" ref="H3743">IF(I3743="","",IFERROR(_xlfn.XLOOKUP(I3743,Base_Datos!$D$2:$D3876,Base_Datos!$C$2:$C3876),""))</f>
        <v/>
      </c>
      <c r="I3743" s="3"/>
      <c r="J3743" s="3" t="str">
        <f>IF(I3743="","",IFERROR(VLOOKUP(I3743,Base_Datos!$D$2:$E$72,2,0),""))</f>
        <v/>
      </c>
      <c r="K3743" s="3"/>
      <c r="L3743" s="3"/>
      <c r="M3743" s="3"/>
      <c r="N3743" s="3"/>
    </row>
    <row r="3744" spans="1:14" ht="14.25" x14ac:dyDescent="0.2">
      <c r="A3744" s="3"/>
      <c r="B3744" s="3"/>
      <c r="C3744" s="3"/>
      <c r="D3744" s="6"/>
      <c r="E3744" s="10"/>
      <c r="F3744" s="3" t="str">
        <f>IFERROR( VLOOKUP(A3744,#REF!,2,0),"")</f>
        <v/>
      </c>
      <c r="G3744" s="3">
        <f t="array" ref="G3744">_xlfn.XLOOKUP(I3744,Base_Datos!D:D,Base_Datos!B:B,"")</f>
        <v>0</v>
      </c>
      <c r="H3744" s="3" t="str">
        <f t="array" ref="H3744">IF(I3744="","",IFERROR(_xlfn.XLOOKUP(I3744,Base_Datos!$D$2:$D3876,Base_Datos!$C$2:$C3876),""))</f>
        <v/>
      </c>
      <c r="I3744" s="3"/>
      <c r="J3744" s="3" t="str">
        <f>IF(I3744="","",IFERROR(VLOOKUP(I3744,Base_Datos!$D$2:$E$72,2,0),""))</f>
        <v/>
      </c>
      <c r="K3744" s="3"/>
      <c r="L3744" s="3"/>
      <c r="M3744" s="3"/>
      <c r="N3744" s="3"/>
    </row>
    <row r="3745" spans="1:14" ht="14.25" x14ac:dyDescent="0.2">
      <c r="A3745" s="3"/>
      <c r="B3745" s="3"/>
      <c r="C3745" s="3"/>
      <c r="D3745" s="6"/>
      <c r="E3745" s="10"/>
      <c r="F3745" s="3" t="str">
        <f>IFERROR( VLOOKUP(A3745,#REF!,2,0),"")</f>
        <v/>
      </c>
      <c r="G3745" s="3">
        <f t="array" ref="G3745">_xlfn.XLOOKUP(I3745,Base_Datos!D:D,Base_Datos!B:B,"")</f>
        <v>0</v>
      </c>
      <c r="H3745" s="3" t="str">
        <f t="array" ref="H3745">IF(I3745="","",IFERROR(_xlfn.XLOOKUP(I3745,Base_Datos!$D$2:$D3876,Base_Datos!$C$2:$C3876),""))</f>
        <v/>
      </c>
      <c r="I3745" s="3"/>
      <c r="J3745" s="3" t="str">
        <f>IF(I3745="","",IFERROR(VLOOKUP(I3745,Base_Datos!$D$2:$E$72,2,0),""))</f>
        <v/>
      </c>
      <c r="K3745" s="3"/>
      <c r="L3745" s="3"/>
      <c r="M3745" s="3"/>
      <c r="N3745" s="3"/>
    </row>
    <row r="3746" spans="1:14" ht="14.25" x14ac:dyDescent="0.2">
      <c r="A3746" s="3"/>
      <c r="B3746" s="3"/>
      <c r="C3746" s="3"/>
      <c r="D3746" s="6"/>
      <c r="E3746" s="10"/>
      <c r="F3746" s="3" t="str">
        <f>IFERROR( VLOOKUP(A3746,#REF!,2,0),"")</f>
        <v/>
      </c>
      <c r="G3746" s="3">
        <f t="array" ref="G3746">_xlfn.XLOOKUP(I3746,Base_Datos!D:D,Base_Datos!B:B,"")</f>
        <v>0</v>
      </c>
      <c r="H3746" s="3" t="str">
        <f t="array" ref="H3746">IF(I3746="","",IFERROR(_xlfn.XLOOKUP(I3746,Base_Datos!$D$2:$D3876,Base_Datos!$C$2:$C3876),""))</f>
        <v/>
      </c>
      <c r="I3746" s="3"/>
      <c r="J3746" s="3" t="str">
        <f>IF(I3746="","",IFERROR(VLOOKUP(I3746,Base_Datos!$D$2:$E$72,2,0),""))</f>
        <v/>
      </c>
      <c r="K3746" s="3"/>
      <c r="L3746" s="3"/>
      <c r="M3746" s="3"/>
      <c r="N3746" s="3"/>
    </row>
    <row r="3747" spans="1:14" ht="14.25" x14ac:dyDescent="0.2">
      <c r="A3747" s="3"/>
      <c r="B3747" s="3"/>
      <c r="C3747" s="3"/>
      <c r="D3747" s="6"/>
      <c r="E3747" s="10"/>
      <c r="F3747" s="3" t="str">
        <f>IFERROR( VLOOKUP(A3747,#REF!,2,0),"")</f>
        <v/>
      </c>
      <c r="G3747" s="3">
        <f t="array" ref="G3747">_xlfn.XLOOKUP(I3747,Base_Datos!D:D,Base_Datos!B:B,"")</f>
        <v>0</v>
      </c>
      <c r="H3747" s="3" t="str">
        <f t="array" ref="H3747">IF(I3747="","",IFERROR(_xlfn.XLOOKUP(I3747,Base_Datos!$D$2:$D3876,Base_Datos!$C$2:$C3876),""))</f>
        <v/>
      </c>
      <c r="I3747" s="3"/>
      <c r="J3747" s="3" t="str">
        <f>IF(I3747="","",IFERROR(VLOOKUP(I3747,Base_Datos!$D$2:$E$72,2,0),""))</f>
        <v/>
      </c>
      <c r="K3747" s="3"/>
      <c r="L3747" s="3"/>
      <c r="M3747" s="3"/>
      <c r="N3747" s="3"/>
    </row>
    <row r="3748" spans="1:14" ht="14.25" x14ac:dyDescent="0.2">
      <c r="A3748" s="3"/>
      <c r="B3748" s="3"/>
      <c r="C3748" s="3"/>
      <c r="D3748" s="6"/>
      <c r="E3748" s="10"/>
      <c r="F3748" s="3" t="str">
        <f>IFERROR( VLOOKUP(A3748,#REF!,2,0),"")</f>
        <v/>
      </c>
      <c r="G3748" s="3">
        <f t="array" ref="G3748">_xlfn.XLOOKUP(I3748,Base_Datos!D:D,Base_Datos!B:B,"")</f>
        <v>0</v>
      </c>
      <c r="H3748" s="3" t="str">
        <f t="array" ref="H3748">IF(I3748="","",IFERROR(_xlfn.XLOOKUP(I3748,Base_Datos!$D$2:$D3876,Base_Datos!$C$2:$C3876),""))</f>
        <v/>
      </c>
      <c r="I3748" s="3"/>
      <c r="J3748" s="3" t="str">
        <f>IF(I3748="","",IFERROR(VLOOKUP(I3748,Base_Datos!$D$2:$E$72,2,0),""))</f>
        <v/>
      </c>
      <c r="K3748" s="3"/>
      <c r="L3748" s="3"/>
      <c r="M3748" s="3"/>
      <c r="N3748" s="3"/>
    </row>
    <row r="3749" spans="1:14" ht="14.25" x14ac:dyDescent="0.2">
      <c r="A3749" s="3"/>
      <c r="B3749" s="3"/>
      <c r="C3749" s="3"/>
      <c r="D3749" s="6"/>
      <c r="E3749" s="10"/>
      <c r="F3749" s="3" t="str">
        <f>IFERROR( VLOOKUP(A3749,#REF!,2,0),"")</f>
        <v/>
      </c>
      <c r="G3749" s="3">
        <f t="array" ref="G3749">_xlfn.XLOOKUP(I3749,Base_Datos!D:D,Base_Datos!B:B,"")</f>
        <v>0</v>
      </c>
      <c r="H3749" s="3" t="str">
        <f t="array" ref="H3749">IF(I3749="","",IFERROR(_xlfn.XLOOKUP(I3749,Base_Datos!$D$2:$D3876,Base_Datos!$C$2:$C3876),""))</f>
        <v/>
      </c>
      <c r="I3749" s="3"/>
      <c r="J3749" s="3" t="str">
        <f>IF(I3749="","",IFERROR(VLOOKUP(I3749,Base_Datos!$D$2:$E$72,2,0),""))</f>
        <v/>
      </c>
      <c r="K3749" s="3"/>
      <c r="L3749" s="3"/>
      <c r="M3749" s="3"/>
      <c r="N3749" s="3"/>
    </row>
    <row r="3750" spans="1:14" ht="14.25" x14ac:dyDescent="0.2">
      <c r="A3750" s="3"/>
      <c r="B3750" s="3"/>
      <c r="C3750" s="3"/>
      <c r="D3750" s="6"/>
      <c r="E3750" s="10"/>
      <c r="F3750" s="3" t="str">
        <f>IFERROR( VLOOKUP(A3750,#REF!,2,0),"")</f>
        <v/>
      </c>
      <c r="G3750" s="3">
        <f t="array" ref="G3750">_xlfn.XLOOKUP(I3750,Base_Datos!D:D,Base_Datos!B:B,"")</f>
        <v>0</v>
      </c>
      <c r="H3750" s="3" t="str">
        <f t="array" ref="H3750">IF(I3750="","",IFERROR(_xlfn.XLOOKUP(I3750,Base_Datos!$D$2:$D3876,Base_Datos!$C$2:$C3876),""))</f>
        <v/>
      </c>
      <c r="I3750" s="3"/>
      <c r="J3750" s="3" t="str">
        <f>IF(I3750="","",IFERROR(VLOOKUP(I3750,Base_Datos!$D$2:$E$72,2,0),""))</f>
        <v/>
      </c>
      <c r="K3750" s="3"/>
      <c r="L3750" s="3"/>
      <c r="M3750" s="3"/>
      <c r="N3750" s="3"/>
    </row>
    <row r="3751" spans="1:14" ht="14.25" x14ac:dyDescent="0.2">
      <c r="A3751" s="3"/>
      <c r="B3751" s="3"/>
      <c r="C3751" s="3"/>
      <c r="D3751" s="6"/>
      <c r="E3751" s="10"/>
      <c r="F3751" s="3" t="str">
        <f>IFERROR( VLOOKUP(A3751,#REF!,2,0),"")</f>
        <v/>
      </c>
      <c r="G3751" s="3">
        <f t="array" ref="G3751">_xlfn.XLOOKUP(I3751,Base_Datos!D:D,Base_Datos!B:B,"")</f>
        <v>0</v>
      </c>
      <c r="H3751" s="3" t="str">
        <f t="array" ref="H3751">IF(I3751="","",IFERROR(_xlfn.XLOOKUP(I3751,Base_Datos!$D$2:$D3876,Base_Datos!$C$2:$C3876),""))</f>
        <v/>
      </c>
      <c r="I3751" s="3"/>
      <c r="J3751" s="3" t="str">
        <f>IF(I3751="","",IFERROR(VLOOKUP(I3751,Base_Datos!$D$2:$E$72,2,0),""))</f>
        <v/>
      </c>
      <c r="K3751" s="3"/>
      <c r="L3751" s="3"/>
      <c r="M3751" s="3"/>
      <c r="N3751" s="3"/>
    </row>
    <row r="3752" spans="1:14" ht="14.25" x14ac:dyDescent="0.2">
      <c r="A3752" s="3"/>
      <c r="B3752" s="3"/>
      <c r="C3752" s="3"/>
      <c r="D3752" s="6"/>
      <c r="E3752" s="10"/>
      <c r="F3752" s="3" t="str">
        <f>IFERROR( VLOOKUP(A3752,#REF!,2,0),"")</f>
        <v/>
      </c>
      <c r="G3752" s="3">
        <f t="array" ref="G3752">_xlfn.XLOOKUP(I3752,Base_Datos!D:D,Base_Datos!B:B,"")</f>
        <v>0</v>
      </c>
      <c r="H3752" s="3" t="str">
        <f t="array" ref="H3752">IF(I3752="","",IFERROR(_xlfn.XLOOKUP(I3752,Base_Datos!$D$2:$D3876,Base_Datos!$C$2:$C3876),""))</f>
        <v/>
      </c>
      <c r="I3752" s="3"/>
      <c r="J3752" s="3" t="str">
        <f>IF(I3752="","",IFERROR(VLOOKUP(I3752,Base_Datos!$D$2:$E$72,2,0),""))</f>
        <v/>
      </c>
      <c r="K3752" s="3"/>
      <c r="L3752" s="3"/>
      <c r="M3752" s="3"/>
      <c r="N3752" s="3"/>
    </row>
    <row r="3753" spans="1:14" ht="14.25" x14ac:dyDescent="0.2">
      <c r="A3753" s="3"/>
      <c r="B3753" s="3"/>
      <c r="C3753" s="3"/>
      <c r="D3753" s="6"/>
      <c r="E3753" s="10"/>
      <c r="F3753" s="3" t="str">
        <f>IFERROR( VLOOKUP(A3753,#REF!,2,0),"")</f>
        <v/>
      </c>
      <c r="G3753" s="3">
        <f t="array" ref="G3753">_xlfn.XLOOKUP(I3753,Base_Datos!D:D,Base_Datos!B:B,"")</f>
        <v>0</v>
      </c>
      <c r="H3753" s="3" t="str">
        <f t="array" ref="H3753">IF(I3753="","",IFERROR(_xlfn.XLOOKUP(I3753,Base_Datos!$D$2:$D3876,Base_Datos!$C$2:$C3876),""))</f>
        <v/>
      </c>
      <c r="I3753" s="3"/>
      <c r="J3753" s="3" t="str">
        <f>IF(I3753="","",IFERROR(VLOOKUP(I3753,Base_Datos!$D$2:$E$72,2,0),""))</f>
        <v/>
      </c>
      <c r="K3753" s="3"/>
      <c r="L3753" s="3"/>
      <c r="M3753" s="3"/>
      <c r="N3753" s="3"/>
    </row>
    <row r="3754" spans="1:14" ht="14.25" x14ac:dyDescent="0.2">
      <c r="A3754" s="3"/>
      <c r="B3754" s="3"/>
      <c r="C3754" s="3"/>
      <c r="D3754" s="6"/>
      <c r="E3754" s="10"/>
      <c r="F3754" s="3" t="str">
        <f>IFERROR( VLOOKUP(A3754,#REF!,2,0),"")</f>
        <v/>
      </c>
      <c r="G3754" s="3">
        <f t="array" ref="G3754">_xlfn.XLOOKUP(I3754,Base_Datos!D:D,Base_Datos!B:B,"")</f>
        <v>0</v>
      </c>
      <c r="H3754" s="3" t="str">
        <f t="array" ref="H3754">IF(I3754="","",IFERROR(_xlfn.XLOOKUP(I3754,Base_Datos!$D$2:$D3876,Base_Datos!$C$2:$C3876),""))</f>
        <v/>
      </c>
      <c r="I3754" s="3"/>
      <c r="J3754" s="3" t="str">
        <f>IF(I3754="","",IFERROR(VLOOKUP(I3754,Base_Datos!$D$2:$E$72,2,0),""))</f>
        <v/>
      </c>
      <c r="K3754" s="3"/>
      <c r="L3754" s="3"/>
      <c r="M3754" s="3"/>
      <c r="N3754" s="3"/>
    </row>
    <row r="3755" spans="1:14" ht="14.25" x14ac:dyDescent="0.2">
      <c r="A3755" s="3"/>
      <c r="B3755" s="3"/>
      <c r="C3755" s="3"/>
      <c r="D3755" s="6"/>
      <c r="E3755" s="10"/>
      <c r="F3755" s="3" t="str">
        <f>IFERROR( VLOOKUP(A3755,#REF!,2,0),"")</f>
        <v/>
      </c>
      <c r="G3755" s="3">
        <f t="array" ref="G3755">_xlfn.XLOOKUP(I3755,Base_Datos!D:D,Base_Datos!B:B,"")</f>
        <v>0</v>
      </c>
      <c r="H3755" s="3" t="str">
        <f t="array" ref="H3755">IF(I3755="","",IFERROR(_xlfn.XLOOKUP(I3755,Base_Datos!$D$2:$D3876,Base_Datos!$C$2:$C3876),""))</f>
        <v/>
      </c>
      <c r="I3755" s="3"/>
      <c r="J3755" s="3" t="str">
        <f>IF(I3755="","",IFERROR(VLOOKUP(I3755,Base_Datos!$D$2:$E$72,2,0),""))</f>
        <v/>
      </c>
      <c r="K3755" s="3"/>
      <c r="L3755" s="3"/>
      <c r="M3755" s="3"/>
      <c r="N3755" s="3"/>
    </row>
    <row r="3756" spans="1:14" ht="14.25" x14ac:dyDescent="0.2">
      <c r="A3756" s="3"/>
      <c r="B3756" s="3"/>
      <c r="C3756" s="3"/>
      <c r="D3756" s="6"/>
      <c r="E3756" s="10"/>
      <c r="F3756" s="3" t="str">
        <f>IFERROR( VLOOKUP(A3756,#REF!,2,0),"")</f>
        <v/>
      </c>
      <c r="G3756" s="3">
        <f t="array" ref="G3756">_xlfn.XLOOKUP(I3756,Base_Datos!D:D,Base_Datos!B:B,"")</f>
        <v>0</v>
      </c>
      <c r="H3756" s="3" t="str">
        <f t="array" ref="H3756">IF(I3756="","",IFERROR(_xlfn.XLOOKUP(I3756,Base_Datos!$D$2:$D3876,Base_Datos!$C$2:$C3876),""))</f>
        <v/>
      </c>
      <c r="I3756" s="3"/>
      <c r="J3756" s="3" t="str">
        <f>IF(I3756="","",IFERROR(VLOOKUP(I3756,Base_Datos!$D$2:$E$72,2,0),""))</f>
        <v/>
      </c>
      <c r="K3756" s="3"/>
      <c r="L3756" s="3"/>
      <c r="M3756" s="3"/>
      <c r="N3756" s="3"/>
    </row>
    <row r="3757" spans="1:14" ht="14.25" x14ac:dyDescent="0.2">
      <c r="A3757" s="3"/>
      <c r="B3757" s="3"/>
      <c r="C3757" s="3"/>
      <c r="D3757" s="6"/>
      <c r="E3757" s="10"/>
      <c r="F3757" s="3" t="str">
        <f>IFERROR( VLOOKUP(A3757,#REF!,2,0),"")</f>
        <v/>
      </c>
      <c r="G3757" s="3">
        <f t="array" ref="G3757">_xlfn.XLOOKUP(I3757,Base_Datos!D:D,Base_Datos!B:B,"")</f>
        <v>0</v>
      </c>
      <c r="H3757" s="3" t="str">
        <f t="array" ref="H3757">IF(I3757="","",IFERROR(_xlfn.XLOOKUP(I3757,Base_Datos!$D$2:$D3876,Base_Datos!$C$2:$C3876),""))</f>
        <v/>
      </c>
      <c r="I3757" s="3"/>
      <c r="J3757" s="3" t="str">
        <f>IF(I3757="","",IFERROR(VLOOKUP(I3757,Base_Datos!$D$2:$E$72,2,0),""))</f>
        <v/>
      </c>
      <c r="K3757" s="3"/>
      <c r="L3757" s="3"/>
      <c r="M3757" s="3"/>
      <c r="N3757" s="3"/>
    </row>
    <row r="3758" spans="1:14" ht="14.25" x14ac:dyDescent="0.2">
      <c r="A3758" s="3"/>
      <c r="B3758" s="3"/>
      <c r="C3758" s="3"/>
      <c r="D3758" s="6"/>
      <c r="E3758" s="10"/>
      <c r="F3758" s="3" t="str">
        <f>IFERROR( VLOOKUP(A3758,#REF!,2,0),"")</f>
        <v/>
      </c>
      <c r="G3758" s="3">
        <f t="array" ref="G3758">_xlfn.XLOOKUP(I3758,Base_Datos!D:D,Base_Datos!B:B,"")</f>
        <v>0</v>
      </c>
      <c r="H3758" s="3" t="str">
        <f t="array" ref="H3758">IF(I3758="","",IFERROR(_xlfn.XLOOKUP(I3758,Base_Datos!$D$2:$D3876,Base_Datos!$C$2:$C3876),""))</f>
        <v/>
      </c>
      <c r="I3758" s="3"/>
      <c r="J3758" s="3" t="str">
        <f>IF(I3758="","",IFERROR(VLOOKUP(I3758,Base_Datos!$D$2:$E$72,2,0),""))</f>
        <v/>
      </c>
      <c r="K3758" s="3"/>
      <c r="L3758" s="3"/>
      <c r="M3758" s="3"/>
      <c r="N3758" s="3"/>
    </row>
    <row r="3759" spans="1:14" ht="14.25" x14ac:dyDescent="0.2">
      <c r="A3759" s="3"/>
      <c r="B3759" s="3"/>
      <c r="C3759" s="3"/>
      <c r="D3759" s="6"/>
      <c r="E3759" s="10"/>
      <c r="F3759" s="3" t="str">
        <f>IFERROR( VLOOKUP(A3759,#REF!,2,0),"")</f>
        <v/>
      </c>
      <c r="G3759" s="3">
        <f t="array" ref="G3759">_xlfn.XLOOKUP(I3759,Base_Datos!D:D,Base_Datos!B:B,"")</f>
        <v>0</v>
      </c>
      <c r="H3759" s="3" t="str">
        <f t="array" ref="H3759">IF(I3759="","",IFERROR(_xlfn.XLOOKUP(I3759,Base_Datos!$D$2:$D3876,Base_Datos!$C$2:$C3876),""))</f>
        <v/>
      </c>
      <c r="I3759" s="3"/>
      <c r="J3759" s="3" t="str">
        <f>IF(I3759="","",IFERROR(VLOOKUP(I3759,Base_Datos!$D$2:$E$72,2,0),""))</f>
        <v/>
      </c>
      <c r="K3759" s="3"/>
      <c r="L3759" s="3"/>
      <c r="M3759" s="3"/>
      <c r="N3759" s="3"/>
    </row>
    <row r="3760" spans="1:14" ht="14.25" x14ac:dyDescent="0.2">
      <c r="A3760" s="3"/>
      <c r="B3760" s="3"/>
      <c r="C3760" s="3"/>
      <c r="D3760" s="6"/>
      <c r="E3760" s="10"/>
      <c r="F3760" s="3" t="str">
        <f>IFERROR( VLOOKUP(A3760,#REF!,2,0),"")</f>
        <v/>
      </c>
      <c r="G3760" s="3">
        <f t="array" ref="G3760">_xlfn.XLOOKUP(I3760,Base_Datos!D:D,Base_Datos!B:B,"")</f>
        <v>0</v>
      </c>
      <c r="H3760" s="3" t="str">
        <f t="array" ref="H3760">IF(I3760="","",IFERROR(_xlfn.XLOOKUP(I3760,Base_Datos!$D$2:$D3876,Base_Datos!$C$2:$C3876),""))</f>
        <v/>
      </c>
      <c r="I3760" s="3"/>
      <c r="J3760" s="3" t="str">
        <f>IF(I3760="","",IFERROR(VLOOKUP(I3760,Base_Datos!$D$2:$E$72,2,0),""))</f>
        <v/>
      </c>
      <c r="K3760" s="3"/>
      <c r="L3760" s="3"/>
      <c r="M3760" s="3"/>
      <c r="N3760" s="3"/>
    </row>
    <row r="3761" spans="1:14" ht="14.25" x14ac:dyDescent="0.2">
      <c r="A3761" s="3"/>
      <c r="B3761" s="3"/>
      <c r="C3761" s="3"/>
      <c r="D3761" s="6"/>
      <c r="E3761" s="10"/>
      <c r="F3761" s="3" t="str">
        <f>IFERROR( VLOOKUP(A3761,#REF!,2,0),"")</f>
        <v/>
      </c>
      <c r="G3761" s="3">
        <f t="array" ref="G3761">_xlfn.XLOOKUP(I3761,Base_Datos!D:D,Base_Datos!B:B,"")</f>
        <v>0</v>
      </c>
      <c r="H3761" s="3" t="str">
        <f t="array" ref="H3761">IF(I3761="","",IFERROR(_xlfn.XLOOKUP(I3761,Base_Datos!$D$2:$D3876,Base_Datos!$C$2:$C3876),""))</f>
        <v/>
      </c>
      <c r="I3761" s="3"/>
      <c r="J3761" s="3" t="str">
        <f>IF(I3761="","",IFERROR(VLOOKUP(I3761,Base_Datos!$D$2:$E$72,2,0),""))</f>
        <v/>
      </c>
      <c r="K3761" s="3"/>
      <c r="L3761" s="3"/>
      <c r="M3761" s="3"/>
      <c r="N3761" s="3"/>
    </row>
    <row r="3762" spans="1:14" ht="14.25" x14ac:dyDescent="0.2">
      <c r="A3762" s="3"/>
      <c r="B3762" s="3"/>
      <c r="C3762" s="3"/>
      <c r="D3762" s="6"/>
      <c r="E3762" s="10"/>
      <c r="F3762" s="3" t="str">
        <f>IFERROR( VLOOKUP(A3762,#REF!,2,0),"")</f>
        <v/>
      </c>
      <c r="G3762" s="3">
        <f t="array" ref="G3762">_xlfn.XLOOKUP(I3762,Base_Datos!D:D,Base_Datos!B:B,"")</f>
        <v>0</v>
      </c>
      <c r="H3762" s="3" t="str">
        <f t="array" ref="H3762">IF(I3762="","",IFERROR(_xlfn.XLOOKUP(I3762,Base_Datos!$D$2:$D3876,Base_Datos!$C$2:$C3876),""))</f>
        <v/>
      </c>
      <c r="I3762" s="3"/>
      <c r="J3762" s="3" t="str">
        <f>IF(I3762="","",IFERROR(VLOOKUP(I3762,Base_Datos!$D$2:$E$72,2,0),""))</f>
        <v/>
      </c>
      <c r="K3762" s="3"/>
      <c r="L3762" s="3"/>
      <c r="M3762" s="3"/>
      <c r="N3762" s="3"/>
    </row>
    <row r="3763" spans="1:14" ht="14.25" x14ac:dyDescent="0.2">
      <c r="A3763" s="3"/>
      <c r="B3763" s="3"/>
      <c r="C3763" s="3"/>
      <c r="D3763" s="6"/>
      <c r="E3763" s="10"/>
      <c r="F3763" s="3" t="str">
        <f>IFERROR( VLOOKUP(A3763,#REF!,2,0),"")</f>
        <v/>
      </c>
      <c r="G3763" s="3">
        <f t="array" ref="G3763">_xlfn.XLOOKUP(I3763,Base_Datos!D:D,Base_Datos!B:B,"")</f>
        <v>0</v>
      </c>
      <c r="H3763" s="3" t="str">
        <f t="array" ref="H3763">IF(I3763="","",IFERROR(_xlfn.XLOOKUP(I3763,Base_Datos!$D$2:$D3876,Base_Datos!$C$2:$C3876),""))</f>
        <v/>
      </c>
      <c r="I3763" s="3"/>
      <c r="J3763" s="3" t="str">
        <f>IF(I3763="","",IFERROR(VLOOKUP(I3763,Base_Datos!$D$2:$E$72,2,0),""))</f>
        <v/>
      </c>
      <c r="K3763" s="3"/>
      <c r="L3763" s="3"/>
      <c r="M3763" s="3"/>
      <c r="N3763" s="3"/>
    </row>
    <row r="3764" spans="1:14" ht="14.25" x14ac:dyDescent="0.2">
      <c r="A3764" s="3"/>
      <c r="B3764" s="3"/>
      <c r="C3764" s="3"/>
      <c r="D3764" s="6"/>
      <c r="E3764" s="10"/>
      <c r="F3764" s="3" t="str">
        <f>IFERROR( VLOOKUP(A3764,#REF!,2,0),"")</f>
        <v/>
      </c>
      <c r="G3764" s="3">
        <f t="array" ref="G3764">_xlfn.XLOOKUP(I3764,Base_Datos!D:D,Base_Datos!B:B,"")</f>
        <v>0</v>
      </c>
      <c r="H3764" s="3" t="str">
        <f t="array" ref="H3764">IF(I3764="","",IFERROR(_xlfn.XLOOKUP(I3764,Base_Datos!$D$2:$D3876,Base_Datos!$C$2:$C3876),""))</f>
        <v/>
      </c>
      <c r="I3764" s="3"/>
      <c r="J3764" s="3" t="str">
        <f>IF(I3764="","",IFERROR(VLOOKUP(I3764,Base_Datos!$D$2:$E$72,2,0),""))</f>
        <v/>
      </c>
      <c r="K3764" s="3"/>
      <c r="L3764" s="3"/>
      <c r="M3764" s="3"/>
      <c r="N3764" s="3"/>
    </row>
    <row r="3765" spans="1:14" ht="14.25" x14ac:dyDescent="0.2">
      <c r="A3765" s="3"/>
      <c r="B3765" s="3"/>
      <c r="C3765" s="3"/>
      <c r="D3765" s="6"/>
      <c r="E3765" s="10"/>
      <c r="F3765" s="3" t="str">
        <f>IFERROR( VLOOKUP(A3765,#REF!,2,0),"")</f>
        <v/>
      </c>
      <c r="G3765" s="3">
        <f t="array" ref="G3765">_xlfn.XLOOKUP(I3765,Base_Datos!D:D,Base_Datos!B:B,"")</f>
        <v>0</v>
      </c>
      <c r="H3765" s="3" t="str">
        <f t="array" ref="H3765">IF(I3765="","",IFERROR(_xlfn.XLOOKUP(I3765,Base_Datos!$D$2:$D3876,Base_Datos!$C$2:$C3876),""))</f>
        <v/>
      </c>
      <c r="I3765" s="3"/>
      <c r="J3765" s="3" t="str">
        <f>IF(I3765="","",IFERROR(VLOOKUP(I3765,Base_Datos!$D$2:$E$72,2,0),""))</f>
        <v/>
      </c>
      <c r="K3765" s="3"/>
      <c r="L3765" s="3"/>
      <c r="M3765" s="3"/>
      <c r="N3765" s="3"/>
    </row>
    <row r="3766" spans="1:14" ht="14.25" x14ac:dyDescent="0.2">
      <c r="A3766" s="3"/>
      <c r="B3766" s="3"/>
      <c r="C3766" s="3"/>
      <c r="D3766" s="6"/>
      <c r="E3766" s="10"/>
      <c r="F3766" s="3" t="str">
        <f>IFERROR( VLOOKUP(A3766,#REF!,2,0),"")</f>
        <v/>
      </c>
      <c r="G3766" s="3">
        <f t="array" ref="G3766">_xlfn.XLOOKUP(I3766,Base_Datos!D:D,Base_Datos!B:B,"")</f>
        <v>0</v>
      </c>
      <c r="H3766" s="3" t="str">
        <f t="array" ref="H3766">IF(I3766="","",IFERROR(_xlfn.XLOOKUP(I3766,Base_Datos!$D$2:$D3876,Base_Datos!$C$2:$C3876),""))</f>
        <v/>
      </c>
      <c r="I3766" s="3"/>
      <c r="J3766" s="3" t="str">
        <f>IF(I3766="","",IFERROR(VLOOKUP(I3766,Base_Datos!$D$2:$E$72,2,0),""))</f>
        <v/>
      </c>
      <c r="K3766" s="3"/>
      <c r="L3766" s="3"/>
      <c r="M3766" s="3"/>
      <c r="N3766" s="3"/>
    </row>
    <row r="3767" spans="1:14" ht="14.25" x14ac:dyDescent="0.2">
      <c r="A3767" s="3"/>
      <c r="B3767" s="3"/>
      <c r="C3767" s="3"/>
      <c r="D3767" s="6"/>
      <c r="E3767" s="10"/>
      <c r="F3767" s="3" t="str">
        <f>IFERROR( VLOOKUP(A3767,#REF!,2,0),"")</f>
        <v/>
      </c>
      <c r="G3767" s="3">
        <f t="array" ref="G3767">_xlfn.XLOOKUP(I3767,Base_Datos!D:D,Base_Datos!B:B,"")</f>
        <v>0</v>
      </c>
      <c r="H3767" s="3" t="str">
        <f t="array" ref="H3767">IF(I3767="","",IFERROR(_xlfn.XLOOKUP(I3767,Base_Datos!$D$2:$D3876,Base_Datos!$C$2:$C3876),""))</f>
        <v/>
      </c>
      <c r="I3767" s="3"/>
      <c r="J3767" s="3" t="str">
        <f>IF(I3767="","",IFERROR(VLOOKUP(I3767,Base_Datos!$D$2:$E$72,2,0),""))</f>
        <v/>
      </c>
      <c r="K3767" s="3"/>
      <c r="L3767" s="3"/>
      <c r="M3767" s="3"/>
      <c r="N3767" s="3"/>
    </row>
    <row r="3768" spans="1:14" ht="14.25" x14ac:dyDescent="0.2">
      <c r="A3768" s="3"/>
      <c r="B3768" s="3"/>
      <c r="C3768" s="3"/>
      <c r="D3768" s="6"/>
      <c r="E3768" s="10"/>
      <c r="F3768" s="3" t="str">
        <f>IFERROR( VLOOKUP(A3768,#REF!,2,0),"")</f>
        <v/>
      </c>
      <c r="G3768" s="3">
        <f t="array" ref="G3768">_xlfn.XLOOKUP(I3768,Base_Datos!D:D,Base_Datos!B:B,"")</f>
        <v>0</v>
      </c>
      <c r="H3768" s="3" t="str">
        <f t="array" ref="H3768">IF(I3768="","",IFERROR(_xlfn.XLOOKUP(I3768,Base_Datos!$D$2:$D3876,Base_Datos!$C$2:$C3876),""))</f>
        <v/>
      </c>
      <c r="I3768" s="3"/>
      <c r="J3768" s="3" t="str">
        <f>IF(I3768="","",IFERROR(VLOOKUP(I3768,Base_Datos!$D$2:$E$72,2,0),""))</f>
        <v/>
      </c>
      <c r="K3768" s="3"/>
      <c r="L3768" s="3"/>
      <c r="M3768" s="3"/>
      <c r="N3768" s="3"/>
    </row>
    <row r="3769" spans="1:14" ht="14.25" x14ac:dyDescent="0.2">
      <c r="A3769" s="3"/>
      <c r="B3769" s="3"/>
      <c r="C3769" s="3"/>
      <c r="D3769" s="6"/>
      <c r="E3769" s="10"/>
      <c r="F3769" s="3" t="str">
        <f>IFERROR( VLOOKUP(A3769,#REF!,2,0),"")</f>
        <v/>
      </c>
      <c r="G3769" s="3">
        <f t="array" ref="G3769">_xlfn.XLOOKUP(I3769,Base_Datos!D:D,Base_Datos!B:B,"")</f>
        <v>0</v>
      </c>
      <c r="H3769" s="3" t="str">
        <f t="array" ref="H3769">IF(I3769="","",IFERROR(_xlfn.XLOOKUP(I3769,Base_Datos!$D$2:$D3876,Base_Datos!$C$2:$C3876),""))</f>
        <v/>
      </c>
      <c r="I3769" s="3"/>
      <c r="J3769" s="3" t="str">
        <f>IF(I3769="","",IFERROR(VLOOKUP(I3769,Base_Datos!$D$2:$E$72,2,0),""))</f>
        <v/>
      </c>
      <c r="K3769" s="3"/>
      <c r="L3769" s="3"/>
      <c r="M3769" s="3"/>
      <c r="N3769" s="3"/>
    </row>
    <row r="3770" spans="1:14" ht="14.25" x14ac:dyDescent="0.2">
      <c r="A3770" s="3"/>
      <c r="B3770" s="3"/>
      <c r="C3770" s="3"/>
      <c r="D3770" s="6"/>
      <c r="E3770" s="10"/>
      <c r="F3770" s="3" t="str">
        <f>IFERROR( VLOOKUP(A3770,#REF!,2,0),"")</f>
        <v/>
      </c>
      <c r="G3770" s="3">
        <f t="array" ref="G3770">_xlfn.XLOOKUP(I3770,Base_Datos!D:D,Base_Datos!B:B,"")</f>
        <v>0</v>
      </c>
      <c r="H3770" s="3" t="str">
        <f t="array" ref="H3770">IF(I3770="","",IFERROR(_xlfn.XLOOKUP(I3770,Base_Datos!$D$2:$D3876,Base_Datos!$C$2:$C3876),""))</f>
        <v/>
      </c>
      <c r="I3770" s="3"/>
      <c r="J3770" s="3" t="str">
        <f>IF(I3770="","",IFERROR(VLOOKUP(I3770,Base_Datos!$D$2:$E$72,2,0),""))</f>
        <v/>
      </c>
      <c r="K3770" s="3"/>
      <c r="L3770" s="3"/>
      <c r="M3770" s="3"/>
      <c r="N3770" s="3"/>
    </row>
    <row r="3771" spans="1:14" ht="14.25" x14ac:dyDescent="0.2">
      <c r="A3771" s="3"/>
      <c r="B3771" s="3"/>
      <c r="C3771" s="3"/>
      <c r="D3771" s="6"/>
      <c r="E3771" s="10"/>
      <c r="F3771" s="3" t="str">
        <f>IFERROR( VLOOKUP(A3771,#REF!,2,0),"")</f>
        <v/>
      </c>
      <c r="G3771" s="3">
        <f t="array" ref="G3771">_xlfn.XLOOKUP(I3771,Base_Datos!D:D,Base_Datos!B:B,"")</f>
        <v>0</v>
      </c>
      <c r="H3771" s="3" t="str">
        <f t="array" ref="H3771">IF(I3771="","",IFERROR(_xlfn.XLOOKUP(I3771,Base_Datos!$D$2:$D3876,Base_Datos!$C$2:$C3876),""))</f>
        <v/>
      </c>
      <c r="I3771" s="3"/>
      <c r="J3771" s="3" t="str">
        <f>IF(I3771="","",IFERROR(VLOOKUP(I3771,Base_Datos!$D$2:$E$72,2,0),""))</f>
        <v/>
      </c>
      <c r="K3771" s="3"/>
      <c r="L3771" s="3"/>
      <c r="M3771" s="3"/>
      <c r="N3771" s="3"/>
    </row>
    <row r="3772" spans="1:14" ht="14.25" x14ac:dyDescent="0.2">
      <c r="A3772" s="3"/>
      <c r="B3772" s="3"/>
      <c r="C3772" s="3"/>
      <c r="D3772" s="6"/>
      <c r="E3772" s="10"/>
      <c r="F3772" s="3" t="str">
        <f>IFERROR( VLOOKUP(A3772,#REF!,2,0),"")</f>
        <v/>
      </c>
      <c r="G3772" s="3">
        <f t="array" ref="G3772">_xlfn.XLOOKUP(I3772,Base_Datos!D:D,Base_Datos!B:B,"")</f>
        <v>0</v>
      </c>
      <c r="H3772" s="3" t="str">
        <f t="array" ref="H3772">IF(I3772="","",IFERROR(_xlfn.XLOOKUP(I3772,Base_Datos!$D$2:$D3876,Base_Datos!$C$2:$C3876),""))</f>
        <v/>
      </c>
      <c r="I3772" s="3"/>
      <c r="J3772" s="3" t="str">
        <f>IF(I3772="","",IFERROR(VLOOKUP(I3772,Base_Datos!$D$2:$E$72,2,0),""))</f>
        <v/>
      </c>
      <c r="K3772" s="3"/>
      <c r="L3772" s="3"/>
      <c r="M3772" s="3"/>
      <c r="N3772" s="3"/>
    </row>
    <row r="3773" spans="1:14" ht="14.25" x14ac:dyDescent="0.2">
      <c r="A3773" s="3"/>
      <c r="B3773" s="3"/>
      <c r="C3773" s="3"/>
      <c r="D3773" s="6"/>
      <c r="E3773" s="10"/>
      <c r="F3773" s="3" t="str">
        <f>IFERROR( VLOOKUP(A3773,#REF!,2,0),"")</f>
        <v/>
      </c>
      <c r="G3773" s="3">
        <f t="array" ref="G3773">_xlfn.XLOOKUP(I3773,Base_Datos!D:D,Base_Datos!B:B,"")</f>
        <v>0</v>
      </c>
      <c r="H3773" s="3" t="str">
        <f t="array" ref="H3773">IF(I3773="","",IFERROR(_xlfn.XLOOKUP(I3773,Base_Datos!$D$2:$D3876,Base_Datos!$C$2:$C3876),""))</f>
        <v/>
      </c>
      <c r="I3773" s="3"/>
      <c r="J3773" s="3" t="str">
        <f>IF(I3773="","",IFERROR(VLOOKUP(I3773,Base_Datos!$D$2:$E$72,2,0),""))</f>
        <v/>
      </c>
      <c r="K3773" s="3"/>
      <c r="L3773" s="3"/>
      <c r="M3773" s="3"/>
      <c r="N3773" s="3"/>
    </row>
    <row r="3774" spans="1:14" ht="14.25" x14ac:dyDescent="0.2">
      <c r="A3774" s="3"/>
      <c r="B3774" s="3"/>
      <c r="C3774" s="3"/>
      <c r="D3774" s="6"/>
      <c r="E3774" s="10"/>
      <c r="F3774" s="3" t="str">
        <f>IFERROR( VLOOKUP(A3774,#REF!,2,0),"")</f>
        <v/>
      </c>
      <c r="G3774" s="3">
        <f t="array" ref="G3774">_xlfn.XLOOKUP(I3774,Base_Datos!D:D,Base_Datos!B:B,"")</f>
        <v>0</v>
      </c>
      <c r="H3774" s="3" t="str">
        <f t="array" ref="H3774">IF(I3774="","",IFERROR(_xlfn.XLOOKUP(I3774,Base_Datos!$D$2:$D3876,Base_Datos!$C$2:$C3876),""))</f>
        <v/>
      </c>
      <c r="I3774" s="3"/>
      <c r="J3774" s="3" t="str">
        <f>IF(I3774="","",IFERROR(VLOOKUP(I3774,Base_Datos!$D$2:$E$72,2,0),""))</f>
        <v/>
      </c>
      <c r="K3774" s="3"/>
      <c r="L3774" s="3"/>
      <c r="M3774" s="3"/>
      <c r="N3774" s="3"/>
    </row>
    <row r="3775" spans="1:14" ht="14.25" x14ac:dyDescent="0.2">
      <c r="A3775" s="3"/>
      <c r="B3775" s="3"/>
      <c r="C3775" s="3"/>
      <c r="D3775" s="6"/>
      <c r="E3775" s="10"/>
      <c r="F3775" s="3" t="str">
        <f>IFERROR( VLOOKUP(A3775,#REF!,2,0),"")</f>
        <v/>
      </c>
      <c r="G3775" s="3">
        <f t="array" ref="G3775">_xlfn.XLOOKUP(I3775,Base_Datos!D:D,Base_Datos!B:B,"")</f>
        <v>0</v>
      </c>
      <c r="H3775" s="3" t="str">
        <f t="array" ref="H3775">IF(I3775="","",IFERROR(_xlfn.XLOOKUP(I3775,Base_Datos!$D$2:$D3876,Base_Datos!$C$2:$C3876),""))</f>
        <v/>
      </c>
      <c r="I3775" s="3"/>
      <c r="J3775" s="3" t="str">
        <f>IF(I3775="","",IFERROR(VLOOKUP(I3775,Base_Datos!$D$2:$E$72,2,0),""))</f>
        <v/>
      </c>
      <c r="K3775" s="3"/>
      <c r="L3775" s="3"/>
      <c r="M3775" s="3"/>
      <c r="N3775" s="3"/>
    </row>
    <row r="3776" spans="1:14" ht="14.25" x14ac:dyDescent="0.2">
      <c r="A3776" s="3"/>
      <c r="B3776" s="3"/>
      <c r="C3776" s="3"/>
      <c r="D3776" s="6"/>
      <c r="E3776" s="10"/>
      <c r="F3776" s="3" t="str">
        <f>IFERROR( VLOOKUP(A3776,#REF!,2,0),"")</f>
        <v/>
      </c>
      <c r="G3776" s="3">
        <f t="array" ref="G3776">_xlfn.XLOOKUP(I3776,Base_Datos!D:D,Base_Datos!B:B,"")</f>
        <v>0</v>
      </c>
      <c r="H3776" s="3" t="str">
        <f t="array" ref="H3776">IF(I3776="","",IFERROR(_xlfn.XLOOKUP(I3776,Base_Datos!$D$2:$D3876,Base_Datos!$C$2:$C3876),""))</f>
        <v/>
      </c>
      <c r="I3776" s="3"/>
      <c r="J3776" s="3" t="str">
        <f>IF(I3776="","",IFERROR(VLOOKUP(I3776,Base_Datos!$D$2:$E$72,2,0),""))</f>
        <v/>
      </c>
      <c r="K3776" s="3"/>
      <c r="L3776" s="3"/>
      <c r="M3776" s="3"/>
      <c r="N3776" s="3"/>
    </row>
    <row r="3777" spans="1:14" ht="14.25" x14ac:dyDescent="0.2">
      <c r="A3777" s="3"/>
      <c r="B3777" s="3"/>
      <c r="C3777" s="3"/>
      <c r="D3777" s="6"/>
      <c r="E3777" s="10"/>
      <c r="F3777" s="3" t="str">
        <f>IFERROR( VLOOKUP(A3777,#REF!,2,0),"")</f>
        <v/>
      </c>
      <c r="G3777" s="3">
        <f t="array" ref="G3777">_xlfn.XLOOKUP(I3777,Base_Datos!D:D,Base_Datos!B:B,"")</f>
        <v>0</v>
      </c>
      <c r="H3777" s="3" t="str">
        <f t="array" ref="H3777">IF(I3777="","",IFERROR(_xlfn.XLOOKUP(I3777,Base_Datos!$D$2:$D3876,Base_Datos!$C$2:$C3876),""))</f>
        <v/>
      </c>
      <c r="I3777" s="3"/>
      <c r="J3777" s="3" t="str">
        <f>IF(I3777="","",IFERROR(VLOOKUP(I3777,Base_Datos!$D$2:$E$72,2,0),""))</f>
        <v/>
      </c>
      <c r="K3777" s="3"/>
      <c r="L3777" s="3"/>
      <c r="M3777" s="3"/>
      <c r="N3777" s="3"/>
    </row>
    <row r="3778" spans="1:14" ht="14.25" x14ac:dyDescent="0.2">
      <c r="A3778" s="3"/>
      <c r="B3778" s="3"/>
      <c r="C3778" s="3"/>
      <c r="D3778" s="6"/>
      <c r="E3778" s="10"/>
      <c r="F3778" s="3" t="str">
        <f>IFERROR( VLOOKUP(A3778,#REF!,2,0),"")</f>
        <v/>
      </c>
      <c r="G3778" s="3">
        <f t="array" ref="G3778">_xlfn.XLOOKUP(I3778,Base_Datos!D:D,Base_Datos!B:B,"")</f>
        <v>0</v>
      </c>
      <c r="H3778" s="3" t="str">
        <f t="array" ref="H3778">IF(I3778="","",IFERROR(_xlfn.XLOOKUP(I3778,Base_Datos!$D$2:$D3876,Base_Datos!$C$2:$C3876),""))</f>
        <v/>
      </c>
      <c r="I3778" s="3"/>
      <c r="J3778" s="3" t="str">
        <f>IF(I3778="","",IFERROR(VLOOKUP(I3778,Base_Datos!$D$2:$E$72,2,0),""))</f>
        <v/>
      </c>
      <c r="K3778" s="3"/>
      <c r="L3778" s="3"/>
      <c r="M3778" s="3"/>
      <c r="N3778" s="3"/>
    </row>
    <row r="3779" spans="1:14" ht="14.25" x14ac:dyDescent="0.2">
      <c r="A3779" s="3"/>
      <c r="B3779" s="3"/>
      <c r="C3779" s="3"/>
      <c r="D3779" s="6"/>
      <c r="E3779" s="10"/>
      <c r="F3779" s="3" t="str">
        <f>IFERROR( VLOOKUP(A3779,#REF!,2,0),"")</f>
        <v/>
      </c>
      <c r="G3779" s="3">
        <f t="array" ref="G3779">_xlfn.XLOOKUP(I3779,Base_Datos!D:D,Base_Datos!B:B,"")</f>
        <v>0</v>
      </c>
      <c r="H3779" s="3" t="str">
        <f t="array" ref="H3779">IF(I3779="","",IFERROR(_xlfn.XLOOKUP(I3779,Base_Datos!$D$2:$D3876,Base_Datos!$C$2:$C3876),""))</f>
        <v/>
      </c>
      <c r="I3779" s="3"/>
      <c r="J3779" s="3" t="str">
        <f>IF(I3779="","",IFERROR(VLOOKUP(I3779,Base_Datos!$D$2:$E$72,2,0),""))</f>
        <v/>
      </c>
      <c r="K3779" s="3"/>
      <c r="L3779" s="3"/>
      <c r="M3779" s="3"/>
      <c r="N3779" s="3"/>
    </row>
    <row r="3780" spans="1:14" ht="14.25" x14ac:dyDescent="0.2">
      <c r="A3780" s="3"/>
      <c r="B3780" s="3"/>
      <c r="C3780" s="3"/>
      <c r="D3780" s="6"/>
      <c r="E3780" s="10"/>
      <c r="F3780" s="3" t="str">
        <f>IFERROR( VLOOKUP(A3780,#REF!,2,0),"")</f>
        <v/>
      </c>
      <c r="G3780" s="3">
        <f t="array" ref="G3780">_xlfn.XLOOKUP(I3780,Base_Datos!D:D,Base_Datos!B:B,"")</f>
        <v>0</v>
      </c>
      <c r="H3780" s="3" t="str">
        <f t="array" ref="H3780">IF(I3780="","",IFERROR(_xlfn.XLOOKUP(I3780,Base_Datos!$D$2:$D3876,Base_Datos!$C$2:$C3876),""))</f>
        <v/>
      </c>
      <c r="I3780" s="3"/>
      <c r="J3780" s="3" t="str">
        <f>IF(I3780="","",IFERROR(VLOOKUP(I3780,Base_Datos!$D$2:$E$72,2,0),""))</f>
        <v/>
      </c>
      <c r="K3780" s="3"/>
      <c r="L3780" s="3"/>
      <c r="M3780" s="3"/>
      <c r="N3780" s="3"/>
    </row>
    <row r="3781" spans="1:14" ht="14.25" x14ac:dyDescent="0.2">
      <c r="A3781" s="3"/>
      <c r="B3781" s="3"/>
      <c r="C3781" s="3"/>
      <c r="D3781" s="6"/>
      <c r="E3781" s="10"/>
      <c r="F3781" s="3" t="str">
        <f>IFERROR( VLOOKUP(A3781,#REF!,2,0),"")</f>
        <v/>
      </c>
      <c r="G3781" s="3">
        <f t="array" ref="G3781">_xlfn.XLOOKUP(I3781,Base_Datos!D:D,Base_Datos!B:B,"")</f>
        <v>0</v>
      </c>
      <c r="H3781" s="3" t="str">
        <f t="array" ref="H3781">IF(I3781="","",IFERROR(_xlfn.XLOOKUP(I3781,Base_Datos!$D$2:$D3876,Base_Datos!$C$2:$C3876),""))</f>
        <v/>
      </c>
      <c r="I3781" s="3"/>
      <c r="J3781" s="3" t="str">
        <f>IF(I3781="","",IFERROR(VLOOKUP(I3781,Base_Datos!$D$2:$E$72,2,0),""))</f>
        <v/>
      </c>
      <c r="K3781" s="3"/>
      <c r="L3781" s="3"/>
      <c r="M3781" s="3"/>
      <c r="N3781" s="3"/>
    </row>
    <row r="3782" spans="1:14" ht="14.25" x14ac:dyDescent="0.2">
      <c r="A3782" s="3"/>
      <c r="B3782" s="3"/>
      <c r="C3782" s="3"/>
      <c r="D3782" s="6"/>
      <c r="E3782" s="10"/>
      <c r="F3782" s="3" t="str">
        <f>IFERROR( VLOOKUP(A3782,#REF!,2,0),"")</f>
        <v/>
      </c>
      <c r="G3782" s="3">
        <f t="array" ref="G3782">_xlfn.XLOOKUP(I3782,Base_Datos!D:D,Base_Datos!B:B,"")</f>
        <v>0</v>
      </c>
      <c r="H3782" s="3" t="str">
        <f t="array" ref="H3782">IF(I3782="","",IFERROR(_xlfn.XLOOKUP(I3782,Base_Datos!$D$2:$D3876,Base_Datos!$C$2:$C3876),""))</f>
        <v/>
      </c>
      <c r="I3782" s="3"/>
      <c r="J3782" s="3" t="str">
        <f>IF(I3782="","",IFERROR(VLOOKUP(I3782,Base_Datos!$D$2:$E$72,2,0),""))</f>
        <v/>
      </c>
      <c r="K3782" s="3"/>
      <c r="L3782" s="3"/>
      <c r="M3782" s="3"/>
      <c r="N3782" s="3"/>
    </row>
    <row r="3783" spans="1:14" ht="14.25" x14ac:dyDescent="0.2">
      <c r="A3783" s="3"/>
      <c r="B3783" s="3"/>
      <c r="C3783" s="3"/>
      <c r="D3783" s="6"/>
      <c r="E3783" s="10"/>
      <c r="F3783" s="3" t="str">
        <f>IFERROR( VLOOKUP(A3783,#REF!,2,0),"")</f>
        <v/>
      </c>
      <c r="G3783" s="3">
        <f t="array" ref="G3783">_xlfn.XLOOKUP(I3783,Base_Datos!D:D,Base_Datos!B:B,"")</f>
        <v>0</v>
      </c>
      <c r="H3783" s="3" t="str">
        <f t="array" ref="H3783">IF(I3783="","",IFERROR(_xlfn.XLOOKUP(I3783,Base_Datos!$D$2:$D3876,Base_Datos!$C$2:$C3876),""))</f>
        <v/>
      </c>
      <c r="I3783" s="3"/>
      <c r="J3783" s="3" t="str">
        <f>IF(I3783="","",IFERROR(VLOOKUP(I3783,Base_Datos!$D$2:$E$72,2,0),""))</f>
        <v/>
      </c>
      <c r="K3783" s="3"/>
      <c r="L3783" s="3"/>
      <c r="M3783" s="3"/>
      <c r="N3783" s="3"/>
    </row>
    <row r="3784" spans="1:14" ht="14.25" x14ac:dyDescent="0.2">
      <c r="A3784" s="3"/>
      <c r="B3784" s="3"/>
      <c r="C3784" s="3"/>
      <c r="D3784" s="6"/>
      <c r="E3784" s="10"/>
      <c r="F3784" s="3" t="str">
        <f>IFERROR( VLOOKUP(A3784,#REF!,2,0),"")</f>
        <v/>
      </c>
      <c r="G3784" s="3">
        <f t="array" ref="G3784">_xlfn.XLOOKUP(I3784,Base_Datos!D:D,Base_Datos!B:B,"")</f>
        <v>0</v>
      </c>
      <c r="H3784" s="3" t="str">
        <f t="array" ref="H3784">IF(I3784="","",IFERROR(_xlfn.XLOOKUP(I3784,Base_Datos!$D$2:$D3876,Base_Datos!$C$2:$C3876),""))</f>
        <v/>
      </c>
      <c r="I3784" s="3"/>
      <c r="J3784" s="3" t="str">
        <f>IF(I3784="","",IFERROR(VLOOKUP(I3784,Base_Datos!$D$2:$E$72,2,0),""))</f>
        <v/>
      </c>
      <c r="K3784" s="3"/>
      <c r="L3784" s="3"/>
      <c r="M3784" s="3"/>
      <c r="N3784" s="3"/>
    </row>
    <row r="3785" spans="1:14" ht="14.25" x14ac:dyDescent="0.2">
      <c r="A3785" s="3"/>
      <c r="B3785" s="3"/>
      <c r="C3785" s="3"/>
      <c r="D3785" s="6"/>
      <c r="E3785" s="10"/>
      <c r="F3785" s="3" t="str">
        <f>IFERROR( VLOOKUP(A3785,#REF!,2,0),"")</f>
        <v/>
      </c>
      <c r="G3785" s="3">
        <f t="array" ref="G3785">_xlfn.XLOOKUP(I3785,Base_Datos!D:D,Base_Datos!B:B,"")</f>
        <v>0</v>
      </c>
      <c r="H3785" s="3" t="str">
        <f t="array" ref="H3785">IF(I3785="","",IFERROR(_xlfn.XLOOKUP(I3785,Base_Datos!$D$2:$D3876,Base_Datos!$C$2:$C3876),""))</f>
        <v/>
      </c>
      <c r="I3785" s="3"/>
      <c r="J3785" s="3" t="str">
        <f>IF(I3785="","",IFERROR(VLOOKUP(I3785,Base_Datos!$D$2:$E$72,2,0),""))</f>
        <v/>
      </c>
      <c r="K3785" s="3"/>
      <c r="L3785" s="3"/>
      <c r="M3785" s="3"/>
      <c r="N3785" s="3"/>
    </row>
    <row r="3786" spans="1:14" ht="14.25" x14ac:dyDescent="0.2">
      <c r="A3786" s="3"/>
      <c r="B3786" s="3"/>
      <c r="C3786" s="3"/>
      <c r="D3786" s="6"/>
      <c r="E3786" s="10"/>
      <c r="F3786" s="3" t="str">
        <f>IFERROR( VLOOKUP(A3786,#REF!,2,0),"")</f>
        <v/>
      </c>
      <c r="G3786" s="3">
        <f t="array" ref="G3786">_xlfn.XLOOKUP(I3786,Base_Datos!D:D,Base_Datos!B:B,"")</f>
        <v>0</v>
      </c>
      <c r="H3786" s="3" t="str">
        <f t="array" ref="H3786">IF(I3786="","",IFERROR(_xlfn.XLOOKUP(I3786,Base_Datos!$D$2:$D3876,Base_Datos!$C$2:$C3876),""))</f>
        <v/>
      </c>
      <c r="I3786" s="3"/>
      <c r="J3786" s="3" t="str">
        <f>IF(I3786="","",IFERROR(VLOOKUP(I3786,Base_Datos!$D$2:$E$72,2,0),""))</f>
        <v/>
      </c>
      <c r="K3786" s="3"/>
      <c r="L3786" s="3"/>
      <c r="M3786" s="3"/>
      <c r="N3786" s="3"/>
    </row>
    <row r="3787" spans="1:14" ht="14.25" x14ac:dyDescent="0.2">
      <c r="A3787" s="3"/>
      <c r="B3787" s="3"/>
      <c r="C3787" s="3"/>
      <c r="D3787" s="6"/>
      <c r="E3787" s="10"/>
      <c r="F3787" s="3" t="str">
        <f>IFERROR( VLOOKUP(A3787,#REF!,2,0),"")</f>
        <v/>
      </c>
      <c r="G3787" s="3">
        <f t="array" ref="G3787">_xlfn.XLOOKUP(I3787,Base_Datos!D:D,Base_Datos!B:B,"")</f>
        <v>0</v>
      </c>
      <c r="H3787" s="3" t="str">
        <f t="array" ref="H3787">IF(I3787="","",IFERROR(_xlfn.XLOOKUP(I3787,Base_Datos!$D$2:$D3876,Base_Datos!$C$2:$C3876),""))</f>
        <v/>
      </c>
      <c r="I3787" s="3"/>
      <c r="J3787" s="3" t="str">
        <f>IF(I3787="","",IFERROR(VLOOKUP(I3787,Base_Datos!$D$2:$E$72,2,0),""))</f>
        <v/>
      </c>
      <c r="K3787" s="3"/>
      <c r="L3787" s="3"/>
      <c r="M3787" s="3"/>
      <c r="N3787" s="3"/>
    </row>
    <row r="3788" spans="1:14" ht="14.25" x14ac:dyDescent="0.2">
      <c r="A3788" s="3"/>
      <c r="B3788" s="3"/>
      <c r="C3788" s="3"/>
      <c r="D3788" s="6"/>
      <c r="E3788" s="10"/>
      <c r="F3788" s="3" t="str">
        <f>IFERROR( VLOOKUP(A3788,#REF!,2,0),"")</f>
        <v/>
      </c>
      <c r="G3788" s="3">
        <f t="array" ref="G3788">_xlfn.XLOOKUP(I3788,Base_Datos!D:D,Base_Datos!B:B,"")</f>
        <v>0</v>
      </c>
      <c r="H3788" s="3" t="str">
        <f t="array" ref="H3788">IF(I3788="","",IFERROR(_xlfn.XLOOKUP(I3788,Base_Datos!$D$2:$D3876,Base_Datos!$C$2:$C3876),""))</f>
        <v/>
      </c>
      <c r="I3788" s="3"/>
      <c r="J3788" s="3" t="str">
        <f>IF(I3788="","",IFERROR(VLOOKUP(I3788,Base_Datos!$D$2:$E$72,2,0),""))</f>
        <v/>
      </c>
      <c r="K3788" s="3"/>
      <c r="L3788" s="3"/>
      <c r="M3788" s="3"/>
      <c r="N3788" s="3"/>
    </row>
    <row r="3789" spans="1:14" ht="14.25" x14ac:dyDescent="0.2">
      <c r="A3789" s="3"/>
      <c r="B3789" s="3"/>
      <c r="C3789" s="3"/>
      <c r="D3789" s="6"/>
      <c r="E3789" s="10"/>
      <c r="F3789" s="3" t="str">
        <f>IFERROR( VLOOKUP(A3789,#REF!,2,0),"")</f>
        <v/>
      </c>
      <c r="G3789" s="3">
        <f t="array" ref="G3789">_xlfn.XLOOKUP(I3789,Base_Datos!D:D,Base_Datos!B:B,"")</f>
        <v>0</v>
      </c>
      <c r="H3789" s="3" t="str">
        <f t="array" ref="H3789">IF(I3789="","",IFERROR(_xlfn.XLOOKUP(I3789,Base_Datos!$D$2:$D3876,Base_Datos!$C$2:$C3876),""))</f>
        <v/>
      </c>
      <c r="I3789" s="3"/>
      <c r="J3789" s="3" t="str">
        <f>IF(I3789="","",IFERROR(VLOOKUP(I3789,Base_Datos!$D$2:$E$72,2,0),""))</f>
        <v/>
      </c>
      <c r="K3789" s="3"/>
      <c r="L3789" s="3"/>
      <c r="M3789" s="3"/>
      <c r="N3789" s="3"/>
    </row>
    <row r="3790" spans="1:14" ht="14.25" x14ac:dyDescent="0.2">
      <c r="A3790" s="3"/>
      <c r="B3790" s="3"/>
      <c r="C3790" s="3"/>
      <c r="D3790" s="6"/>
      <c r="E3790" s="10"/>
      <c r="F3790" s="3" t="str">
        <f>IFERROR( VLOOKUP(A3790,#REF!,2,0),"")</f>
        <v/>
      </c>
      <c r="G3790" s="3">
        <f t="array" ref="G3790">_xlfn.XLOOKUP(I3790,Base_Datos!D:D,Base_Datos!B:B,"")</f>
        <v>0</v>
      </c>
      <c r="H3790" s="3" t="str">
        <f t="array" ref="H3790">IF(I3790="","",IFERROR(_xlfn.XLOOKUP(I3790,Base_Datos!$D$2:$D3876,Base_Datos!$C$2:$C3876),""))</f>
        <v/>
      </c>
      <c r="I3790" s="3"/>
      <c r="J3790" s="3" t="str">
        <f>IF(I3790="","",IFERROR(VLOOKUP(I3790,Base_Datos!$D$2:$E$72,2,0),""))</f>
        <v/>
      </c>
      <c r="K3790" s="3"/>
      <c r="L3790" s="3"/>
      <c r="M3790" s="3"/>
      <c r="N3790" s="3"/>
    </row>
    <row r="3791" spans="1:14" ht="14.25" x14ac:dyDescent="0.2">
      <c r="A3791" s="3"/>
      <c r="B3791" s="3"/>
      <c r="C3791" s="3"/>
      <c r="D3791" s="6"/>
      <c r="E3791" s="10"/>
      <c r="F3791" s="3" t="str">
        <f>IFERROR( VLOOKUP(A3791,#REF!,2,0),"")</f>
        <v/>
      </c>
      <c r="G3791" s="3">
        <f t="array" ref="G3791">_xlfn.XLOOKUP(I3791,Base_Datos!D:D,Base_Datos!B:B,"")</f>
        <v>0</v>
      </c>
      <c r="H3791" s="3" t="str">
        <f t="array" ref="H3791">IF(I3791="","",IFERROR(_xlfn.XLOOKUP(I3791,Base_Datos!$D$2:$D3876,Base_Datos!$C$2:$C3876),""))</f>
        <v/>
      </c>
      <c r="I3791" s="3"/>
      <c r="J3791" s="3" t="str">
        <f>IF(I3791="","",IFERROR(VLOOKUP(I3791,Base_Datos!$D$2:$E$72,2,0),""))</f>
        <v/>
      </c>
      <c r="K3791" s="3"/>
      <c r="L3791" s="3"/>
      <c r="M3791" s="3"/>
      <c r="N3791" s="3"/>
    </row>
    <row r="3792" spans="1:14" ht="14.25" x14ac:dyDescent="0.2">
      <c r="A3792" s="3"/>
      <c r="B3792" s="3"/>
      <c r="C3792" s="3"/>
      <c r="D3792" s="6"/>
      <c r="E3792" s="10"/>
      <c r="F3792" s="3" t="str">
        <f>IFERROR( VLOOKUP(A3792,#REF!,2,0),"")</f>
        <v/>
      </c>
      <c r="G3792" s="3">
        <f t="array" ref="G3792">_xlfn.XLOOKUP(I3792,Base_Datos!D:D,Base_Datos!B:B,"")</f>
        <v>0</v>
      </c>
      <c r="H3792" s="3" t="str">
        <f t="array" ref="H3792">IF(I3792="","",IFERROR(_xlfn.XLOOKUP(I3792,Base_Datos!$D$2:$D3876,Base_Datos!$C$2:$C3876),""))</f>
        <v/>
      </c>
      <c r="I3792" s="3"/>
      <c r="J3792" s="3" t="str">
        <f>IF(I3792="","",IFERROR(VLOOKUP(I3792,Base_Datos!$D$2:$E$72,2,0),""))</f>
        <v/>
      </c>
      <c r="K3792" s="3"/>
      <c r="L3792" s="3"/>
      <c r="M3792" s="3"/>
      <c r="N3792" s="3"/>
    </row>
    <row r="3793" spans="1:14" ht="14.25" x14ac:dyDescent="0.2">
      <c r="A3793" s="3"/>
      <c r="B3793" s="3"/>
      <c r="C3793" s="3"/>
      <c r="D3793" s="6"/>
      <c r="E3793" s="10"/>
      <c r="F3793" s="3" t="str">
        <f>IFERROR( VLOOKUP(A3793,#REF!,2,0),"")</f>
        <v/>
      </c>
      <c r="G3793" s="3">
        <f t="array" ref="G3793">_xlfn.XLOOKUP(I3793,Base_Datos!D:D,Base_Datos!B:B,"")</f>
        <v>0</v>
      </c>
      <c r="H3793" s="3" t="str">
        <f t="array" ref="H3793">IF(I3793="","",IFERROR(_xlfn.XLOOKUP(I3793,Base_Datos!$D$2:$D3876,Base_Datos!$C$2:$C3876),""))</f>
        <v/>
      </c>
      <c r="I3793" s="3"/>
      <c r="J3793" s="3" t="str">
        <f>IF(I3793="","",IFERROR(VLOOKUP(I3793,Base_Datos!$D$2:$E$72,2,0),""))</f>
        <v/>
      </c>
      <c r="K3793" s="3"/>
      <c r="L3793" s="3"/>
      <c r="M3793" s="3"/>
      <c r="N3793" s="3"/>
    </row>
    <row r="3794" spans="1:14" ht="14.25" x14ac:dyDescent="0.2">
      <c r="A3794" s="3"/>
      <c r="B3794" s="3"/>
      <c r="C3794" s="3"/>
      <c r="D3794" s="6"/>
      <c r="E3794" s="10"/>
      <c r="F3794" s="3" t="str">
        <f>IFERROR( VLOOKUP(A3794,#REF!,2,0),"")</f>
        <v/>
      </c>
      <c r="G3794" s="3">
        <f t="array" ref="G3794">_xlfn.XLOOKUP(I3794,Base_Datos!D:D,Base_Datos!B:B,"")</f>
        <v>0</v>
      </c>
      <c r="H3794" s="3" t="str">
        <f t="array" ref="H3794">IF(I3794="","",IFERROR(_xlfn.XLOOKUP(I3794,Base_Datos!$D$2:$D3876,Base_Datos!$C$2:$C3876),""))</f>
        <v/>
      </c>
      <c r="I3794" s="3"/>
      <c r="J3794" s="3" t="str">
        <f>IF(I3794="","",IFERROR(VLOOKUP(I3794,Base_Datos!$D$2:$E$72,2,0),""))</f>
        <v/>
      </c>
      <c r="K3794" s="3"/>
      <c r="L3794" s="3"/>
      <c r="M3794" s="3"/>
      <c r="N3794" s="3"/>
    </row>
    <row r="3795" spans="1:14" ht="14.25" x14ac:dyDescent="0.2">
      <c r="A3795" s="3"/>
      <c r="B3795" s="3"/>
      <c r="C3795" s="3"/>
      <c r="D3795" s="6"/>
      <c r="E3795" s="10"/>
      <c r="F3795" s="3" t="str">
        <f>IFERROR( VLOOKUP(A3795,#REF!,2,0),"")</f>
        <v/>
      </c>
      <c r="G3795" s="3">
        <f t="array" ref="G3795">_xlfn.XLOOKUP(I3795,Base_Datos!D:D,Base_Datos!B:B,"")</f>
        <v>0</v>
      </c>
      <c r="H3795" s="3" t="str">
        <f t="array" ref="H3795">IF(I3795="","",IFERROR(_xlfn.XLOOKUP(I3795,Base_Datos!$D$2:$D3876,Base_Datos!$C$2:$C3876),""))</f>
        <v/>
      </c>
      <c r="I3795" s="3"/>
      <c r="J3795" s="3" t="str">
        <f>IF(I3795="","",IFERROR(VLOOKUP(I3795,Base_Datos!$D$2:$E$72,2,0),""))</f>
        <v/>
      </c>
      <c r="K3795" s="3"/>
      <c r="L3795" s="3"/>
      <c r="M3795" s="3"/>
      <c r="N3795" s="3"/>
    </row>
    <row r="3796" spans="1:14" ht="14.25" x14ac:dyDescent="0.2">
      <c r="A3796" s="3"/>
      <c r="B3796" s="3"/>
      <c r="C3796" s="3"/>
      <c r="D3796" s="6"/>
      <c r="E3796" s="10"/>
      <c r="F3796" s="3" t="str">
        <f>IFERROR( VLOOKUP(A3796,#REF!,2,0),"")</f>
        <v/>
      </c>
      <c r="G3796" s="3">
        <f t="array" ref="G3796">_xlfn.XLOOKUP(I3796,Base_Datos!D:D,Base_Datos!B:B,"")</f>
        <v>0</v>
      </c>
      <c r="H3796" s="3" t="str">
        <f t="array" ref="H3796">IF(I3796="","",IFERROR(_xlfn.XLOOKUP(I3796,Base_Datos!$D$2:$D3876,Base_Datos!$C$2:$C3876),""))</f>
        <v/>
      </c>
      <c r="I3796" s="3"/>
      <c r="J3796" s="3" t="str">
        <f>IF(I3796="","",IFERROR(VLOOKUP(I3796,Base_Datos!$D$2:$E$72,2,0),""))</f>
        <v/>
      </c>
      <c r="K3796" s="3"/>
      <c r="L3796" s="3"/>
      <c r="M3796" s="3"/>
      <c r="N3796" s="3"/>
    </row>
    <row r="3797" spans="1:14" ht="14.25" x14ac:dyDescent="0.2">
      <c r="A3797" s="3"/>
      <c r="B3797" s="3"/>
      <c r="C3797" s="3"/>
      <c r="D3797" s="6"/>
      <c r="E3797" s="10"/>
      <c r="F3797" s="3" t="str">
        <f>IFERROR( VLOOKUP(A3797,#REF!,2,0),"")</f>
        <v/>
      </c>
      <c r="G3797" s="3">
        <f t="array" ref="G3797">_xlfn.XLOOKUP(I3797,Base_Datos!D:D,Base_Datos!B:B,"")</f>
        <v>0</v>
      </c>
      <c r="H3797" s="3" t="str">
        <f t="array" ref="H3797">IF(I3797="","",IFERROR(_xlfn.XLOOKUP(I3797,Base_Datos!$D$2:$D3876,Base_Datos!$C$2:$C3876),""))</f>
        <v/>
      </c>
      <c r="I3797" s="3"/>
      <c r="J3797" s="3" t="str">
        <f>IF(I3797="","",IFERROR(VLOOKUP(I3797,Base_Datos!$D$2:$E$72,2,0),""))</f>
        <v/>
      </c>
      <c r="K3797" s="3"/>
      <c r="L3797" s="3"/>
      <c r="M3797" s="3"/>
      <c r="N3797" s="3"/>
    </row>
    <row r="3798" spans="1:14" ht="14.25" x14ac:dyDescent="0.2">
      <c r="A3798" s="3"/>
      <c r="B3798" s="3"/>
      <c r="C3798" s="3"/>
      <c r="D3798" s="6"/>
      <c r="E3798" s="10"/>
      <c r="F3798" s="3" t="str">
        <f>IFERROR( VLOOKUP(A3798,#REF!,2,0),"")</f>
        <v/>
      </c>
      <c r="G3798" s="3">
        <f t="array" ref="G3798">_xlfn.XLOOKUP(I3798,Base_Datos!D:D,Base_Datos!B:B,"")</f>
        <v>0</v>
      </c>
      <c r="H3798" s="3" t="str">
        <f t="array" ref="H3798">IF(I3798="","",IFERROR(_xlfn.XLOOKUP(I3798,Base_Datos!$D$2:$D3876,Base_Datos!$C$2:$C3876),""))</f>
        <v/>
      </c>
      <c r="I3798" s="3"/>
      <c r="J3798" s="3" t="str">
        <f>IF(I3798="","",IFERROR(VLOOKUP(I3798,Base_Datos!$D$2:$E$72,2,0),""))</f>
        <v/>
      </c>
      <c r="K3798" s="3"/>
      <c r="L3798" s="3"/>
      <c r="M3798" s="3"/>
      <c r="N3798" s="3"/>
    </row>
    <row r="3799" spans="1:14" ht="14.25" x14ac:dyDescent="0.2">
      <c r="A3799" s="3"/>
      <c r="B3799" s="3"/>
      <c r="C3799" s="3"/>
      <c r="D3799" s="6"/>
      <c r="E3799" s="10"/>
      <c r="F3799" s="3" t="str">
        <f>IFERROR( VLOOKUP(A3799,#REF!,2,0),"")</f>
        <v/>
      </c>
      <c r="G3799" s="3">
        <f t="array" ref="G3799">_xlfn.XLOOKUP(I3799,Base_Datos!D:D,Base_Datos!B:B,"")</f>
        <v>0</v>
      </c>
      <c r="H3799" s="3" t="str">
        <f t="array" ref="H3799">IF(I3799="","",IFERROR(_xlfn.XLOOKUP(I3799,Base_Datos!$D$2:$D3876,Base_Datos!$C$2:$C3876),""))</f>
        <v/>
      </c>
      <c r="I3799" s="3"/>
      <c r="J3799" s="3" t="str">
        <f>IF(I3799="","",IFERROR(VLOOKUP(I3799,Base_Datos!$D$2:$E$72,2,0),""))</f>
        <v/>
      </c>
      <c r="K3799" s="3"/>
      <c r="L3799" s="3"/>
      <c r="M3799" s="3"/>
      <c r="N3799" s="3"/>
    </row>
    <row r="3800" spans="1:14" ht="14.25" x14ac:dyDescent="0.2">
      <c r="A3800" s="3"/>
      <c r="B3800" s="3"/>
      <c r="C3800" s="3"/>
      <c r="D3800" s="6"/>
      <c r="E3800" s="10"/>
      <c r="F3800" s="3" t="str">
        <f>IFERROR( VLOOKUP(A3800,#REF!,2,0),"")</f>
        <v/>
      </c>
      <c r="G3800" s="3">
        <f t="array" ref="G3800">_xlfn.XLOOKUP(I3800,Base_Datos!D:D,Base_Datos!B:B,"")</f>
        <v>0</v>
      </c>
      <c r="H3800" s="3" t="str">
        <f t="array" ref="H3800">IF(I3800="","",IFERROR(_xlfn.XLOOKUP(I3800,Base_Datos!$D$2:$D3876,Base_Datos!$C$2:$C3876),""))</f>
        <v/>
      </c>
      <c r="I3800" s="3"/>
      <c r="J3800" s="3" t="str">
        <f>IF(I3800="","",IFERROR(VLOOKUP(I3800,Base_Datos!$D$2:$E$72,2,0),""))</f>
        <v/>
      </c>
      <c r="K3800" s="3"/>
      <c r="L3800" s="3"/>
      <c r="M3800" s="3"/>
      <c r="N3800" s="3"/>
    </row>
    <row r="3801" spans="1:14" ht="14.25" x14ac:dyDescent="0.2">
      <c r="A3801" s="3"/>
      <c r="B3801" s="3"/>
      <c r="C3801" s="3"/>
      <c r="D3801" s="6"/>
      <c r="E3801" s="10"/>
      <c r="F3801" s="3" t="str">
        <f>IFERROR( VLOOKUP(A3801,#REF!,2,0),"")</f>
        <v/>
      </c>
      <c r="G3801" s="3">
        <f t="array" ref="G3801">_xlfn.XLOOKUP(I3801,Base_Datos!D:D,Base_Datos!B:B,"")</f>
        <v>0</v>
      </c>
      <c r="H3801" s="3" t="str">
        <f t="array" ref="H3801">IF(I3801="","",IFERROR(_xlfn.XLOOKUP(I3801,Base_Datos!$D$2:$D3876,Base_Datos!$C$2:$C3876),""))</f>
        <v/>
      </c>
      <c r="I3801" s="3"/>
      <c r="J3801" s="3" t="str">
        <f>IF(I3801="","",IFERROR(VLOOKUP(I3801,Base_Datos!$D$2:$E$72,2,0),""))</f>
        <v/>
      </c>
      <c r="K3801" s="3"/>
      <c r="L3801" s="3"/>
      <c r="M3801" s="3"/>
      <c r="N3801" s="3"/>
    </row>
    <row r="3802" spans="1:14" ht="14.25" x14ac:dyDescent="0.2">
      <c r="A3802" s="3"/>
      <c r="B3802" s="3"/>
      <c r="C3802" s="3"/>
      <c r="D3802" s="6"/>
      <c r="E3802" s="10"/>
      <c r="F3802" s="3" t="str">
        <f>IFERROR( VLOOKUP(A3802,#REF!,2,0),"")</f>
        <v/>
      </c>
      <c r="G3802" s="3">
        <f t="array" ref="G3802">_xlfn.XLOOKUP(I3802,Base_Datos!D:D,Base_Datos!B:B,"")</f>
        <v>0</v>
      </c>
      <c r="H3802" s="3" t="str">
        <f t="array" ref="H3802">IF(I3802="","",IFERROR(_xlfn.XLOOKUP(I3802,Base_Datos!$D$2:$D3876,Base_Datos!$C$2:$C3876),""))</f>
        <v/>
      </c>
      <c r="I3802" s="3"/>
      <c r="J3802" s="3" t="str">
        <f>IF(I3802="","",IFERROR(VLOOKUP(I3802,Base_Datos!$D$2:$E$72,2,0),""))</f>
        <v/>
      </c>
      <c r="K3802" s="3"/>
      <c r="L3802" s="3"/>
      <c r="M3802" s="3"/>
      <c r="N3802" s="3"/>
    </row>
    <row r="3803" spans="1:14" ht="14.25" x14ac:dyDescent="0.2">
      <c r="A3803" s="3"/>
      <c r="B3803" s="3"/>
      <c r="C3803" s="3"/>
      <c r="D3803" s="6"/>
      <c r="E3803" s="10"/>
      <c r="F3803" s="3" t="str">
        <f>IFERROR( VLOOKUP(A3803,#REF!,2,0),"")</f>
        <v/>
      </c>
      <c r="G3803" s="3">
        <f t="array" ref="G3803">_xlfn.XLOOKUP(I3803,Base_Datos!D:D,Base_Datos!B:B,"")</f>
        <v>0</v>
      </c>
      <c r="H3803" s="3" t="str">
        <f t="array" ref="H3803">IF(I3803="","",IFERROR(_xlfn.XLOOKUP(I3803,Base_Datos!$D$2:$D3876,Base_Datos!$C$2:$C3876),""))</f>
        <v/>
      </c>
      <c r="I3803" s="3"/>
      <c r="J3803" s="3" t="str">
        <f>IF(I3803="","",IFERROR(VLOOKUP(I3803,Base_Datos!$D$2:$E$72,2,0),""))</f>
        <v/>
      </c>
      <c r="K3803" s="3"/>
      <c r="L3803" s="3"/>
      <c r="M3803" s="3"/>
      <c r="N3803" s="3"/>
    </row>
    <row r="3804" spans="1:14" ht="14.25" x14ac:dyDescent="0.2">
      <c r="A3804" s="3"/>
      <c r="B3804" s="3"/>
      <c r="C3804" s="3"/>
      <c r="D3804" s="6"/>
      <c r="E3804" s="10"/>
      <c r="F3804" s="3" t="str">
        <f>IFERROR( VLOOKUP(A3804,#REF!,2,0),"")</f>
        <v/>
      </c>
      <c r="G3804" s="3">
        <f t="array" ref="G3804">_xlfn.XLOOKUP(I3804,Base_Datos!D:D,Base_Datos!B:B,"")</f>
        <v>0</v>
      </c>
      <c r="H3804" s="3" t="str">
        <f t="array" ref="H3804">IF(I3804="","",IFERROR(_xlfn.XLOOKUP(I3804,Base_Datos!$D$2:$D3876,Base_Datos!$C$2:$C3876),""))</f>
        <v/>
      </c>
      <c r="I3804" s="3"/>
      <c r="J3804" s="3" t="str">
        <f>IF(I3804="","",IFERROR(VLOOKUP(I3804,Base_Datos!$D$2:$E$72,2,0),""))</f>
        <v/>
      </c>
      <c r="K3804" s="3"/>
      <c r="L3804" s="3"/>
      <c r="M3804" s="3"/>
      <c r="N3804" s="3"/>
    </row>
    <row r="3805" spans="1:14" ht="14.25" x14ac:dyDescent="0.2">
      <c r="A3805" s="3"/>
      <c r="B3805" s="3"/>
      <c r="C3805" s="3"/>
      <c r="D3805" s="6"/>
      <c r="E3805" s="10"/>
      <c r="F3805" s="3" t="str">
        <f>IFERROR( VLOOKUP(A3805,#REF!,2,0),"")</f>
        <v/>
      </c>
      <c r="G3805" s="3">
        <f t="array" ref="G3805">_xlfn.XLOOKUP(I3805,Base_Datos!D:D,Base_Datos!B:B,"")</f>
        <v>0</v>
      </c>
      <c r="H3805" s="3" t="str">
        <f t="array" ref="H3805">IF(I3805="","",IFERROR(_xlfn.XLOOKUP(I3805,Base_Datos!$D$2:$D3876,Base_Datos!$C$2:$C3876),""))</f>
        <v/>
      </c>
      <c r="I3805" s="3"/>
      <c r="J3805" s="3" t="str">
        <f>IF(I3805="","",IFERROR(VLOOKUP(I3805,Base_Datos!$D$2:$E$72,2,0),""))</f>
        <v/>
      </c>
      <c r="K3805" s="3"/>
      <c r="L3805" s="3"/>
      <c r="M3805" s="3"/>
      <c r="N3805" s="3"/>
    </row>
    <row r="3806" spans="1:14" ht="14.25" x14ac:dyDescent="0.2">
      <c r="A3806" s="3"/>
      <c r="B3806" s="3"/>
      <c r="C3806" s="3"/>
      <c r="D3806" s="6"/>
      <c r="E3806" s="10"/>
      <c r="F3806" s="3" t="str">
        <f>IFERROR( VLOOKUP(A3806,#REF!,2,0),"")</f>
        <v/>
      </c>
      <c r="G3806" s="3">
        <f t="array" ref="G3806">_xlfn.XLOOKUP(I3806,Base_Datos!D:D,Base_Datos!B:B,"")</f>
        <v>0</v>
      </c>
      <c r="H3806" s="3" t="str">
        <f t="array" ref="H3806">IF(I3806="","",IFERROR(_xlfn.XLOOKUP(I3806,Base_Datos!$D$2:$D3876,Base_Datos!$C$2:$C3876),""))</f>
        <v/>
      </c>
      <c r="I3806" s="3"/>
      <c r="J3806" s="3" t="str">
        <f>IF(I3806="","",IFERROR(VLOOKUP(I3806,Base_Datos!$D$2:$E$72,2,0),""))</f>
        <v/>
      </c>
      <c r="K3806" s="3"/>
      <c r="L3806" s="3"/>
      <c r="M3806" s="3"/>
      <c r="N3806" s="3"/>
    </row>
    <row r="3807" spans="1:14" ht="14.25" x14ac:dyDescent="0.2">
      <c r="A3807" s="3"/>
      <c r="B3807" s="3"/>
      <c r="C3807" s="3"/>
      <c r="D3807" s="6"/>
      <c r="E3807" s="10"/>
      <c r="F3807" s="3" t="str">
        <f>IFERROR( VLOOKUP(A3807,#REF!,2,0),"")</f>
        <v/>
      </c>
      <c r="G3807" s="3">
        <f t="array" ref="G3807">_xlfn.XLOOKUP(I3807,Base_Datos!D:D,Base_Datos!B:B,"")</f>
        <v>0</v>
      </c>
      <c r="H3807" s="3" t="str">
        <f t="array" ref="H3807">IF(I3807="","",IFERROR(_xlfn.XLOOKUP(I3807,Base_Datos!$D$2:$D3876,Base_Datos!$C$2:$C3876),""))</f>
        <v/>
      </c>
      <c r="I3807" s="3"/>
      <c r="J3807" s="3" t="str">
        <f>IF(I3807="","",IFERROR(VLOOKUP(I3807,Base_Datos!$D$2:$E$72,2,0),""))</f>
        <v/>
      </c>
      <c r="K3807" s="3"/>
      <c r="L3807" s="3"/>
      <c r="M3807" s="3"/>
      <c r="N3807" s="3"/>
    </row>
    <row r="3808" spans="1:14" ht="14.25" x14ac:dyDescent="0.2">
      <c r="A3808" s="3"/>
      <c r="B3808" s="3"/>
      <c r="C3808" s="3"/>
      <c r="D3808" s="6"/>
      <c r="E3808" s="10"/>
      <c r="F3808" s="3" t="str">
        <f>IFERROR( VLOOKUP(A3808,#REF!,2,0),"")</f>
        <v/>
      </c>
      <c r="G3808" s="3">
        <f t="array" ref="G3808">_xlfn.XLOOKUP(I3808,Base_Datos!D:D,Base_Datos!B:B,"")</f>
        <v>0</v>
      </c>
      <c r="H3808" s="3" t="str">
        <f t="array" ref="H3808">IF(I3808="","",IFERROR(_xlfn.XLOOKUP(I3808,Base_Datos!$D$2:$D3876,Base_Datos!$C$2:$C3876),""))</f>
        <v/>
      </c>
      <c r="I3808" s="3"/>
      <c r="J3808" s="3" t="str">
        <f>IF(I3808="","",IFERROR(VLOOKUP(I3808,Base_Datos!$D$2:$E$72,2,0),""))</f>
        <v/>
      </c>
      <c r="K3808" s="3"/>
      <c r="L3808" s="3"/>
      <c r="M3808" s="3"/>
      <c r="N3808" s="3"/>
    </row>
    <row r="3809" spans="1:14" ht="14.25" x14ac:dyDescent="0.2">
      <c r="A3809" s="3"/>
      <c r="B3809" s="3"/>
      <c r="C3809" s="3"/>
      <c r="D3809" s="6"/>
      <c r="E3809" s="10"/>
      <c r="F3809" s="3" t="str">
        <f>IFERROR( VLOOKUP(A3809,#REF!,2,0),"")</f>
        <v/>
      </c>
      <c r="G3809" s="3">
        <f t="array" ref="G3809">_xlfn.XLOOKUP(I3809,Base_Datos!D:D,Base_Datos!B:B,"")</f>
        <v>0</v>
      </c>
      <c r="H3809" s="3" t="str">
        <f t="array" ref="H3809">IF(I3809="","",IFERROR(_xlfn.XLOOKUP(I3809,Base_Datos!$D$2:$D3876,Base_Datos!$C$2:$C3876),""))</f>
        <v/>
      </c>
      <c r="I3809" s="3"/>
      <c r="J3809" s="3" t="str">
        <f>IF(I3809="","",IFERROR(VLOOKUP(I3809,Base_Datos!$D$2:$E$72,2,0),""))</f>
        <v/>
      </c>
      <c r="K3809" s="3"/>
      <c r="L3809" s="3"/>
      <c r="M3809" s="3"/>
      <c r="N3809" s="3"/>
    </row>
    <row r="3810" spans="1:14" ht="14.25" x14ac:dyDescent="0.2">
      <c r="A3810" s="3"/>
      <c r="B3810" s="3"/>
      <c r="C3810" s="3"/>
      <c r="D3810" s="6"/>
      <c r="E3810" s="10"/>
      <c r="F3810" s="3" t="str">
        <f>IFERROR( VLOOKUP(A3810,#REF!,2,0),"")</f>
        <v/>
      </c>
      <c r="G3810" s="3">
        <f t="array" ref="G3810">_xlfn.XLOOKUP(I3810,Base_Datos!D:D,Base_Datos!B:B,"")</f>
        <v>0</v>
      </c>
      <c r="H3810" s="3" t="str">
        <f t="array" ref="H3810">IF(I3810="","",IFERROR(_xlfn.XLOOKUP(I3810,Base_Datos!$D$2:$D3876,Base_Datos!$C$2:$C3876),""))</f>
        <v/>
      </c>
      <c r="I3810" s="3"/>
      <c r="J3810" s="3" t="str">
        <f>IF(I3810="","",IFERROR(VLOOKUP(I3810,Base_Datos!$D$2:$E$72,2,0),""))</f>
        <v/>
      </c>
      <c r="K3810" s="3"/>
      <c r="L3810" s="3"/>
      <c r="M3810" s="3"/>
      <c r="N3810" s="3"/>
    </row>
    <row r="3811" spans="1:14" ht="14.25" x14ac:dyDescent="0.2">
      <c r="A3811" s="3"/>
      <c r="B3811" s="3"/>
      <c r="C3811" s="3"/>
      <c r="D3811" s="6"/>
      <c r="E3811" s="10"/>
      <c r="F3811" s="3" t="str">
        <f>IFERROR( VLOOKUP(A3811,#REF!,2,0),"")</f>
        <v/>
      </c>
      <c r="G3811" s="3">
        <f t="array" ref="G3811">_xlfn.XLOOKUP(I3811,Base_Datos!D:D,Base_Datos!B:B,"")</f>
        <v>0</v>
      </c>
      <c r="H3811" s="3" t="str">
        <f t="array" ref="H3811">IF(I3811="","",IFERROR(_xlfn.XLOOKUP(I3811,Base_Datos!$D$2:$D3876,Base_Datos!$C$2:$C3876),""))</f>
        <v/>
      </c>
      <c r="I3811" s="3"/>
      <c r="J3811" s="3" t="str">
        <f>IF(I3811="","",IFERROR(VLOOKUP(I3811,Base_Datos!$D$2:$E$72,2,0),""))</f>
        <v/>
      </c>
      <c r="K3811" s="3"/>
      <c r="L3811" s="3"/>
      <c r="M3811" s="3"/>
      <c r="N3811" s="3"/>
    </row>
    <row r="3812" spans="1:14" ht="14.25" x14ac:dyDescent="0.2">
      <c r="A3812" s="3"/>
      <c r="B3812" s="3"/>
      <c r="C3812" s="3"/>
      <c r="D3812" s="6"/>
      <c r="E3812" s="10"/>
      <c r="F3812" s="3" t="str">
        <f>IFERROR( VLOOKUP(A3812,#REF!,2,0),"")</f>
        <v/>
      </c>
      <c r="G3812" s="3">
        <f t="array" ref="G3812">_xlfn.XLOOKUP(I3812,Base_Datos!D:D,Base_Datos!B:B,"")</f>
        <v>0</v>
      </c>
      <c r="H3812" s="3" t="str">
        <f t="array" ref="H3812">IF(I3812="","",IFERROR(_xlfn.XLOOKUP(I3812,Base_Datos!$D$2:$D3876,Base_Datos!$C$2:$C3876),""))</f>
        <v/>
      </c>
      <c r="I3812" s="3"/>
      <c r="J3812" s="3" t="str">
        <f>IF(I3812="","",IFERROR(VLOOKUP(I3812,Base_Datos!$D$2:$E$72,2,0),""))</f>
        <v/>
      </c>
      <c r="K3812" s="3"/>
      <c r="L3812" s="3"/>
      <c r="M3812" s="3"/>
      <c r="N3812" s="3"/>
    </row>
    <row r="3813" spans="1:14" ht="14.25" x14ac:dyDescent="0.2">
      <c r="A3813" s="3"/>
      <c r="B3813" s="3"/>
      <c r="C3813" s="3"/>
      <c r="D3813" s="6"/>
      <c r="E3813" s="10"/>
      <c r="F3813" s="3" t="str">
        <f>IFERROR( VLOOKUP(A3813,#REF!,2,0),"")</f>
        <v/>
      </c>
      <c r="G3813" s="3">
        <f t="array" ref="G3813">_xlfn.XLOOKUP(I3813,Base_Datos!D:D,Base_Datos!B:B,"")</f>
        <v>0</v>
      </c>
      <c r="H3813" s="3" t="str">
        <f t="array" ref="H3813">IF(I3813="","",IFERROR(_xlfn.XLOOKUP(I3813,Base_Datos!$D$2:$D3876,Base_Datos!$C$2:$C3876),""))</f>
        <v/>
      </c>
      <c r="I3813" s="3"/>
      <c r="J3813" s="3" t="str">
        <f>IF(I3813="","",IFERROR(VLOOKUP(I3813,Base_Datos!$D$2:$E$72,2,0),""))</f>
        <v/>
      </c>
      <c r="K3813" s="3"/>
      <c r="L3813" s="3"/>
      <c r="M3813" s="3"/>
      <c r="N3813" s="3"/>
    </row>
    <row r="3814" spans="1:14" ht="14.25" x14ac:dyDescent="0.2">
      <c r="A3814" s="3"/>
      <c r="B3814" s="3"/>
      <c r="C3814" s="3"/>
      <c r="D3814" s="6"/>
      <c r="E3814" s="10"/>
      <c r="F3814" s="3" t="str">
        <f>IFERROR( VLOOKUP(A3814,#REF!,2,0),"")</f>
        <v/>
      </c>
      <c r="G3814" s="3">
        <f t="array" ref="G3814">_xlfn.XLOOKUP(I3814,Base_Datos!D:D,Base_Datos!B:B,"")</f>
        <v>0</v>
      </c>
      <c r="H3814" s="3" t="str">
        <f t="array" ref="H3814">IF(I3814="","",IFERROR(_xlfn.XLOOKUP(I3814,Base_Datos!$D$2:$D3876,Base_Datos!$C$2:$C3876),""))</f>
        <v/>
      </c>
      <c r="I3814" s="3"/>
      <c r="J3814" s="3" t="str">
        <f>IF(I3814="","",IFERROR(VLOOKUP(I3814,Base_Datos!$D$2:$E$72,2,0),""))</f>
        <v/>
      </c>
      <c r="K3814" s="3"/>
      <c r="L3814" s="3"/>
      <c r="M3814" s="3"/>
      <c r="N3814" s="3"/>
    </row>
    <row r="3815" spans="1:14" ht="14.25" x14ac:dyDescent="0.2">
      <c r="A3815" s="3"/>
      <c r="B3815" s="3"/>
      <c r="C3815" s="3"/>
      <c r="D3815" s="6"/>
      <c r="E3815" s="10"/>
      <c r="F3815" s="3" t="str">
        <f>IFERROR( VLOOKUP(A3815,#REF!,2,0),"")</f>
        <v/>
      </c>
      <c r="G3815" s="3">
        <f t="array" ref="G3815">_xlfn.XLOOKUP(I3815,Base_Datos!D:D,Base_Datos!B:B,"")</f>
        <v>0</v>
      </c>
      <c r="H3815" s="3" t="str">
        <f t="array" ref="H3815">IF(I3815="","",IFERROR(_xlfn.XLOOKUP(I3815,Base_Datos!$D$2:$D3876,Base_Datos!$C$2:$C3876),""))</f>
        <v/>
      </c>
      <c r="I3815" s="3"/>
      <c r="J3815" s="3" t="str">
        <f>IF(I3815="","",IFERROR(VLOOKUP(I3815,Base_Datos!$D$2:$E$72,2,0),""))</f>
        <v/>
      </c>
      <c r="K3815" s="3"/>
      <c r="L3815" s="3"/>
      <c r="M3815" s="3"/>
      <c r="N3815" s="3"/>
    </row>
    <row r="3816" spans="1:14" ht="14.25" x14ac:dyDescent="0.2">
      <c r="A3816" s="3"/>
      <c r="B3816" s="3"/>
      <c r="C3816" s="3"/>
      <c r="D3816" s="6"/>
      <c r="E3816" s="10"/>
      <c r="F3816" s="3" t="str">
        <f>IFERROR( VLOOKUP(A3816,#REF!,2,0),"")</f>
        <v/>
      </c>
      <c r="G3816" s="3">
        <f t="array" ref="G3816">_xlfn.XLOOKUP(I3816,Base_Datos!D:D,Base_Datos!B:B,"")</f>
        <v>0</v>
      </c>
      <c r="H3816" s="3" t="str">
        <f t="array" ref="H3816">IF(I3816="","",IFERROR(_xlfn.XLOOKUP(I3816,Base_Datos!$D$2:$D3876,Base_Datos!$C$2:$C3876),""))</f>
        <v/>
      </c>
      <c r="I3816" s="3"/>
      <c r="J3816" s="3" t="str">
        <f>IF(I3816="","",IFERROR(VLOOKUP(I3816,Base_Datos!$D$2:$E$72,2,0),""))</f>
        <v/>
      </c>
      <c r="K3816" s="3"/>
      <c r="L3816" s="3"/>
      <c r="M3816" s="3"/>
      <c r="N3816" s="3"/>
    </row>
    <row r="3817" spans="1:14" ht="14.25" x14ac:dyDescent="0.2">
      <c r="A3817" s="3"/>
      <c r="B3817" s="3"/>
      <c r="C3817" s="3"/>
      <c r="D3817" s="6"/>
      <c r="E3817" s="10"/>
      <c r="F3817" s="3" t="str">
        <f>IFERROR( VLOOKUP(A3817,#REF!,2,0),"")</f>
        <v/>
      </c>
      <c r="G3817" s="3">
        <f t="array" ref="G3817">_xlfn.XLOOKUP(I3817,Base_Datos!D:D,Base_Datos!B:B,"")</f>
        <v>0</v>
      </c>
      <c r="H3817" s="3" t="str">
        <f t="array" ref="H3817">IF(I3817="","",IFERROR(_xlfn.XLOOKUP(I3817,Base_Datos!$D$2:$D3876,Base_Datos!$C$2:$C3876),""))</f>
        <v/>
      </c>
      <c r="I3817" s="3"/>
      <c r="J3817" s="3" t="str">
        <f>IF(I3817="","",IFERROR(VLOOKUP(I3817,Base_Datos!$D$2:$E$72,2,0),""))</f>
        <v/>
      </c>
      <c r="K3817" s="3"/>
      <c r="L3817" s="3"/>
      <c r="M3817" s="3"/>
      <c r="N3817" s="3"/>
    </row>
    <row r="3818" spans="1:14" ht="14.25" x14ac:dyDescent="0.2">
      <c r="A3818" s="3"/>
      <c r="B3818" s="3"/>
      <c r="C3818" s="3"/>
      <c r="D3818" s="6"/>
      <c r="E3818" s="10"/>
      <c r="F3818" s="3" t="str">
        <f>IFERROR( VLOOKUP(A3818,#REF!,2,0),"")</f>
        <v/>
      </c>
      <c r="G3818" s="3">
        <f t="array" ref="G3818">_xlfn.XLOOKUP(I3818,Base_Datos!D:D,Base_Datos!B:B,"")</f>
        <v>0</v>
      </c>
      <c r="H3818" s="3" t="str">
        <f t="array" ref="H3818">IF(I3818="","",IFERROR(_xlfn.XLOOKUP(I3818,Base_Datos!$D$2:$D3876,Base_Datos!$C$2:$C3876),""))</f>
        <v/>
      </c>
      <c r="I3818" s="3"/>
      <c r="J3818" s="3" t="str">
        <f>IF(I3818="","",IFERROR(VLOOKUP(I3818,Base_Datos!$D$2:$E$72,2,0),""))</f>
        <v/>
      </c>
      <c r="K3818" s="3"/>
      <c r="L3818" s="3"/>
      <c r="M3818" s="3"/>
      <c r="N3818" s="3"/>
    </row>
    <row r="3819" spans="1:14" ht="14.25" x14ac:dyDescent="0.2">
      <c r="A3819" s="3"/>
      <c r="B3819" s="3"/>
      <c r="C3819" s="3"/>
      <c r="D3819" s="6"/>
      <c r="E3819" s="10"/>
      <c r="F3819" s="3" t="str">
        <f>IFERROR( VLOOKUP(A3819,#REF!,2,0),"")</f>
        <v/>
      </c>
      <c r="G3819" s="3">
        <f t="array" ref="G3819">_xlfn.XLOOKUP(I3819,Base_Datos!D:D,Base_Datos!B:B,"")</f>
        <v>0</v>
      </c>
      <c r="H3819" s="3" t="str">
        <f t="array" ref="H3819">IF(I3819="","",IFERROR(_xlfn.XLOOKUP(I3819,Base_Datos!$D$2:$D3876,Base_Datos!$C$2:$C3876),""))</f>
        <v/>
      </c>
      <c r="I3819" s="3"/>
      <c r="J3819" s="3" t="str">
        <f>IF(I3819="","",IFERROR(VLOOKUP(I3819,Base_Datos!$D$2:$E$72,2,0),""))</f>
        <v/>
      </c>
      <c r="K3819" s="3"/>
      <c r="L3819" s="3"/>
      <c r="M3819" s="3"/>
      <c r="N3819" s="3"/>
    </row>
    <row r="3820" spans="1:14" ht="14.25" x14ac:dyDescent="0.2">
      <c r="A3820" s="3"/>
      <c r="B3820" s="3"/>
      <c r="C3820" s="3"/>
      <c r="D3820" s="6"/>
      <c r="E3820" s="10"/>
      <c r="F3820" s="3" t="str">
        <f>IFERROR( VLOOKUP(A3820,#REF!,2,0),"")</f>
        <v/>
      </c>
      <c r="G3820" s="3">
        <f t="array" ref="G3820">_xlfn.XLOOKUP(I3820,Base_Datos!D:D,Base_Datos!B:B,"")</f>
        <v>0</v>
      </c>
      <c r="H3820" s="3" t="str">
        <f t="array" ref="H3820">IF(I3820="","",IFERROR(_xlfn.XLOOKUP(I3820,Base_Datos!$D$2:$D3876,Base_Datos!$C$2:$C3876),""))</f>
        <v/>
      </c>
      <c r="I3820" s="3"/>
      <c r="J3820" s="3" t="str">
        <f>IF(I3820="","",IFERROR(VLOOKUP(I3820,Base_Datos!$D$2:$E$72,2,0),""))</f>
        <v/>
      </c>
      <c r="K3820" s="3"/>
      <c r="L3820" s="3"/>
      <c r="M3820" s="3"/>
      <c r="N3820" s="3"/>
    </row>
    <row r="3821" spans="1:14" ht="14.25" x14ac:dyDescent="0.2">
      <c r="A3821" s="3"/>
      <c r="B3821" s="3"/>
      <c r="C3821" s="3"/>
      <c r="D3821" s="6"/>
      <c r="E3821" s="10"/>
      <c r="F3821" s="3" t="str">
        <f>IFERROR( VLOOKUP(A3821,#REF!,2,0),"")</f>
        <v/>
      </c>
      <c r="G3821" s="3">
        <f t="array" ref="G3821">_xlfn.XLOOKUP(I3821,Base_Datos!D:D,Base_Datos!B:B,"")</f>
        <v>0</v>
      </c>
      <c r="H3821" s="3" t="str">
        <f t="array" ref="H3821">IF(I3821="","",IFERROR(_xlfn.XLOOKUP(I3821,Base_Datos!$D$2:$D3876,Base_Datos!$C$2:$C3876),""))</f>
        <v/>
      </c>
      <c r="I3821" s="3"/>
      <c r="J3821" s="3" t="str">
        <f>IF(I3821="","",IFERROR(VLOOKUP(I3821,Base_Datos!$D$2:$E$72,2,0),""))</f>
        <v/>
      </c>
      <c r="K3821" s="3"/>
      <c r="L3821" s="3"/>
      <c r="M3821" s="3"/>
      <c r="N3821" s="3"/>
    </row>
    <row r="3822" spans="1:14" ht="14.25" x14ac:dyDescent="0.2">
      <c r="A3822" s="3"/>
      <c r="B3822" s="3"/>
      <c r="C3822" s="3"/>
      <c r="D3822" s="6"/>
      <c r="E3822" s="10"/>
      <c r="F3822" s="3" t="str">
        <f>IFERROR( VLOOKUP(A3822,#REF!,2,0),"")</f>
        <v/>
      </c>
      <c r="G3822" s="3">
        <f t="array" ref="G3822">_xlfn.XLOOKUP(I3822,Base_Datos!D:D,Base_Datos!B:B,"")</f>
        <v>0</v>
      </c>
      <c r="H3822" s="3" t="str">
        <f t="array" ref="H3822">IF(I3822="","",IFERROR(_xlfn.XLOOKUP(I3822,Base_Datos!$D$2:$D3876,Base_Datos!$C$2:$C3876),""))</f>
        <v/>
      </c>
      <c r="I3822" s="3"/>
      <c r="J3822" s="3" t="str">
        <f>IF(I3822="","",IFERROR(VLOOKUP(I3822,Base_Datos!$D$2:$E$72,2,0),""))</f>
        <v/>
      </c>
      <c r="K3822" s="3"/>
      <c r="L3822" s="3"/>
      <c r="M3822" s="3"/>
      <c r="N3822" s="3"/>
    </row>
    <row r="3823" spans="1:14" ht="14.25" x14ac:dyDescent="0.2">
      <c r="A3823" s="3"/>
      <c r="B3823" s="3"/>
      <c r="C3823" s="3"/>
      <c r="D3823" s="6"/>
      <c r="E3823" s="10"/>
      <c r="F3823" s="3" t="str">
        <f>IFERROR( VLOOKUP(A3823,#REF!,2,0),"")</f>
        <v/>
      </c>
      <c r="G3823" s="3">
        <f t="array" ref="G3823">_xlfn.XLOOKUP(I3823,Base_Datos!D:D,Base_Datos!B:B,"")</f>
        <v>0</v>
      </c>
      <c r="H3823" s="3" t="str">
        <f t="array" ref="H3823">IF(I3823="","",IFERROR(_xlfn.XLOOKUP(I3823,Base_Datos!$D$2:$D3876,Base_Datos!$C$2:$C3876),""))</f>
        <v/>
      </c>
      <c r="I3823" s="3"/>
      <c r="J3823" s="3" t="str">
        <f>IF(I3823="","",IFERROR(VLOOKUP(I3823,Base_Datos!$D$2:$E$72,2,0),""))</f>
        <v/>
      </c>
      <c r="K3823" s="3"/>
      <c r="L3823" s="3"/>
      <c r="M3823" s="3"/>
      <c r="N3823" s="3"/>
    </row>
    <row r="3824" spans="1:14" ht="14.25" x14ac:dyDescent="0.2">
      <c r="A3824" s="3"/>
      <c r="B3824" s="3"/>
      <c r="C3824" s="3"/>
      <c r="D3824" s="6"/>
      <c r="E3824" s="10"/>
      <c r="F3824" s="3" t="str">
        <f>IFERROR( VLOOKUP(A3824,#REF!,2,0),"")</f>
        <v/>
      </c>
      <c r="G3824" s="3">
        <f t="array" ref="G3824">_xlfn.XLOOKUP(I3824,Base_Datos!D:D,Base_Datos!B:B,"")</f>
        <v>0</v>
      </c>
      <c r="H3824" s="3" t="str">
        <f t="array" ref="H3824">IF(I3824="","",IFERROR(_xlfn.XLOOKUP(I3824,Base_Datos!$D$2:$D3876,Base_Datos!$C$2:$C3876),""))</f>
        <v/>
      </c>
      <c r="I3824" s="3"/>
      <c r="J3824" s="3" t="str">
        <f>IF(I3824="","",IFERROR(VLOOKUP(I3824,Base_Datos!$D$2:$E$72,2,0),""))</f>
        <v/>
      </c>
      <c r="K3824" s="3"/>
      <c r="L3824" s="3"/>
      <c r="M3824" s="3"/>
      <c r="N3824" s="3"/>
    </row>
    <row r="3825" spans="1:14" ht="14.25" x14ac:dyDescent="0.2">
      <c r="A3825" s="3"/>
      <c r="B3825" s="3"/>
      <c r="C3825" s="3"/>
      <c r="D3825" s="6"/>
      <c r="E3825" s="10"/>
      <c r="F3825" s="3" t="str">
        <f>IFERROR( VLOOKUP(A3825,#REF!,2,0),"")</f>
        <v/>
      </c>
      <c r="G3825" s="3">
        <f t="array" ref="G3825">_xlfn.XLOOKUP(I3825,Base_Datos!D:D,Base_Datos!B:B,"")</f>
        <v>0</v>
      </c>
      <c r="H3825" s="3" t="str">
        <f t="array" ref="H3825">IF(I3825="","",IFERROR(_xlfn.XLOOKUP(I3825,Base_Datos!$D$2:$D3876,Base_Datos!$C$2:$C3876),""))</f>
        <v/>
      </c>
      <c r="I3825" s="3"/>
      <c r="J3825" s="3" t="str">
        <f>IF(I3825="","",IFERROR(VLOOKUP(I3825,Base_Datos!$D$2:$E$72,2,0),""))</f>
        <v/>
      </c>
      <c r="K3825" s="3"/>
      <c r="L3825" s="3"/>
      <c r="M3825" s="3"/>
      <c r="N3825" s="3"/>
    </row>
    <row r="3826" spans="1:14" ht="14.25" x14ac:dyDescent="0.2">
      <c r="A3826" s="3"/>
      <c r="B3826" s="3"/>
      <c r="C3826" s="3"/>
      <c r="D3826" s="6"/>
      <c r="E3826" s="10"/>
      <c r="F3826" s="3" t="str">
        <f>IFERROR( VLOOKUP(A3826,#REF!,2,0),"")</f>
        <v/>
      </c>
      <c r="G3826" s="3">
        <f t="array" ref="G3826">_xlfn.XLOOKUP(I3826,Base_Datos!D:D,Base_Datos!B:B,"")</f>
        <v>0</v>
      </c>
      <c r="H3826" s="3" t="str">
        <f t="array" ref="H3826">IF(I3826="","",IFERROR(_xlfn.XLOOKUP(I3826,Base_Datos!$D$2:$D3876,Base_Datos!$C$2:$C3876),""))</f>
        <v/>
      </c>
      <c r="I3826" s="3"/>
      <c r="J3826" s="3" t="str">
        <f>IF(I3826="","",IFERROR(VLOOKUP(I3826,Base_Datos!$D$2:$E$72,2,0),""))</f>
        <v/>
      </c>
      <c r="K3826" s="3"/>
      <c r="L3826" s="3"/>
      <c r="M3826" s="3"/>
      <c r="N3826" s="3"/>
    </row>
    <row r="3827" spans="1:14" ht="14.25" x14ac:dyDescent="0.2">
      <c r="A3827" s="3"/>
      <c r="B3827" s="3"/>
      <c r="C3827" s="3"/>
      <c r="D3827" s="6"/>
      <c r="E3827" s="10"/>
      <c r="F3827" s="3" t="str">
        <f>IFERROR( VLOOKUP(A3827,#REF!,2,0),"")</f>
        <v/>
      </c>
      <c r="G3827" s="3">
        <f t="array" ref="G3827">_xlfn.XLOOKUP(I3827,Base_Datos!D:D,Base_Datos!B:B,"")</f>
        <v>0</v>
      </c>
      <c r="H3827" s="3" t="str">
        <f t="array" ref="H3827">IF(I3827="","",IFERROR(_xlfn.XLOOKUP(I3827,Base_Datos!$D$2:$D3876,Base_Datos!$C$2:$C3876),""))</f>
        <v/>
      </c>
      <c r="I3827" s="3"/>
      <c r="J3827" s="3" t="str">
        <f>IF(I3827="","",IFERROR(VLOOKUP(I3827,Base_Datos!$D$2:$E$72,2,0),""))</f>
        <v/>
      </c>
      <c r="K3827" s="3"/>
      <c r="L3827" s="3"/>
      <c r="M3827" s="3"/>
      <c r="N3827" s="3"/>
    </row>
    <row r="3828" spans="1:14" ht="14.25" x14ac:dyDescent="0.2">
      <c r="A3828" s="3"/>
      <c r="B3828" s="3"/>
      <c r="C3828" s="3"/>
      <c r="D3828" s="6"/>
      <c r="E3828" s="10"/>
      <c r="F3828" s="3" t="str">
        <f>IFERROR( VLOOKUP(A3828,#REF!,2,0),"")</f>
        <v/>
      </c>
      <c r="G3828" s="3">
        <f t="array" ref="G3828">_xlfn.XLOOKUP(I3828,Base_Datos!D:D,Base_Datos!B:B,"")</f>
        <v>0</v>
      </c>
      <c r="H3828" s="3" t="str">
        <f t="array" ref="H3828">IF(I3828="","",IFERROR(_xlfn.XLOOKUP(I3828,Base_Datos!$D$2:$D3876,Base_Datos!$C$2:$C3876),""))</f>
        <v/>
      </c>
      <c r="I3828" s="3"/>
      <c r="J3828" s="3" t="str">
        <f>IF(I3828="","",IFERROR(VLOOKUP(I3828,Base_Datos!$D$2:$E$72,2,0),""))</f>
        <v/>
      </c>
      <c r="K3828" s="3"/>
      <c r="L3828" s="3"/>
      <c r="M3828" s="3"/>
      <c r="N3828" s="3"/>
    </row>
    <row r="3829" spans="1:14" ht="14.25" x14ac:dyDescent="0.2">
      <c r="A3829" s="3"/>
      <c r="B3829" s="3"/>
      <c r="C3829" s="3"/>
      <c r="D3829" s="6"/>
      <c r="E3829" s="10"/>
      <c r="F3829" s="3" t="str">
        <f>IFERROR( VLOOKUP(A3829,#REF!,2,0),"")</f>
        <v/>
      </c>
      <c r="G3829" s="3">
        <f t="array" ref="G3829">_xlfn.XLOOKUP(I3829,Base_Datos!D:D,Base_Datos!B:B,"")</f>
        <v>0</v>
      </c>
      <c r="H3829" s="3" t="str">
        <f t="array" ref="H3829">IF(I3829="","",IFERROR(_xlfn.XLOOKUP(I3829,Base_Datos!$D$2:$D3876,Base_Datos!$C$2:$C3876),""))</f>
        <v/>
      </c>
      <c r="I3829" s="3"/>
      <c r="J3829" s="3" t="str">
        <f>IF(I3829="","",IFERROR(VLOOKUP(I3829,Base_Datos!$D$2:$E$72,2,0),""))</f>
        <v/>
      </c>
      <c r="K3829" s="3"/>
      <c r="L3829" s="3"/>
      <c r="M3829" s="3"/>
      <c r="N3829" s="3"/>
    </row>
    <row r="3830" spans="1:14" ht="14.25" x14ac:dyDescent="0.2">
      <c r="A3830" s="3"/>
      <c r="B3830" s="3"/>
      <c r="C3830" s="3"/>
      <c r="D3830" s="6"/>
      <c r="E3830" s="10"/>
      <c r="F3830" s="3" t="str">
        <f>IFERROR( VLOOKUP(A3830,#REF!,2,0),"")</f>
        <v/>
      </c>
      <c r="G3830" s="3">
        <f t="array" ref="G3830">_xlfn.XLOOKUP(I3830,Base_Datos!D:D,Base_Datos!B:B,"")</f>
        <v>0</v>
      </c>
      <c r="H3830" s="3" t="str">
        <f t="array" ref="H3830">IF(I3830="","",IFERROR(_xlfn.XLOOKUP(I3830,Base_Datos!$D$2:$D3876,Base_Datos!$C$2:$C3876),""))</f>
        <v/>
      </c>
      <c r="I3830" s="3"/>
      <c r="J3830" s="3" t="str">
        <f>IF(I3830="","",IFERROR(VLOOKUP(I3830,Base_Datos!$D$2:$E$72,2,0),""))</f>
        <v/>
      </c>
      <c r="K3830" s="3"/>
      <c r="L3830" s="3"/>
      <c r="M3830" s="3"/>
      <c r="N3830" s="3"/>
    </row>
    <row r="3831" spans="1:14" ht="14.25" x14ac:dyDescent="0.2">
      <c r="A3831" s="3"/>
      <c r="B3831" s="3"/>
      <c r="C3831" s="3"/>
      <c r="D3831" s="6"/>
      <c r="E3831" s="10"/>
      <c r="F3831" s="3" t="str">
        <f>IFERROR( VLOOKUP(A3831,#REF!,2,0),"")</f>
        <v/>
      </c>
      <c r="G3831" s="3">
        <f t="array" ref="G3831">_xlfn.XLOOKUP(I3831,Base_Datos!D:D,Base_Datos!B:B,"")</f>
        <v>0</v>
      </c>
      <c r="H3831" s="3" t="str">
        <f t="array" ref="H3831">IF(I3831="","",IFERROR(_xlfn.XLOOKUP(I3831,Base_Datos!$D$2:$D3876,Base_Datos!$C$2:$C3876),""))</f>
        <v/>
      </c>
      <c r="I3831" s="3"/>
      <c r="J3831" s="3" t="str">
        <f>IF(I3831="","",IFERROR(VLOOKUP(I3831,Base_Datos!$D$2:$E$72,2,0),""))</f>
        <v/>
      </c>
      <c r="K3831" s="3"/>
      <c r="L3831" s="3"/>
      <c r="M3831" s="3"/>
      <c r="N3831" s="3"/>
    </row>
    <row r="3832" spans="1:14" ht="14.25" x14ac:dyDescent="0.2">
      <c r="A3832" s="3"/>
      <c r="B3832" s="3"/>
      <c r="C3832" s="3"/>
      <c r="D3832" s="6"/>
      <c r="E3832" s="10"/>
      <c r="F3832" s="3" t="str">
        <f>IFERROR( VLOOKUP(A3832,#REF!,2,0),"")</f>
        <v/>
      </c>
      <c r="G3832" s="3">
        <f t="array" ref="G3832">_xlfn.XLOOKUP(I3832,Base_Datos!D:D,Base_Datos!B:B,"")</f>
        <v>0</v>
      </c>
      <c r="H3832" s="3" t="str">
        <f t="array" ref="H3832">IF(I3832="","",IFERROR(_xlfn.XLOOKUP(I3832,Base_Datos!$D$2:$D3876,Base_Datos!$C$2:$C3876),""))</f>
        <v/>
      </c>
      <c r="I3832" s="3"/>
      <c r="J3832" s="3" t="str">
        <f>IF(I3832="","",IFERROR(VLOOKUP(I3832,Base_Datos!$D$2:$E$72,2,0),""))</f>
        <v/>
      </c>
      <c r="K3832" s="3"/>
      <c r="L3832" s="3"/>
      <c r="M3832" s="3"/>
      <c r="N3832" s="3"/>
    </row>
    <row r="3833" spans="1:14" ht="14.25" x14ac:dyDescent="0.2">
      <c r="A3833" s="3"/>
      <c r="B3833" s="3"/>
      <c r="C3833" s="3"/>
      <c r="D3833" s="6"/>
      <c r="E3833" s="10"/>
      <c r="F3833" s="3" t="str">
        <f>IFERROR( VLOOKUP(A3833,#REF!,2,0),"")</f>
        <v/>
      </c>
      <c r="G3833" s="3">
        <f t="array" ref="G3833">_xlfn.XLOOKUP(I3833,Base_Datos!D:D,Base_Datos!B:B,"")</f>
        <v>0</v>
      </c>
      <c r="H3833" s="3" t="str">
        <f t="array" ref="H3833">IF(I3833="","",IFERROR(_xlfn.XLOOKUP(I3833,Base_Datos!$D$2:$D3876,Base_Datos!$C$2:$C3876),""))</f>
        <v/>
      </c>
      <c r="I3833" s="3"/>
      <c r="J3833" s="3" t="str">
        <f>IF(I3833="","",IFERROR(VLOOKUP(I3833,Base_Datos!$D$2:$E$72,2,0),""))</f>
        <v/>
      </c>
      <c r="K3833" s="3"/>
      <c r="L3833" s="3"/>
      <c r="M3833" s="3"/>
      <c r="N3833" s="3"/>
    </row>
    <row r="3834" spans="1:14" ht="14.25" x14ac:dyDescent="0.2">
      <c r="A3834" s="3"/>
      <c r="B3834" s="3"/>
      <c r="C3834" s="3"/>
      <c r="D3834" s="6"/>
      <c r="E3834" s="10"/>
      <c r="F3834" s="3" t="str">
        <f>IFERROR( VLOOKUP(A3834,#REF!,2,0),"")</f>
        <v/>
      </c>
      <c r="G3834" s="3">
        <f t="array" ref="G3834">_xlfn.XLOOKUP(I3834,Base_Datos!D:D,Base_Datos!B:B,"")</f>
        <v>0</v>
      </c>
      <c r="H3834" s="3" t="str">
        <f t="array" ref="H3834">IF(I3834="","",IFERROR(_xlfn.XLOOKUP(I3834,Base_Datos!$D$2:$D3876,Base_Datos!$C$2:$C3876),""))</f>
        <v/>
      </c>
      <c r="I3834" s="3"/>
      <c r="J3834" s="3" t="str">
        <f>IF(I3834="","",IFERROR(VLOOKUP(I3834,Base_Datos!$D$2:$E$72,2,0),""))</f>
        <v/>
      </c>
      <c r="K3834" s="3"/>
      <c r="L3834" s="3"/>
      <c r="M3834" s="3"/>
      <c r="N3834" s="3"/>
    </row>
    <row r="3835" spans="1:14" ht="14.25" x14ac:dyDescent="0.2">
      <c r="A3835" s="3"/>
      <c r="B3835" s="3"/>
      <c r="C3835" s="3"/>
      <c r="D3835" s="6"/>
      <c r="E3835" s="10"/>
      <c r="F3835" s="3" t="str">
        <f>IFERROR( VLOOKUP(A3835,#REF!,2,0),"")</f>
        <v/>
      </c>
      <c r="G3835" s="3">
        <f t="array" ref="G3835">_xlfn.XLOOKUP(I3835,Base_Datos!D:D,Base_Datos!B:B,"")</f>
        <v>0</v>
      </c>
      <c r="H3835" s="3" t="str">
        <f t="array" ref="H3835">IF(I3835="","",IFERROR(_xlfn.XLOOKUP(I3835,Base_Datos!$D$2:$D3876,Base_Datos!$C$2:$C3876),""))</f>
        <v/>
      </c>
      <c r="I3835" s="3"/>
      <c r="J3835" s="3" t="str">
        <f>IF(I3835="","",IFERROR(VLOOKUP(I3835,Base_Datos!$D$2:$E$72,2,0),""))</f>
        <v/>
      </c>
      <c r="K3835" s="3"/>
      <c r="L3835" s="3"/>
      <c r="M3835" s="3"/>
      <c r="N3835" s="3"/>
    </row>
    <row r="3836" spans="1:14" ht="14.25" x14ac:dyDescent="0.2">
      <c r="A3836" s="3"/>
      <c r="B3836" s="3"/>
      <c r="C3836" s="3"/>
      <c r="D3836" s="6"/>
      <c r="E3836" s="10"/>
      <c r="F3836" s="3" t="str">
        <f>IFERROR( VLOOKUP(A3836,#REF!,2,0),"")</f>
        <v/>
      </c>
      <c r="G3836" s="3">
        <f t="array" ref="G3836">_xlfn.XLOOKUP(I3836,Base_Datos!D:D,Base_Datos!B:B,"")</f>
        <v>0</v>
      </c>
      <c r="H3836" s="3" t="str">
        <f t="array" ref="H3836">IF(I3836="","",IFERROR(_xlfn.XLOOKUP(I3836,Base_Datos!$D$2:$D3876,Base_Datos!$C$2:$C3876),""))</f>
        <v/>
      </c>
      <c r="I3836" s="3"/>
      <c r="J3836" s="3" t="str">
        <f>IF(I3836="","",IFERROR(VLOOKUP(I3836,Base_Datos!$D$2:$E$72,2,0),""))</f>
        <v/>
      </c>
      <c r="K3836" s="3"/>
      <c r="L3836" s="3"/>
      <c r="M3836" s="3"/>
      <c r="N3836" s="3"/>
    </row>
    <row r="3837" spans="1:14" ht="14.25" x14ac:dyDescent="0.2">
      <c r="A3837" s="3"/>
      <c r="B3837" s="3"/>
      <c r="C3837" s="3"/>
      <c r="D3837" s="6"/>
      <c r="E3837" s="10"/>
      <c r="F3837" s="3" t="str">
        <f>IFERROR( VLOOKUP(A3837,#REF!,2,0),"")</f>
        <v/>
      </c>
      <c r="G3837" s="3">
        <f t="array" ref="G3837">_xlfn.XLOOKUP(I3837,Base_Datos!D:D,Base_Datos!B:B,"")</f>
        <v>0</v>
      </c>
      <c r="H3837" s="3" t="str">
        <f t="array" ref="H3837">IF(I3837="","",IFERROR(_xlfn.XLOOKUP(I3837,Base_Datos!$D$2:$D3876,Base_Datos!$C$2:$C3876),""))</f>
        <v/>
      </c>
      <c r="I3837" s="3"/>
      <c r="J3837" s="3" t="str">
        <f>IF(I3837="","",IFERROR(VLOOKUP(I3837,Base_Datos!$D$2:$E$72,2,0),""))</f>
        <v/>
      </c>
      <c r="K3837" s="3"/>
      <c r="L3837" s="3"/>
      <c r="M3837" s="3"/>
      <c r="N3837" s="3"/>
    </row>
    <row r="3838" spans="1:14" ht="14.25" x14ac:dyDescent="0.2">
      <c r="A3838" s="3"/>
      <c r="B3838" s="3"/>
      <c r="C3838" s="3"/>
      <c r="D3838" s="6"/>
      <c r="E3838" s="10"/>
      <c r="F3838" s="3" t="str">
        <f>IFERROR( VLOOKUP(A3838,#REF!,2,0),"")</f>
        <v/>
      </c>
      <c r="G3838" s="3">
        <f t="array" ref="G3838">_xlfn.XLOOKUP(I3838,Base_Datos!D:D,Base_Datos!B:B,"")</f>
        <v>0</v>
      </c>
      <c r="H3838" s="3" t="str">
        <f t="array" ref="H3838">IF(I3838="","",IFERROR(_xlfn.XLOOKUP(I3838,Base_Datos!$D$2:$D3876,Base_Datos!$C$2:$C3876),""))</f>
        <v/>
      </c>
      <c r="I3838" s="3"/>
      <c r="J3838" s="3" t="str">
        <f>IF(I3838="","",IFERROR(VLOOKUP(I3838,Base_Datos!$D$2:$E$72,2,0),""))</f>
        <v/>
      </c>
      <c r="K3838" s="3"/>
      <c r="L3838" s="3"/>
      <c r="M3838" s="3"/>
      <c r="N3838" s="3"/>
    </row>
    <row r="3839" spans="1:14" ht="14.25" x14ac:dyDescent="0.2">
      <c r="A3839" s="3"/>
      <c r="B3839" s="3"/>
      <c r="C3839" s="3"/>
      <c r="D3839" s="6"/>
      <c r="E3839" s="10"/>
      <c r="F3839" s="3" t="str">
        <f>IFERROR( VLOOKUP(A3839,#REF!,2,0),"")</f>
        <v/>
      </c>
      <c r="G3839" s="3">
        <f t="array" ref="G3839">_xlfn.XLOOKUP(I3839,Base_Datos!D:D,Base_Datos!B:B,"")</f>
        <v>0</v>
      </c>
      <c r="H3839" s="3" t="str">
        <f t="array" ref="H3839">IF(I3839="","",IFERROR(_xlfn.XLOOKUP(I3839,Base_Datos!$D$2:$D3876,Base_Datos!$C$2:$C3876),""))</f>
        <v/>
      </c>
      <c r="I3839" s="3"/>
      <c r="J3839" s="3" t="str">
        <f>IF(I3839="","",IFERROR(VLOOKUP(I3839,Base_Datos!$D$2:$E$72,2,0),""))</f>
        <v/>
      </c>
      <c r="K3839" s="3"/>
      <c r="L3839" s="3"/>
      <c r="M3839" s="3"/>
      <c r="N3839" s="3"/>
    </row>
    <row r="3840" spans="1:14" ht="14.25" x14ac:dyDescent="0.2">
      <c r="A3840" s="3"/>
      <c r="B3840" s="3"/>
      <c r="C3840" s="3"/>
      <c r="D3840" s="6"/>
      <c r="E3840" s="10"/>
      <c r="F3840" s="3" t="str">
        <f>IFERROR( VLOOKUP(A3840,#REF!,2,0),"")</f>
        <v/>
      </c>
      <c r="G3840" s="3">
        <f t="array" ref="G3840">_xlfn.XLOOKUP(I3840,Base_Datos!D:D,Base_Datos!B:B,"")</f>
        <v>0</v>
      </c>
      <c r="H3840" s="3" t="str">
        <f t="array" ref="H3840">IF(I3840="","",IFERROR(_xlfn.XLOOKUP(I3840,Base_Datos!$D$2:$D3876,Base_Datos!$C$2:$C3876),""))</f>
        <v/>
      </c>
      <c r="I3840" s="3"/>
      <c r="J3840" s="3" t="str">
        <f>IF(I3840="","",IFERROR(VLOOKUP(I3840,Base_Datos!$D$2:$E$72,2,0),""))</f>
        <v/>
      </c>
      <c r="K3840" s="3"/>
      <c r="L3840" s="3"/>
      <c r="M3840" s="3"/>
      <c r="N3840" s="3"/>
    </row>
    <row r="3841" spans="1:14" ht="14.25" x14ac:dyDescent="0.2">
      <c r="A3841" s="3"/>
      <c r="B3841" s="3"/>
      <c r="C3841" s="3"/>
      <c r="D3841" s="6"/>
      <c r="E3841" s="10"/>
      <c r="F3841" s="3" t="str">
        <f>IFERROR( VLOOKUP(A3841,#REF!,2,0),"")</f>
        <v/>
      </c>
      <c r="G3841" s="3">
        <f t="array" ref="G3841">_xlfn.XLOOKUP(I3841,Base_Datos!D:D,Base_Datos!B:B,"")</f>
        <v>0</v>
      </c>
      <c r="H3841" s="3" t="str">
        <f t="array" ref="H3841">IF(I3841="","",IFERROR(_xlfn.XLOOKUP(I3841,Base_Datos!$D$2:$D3876,Base_Datos!$C$2:$C3876),""))</f>
        <v/>
      </c>
      <c r="I3841" s="3"/>
      <c r="J3841" s="3" t="str">
        <f>IF(I3841="","",IFERROR(VLOOKUP(I3841,Base_Datos!$D$2:$E$72,2,0),""))</f>
        <v/>
      </c>
      <c r="K3841" s="3"/>
      <c r="L3841" s="3"/>
      <c r="M3841" s="3"/>
      <c r="N3841" s="3"/>
    </row>
    <row r="3842" spans="1:14" ht="14.25" x14ac:dyDescent="0.2">
      <c r="A3842" s="3"/>
      <c r="B3842" s="3"/>
      <c r="C3842" s="3"/>
      <c r="D3842" s="6"/>
      <c r="E3842" s="10"/>
      <c r="F3842" s="3" t="str">
        <f>IFERROR( VLOOKUP(A3842,#REF!,2,0),"")</f>
        <v/>
      </c>
      <c r="G3842" s="3">
        <f t="array" ref="G3842">_xlfn.XLOOKUP(I3842,Base_Datos!D:D,Base_Datos!B:B,"")</f>
        <v>0</v>
      </c>
      <c r="H3842" s="3" t="str">
        <f t="array" ref="H3842">IF(I3842="","",IFERROR(_xlfn.XLOOKUP(I3842,Base_Datos!$D$2:$D3876,Base_Datos!$C$2:$C3876),""))</f>
        <v/>
      </c>
      <c r="I3842" s="3"/>
      <c r="J3842" s="3" t="str">
        <f>IF(I3842="","",IFERROR(VLOOKUP(I3842,Base_Datos!$D$2:$E$72,2,0),""))</f>
        <v/>
      </c>
      <c r="K3842" s="3"/>
      <c r="L3842" s="3"/>
      <c r="M3842" s="3"/>
      <c r="N3842" s="3"/>
    </row>
    <row r="3843" spans="1:14" ht="14.25" x14ac:dyDescent="0.2">
      <c r="A3843" s="3"/>
      <c r="B3843" s="3"/>
      <c r="C3843" s="3"/>
      <c r="D3843" s="6"/>
      <c r="E3843" s="10"/>
      <c r="F3843" s="3" t="str">
        <f>IFERROR( VLOOKUP(A3843,#REF!,2,0),"")</f>
        <v/>
      </c>
      <c r="G3843" s="3">
        <f t="array" ref="G3843">_xlfn.XLOOKUP(I3843,Base_Datos!D:D,Base_Datos!B:B,"")</f>
        <v>0</v>
      </c>
      <c r="H3843" s="3" t="str">
        <f t="array" ref="H3843">IF(I3843="","",IFERROR(_xlfn.XLOOKUP(I3843,Base_Datos!$D$2:$D3876,Base_Datos!$C$2:$C3876),""))</f>
        <v/>
      </c>
      <c r="I3843" s="3"/>
      <c r="J3843" s="3" t="str">
        <f>IF(I3843="","",IFERROR(VLOOKUP(I3843,Base_Datos!$D$2:$E$72,2,0),""))</f>
        <v/>
      </c>
      <c r="K3843" s="3"/>
      <c r="L3843" s="3"/>
      <c r="M3843" s="3"/>
      <c r="N3843" s="3"/>
    </row>
    <row r="3844" spans="1:14" ht="14.25" x14ac:dyDescent="0.2">
      <c r="A3844" s="3"/>
      <c r="B3844" s="3"/>
      <c r="C3844" s="3"/>
      <c r="D3844" s="6"/>
      <c r="E3844" s="10"/>
      <c r="F3844" s="3" t="str">
        <f>IFERROR( VLOOKUP(A3844,#REF!,2,0),"")</f>
        <v/>
      </c>
      <c r="G3844" s="3">
        <f t="array" ref="G3844">_xlfn.XLOOKUP(I3844,Base_Datos!D:D,Base_Datos!B:B,"")</f>
        <v>0</v>
      </c>
      <c r="H3844" s="3" t="str">
        <f t="array" ref="H3844">IF(I3844="","",IFERROR(_xlfn.XLOOKUP(I3844,Base_Datos!$D$2:$D3876,Base_Datos!$C$2:$C3876),""))</f>
        <v/>
      </c>
      <c r="I3844" s="3"/>
      <c r="J3844" s="3" t="str">
        <f>IF(I3844="","",IFERROR(VLOOKUP(I3844,Base_Datos!$D$2:$E$72,2,0),""))</f>
        <v/>
      </c>
      <c r="K3844" s="3"/>
      <c r="L3844" s="3"/>
      <c r="M3844" s="3"/>
      <c r="N3844" s="3"/>
    </row>
    <row r="3845" spans="1:14" ht="14.25" x14ac:dyDescent="0.2">
      <c r="A3845" s="3"/>
      <c r="B3845" s="3"/>
      <c r="C3845" s="3"/>
      <c r="D3845" s="6"/>
      <c r="E3845" s="10"/>
      <c r="F3845" s="3" t="str">
        <f>IFERROR( VLOOKUP(A3845,#REF!,2,0),"")</f>
        <v/>
      </c>
      <c r="G3845" s="3">
        <f t="array" ref="G3845">_xlfn.XLOOKUP(I3845,Base_Datos!D:D,Base_Datos!B:B,"")</f>
        <v>0</v>
      </c>
      <c r="H3845" s="3" t="str">
        <f t="array" ref="H3845">IF(I3845="","",IFERROR(_xlfn.XLOOKUP(I3845,Base_Datos!$D$2:$D3876,Base_Datos!$C$2:$C3876),""))</f>
        <v/>
      </c>
      <c r="I3845" s="3"/>
      <c r="J3845" s="3" t="str">
        <f>IF(I3845="","",IFERROR(VLOOKUP(I3845,Base_Datos!$D$2:$E$72,2,0),""))</f>
        <v/>
      </c>
      <c r="K3845" s="3"/>
      <c r="L3845" s="3"/>
      <c r="M3845" s="3"/>
      <c r="N3845" s="3"/>
    </row>
    <row r="3846" spans="1:14" ht="14.25" x14ac:dyDescent="0.2">
      <c r="A3846" s="3"/>
      <c r="B3846" s="3"/>
      <c r="C3846" s="3"/>
      <c r="D3846" s="6"/>
      <c r="E3846" s="10"/>
      <c r="F3846" s="3" t="str">
        <f>IFERROR( VLOOKUP(A3846,#REF!,2,0),"")</f>
        <v/>
      </c>
      <c r="G3846" s="3">
        <f t="array" ref="G3846">_xlfn.XLOOKUP(I3846,Base_Datos!D:D,Base_Datos!B:B,"")</f>
        <v>0</v>
      </c>
      <c r="H3846" s="3" t="str">
        <f t="array" ref="H3846">IF(I3846="","",IFERROR(_xlfn.XLOOKUP(I3846,Base_Datos!$D$2:$D3876,Base_Datos!$C$2:$C3876),""))</f>
        <v/>
      </c>
      <c r="I3846" s="3"/>
      <c r="J3846" s="3" t="str">
        <f>IF(I3846="","",IFERROR(VLOOKUP(I3846,Base_Datos!$D$2:$E$72,2,0),""))</f>
        <v/>
      </c>
      <c r="K3846" s="3"/>
      <c r="L3846" s="3"/>
      <c r="M3846" s="3"/>
      <c r="N3846" s="3"/>
    </row>
    <row r="3847" spans="1:14" ht="14.25" x14ac:dyDescent="0.2">
      <c r="A3847" s="3"/>
      <c r="B3847" s="3"/>
      <c r="C3847" s="3"/>
      <c r="D3847" s="6"/>
      <c r="E3847" s="10"/>
      <c r="F3847" s="3" t="str">
        <f>IFERROR( VLOOKUP(A3847,#REF!,2,0),"")</f>
        <v/>
      </c>
      <c r="G3847" s="3">
        <f t="array" ref="G3847">_xlfn.XLOOKUP(I3847,Base_Datos!D:D,Base_Datos!B:B,"")</f>
        <v>0</v>
      </c>
      <c r="H3847" s="3" t="str">
        <f t="array" ref="H3847">IF(I3847="","",IFERROR(_xlfn.XLOOKUP(I3847,Base_Datos!$D$2:$D3876,Base_Datos!$C$2:$C3876),""))</f>
        <v/>
      </c>
      <c r="I3847" s="3"/>
      <c r="J3847" s="3" t="str">
        <f>IF(I3847="","",IFERROR(VLOOKUP(I3847,Base_Datos!$D$2:$E$72,2,0),""))</f>
        <v/>
      </c>
      <c r="K3847" s="3"/>
      <c r="L3847" s="3"/>
      <c r="M3847" s="3"/>
      <c r="N3847" s="3"/>
    </row>
    <row r="3848" spans="1:14" ht="14.25" x14ac:dyDescent="0.2">
      <c r="A3848" s="3"/>
      <c r="B3848" s="3"/>
      <c r="C3848" s="3"/>
      <c r="D3848" s="6"/>
      <c r="E3848" s="10"/>
      <c r="F3848" s="3" t="str">
        <f>IFERROR( VLOOKUP(A3848,#REF!,2,0),"")</f>
        <v/>
      </c>
      <c r="G3848" s="3">
        <f t="array" ref="G3848">_xlfn.XLOOKUP(I3848,Base_Datos!D:D,Base_Datos!B:B,"")</f>
        <v>0</v>
      </c>
      <c r="H3848" s="3" t="str">
        <f t="array" ref="H3848">IF(I3848="","",IFERROR(_xlfn.XLOOKUP(I3848,Base_Datos!$D$2:$D3876,Base_Datos!$C$2:$C3876),""))</f>
        <v/>
      </c>
      <c r="I3848" s="3"/>
      <c r="J3848" s="3" t="str">
        <f>IF(I3848="","",IFERROR(VLOOKUP(I3848,Base_Datos!$D$2:$E$72,2,0),""))</f>
        <v/>
      </c>
      <c r="K3848" s="3"/>
      <c r="L3848" s="3"/>
      <c r="M3848" s="3"/>
      <c r="N3848" s="3"/>
    </row>
    <row r="3849" spans="1:14" ht="14.25" x14ac:dyDescent="0.2">
      <c r="A3849" s="3"/>
      <c r="B3849" s="3"/>
      <c r="C3849" s="3"/>
      <c r="D3849" s="6"/>
      <c r="E3849" s="10"/>
      <c r="F3849" s="3" t="str">
        <f>IFERROR( VLOOKUP(A3849,#REF!,2,0),"")</f>
        <v/>
      </c>
      <c r="G3849" s="3">
        <f t="array" ref="G3849">_xlfn.XLOOKUP(I3849,Base_Datos!D:D,Base_Datos!B:B,"")</f>
        <v>0</v>
      </c>
      <c r="H3849" s="3" t="str">
        <f t="array" ref="H3849">IF(I3849="","",IFERROR(_xlfn.XLOOKUP(I3849,Base_Datos!$D$2:$D3876,Base_Datos!$C$2:$C3876),""))</f>
        <v/>
      </c>
      <c r="I3849" s="3"/>
      <c r="J3849" s="3" t="str">
        <f>IF(I3849="","",IFERROR(VLOOKUP(I3849,Base_Datos!$D$2:$E$72,2,0),""))</f>
        <v/>
      </c>
      <c r="K3849" s="3"/>
      <c r="L3849" s="3"/>
      <c r="M3849" s="3"/>
      <c r="N3849" s="3"/>
    </row>
    <row r="3850" spans="1:14" ht="14.25" x14ac:dyDescent="0.2">
      <c r="A3850" s="3"/>
      <c r="B3850" s="3"/>
      <c r="C3850" s="3"/>
      <c r="D3850" s="6"/>
      <c r="E3850" s="10"/>
      <c r="F3850" s="3" t="str">
        <f>IFERROR( VLOOKUP(A3850,#REF!,2,0),"")</f>
        <v/>
      </c>
      <c r="G3850" s="3">
        <f t="array" ref="G3850">_xlfn.XLOOKUP(I3850,Base_Datos!D:D,Base_Datos!B:B,"")</f>
        <v>0</v>
      </c>
      <c r="H3850" s="3" t="str">
        <f t="array" ref="H3850">IF(I3850="","",IFERROR(_xlfn.XLOOKUP(I3850,Base_Datos!$D$2:$D3876,Base_Datos!$C$2:$C3876),""))</f>
        <v/>
      </c>
      <c r="I3850" s="3"/>
      <c r="J3850" s="3" t="str">
        <f>IF(I3850="","",IFERROR(VLOOKUP(I3850,Base_Datos!$D$2:$E$72,2,0),""))</f>
        <v/>
      </c>
      <c r="K3850" s="3"/>
      <c r="L3850" s="3"/>
      <c r="M3850" s="3"/>
      <c r="N3850" s="3"/>
    </row>
    <row r="3851" spans="1:14" ht="14.25" x14ac:dyDescent="0.2">
      <c r="A3851" s="3"/>
      <c r="B3851" s="3"/>
      <c r="C3851" s="3"/>
      <c r="D3851" s="6"/>
      <c r="E3851" s="10"/>
      <c r="F3851" s="3" t="str">
        <f>IFERROR( VLOOKUP(A3851,#REF!,2,0),"")</f>
        <v/>
      </c>
      <c r="G3851" s="3">
        <f t="array" ref="G3851">_xlfn.XLOOKUP(I3851,Base_Datos!D:D,Base_Datos!B:B,"")</f>
        <v>0</v>
      </c>
      <c r="H3851" s="3" t="str">
        <f t="array" ref="H3851">IF(I3851="","",IFERROR(_xlfn.XLOOKUP(I3851,Base_Datos!$D$2:$D3876,Base_Datos!$C$2:$C3876),""))</f>
        <v/>
      </c>
      <c r="I3851" s="3"/>
      <c r="J3851" s="3" t="str">
        <f>IF(I3851="","",IFERROR(VLOOKUP(I3851,Base_Datos!$D$2:$E$72,2,0),""))</f>
        <v/>
      </c>
      <c r="K3851" s="3"/>
      <c r="L3851" s="3"/>
      <c r="M3851" s="3"/>
      <c r="N3851" s="3"/>
    </row>
    <row r="3852" spans="1:14" ht="14.25" x14ac:dyDescent="0.2">
      <c r="A3852" s="3"/>
      <c r="B3852" s="3"/>
      <c r="C3852" s="3"/>
      <c r="D3852" s="6"/>
      <c r="E3852" s="10"/>
      <c r="F3852" s="3" t="str">
        <f>IFERROR( VLOOKUP(A3852,#REF!,2,0),"")</f>
        <v/>
      </c>
      <c r="G3852" s="3">
        <f t="array" ref="G3852">_xlfn.XLOOKUP(I3852,Base_Datos!D:D,Base_Datos!B:B,"")</f>
        <v>0</v>
      </c>
      <c r="H3852" s="3" t="str">
        <f t="array" ref="H3852">IF(I3852="","",IFERROR(_xlfn.XLOOKUP(I3852,Base_Datos!$D$2:$D3876,Base_Datos!$C$2:$C3876),""))</f>
        <v/>
      </c>
      <c r="I3852" s="3"/>
      <c r="J3852" s="3" t="str">
        <f>IF(I3852="","",IFERROR(VLOOKUP(I3852,Base_Datos!$D$2:$E$72,2,0),""))</f>
        <v/>
      </c>
      <c r="K3852" s="3"/>
      <c r="L3852" s="3"/>
      <c r="M3852" s="3"/>
      <c r="N3852" s="3"/>
    </row>
    <row r="3853" spans="1:14" ht="14.25" x14ac:dyDescent="0.2">
      <c r="A3853" s="3"/>
      <c r="B3853" s="3"/>
      <c r="C3853" s="3"/>
      <c r="D3853" s="6"/>
      <c r="E3853" s="10"/>
      <c r="F3853" s="3" t="str">
        <f>IFERROR( VLOOKUP(A3853,#REF!,2,0),"")</f>
        <v/>
      </c>
      <c r="G3853" s="3">
        <f t="array" ref="G3853">_xlfn.XLOOKUP(I3853,Base_Datos!D:D,Base_Datos!B:B,"")</f>
        <v>0</v>
      </c>
      <c r="H3853" s="3" t="str">
        <f t="array" ref="H3853">IF(I3853="","",IFERROR(_xlfn.XLOOKUP(I3853,Base_Datos!$D$2:$D3876,Base_Datos!$C$2:$C3876),""))</f>
        <v/>
      </c>
      <c r="I3853" s="3"/>
      <c r="J3853" s="3" t="str">
        <f>IF(I3853="","",IFERROR(VLOOKUP(I3853,Base_Datos!$D$2:$E$72,2,0),""))</f>
        <v/>
      </c>
      <c r="K3853" s="3"/>
      <c r="L3853" s="3"/>
      <c r="M3853" s="3"/>
      <c r="N3853" s="3"/>
    </row>
    <row r="3854" spans="1:14" ht="14.25" x14ac:dyDescent="0.2">
      <c r="A3854" s="3"/>
      <c r="B3854" s="3"/>
      <c r="C3854" s="3"/>
      <c r="D3854" s="6"/>
      <c r="E3854" s="10"/>
      <c r="F3854" s="3" t="str">
        <f>IFERROR( VLOOKUP(A3854,#REF!,2,0),"")</f>
        <v/>
      </c>
      <c r="G3854" s="3">
        <f t="array" ref="G3854">_xlfn.XLOOKUP(I3854,Base_Datos!D:D,Base_Datos!B:B,"")</f>
        <v>0</v>
      </c>
      <c r="H3854" s="3" t="str">
        <f t="array" ref="H3854">IF(I3854="","",IFERROR(_xlfn.XLOOKUP(I3854,Base_Datos!$D$2:$D3876,Base_Datos!$C$2:$C3876),""))</f>
        <v/>
      </c>
      <c r="I3854" s="3"/>
      <c r="J3854" s="3" t="str">
        <f>IF(I3854="","",IFERROR(VLOOKUP(I3854,Base_Datos!$D$2:$E$72,2,0),""))</f>
        <v/>
      </c>
      <c r="K3854" s="3"/>
      <c r="L3854" s="3"/>
      <c r="M3854" s="3"/>
      <c r="N3854" s="3"/>
    </row>
    <row r="3855" spans="1:14" ht="14.25" x14ac:dyDescent="0.2">
      <c r="A3855" s="3"/>
      <c r="B3855" s="3"/>
      <c r="C3855" s="3"/>
      <c r="D3855" s="6"/>
      <c r="E3855" s="10"/>
      <c r="F3855" s="3" t="str">
        <f>IFERROR( VLOOKUP(A3855,#REF!,2,0),"")</f>
        <v/>
      </c>
      <c r="G3855" s="3">
        <f t="array" ref="G3855">_xlfn.XLOOKUP(I3855,Base_Datos!D:D,Base_Datos!B:B,"")</f>
        <v>0</v>
      </c>
      <c r="H3855" s="3" t="str">
        <f t="array" ref="H3855">IF(I3855="","",IFERROR(_xlfn.XLOOKUP(I3855,Base_Datos!$D$2:$D3876,Base_Datos!$C$2:$C3876),""))</f>
        <v/>
      </c>
      <c r="I3855" s="3"/>
      <c r="J3855" s="3" t="str">
        <f>IF(I3855="","",IFERROR(VLOOKUP(I3855,Base_Datos!$D$2:$E$72,2,0),""))</f>
        <v/>
      </c>
      <c r="K3855" s="3"/>
      <c r="L3855" s="3"/>
      <c r="M3855" s="3"/>
      <c r="N3855" s="3"/>
    </row>
    <row r="3856" spans="1:14" ht="14.25" x14ac:dyDescent="0.2">
      <c r="A3856" s="3"/>
      <c r="B3856" s="3"/>
      <c r="C3856" s="3"/>
      <c r="D3856" s="6"/>
      <c r="E3856" s="10"/>
      <c r="F3856" s="3" t="str">
        <f>IFERROR( VLOOKUP(A3856,#REF!,2,0),"")</f>
        <v/>
      </c>
      <c r="G3856" s="3">
        <f t="array" ref="G3856">_xlfn.XLOOKUP(I3856,Base_Datos!D:D,Base_Datos!B:B,"")</f>
        <v>0</v>
      </c>
      <c r="H3856" s="3" t="str">
        <f t="array" ref="H3856">IF(I3856="","",IFERROR(_xlfn.XLOOKUP(I3856,Base_Datos!$D$2:$D3876,Base_Datos!$C$2:$C3876),""))</f>
        <v/>
      </c>
      <c r="I3856" s="3"/>
      <c r="J3856" s="3" t="str">
        <f>IF(I3856="","",IFERROR(VLOOKUP(I3856,Base_Datos!$D$2:$E$72,2,0),""))</f>
        <v/>
      </c>
      <c r="K3856" s="3"/>
      <c r="L3856" s="3"/>
      <c r="M3856" s="3"/>
      <c r="N3856" s="3"/>
    </row>
    <row r="3857" spans="1:14" ht="14.25" x14ac:dyDescent="0.2">
      <c r="A3857" s="3"/>
      <c r="B3857" s="3"/>
      <c r="C3857" s="3"/>
      <c r="D3857" s="6"/>
      <c r="E3857" s="10"/>
      <c r="F3857" s="3" t="str">
        <f>IFERROR( VLOOKUP(A3857,#REF!,2,0),"")</f>
        <v/>
      </c>
      <c r="G3857" s="3">
        <f t="array" ref="G3857">_xlfn.XLOOKUP(I3857,Base_Datos!D:D,Base_Datos!B:B,"")</f>
        <v>0</v>
      </c>
      <c r="H3857" s="3" t="str">
        <f t="array" ref="H3857">IF(I3857="","",IFERROR(_xlfn.XLOOKUP(I3857,Base_Datos!$D$2:$D3876,Base_Datos!$C$2:$C3876),""))</f>
        <v/>
      </c>
      <c r="I3857" s="3"/>
      <c r="J3857" s="3" t="str">
        <f>IF(I3857="","",IFERROR(VLOOKUP(I3857,Base_Datos!$D$2:$E$72,2,0),""))</f>
        <v/>
      </c>
      <c r="K3857" s="3"/>
      <c r="L3857" s="3"/>
      <c r="M3857" s="3"/>
      <c r="N3857" s="3"/>
    </row>
    <row r="3858" spans="1:14" ht="14.25" x14ac:dyDescent="0.2">
      <c r="A3858" s="3"/>
      <c r="B3858" s="3"/>
      <c r="C3858" s="3"/>
      <c r="D3858" s="6"/>
      <c r="E3858" s="10"/>
      <c r="F3858" s="3" t="str">
        <f>IFERROR( VLOOKUP(A3858,#REF!,2,0),"")</f>
        <v/>
      </c>
      <c r="G3858" s="3">
        <f t="array" ref="G3858">_xlfn.XLOOKUP(I3858,Base_Datos!D:D,Base_Datos!B:B,"")</f>
        <v>0</v>
      </c>
      <c r="H3858" s="3" t="str">
        <f t="array" ref="H3858">IF(I3858="","",IFERROR(_xlfn.XLOOKUP(I3858,Base_Datos!$D$2:$D3876,Base_Datos!$C$2:$C3876),""))</f>
        <v/>
      </c>
      <c r="I3858" s="3"/>
      <c r="J3858" s="3" t="str">
        <f>IF(I3858="","",IFERROR(VLOOKUP(I3858,Base_Datos!$D$2:$E$72,2,0),""))</f>
        <v/>
      </c>
      <c r="K3858" s="3"/>
      <c r="L3858" s="3"/>
      <c r="M3858" s="3"/>
      <c r="N3858" s="3"/>
    </row>
    <row r="3859" spans="1:14" ht="14.25" x14ac:dyDescent="0.2">
      <c r="A3859" s="3"/>
      <c r="B3859" s="3"/>
      <c r="C3859" s="3"/>
      <c r="D3859" s="6"/>
      <c r="E3859" s="10"/>
      <c r="F3859" s="3" t="str">
        <f>IFERROR( VLOOKUP(A3859,#REF!,2,0),"")</f>
        <v/>
      </c>
      <c r="G3859" s="3">
        <f t="array" ref="G3859">_xlfn.XLOOKUP(I3859,Base_Datos!D:D,Base_Datos!B:B,"")</f>
        <v>0</v>
      </c>
      <c r="H3859" s="3" t="str">
        <f t="array" ref="H3859">IF(I3859="","",IFERROR(_xlfn.XLOOKUP(I3859,Base_Datos!$D$2:$D3876,Base_Datos!$C$2:$C3876),""))</f>
        <v/>
      </c>
      <c r="I3859" s="3"/>
      <c r="J3859" s="3" t="str">
        <f>IF(I3859="","",IFERROR(VLOOKUP(I3859,Base_Datos!$D$2:$E$72,2,0),""))</f>
        <v/>
      </c>
      <c r="K3859" s="3"/>
      <c r="L3859" s="3"/>
      <c r="M3859" s="3"/>
      <c r="N3859" s="3"/>
    </row>
    <row r="3860" spans="1:14" ht="14.25" x14ac:dyDescent="0.2">
      <c r="A3860" s="3"/>
      <c r="B3860" s="3"/>
      <c r="C3860" s="3"/>
      <c r="D3860" s="6"/>
      <c r="E3860" s="10"/>
      <c r="F3860" s="3" t="str">
        <f>IFERROR( VLOOKUP(A3860,#REF!,2,0),"")</f>
        <v/>
      </c>
      <c r="G3860" s="3">
        <f t="array" ref="G3860">_xlfn.XLOOKUP(I3860,Base_Datos!D:D,Base_Datos!B:B,"")</f>
        <v>0</v>
      </c>
      <c r="H3860" s="3" t="str">
        <f t="array" ref="H3860">IF(I3860="","",IFERROR(_xlfn.XLOOKUP(I3860,Base_Datos!$D$2:$D3876,Base_Datos!$C$2:$C3876),""))</f>
        <v/>
      </c>
      <c r="I3860" s="3"/>
      <c r="J3860" s="3" t="str">
        <f>IF(I3860="","",IFERROR(VLOOKUP(I3860,Base_Datos!$D$2:$E$72,2,0),""))</f>
        <v/>
      </c>
      <c r="K3860" s="3"/>
      <c r="L3860" s="3"/>
      <c r="M3860" s="3"/>
      <c r="N3860" s="3"/>
    </row>
    <row r="3861" spans="1:14" ht="14.25" x14ac:dyDescent="0.2">
      <c r="A3861" s="3"/>
      <c r="B3861" s="3"/>
      <c r="C3861" s="3"/>
      <c r="D3861" s="6"/>
      <c r="E3861" s="10"/>
      <c r="F3861" s="3" t="str">
        <f>IFERROR( VLOOKUP(A3861,#REF!,2,0),"")</f>
        <v/>
      </c>
      <c r="G3861" s="3">
        <f t="array" ref="G3861">_xlfn.XLOOKUP(I3861,Base_Datos!D:D,Base_Datos!B:B,"")</f>
        <v>0</v>
      </c>
      <c r="H3861" s="3" t="str">
        <f t="array" ref="H3861">IF(I3861="","",IFERROR(_xlfn.XLOOKUP(I3861,Base_Datos!$D$2:$D3876,Base_Datos!$C$2:$C3876),""))</f>
        <v/>
      </c>
      <c r="I3861" s="3"/>
      <c r="J3861" s="3" t="str">
        <f>IF(I3861="","",IFERROR(VLOOKUP(I3861,Base_Datos!$D$2:$E$72,2,0),""))</f>
        <v/>
      </c>
      <c r="K3861" s="3"/>
      <c r="L3861" s="3"/>
      <c r="M3861" s="3"/>
      <c r="N3861" s="3"/>
    </row>
    <row r="3862" spans="1:14" ht="14.25" x14ac:dyDescent="0.2">
      <c r="A3862" s="3"/>
      <c r="B3862" s="3"/>
      <c r="C3862" s="3"/>
      <c r="D3862" s="6"/>
      <c r="E3862" s="10"/>
      <c r="F3862" s="3" t="str">
        <f>IFERROR( VLOOKUP(A3862,#REF!,2,0),"")</f>
        <v/>
      </c>
      <c r="G3862" s="3">
        <f t="array" ref="G3862">_xlfn.XLOOKUP(I3862,Base_Datos!D:D,Base_Datos!B:B,"")</f>
        <v>0</v>
      </c>
      <c r="H3862" s="3" t="str">
        <f t="array" ref="H3862">IF(I3862="","",IFERROR(_xlfn.XLOOKUP(I3862,Base_Datos!$D$2:$D3876,Base_Datos!$C$2:$C3876),""))</f>
        <v/>
      </c>
      <c r="I3862" s="3"/>
      <c r="J3862" s="3" t="str">
        <f>IF(I3862="","",IFERROR(VLOOKUP(I3862,Base_Datos!$D$2:$E$72,2,0),""))</f>
        <v/>
      </c>
      <c r="K3862" s="3"/>
      <c r="L3862" s="3"/>
      <c r="M3862" s="3"/>
      <c r="N3862" s="3"/>
    </row>
    <row r="3863" spans="1:14" ht="14.25" x14ac:dyDescent="0.2">
      <c r="A3863" s="3"/>
      <c r="B3863" s="3"/>
      <c r="C3863" s="3"/>
      <c r="D3863" s="6"/>
      <c r="E3863" s="10"/>
      <c r="F3863" s="3" t="str">
        <f>IFERROR( VLOOKUP(A3863,#REF!,2,0),"")</f>
        <v/>
      </c>
      <c r="G3863" s="3">
        <f t="array" ref="G3863">_xlfn.XLOOKUP(I3863,Base_Datos!D:D,Base_Datos!B:B,"")</f>
        <v>0</v>
      </c>
      <c r="H3863" s="3" t="str">
        <f t="array" ref="H3863">IF(I3863="","",IFERROR(_xlfn.XLOOKUP(I3863,Base_Datos!$D$2:$D3876,Base_Datos!$C$2:$C3876),""))</f>
        <v/>
      </c>
      <c r="I3863" s="3"/>
      <c r="J3863" s="3" t="str">
        <f>IF(I3863="","",IFERROR(VLOOKUP(I3863,Base_Datos!$D$2:$E$72,2,0),""))</f>
        <v/>
      </c>
      <c r="K3863" s="3"/>
      <c r="L3863" s="3"/>
      <c r="M3863" s="3"/>
      <c r="N3863" s="3"/>
    </row>
    <row r="3864" spans="1:14" ht="14.25" x14ac:dyDescent="0.2">
      <c r="A3864" s="3"/>
      <c r="B3864" s="3"/>
      <c r="C3864" s="3"/>
      <c r="D3864" s="6"/>
      <c r="E3864" s="10"/>
      <c r="F3864" s="3" t="str">
        <f>IFERROR( VLOOKUP(A3864,#REF!,2,0),"")</f>
        <v/>
      </c>
      <c r="G3864" s="3">
        <f t="array" ref="G3864">_xlfn.XLOOKUP(I3864,Base_Datos!D:D,Base_Datos!B:B,"")</f>
        <v>0</v>
      </c>
      <c r="H3864" s="3" t="str">
        <f t="array" ref="H3864">IF(I3864="","",IFERROR(_xlfn.XLOOKUP(I3864,Base_Datos!$D$2:$D3876,Base_Datos!$C$2:$C3876),""))</f>
        <v/>
      </c>
      <c r="I3864" s="3"/>
      <c r="J3864" s="3" t="str">
        <f>IF(I3864="","",IFERROR(VLOOKUP(I3864,Base_Datos!$D$2:$E$72,2,0),""))</f>
        <v/>
      </c>
      <c r="K3864" s="3"/>
      <c r="L3864" s="3"/>
      <c r="M3864" s="3"/>
      <c r="N3864" s="3"/>
    </row>
    <row r="3865" spans="1:14" ht="14.25" x14ac:dyDescent="0.2">
      <c r="A3865" s="3"/>
      <c r="B3865" s="3"/>
      <c r="C3865" s="3"/>
      <c r="D3865" s="6"/>
      <c r="E3865" s="10"/>
      <c r="F3865" s="3" t="str">
        <f>IFERROR( VLOOKUP(A3865,#REF!,2,0),"")</f>
        <v/>
      </c>
      <c r="G3865" s="3">
        <f t="array" ref="G3865">_xlfn.XLOOKUP(I3865,Base_Datos!D:D,Base_Datos!B:B,"")</f>
        <v>0</v>
      </c>
      <c r="H3865" s="3" t="str">
        <f t="array" ref="H3865">IF(I3865="","",IFERROR(_xlfn.XLOOKUP(I3865,Base_Datos!$D$2:$D3876,Base_Datos!$C$2:$C3876),""))</f>
        <v/>
      </c>
      <c r="I3865" s="3"/>
      <c r="J3865" s="3" t="str">
        <f>IF(I3865="","",IFERROR(VLOOKUP(I3865,Base_Datos!$D$2:$E$72,2,0),""))</f>
        <v/>
      </c>
      <c r="K3865" s="3"/>
      <c r="L3865" s="3"/>
      <c r="M3865" s="3"/>
      <c r="N3865" s="3"/>
    </row>
    <row r="3866" spans="1:14" ht="14.25" x14ac:dyDescent="0.2">
      <c r="A3866" s="3"/>
      <c r="B3866" s="3"/>
      <c r="C3866" s="3"/>
      <c r="D3866" s="6"/>
      <c r="E3866" s="10"/>
      <c r="F3866" s="3" t="str">
        <f>IFERROR( VLOOKUP(A3866,#REF!,2,0),"")</f>
        <v/>
      </c>
      <c r="G3866" s="3">
        <f t="array" ref="G3866">_xlfn.XLOOKUP(I3866,Base_Datos!D:D,Base_Datos!B:B,"")</f>
        <v>0</v>
      </c>
      <c r="H3866" s="3" t="str">
        <f t="array" ref="H3866">IF(I3866="","",IFERROR(_xlfn.XLOOKUP(I3866,Base_Datos!$D$2:$D3876,Base_Datos!$C$2:$C3876),""))</f>
        <v/>
      </c>
      <c r="I3866" s="3"/>
      <c r="J3866" s="3" t="str">
        <f>IF(I3866="","",IFERROR(VLOOKUP(I3866,Base_Datos!$D$2:$E$72,2,0),""))</f>
        <v/>
      </c>
      <c r="K3866" s="3"/>
      <c r="L3866" s="3"/>
      <c r="M3866" s="3"/>
      <c r="N3866" s="3"/>
    </row>
    <row r="3867" spans="1:14" ht="14.25" x14ac:dyDescent="0.2">
      <c r="A3867" s="3"/>
      <c r="B3867" s="3"/>
      <c r="C3867" s="3"/>
      <c r="D3867" s="6"/>
      <c r="E3867" s="10"/>
      <c r="F3867" s="3" t="str">
        <f>IFERROR( VLOOKUP(A3867,#REF!,2,0),"")</f>
        <v/>
      </c>
      <c r="G3867" s="3">
        <f t="array" ref="G3867">_xlfn.XLOOKUP(I3867,Base_Datos!D:D,Base_Datos!B:B,"")</f>
        <v>0</v>
      </c>
      <c r="H3867" s="3" t="str">
        <f t="array" ref="H3867">IF(I3867="","",IFERROR(_xlfn.XLOOKUP(I3867,Base_Datos!$D$2:$D3876,Base_Datos!$C$2:$C3876),""))</f>
        <v/>
      </c>
      <c r="I3867" s="3"/>
      <c r="J3867" s="3" t="str">
        <f>IF(I3867="","",IFERROR(VLOOKUP(I3867,Base_Datos!$D$2:$E$72,2,0),""))</f>
        <v/>
      </c>
      <c r="K3867" s="3"/>
      <c r="L3867" s="3"/>
      <c r="M3867" s="3"/>
      <c r="N3867" s="3"/>
    </row>
    <row r="3868" spans="1:14" ht="14.25" x14ac:dyDescent="0.2">
      <c r="A3868" s="3"/>
      <c r="B3868" s="3"/>
      <c r="C3868" s="3"/>
      <c r="D3868" s="6"/>
      <c r="E3868" s="10"/>
      <c r="F3868" s="3" t="str">
        <f>IFERROR( VLOOKUP(A3868,#REF!,2,0),"")</f>
        <v/>
      </c>
      <c r="G3868" s="3">
        <f t="array" ref="G3868">_xlfn.XLOOKUP(I3868,Base_Datos!D:D,Base_Datos!B:B,"")</f>
        <v>0</v>
      </c>
      <c r="H3868" s="3" t="str">
        <f t="array" ref="H3868">IF(I3868="","",IFERROR(_xlfn.XLOOKUP(I3868,Base_Datos!$D$2:$D3876,Base_Datos!$C$2:$C3876),""))</f>
        <v/>
      </c>
      <c r="I3868" s="3"/>
      <c r="J3868" s="3" t="str">
        <f>IF(I3868="","",IFERROR(VLOOKUP(I3868,Base_Datos!$D$2:$E$72,2,0),""))</f>
        <v/>
      </c>
      <c r="K3868" s="3"/>
      <c r="L3868" s="3"/>
      <c r="M3868" s="3"/>
      <c r="N3868" s="3"/>
    </row>
    <row r="3869" spans="1:14" ht="14.25" x14ac:dyDescent="0.2">
      <c r="A3869" s="3"/>
      <c r="B3869" s="3"/>
      <c r="C3869" s="3"/>
      <c r="D3869" s="6"/>
      <c r="E3869" s="10"/>
      <c r="F3869" s="3" t="str">
        <f>IFERROR( VLOOKUP(A3869,#REF!,2,0),"")</f>
        <v/>
      </c>
      <c r="G3869" s="3">
        <f t="array" ref="G3869">_xlfn.XLOOKUP(I3869,Base_Datos!D:D,Base_Datos!B:B,"")</f>
        <v>0</v>
      </c>
      <c r="H3869" s="3" t="str">
        <f t="array" ref="H3869">IF(I3869="","",IFERROR(_xlfn.XLOOKUP(I3869,Base_Datos!$D$2:$D3876,Base_Datos!$C$2:$C3876),""))</f>
        <v/>
      </c>
      <c r="I3869" s="3"/>
      <c r="J3869" s="3" t="str">
        <f>IF(I3869="","",IFERROR(VLOOKUP(I3869,Base_Datos!$D$2:$E$72,2,0),""))</f>
        <v/>
      </c>
      <c r="K3869" s="3"/>
      <c r="L3869" s="3"/>
      <c r="M3869" s="3"/>
      <c r="N3869" s="3"/>
    </row>
    <row r="3870" spans="1:14" ht="14.25" x14ac:dyDescent="0.2">
      <c r="A3870" s="3"/>
      <c r="B3870" s="3"/>
      <c r="C3870" s="3"/>
      <c r="D3870" s="6"/>
      <c r="E3870" s="10"/>
      <c r="F3870" s="3" t="str">
        <f>IFERROR( VLOOKUP(A3870,#REF!,2,0),"")</f>
        <v/>
      </c>
      <c r="G3870" s="3">
        <f t="array" ref="G3870">_xlfn.XLOOKUP(I3870,Base_Datos!D:D,Base_Datos!B:B,"")</f>
        <v>0</v>
      </c>
      <c r="H3870" s="3" t="str">
        <f t="array" ref="H3870">IF(I3870="","",IFERROR(_xlfn.XLOOKUP(I3870,Base_Datos!$D$2:$D3876,Base_Datos!$C$2:$C3876),""))</f>
        <v/>
      </c>
      <c r="I3870" s="3"/>
      <c r="J3870" s="3" t="str">
        <f>IF(I3870="","",IFERROR(VLOOKUP(I3870,Base_Datos!$D$2:$E$72,2,0),""))</f>
        <v/>
      </c>
      <c r="K3870" s="3"/>
      <c r="L3870" s="3"/>
      <c r="M3870" s="3"/>
      <c r="N3870" s="3"/>
    </row>
    <row r="3871" spans="1:14" ht="14.25" x14ac:dyDescent="0.2">
      <c r="A3871" s="3"/>
      <c r="B3871" s="3"/>
      <c r="C3871" s="3"/>
      <c r="D3871" s="6"/>
      <c r="E3871" s="10"/>
      <c r="F3871" s="3" t="str">
        <f>IFERROR( VLOOKUP(A3871,#REF!,2,0),"")</f>
        <v/>
      </c>
      <c r="G3871" s="3">
        <f t="array" ref="G3871">_xlfn.XLOOKUP(I3871,Base_Datos!D:D,Base_Datos!B:B,"")</f>
        <v>0</v>
      </c>
      <c r="H3871" s="3" t="str">
        <f t="array" ref="H3871">IF(I3871="","",IFERROR(_xlfn.XLOOKUP(I3871,Base_Datos!$D$2:$D3876,Base_Datos!$C$2:$C3876),""))</f>
        <v/>
      </c>
      <c r="I3871" s="3"/>
      <c r="J3871" s="3" t="str">
        <f>IF(I3871="","",IFERROR(VLOOKUP(I3871,Base_Datos!$D$2:$E$72,2,0),""))</f>
        <v/>
      </c>
      <c r="K3871" s="3"/>
      <c r="L3871" s="3"/>
      <c r="M3871" s="3"/>
      <c r="N3871" s="3"/>
    </row>
    <row r="3872" spans="1:14" ht="14.25" x14ac:dyDescent="0.2">
      <c r="A3872" s="3"/>
      <c r="B3872" s="3"/>
      <c r="C3872" s="3"/>
      <c r="D3872" s="6"/>
      <c r="E3872" s="10"/>
      <c r="F3872" s="3" t="str">
        <f>IFERROR( VLOOKUP(A3872,#REF!,2,0),"")</f>
        <v/>
      </c>
      <c r="G3872" s="3">
        <f t="array" ref="G3872">_xlfn.XLOOKUP(I3872,Base_Datos!D:D,Base_Datos!B:B,"")</f>
        <v>0</v>
      </c>
      <c r="H3872" s="3" t="str">
        <f t="array" ref="H3872">IF(I3872="","",IFERROR(_xlfn.XLOOKUP(I3872,Base_Datos!$D$2:$D3876,Base_Datos!$C$2:$C3876),""))</f>
        <v/>
      </c>
      <c r="I3872" s="3"/>
      <c r="J3872" s="3" t="str">
        <f>IF(I3872="","",IFERROR(VLOOKUP(I3872,Base_Datos!$D$2:$E$72,2,0),""))</f>
        <v/>
      </c>
      <c r="K3872" s="3"/>
      <c r="L3872" s="3"/>
      <c r="M3872" s="3"/>
      <c r="N3872" s="3"/>
    </row>
    <row r="3873" spans="1:14" ht="14.25" x14ac:dyDescent="0.2">
      <c r="A3873" s="3"/>
      <c r="B3873" s="3"/>
      <c r="C3873" s="3"/>
      <c r="D3873" s="6"/>
      <c r="E3873" s="10"/>
      <c r="F3873" s="3" t="str">
        <f>IFERROR( VLOOKUP(A3873,#REF!,2,0),"")</f>
        <v/>
      </c>
      <c r="G3873" s="3">
        <f t="array" ref="G3873">_xlfn.XLOOKUP(I3873,Base_Datos!D:D,Base_Datos!B:B,"")</f>
        <v>0</v>
      </c>
      <c r="H3873" s="3" t="str">
        <f t="array" ref="H3873">IF(I3873="","",IFERROR(_xlfn.XLOOKUP(I3873,Base_Datos!$D$2:$D3876,Base_Datos!$C$2:$C3876),""))</f>
        <v/>
      </c>
      <c r="I3873" s="3"/>
      <c r="J3873" s="3" t="str">
        <f>IF(I3873="","",IFERROR(VLOOKUP(I3873,Base_Datos!$D$2:$E$72,2,0),""))</f>
        <v/>
      </c>
      <c r="K3873" s="3"/>
      <c r="L3873" s="3"/>
      <c r="M3873" s="3"/>
      <c r="N3873" s="3"/>
    </row>
    <row r="3874" spans="1:14" ht="14.25" x14ac:dyDescent="0.2">
      <c r="A3874" s="3"/>
      <c r="B3874" s="3"/>
      <c r="C3874" s="3"/>
      <c r="D3874" s="6"/>
      <c r="E3874" s="10"/>
      <c r="F3874" s="3" t="str">
        <f>IFERROR( VLOOKUP(A3874,#REF!,2,0),"")</f>
        <v/>
      </c>
      <c r="G3874" s="3">
        <f t="array" ref="G3874">_xlfn.XLOOKUP(I3874,Base_Datos!D:D,Base_Datos!B:B,"")</f>
        <v>0</v>
      </c>
      <c r="H3874" s="3" t="str">
        <f t="array" ref="H3874">IF(I3874="","",IFERROR(_xlfn.XLOOKUP(I3874,Base_Datos!$D$2:$D3876,Base_Datos!$C$2:$C3876),""))</f>
        <v/>
      </c>
      <c r="I3874" s="3"/>
      <c r="J3874" s="3" t="str">
        <f>IF(I3874="","",IFERROR(VLOOKUP(I3874,Base_Datos!$D$2:$E$72,2,0),""))</f>
        <v/>
      </c>
      <c r="K3874" s="3"/>
      <c r="L3874" s="3"/>
      <c r="M3874" s="3"/>
      <c r="N3874" s="3"/>
    </row>
    <row r="3875" spans="1:14" ht="14.25" x14ac:dyDescent="0.2">
      <c r="A3875" s="3"/>
      <c r="B3875" s="3"/>
      <c r="C3875" s="3"/>
      <c r="D3875" s="6"/>
      <c r="E3875" s="10"/>
      <c r="F3875" s="3" t="str">
        <f>IFERROR( VLOOKUP(A3875,#REF!,2,0),"")</f>
        <v/>
      </c>
      <c r="G3875" s="3">
        <f t="array" ref="G3875">_xlfn.XLOOKUP(I3875,Base_Datos!D:D,Base_Datos!B:B,"")</f>
        <v>0</v>
      </c>
      <c r="H3875" s="3" t="str">
        <f t="array" ref="H3875">IF(I3875="","",IFERROR(_xlfn.XLOOKUP(I3875,Base_Datos!$D$2:$D3876,Base_Datos!$C$2:$C3876),""))</f>
        <v/>
      </c>
      <c r="I3875" s="3"/>
      <c r="J3875" s="3" t="str">
        <f>IF(I3875="","",IFERROR(VLOOKUP(I3875,Base_Datos!$D$2:$E$72,2,0),""))</f>
        <v/>
      </c>
      <c r="K3875" s="3"/>
      <c r="L3875" s="3"/>
      <c r="M3875" s="3"/>
      <c r="N3875" s="3"/>
    </row>
    <row r="3876" spans="1:14" ht="14.25" x14ac:dyDescent="0.2">
      <c r="A3876" s="3"/>
      <c r="B3876" s="3"/>
      <c r="C3876" s="3"/>
      <c r="D3876" s="6"/>
      <c r="E3876" s="10"/>
      <c r="F3876" s="3" t="str">
        <f>IFERROR( VLOOKUP(A3876,#REF!,2,0),"")</f>
        <v/>
      </c>
      <c r="G3876" s="3">
        <f t="array" ref="G3876">_xlfn.XLOOKUP(I3876,Base_Datos!D:D,Base_Datos!B:B,"")</f>
        <v>0</v>
      </c>
      <c r="H3876" s="3" t="str">
        <f t="array" ref="H3876">IF(I3876="","",IFERROR(_xlfn.XLOOKUP(I3876,Base_Datos!$D$2:$D3876,Base_Datos!$C$2:$C3876),""))</f>
        <v/>
      </c>
      <c r="I3876" s="3"/>
      <c r="J3876" s="3" t="str">
        <f>IF(I3876="","",IFERROR(VLOOKUP(I3876,Base_Datos!$D$2:$E$72,2,0),""))</f>
        <v/>
      </c>
      <c r="K3876" s="3"/>
      <c r="L3876" s="3"/>
      <c r="M3876" s="3"/>
      <c r="N3876" s="3"/>
    </row>
  </sheetData>
  <conditionalFormatting sqref="A1:A3055 A3058:A3876">
    <cfRule type="expression" dxfId="1" priority="2">
      <formula>COUNTA(A:A,A1)=1</formula>
    </cfRule>
  </conditionalFormatting>
  <conditionalFormatting sqref="D2:E3876">
    <cfRule type="expression" dxfId="0" priority="1" stopIfTrue="1">
      <formula>$D2&lt;&gt;$E2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400-000000000000}">
          <x14:formula1>
            <xm:f>Base_Datos!$D$2:$D$200</xm:f>
          </x14:formula1>
          <xm:sqref>I2:I3876</xm:sqref>
        </x14:dataValidation>
        <x14:dataValidation type="list" allowBlank="1" showErrorMessage="1" xr:uid="{00000000-0002-0000-0400-000001000000}">
          <x14:formula1>
            <xm:f>Base_Datos!$C$2:$C$200</xm:f>
          </x14:formula1>
          <xm:sqref>H2:H3876</xm:sqref>
        </x14:dataValidation>
        <x14:dataValidation type="list" allowBlank="1" xr:uid="{00000000-0002-0000-0400-000002000000}">
          <x14:formula1>
            <xm:f>Base_Datos!$H$2:$H3876</xm:f>
          </x14:formula1>
          <xm:sqref>K2:K3876</xm:sqref>
        </x14:dataValidation>
        <x14:dataValidation type="list" allowBlank="1" showErrorMessage="1" xr:uid="{00000000-0002-0000-0400-000003000000}">
          <x14:formula1>
            <xm:f>Base_Datos!$E$2:$E$200</xm:f>
          </x14:formula1>
          <xm:sqref>J2:J3876</xm:sqref>
        </x14:dataValidation>
        <x14:dataValidation type="list" allowBlank="1" showErrorMessage="1" xr:uid="{00000000-0002-0000-0400-000004000000}">
          <x14:formula1>
            <xm:f>Base_Datos!$I$2:$I$200</xm:f>
          </x14:formula1>
          <xm:sqref>L2:L3876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7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25" defaultRowHeight="15" customHeight="1" x14ac:dyDescent="0.2"/>
  <cols>
    <col min="1" max="1" width="30.875" customWidth="1"/>
    <col min="2" max="2" width="11.25" customWidth="1"/>
    <col min="3" max="3" width="15" customWidth="1"/>
    <col min="4" max="4" width="17.375" customWidth="1"/>
    <col min="5" max="5" width="11.5" customWidth="1"/>
    <col min="6" max="6" width="28.375" customWidth="1"/>
    <col min="7" max="8" width="20.125" customWidth="1"/>
    <col min="9" max="9" width="18.125" customWidth="1"/>
  </cols>
  <sheetData>
    <row r="1" spans="1:9" ht="15" customHeight="1" x14ac:dyDescent="0.25">
      <c r="A1" s="11" t="s">
        <v>1773</v>
      </c>
      <c r="B1" s="11" t="s">
        <v>30</v>
      </c>
      <c r="C1" s="11" t="s">
        <v>31</v>
      </c>
      <c r="D1" s="11" t="s">
        <v>32</v>
      </c>
      <c r="E1" s="11" t="s">
        <v>1776</v>
      </c>
      <c r="F1" s="11" t="s">
        <v>4949</v>
      </c>
      <c r="G1" s="11" t="s">
        <v>1758</v>
      </c>
      <c r="H1" s="11" t="s">
        <v>4950</v>
      </c>
      <c r="I1" s="11" t="s">
        <v>1757</v>
      </c>
    </row>
    <row r="2" spans="1:9" x14ac:dyDescent="0.2">
      <c r="A2" s="12" t="s">
        <v>1</v>
      </c>
      <c r="B2" s="3" t="s">
        <v>4</v>
      </c>
      <c r="C2" s="3" t="s">
        <v>711</v>
      </c>
      <c r="D2" s="3" t="s">
        <v>475</v>
      </c>
      <c r="E2" s="3" t="s">
        <v>4951</v>
      </c>
      <c r="F2" s="3" t="str">
        <f t="shared" ref="F2:F72" si="0">B2&amp;" - "&amp;D2</f>
        <v>DFSK - K01S</v>
      </c>
      <c r="G2" s="3" t="str">
        <f t="shared" ref="G2:G72" si="1">B2&amp;" - "&amp;C2</f>
        <v>DFSK - Serie K</v>
      </c>
      <c r="H2" s="3" t="str">
        <f t="shared" ref="H2:H64" si="2">D2&amp;" - "&amp;E2</f>
        <v>K01S - (1.1L)</v>
      </c>
      <c r="I2" s="3" t="s">
        <v>4952</v>
      </c>
    </row>
    <row r="3" spans="1:9" x14ac:dyDescent="0.2">
      <c r="A3" s="13" t="s">
        <v>2</v>
      </c>
      <c r="B3" s="3" t="s">
        <v>4</v>
      </c>
      <c r="C3" s="3" t="s">
        <v>711</v>
      </c>
      <c r="D3" s="3" t="s">
        <v>475</v>
      </c>
      <c r="E3" s="3" t="s">
        <v>4953</v>
      </c>
      <c r="F3" s="3" t="str">
        <f t="shared" si="0"/>
        <v>DFSK - K01S</v>
      </c>
      <c r="G3" s="3" t="str">
        <f t="shared" si="1"/>
        <v>DFSK - Serie K</v>
      </c>
      <c r="H3" s="3" t="str">
        <f t="shared" si="2"/>
        <v>K01S - (1.2L)</v>
      </c>
      <c r="I3" s="3" t="s">
        <v>4954</v>
      </c>
    </row>
    <row r="4" spans="1:9" x14ac:dyDescent="0.2">
      <c r="A4" s="14" t="s">
        <v>3</v>
      </c>
      <c r="B4" s="3" t="s">
        <v>4</v>
      </c>
      <c r="C4" s="3" t="s">
        <v>711</v>
      </c>
      <c r="D4" s="3" t="s">
        <v>1761</v>
      </c>
      <c r="E4" s="3" t="s">
        <v>4951</v>
      </c>
      <c r="F4" s="3" t="str">
        <f t="shared" si="0"/>
        <v>DFSK - K02S</v>
      </c>
      <c r="G4" s="3" t="str">
        <f t="shared" si="1"/>
        <v>DFSK - Serie K</v>
      </c>
      <c r="H4" s="3" t="str">
        <f t="shared" si="2"/>
        <v>K02S - (1.1L)</v>
      </c>
      <c r="I4" s="3" t="s">
        <v>4955</v>
      </c>
    </row>
    <row r="5" spans="1:9" x14ac:dyDescent="0.2">
      <c r="A5" s="12" t="s">
        <v>4</v>
      </c>
      <c r="B5" s="3" t="s">
        <v>4</v>
      </c>
      <c r="C5" s="3" t="s">
        <v>711</v>
      </c>
      <c r="D5" s="3" t="s">
        <v>1762</v>
      </c>
      <c r="E5" s="3" t="s">
        <v>4951</v>
      </c>
      <c r="F5" s="3" t="str">
        <f t="shared" si="0"/>
        <v>DFSK - K05</v>
      </c>
      <c r="G5" s="3" t="str">
        <f t="shared" si="1"/>
        <v>DFSK - Serie K</v>
      </c>
      <c r="H5" s="3" t="str">
        <f t="shared" si="2"/>
        <v>K05 - (1.1L)</v>
      </c>
      <c r="I5" s="3" t="s">
        <v>1759</v>
      </c>
    </row>
    <row r="6" spans="1:9" x14ac:dyDescent="0.2">
      <c r="A6" s="3" t="s">
        <v>5</v>
      </c>
      <c r="B6" s="3" t="s">
        <v>4</v>
      </c>
      <c r="C6" s="3" t="s">
        <v>711</v>
      </c>
      <c r="D6" s="3" t="s">
        <v>1763</v>
      </c>
      <c r="E6" s="3" t="s">
        <v>4951</v>
      </c>
      <c r="F6" s="3" t="str">
        <f t="shared" si="0"/>
        <v>DFSK - K07</v>
      </c>
      <c r="G6" s="3" t="str">
        <f t="shared" si="1"/>
        <v>DFSK - Serie K</v>
      </c>
      <c r="H6" s="3" t="str">
        <f t="shared" si="2"/>
        <v>K07 - (1.1L)</v>
      </c>
      <c r="I6" s="3" t="s">
        <v>4956</v>
      </c>
    </row>
    <row r="7" spans="1:9" x14ac:dyDescent="0.2">
      <c r="A7" s="3" t="s">
        <v>6</v>
      </c>
      <c r="B7" s="3" t="s">
        <v>4</v>
      </c>
      <c r="C7" s="3" t="s">
        <v>4946</v>
      </c>
      <c r="D7" s="3" t="s">
        <v>343</v>
      </c>
      <c r="E7" s="3" t="s">
        <v>4957</v>
      </c>
      <c r="F7" s="3" t="str">
        <f t="shared" si="0"/>
        <v>DFSK - C31</v>
      </c>
      <c r="G7" s="3" t="str">
        <f t="shared" si="1"/>
        <v>DFSK - Serie C</v>
      </c>
      <c r="H7" s="3" t="str">
        <f t="shared" si="2"/>
        <v>C31 - (1.5L)</v>
      </c>
      <c r="I7" s="3" t="s">
        <v>4958</v>
      </c>
    </row>
    <row r="8" spans="1:9" x14ac:dyDescent="0.2">
      <c r="A8" s="12" t="s">
        <v>7</v>
      </c>
      <c r="B8" s="3" t="s">
        <v>4</v>
      </c>
      <c r="C8" s="3" t="s">
        <v>4946</v>
      </c>
      <c r="D8" s="3" t="s">
        <v>339</v>
      </c>
      <c r="E8" s="3" t="s">
        <v>4957</v>
      </c>
      <c r="F8" s="3" t="str">
        <f t="shared" si="0"/>
        <v>DFSK - C32</v>
      </c>
      <c r="G8" s="3" t="str">
        <f t="shared" si="1"/>
        <v>DFSK - Serie C</v>
      </c>
      <c r="H8" s="3" t="str">
        <f t="shared" si="2"/>
        <v>C32 - (1.5L)</v>
      </c>
      <c r="I8" s="3" t="s">
        <v>4959</v>
      </c>
    </row>
    <row r="9" spans="1:9" x14ac:dyDescent="0.2">
      <c r="A9" s="12" t="s">
        <v>8</v>
      </c>
      <c r="B9" s="3" t="s">
        <v>4</v>
      </c>
      <c r="C9" s="3" t="s">
        <v>4960</v>
      </c>
      <c r="D9" s="3" t="s">
        <v>145</v>
      </c>
      <c r="E9" s="3" t="s">
        <v>4961</v>
      </c>
      <c r="F9" s="3" t="str">
        <f t="shared" si="0"/>
        <v>DFSK - D1</v>
      </c>
      <c r="G9" s="3" t="str">
        <f t="shared" si="1"/>
        <v>DFSK - Serie D</v>
      </c>
      <c r="H9" s="3" t="str">
        <f t="shared" si="2"/>
        <v>D1 - (2.4L)</v>
      </c>
      <c r="I9" s="3" t="s">
        <v>4962</v>
      </c>
    </row>
    <row r="10" spans="1:9" x14ac:dyDescent="0.2">
      <c r="A10" s="12" t="s">
        <v>9</v>
      </c>
      <c r="B10" s="3" t="s">
        <v>4</v>
      </c>
      <c r="C10" s="3" t="s">
        <v>4946</v>
      </c>
      <c r="D10" s="3" t="s">
        <v>332</v>
      </c>
      <c r="E10" s="3" t="s">
        <v>4957</v>
      </c>
      <c r="F10" s="3" t="str">
        <f t="shared" si="0"/>
        <v>DFSK - C35</v>
      </c>
      <c r="G10" s="3" t="str">
        <f t="shared" si="1"/>
        <v>DFSK - Serie C</v>
      </c>
      <c r="H10" s="3" t="str">
        <f t="shared" si="2"/>
        <v>C35 - (1.5L)</v>
      </c>
      <c r="I10" s="3" t="s">
        <v>4963</v>
      </c>
    </row>
    <row r="11" spans="1:9" x14ac:dyDescent="0.2">
      <c r="A11" s="12" t="s">
        <v>10</v>
      </c>
      <c r="B11" s="3" t="s">
        <v>4</v>
      </c>
      <c r="C11" s="3" t="s">
        <v>4946</v>
      </c>
      <c r="D11" s="3" t="s">
        <v>265</v>
      </c>
      <c r="E11" s="3" t="s">
        <v>4957</v>
      </c>
      <c r="F11" s="3" t="str">
        <f t="shared" si="0"/>
        <v>DFSK - C37</v>
      </c>
      <c r="G11" s="3" t="str">
        <f t="shared" si="1"/>
        <v>DFSK - Serie C</v>
      </c>
      <c r="H11" s="3" t="str">
        <f t="shared" si="2"/>
        <v>C37 - (1.5L)</v>
      </c>
      <c r="I11" s="3" t="s">
        <v>4964</v>
      </c>
    </row>
    <row r="12" spans="1:9" x14ac:dyDescent="0.2">
      <c r="A12" s="12" t="s">
        <v>11</v>
      </c>
      <c r="B12" s="3" t="s">
        <v>4</v>
      </c>
      <c r="C12" s="3" t="s">
        <v>551</v>
      </c>
      <c r="D12" s="3" t="s">
        <v>1754</v>
      </c>
      <c r="E12" s="3" t="s">
        <v>4957</v>
      </c>
      <c r="F12" s="3" t="str">
        <f t="shared" si="0"/>
        <v>DFSK - G500 TURBO</v>
      </c>
      <c r="G12" s="3" t="str">
        <f t="shared" si="1"/>
        <v>DFSK - Serie Glory</v>
      </c>
      <c r="H12" s="3" t="str">
        <f t="shared" si="2"/>
        <v>G500 TURBO - (1.5L)</v>
      </c>
      <c r="I12" s="3" t="s">
        <v>4965</v>
      </c>
    </row>
    <row r="13" spans="1:9" x14ac:dyDescent="0.2">
      <c r="A13" s="3" t="s">
        <v>12</v>
      </c>
      <c r="B13" s="3" t="s">
        <v>4</v>
      </c>
      <c r="C13" s="3" t="s">
        <v>551</v>
      </c>
      <c r="D13" s="3" t="s">
        <v>1765</v>
      </c>
      <c r="E13" s="3" t="s">
        <v>4957</v>
      </c>
      <c r="F13" s="3" t="str">
        <f t="shared" si="0"/>
        <v>DFSK - G500 ASPIRADA</v>
      </c>
      <c r="G13" s="3" t="str">
        <f t="shared" si="1"/>
        <v>DFSK - Serie Glory</v>
      </c>
      <c r="H13" s="3" t="str">
        <f t="shared" si="2"/>
        <v>G500 ASPIRADA - (1.5L)</v>
      </c>
      <c r="I13" s="3" t="s">
        <v>4966</v>
      </c>
    </row>
    <row r="14" spans="1:9" x14ac:dyDescent="0.2">
      <c r="A14" s="3" t="s">
        <v>13</v>
      </c>
      <c r="B14" s="3" t="s">
        <v>4</v>
      </c>
      <c r="C14" s="3" t="s">
        <v>551</v>
      </c>
      <c r="D14" s="3" t="s">
        <v>1767</v>
      </c>
      <c r="E14" s="3" t="s">
        <v>4957</v>
      </c>
      <c r="F14" s="3" t="str">
        <f t="shared" si="0"/>
        <v>DFSK - G600</v>
      </c>
      <c r="G14" s="3" t="str">
        <f t="shared" si="1"/>
        <v>DFSK - Serie Glory</v>
      </c>
      <c r="H14" s="3" t="str">
        <f t="shared" si="2"/>
        <v>G600 - (1.5L)</v>
      </c>
      <c r="I14" s="3" t="s">
        <v>4967</v>
      </c>
    </row>
    <row r="15" spans="1:9" x14ac:dyDescent="0.2">
      <c r="A15" s="3" t="s">
        <v>14</v>
      </c>
      <c r="B15" s="3" t="s">
        <v>4</v>
      </c>
      <c r="C15" s="3" t="s">
        <v>551</v>
      </c>
      <c r="D15" s="3" t="s">
        <v>1766</v>
      </c>
      <c r="E15" s="3" t="s">
        <v>4968</v>
      </c>
      <c r="F15" s="3" t="str">
        <f t="shared" si="0"/>
        <v>DFSK - G580</v>
      </c>
      <c r="G15" s="3" t="str">
        <f t="shared" si="1"/>
        <v>DFSK - Serie Glory</v>
      </c>
      <c r="H15" s="3" t="str">
        <f t="shared" si="2"/>
        <v>G580 - (1.8L)</v>
      </c>
      <c r="I15" s="3" t="s">
        <v>4969</v>
      </c>
    </row>
    <row r="16" spans="1:9" x14ac:dyDescent="0.2">
      <c r="A16" s="3" t="s">
        <v>0</v>
      </c>
      <c r="B16" s="3" t="s">
        <v>4</v>
      </c>
      <c r="C16" s="3" t="s">
        <v>551</v>
      </c>
      <c r="D16" s="3" t="s">
        <v>112</v>
      </c>
      <c r="E16" s="3" t="s">
        <v>4968</v>
      </c>
      <c r="F16" s="3" t="str">
        <f t="shared" si="0"/>
        <v>DFSK - G560</v>
      </c>
      <c r="G16" s="3" t="str">
        <f t="shared" si="1"/>
        <v>DFSK - Serie Glory</v>
      </c>
      <c r="H16" s="3" t="str">
        <f t="shared" si="2"/>
        <v>G560 - (1.8L)</v>
      </c>
      <c r="I16" s="3" t="s">
        <v>1760</v>
      </c>
    </row>
    <row r="17" spans="1:8" x14ac:dyDescent="0.2">
      <c r="A17" s="13" t="s">
        <v>15</v>
      </c>
      <c r="B17" s="3" t="s">
        <v>4</v>
      </c>
      <c r="C17" s="3" t="s">
        <v>551</v>
      </c>
      <c r="D17" s="3" t="s">
        <v>404</v>
      </c>
      <c r="E17" s="3" t="s">
        <v>4957</v>
      </c>
      <c r="F17" s="3" t="str">
        <f t="shared" si="0"/>
        <v>DFSK - G330</v>
      </c>
      <c r="G17" s="3" t="str">
        <f t="shared" si="1"/>
        <v>DFSK - Serie Glory</v>
      </c>
      <c r="H17" s="3" t="str">
        <f t="shared" si="2"/>
        <v>G330 - (1.5L)</v>
      </c>
    </row>
    <row r="18" spans="1:8" x14ac:dyDescent="0.2">
      <c r="A18" s="13" t="s">
        <v>16</v>
      </c>
      <c r="B18" s="3" t="s">
        <v>4</v>
      </c>
      <c r="C18" s="3" t="s">
        <v>551</v>
      </c>
      <c r="D18" s="3" t="s">
        <v>1766</v>
      </c>
      <c r="E18" s="3" t="s">
        <v>4957</v>
      </c>
      <c r="F18" s="3" t="str">
        <f t="shared" si="0"/>
        <v>DFSK - G580</v>
      </c>
      <c r="G18" s="3" t="str">
        <f t="shared" si="1"/>
        <v>DFSK - Serie Glory</v>
      </c>
      <c r="H18" s="3" t="str">
        <f t="shared" si="2"/>
        <v>G580 - (1.5L)</v>
      </c>
    </row>
    <row r="19" spans="1:8" x14ac:dyDescent="0.2">
      <c r="A19" s="3" t="s">
        <v>17</v>
      </c>
      <c r="B19" s="3" t="s">
        <v>4</v>
      </c>
      <c r="C19" s="3" t="s">
        <v>551</v>
      </c>
      <c r="D19" s="3" t="s">
        <v>112</v>
      </c>
      <c r="E19" s="3" t="s">
        <v>4957</v>
      </c>
      <c r="F19" s="3" t="str">
        <f t="shared" si="0"/>
        <v>DFSK - G560</v>
      </c>
      <c r="G19" s="3" t="str">
        <f t="shared" si="1"/>
        <v>DFSK - Serie Glory</v>
      </c>
      <c r="H19" s="3" t="str">
        <f t="shared" si="2"/>
        <v>G560 - (1.5L)</v>
      </c>
    </row>
    <row r="20" spans="1:8" x14ac:dyDescent="0.2">
      <c r="A20" s="13" t="s">
        <v>18</v>
      </c>
      <c r="B20" s="3" t="s">
        <v>4</v>
      </c>
      <c r="C20" s="3" t="s">
        <v>4960</v>
      </c>
      <c r="D20" s="3" t="s">
        <v>973</v>
      </c>
      <c r="E20" s="3" t="s">
        <v>4957</v>
      </c>
      <c r="F20" s="3" t="str">
        <f t="shared" si="0"/>
        <v>DFSK - D51</v>
      </c>
      <c r="G20" s="3" t="str">
        <f t="shared" si="1"/>
        <v>DFSK - Serie D</v>
      </c>
      <c r="H20" s="3" t="str">
        <f t="shared" si="2"/>
        <v>D51 - (1.5L)</v>
      </c>
    </row>
    <row r="21" spans="1:8" x14ac:dyDescent="0.2">
      <c r="A21" s="13" t="s">
        <v>19</v>
      </c>
      <c r="B21" s="3" t="s">
        <v>4</v>
      </c>
      <c r="C21" s="3" t="s">
        <v>4960</v>
      </c>
      <c r="D21" s="3" t="s">
        <v>2785</v>
      </c>
      <c r="E21" s="3" t="s">
        <v>4957</v>
      </c>
      <c r="F21" s="3" t="str">
        <f t="shared" si="0"/>
        <v>DFSK - D71</v>
      </c>
      <c r="G21" s="3" t="str">
        <f t="shared" si="1"/>
        <v>DFSK - Serie D</v>
      </c>
      <c r="H21" s="3" t="str">
        <f t="shared" si="2"/>
        <v>D71 - (1.5L)</v>
      </c>
    </row>
    <row r="22" spans="1:8" x14ac:dyDescent="0.2">
      <c r="A22" s="3" t="s">
        <v>20</v>
      </c>
      <c r="B22" s="3" t="s">
        <v>4</v>
      </c>
      <c r="C22" s="3" t="s">
        <v>4960</v>
      </c>
      <c r="D22" s="3" t="s">
        <v>4682</v>
      </c>
      <c r="E22" s="3" t="s">
        <v>4957</v>
      </c>
      <c r="F22" s="3" t="str">
        <f t="shared" si="0"/>
        <v>DFSK - D72</v>
      </c>
      <c r="G22" s="3" t="str">
        <f t="shared" si="1"/>
        <v>DFSK - Serie D</v>
      </c>
      <c r="H22" s="3" t="str">
        <f t="shared" si="2"/>
        <v>D72 - (1.5L)</v>
      </c>
    </row>
    <row r="23" spans="1:8" x14ac:dyDescent="0.2">
      <c r="A23" s="3" t="s">
        <v>21</v>
      </c>
      <c r="B23" s="3" t="s">
        <v>4</v>
      </c>
      <c r="C23" s="3" t="s">
        <v>4970</v>
      </c>
      <c r="D23" s="3" t="s">
        <v>1770</v>
      </c>
      <c r="E23" s="3" t="s">
        <v>4957</v>
      </c>
      <c r="F23" s="3" t="str">
        <f t="shared" si="0"/>
        <v>DFSK - IX5</v>
      </c>
      <c r="G23" s="3" t="str">
        <f t="shared" si="1"/>
        <v>DFSK - Serie IX</v>
      </c>
      <c r="H23" s="3" t="str">
        <f t="shared" si="2"/>
        <v>IX5 - (1.5L)</v>
      </c>
    </row>
    <row r="24" spans="1:8" x14ac:dyDescent="0.2">
      <c r="A24" s="3" t="s">
        <v>22</v>
      </c>
      <c r="B24" s="3" t="s">
        <v>10</v>
      </c>
      <c r="C24" s="3" t="s">
        <v>4971</v>
      </c>
      <c r="D24" s="3" t="s">
        <v>1764</v>
      </c>
      <c r="E24" s="3" t="s">
        <v>4961</v>
      </c>
      <c r="F24" s="3" t="str">
        <f t="shared" si="0"/>
        <v>GAC - SMILODON SE</v>
      </c>
      <c r="G24" s="3" t="str">
        <f t="shared" si="1"/>
        <v>GAC - Serie Smilodon</v>
      </c>
      <c r="H24" s="3" t="str">
        <f t="shared" si="2"/>
        <v>SMILODON SE - (2.4L)</v>
      </c>
    </row>
    <row r="25" spans="1:8" ht="14.25" x14ac:dyDescent="0.2">
      <c r="A25" s="3" t="s">
        <v>23</v>
      </c>
      <c r="B25" s="3" t="s">
        <v>10</v>
      </c>
      <c r="C25" s="3" t="s">
        <v>4972</v>
      </c>
      <c r="D25" s="3" t="s">
        <v>4973</v>
      </c>
      <c r="E25" s="3" t="s">
        <v>4957</v>
      </c>
      <c r="F25" s="3" t="str">
        <f t="shared" si="0"/>
        <v>GAC - S7</v>
      </c>
      <c r="G25" s="3" t="str">
        <f t="shared" si="1"/>
        <v>GAC - Serie S</v>
      </c>
      <c r="H25" s="3" t="str">
        <f t="shared" si="2"/>
        <v>S7 - (1.5L)</v>
      </c>
    </row>
    <row r="26" spans="1:8" ht="14.25" x14ac:dyDescent="0.2">
      <c r="A26" s="3" t="s">
        <v>24</v>
      </c>
      <c r="B26" s="3" t="s">
        <v>10</v>
      </c>
      <c r="C26" s="3" t="s">
        <v>4974</v>
      </c>
      <c r="D26" s="3" t="s">
        <v>1487</v>
      </c>
      <c r="E26" s="3" t="s">
        <v>4975</v>
      </c>
      <c r="F26" s="3" t="str">
        <f t="shared" si="0"/>
        <v>GAC - GS8</v>
      </c>
      <c r="G26" s="3" t="str">
        <f t="shared" si="1"/>
        <v>GAC - Serie GS</v>
      </c>
      <c r="H26" s="3" t="str">
        <f t="shared" si="2"/>
        <v>GS8 - (2.0L)</v>
      </c>
    </row>
    <row r="27" spans="1:8" ht="14.25" x14ac:dyDescent="0.2">
      <c r="A27" s="13" t="s">
        <v>27</v>
      </c>
      <c r="B27" s="3" t="s">
        <v>10</v>
      </c>
      <c r="C27" s="3" t="s">
        <v>4976</v>
      </c>
      <c r="D27" s="3" t="s">
        <v>1769</v>
      </c>
      <c r="E27" s="3" t="s">
        <v>4975</v>
      </c>
      <c r="F27" s="3" t="str">
        <f t="shared" si="0"/>
        <v>GAC - EMPOW 2.0</v>
      </c>
      <c r="G27" s="3" t="str">
        <f t="shared" si="1"/>
        <v>GAC - Serie Empow</v>
      </c>
      <c r="H27" s="3" t="str">
        <f t="shared" si="2"/>
        <v>EMPOW 2.0 - (2.0L)</v>
      </c>
    </row>
    <row r="28" spans="1:8" ht="14.25" x14ac:dyDescent="0.2">
      <c r="A28" s="13" t="s">
        <v>28</v>
      </c>
      <c r="B28" s="3" t="s">
        <v>10</v>
      </c>
      <c r="C28" s="3" t="s">
        <v>4977</v>
      </c>
      <c r="D28" s="3" t="s">
        <v>1768</v>
      </c>
      <c r="E28" s="3" t="s">
        <v>4957</v>
      </c>
      <c r="F28" s="3" t="str">
        <f t="shared" si="0"/>
        <v>GAC - EMZOOM R STYLE</v>
      </c>
      <c r="G28" s="3" t="str">
        <f t="shared" si="1"/>
        <v>GAC - Serie Emzoom</v>
      </c>
      <c r="H28" s="3" t="str">
        <f t="shared" si="2"/>
        <v>EMZOOM R STYLE - (1.5L)</v>
      </c>
    </row>
    <row r="29" spans="1:8" ht="14.25" x14ac:dyDescent="0.2">
      <c r="A29" s="13" t="s">
        <v>4978</v>
      </c>
      <c r="B29" s="3" t="s">
        <v>10</v>
      </c>
      <c r="C29" s="3" t="s">
        <v>4976</v>
      </c>
      <c r="D29" s="3" t="s">
        <v>1180</v>
      </c>
      <c r="E29" s="3" t="s">
        <v>4957</v>
      </c>
      <c r="F29" s="3" t="str">
        <f t="shared" si="0"/>
        <v>GAC - EMPOW</v>
      </c>
      <c r="G29" s="3" t="str">
        <f t="shared" si="1"/>
        <v>GAC - Serie Empow</v>
      </c>
      <c r="H29" s="3" t="str">
        <f t="shared" si="2"/>
        <v>EMPOW - (1.5L)</v>
      </c>
    </row>
    <row r="30" spans="1:8" ht="14.25" x14ac:dyDescent="0.2">
      <c r="A30" s="3"/>
      <c r="B30" s="3" t="s">
        <v>10</v>
      </c>
      <c r="C30" s="3" t="s">
        <v>4971</v>
      </c>
      <c r="D30" s="3" t="s">
        <v>4979</v>
      </c>
      <c r="E30" s="3" t="s">
        <v>4961</v>
      </c>
      <c r="F30" s="3" t="str">
        <f t="shared" si="0"/>
        <v>GAC - SMILODON B PRO</v>
      </c>
      <c r="G30" s="3" t="str">
        <f t="shared" si="1"/>
        <v>GAC - Serie Smilodon</v>
      </c>
      <c r="H30" s="3" t="str">
        <f t="shared" si="2"/>
        <v>SMILODON B PRO - (2.4L)</v>
      </c>
    </row>
    <row r="31" spans="1:8" ht="14.25" x14ac:dyDescent="0.2">
      <c r="A31" s="3"/>
      <c r="B31" s="3" t="s">
        <v>10</v>
      </c>
      <c r="C31" s="3" t="s">
        <v>4977</v>
      </c>
      <c r="D31" s="3" t="s">
        <v>1203</v>
      </c>
      <c r="E31" s="3" t="s">
        <v>4957</v>
      </c>
      <c r="F31" s="3" t="str">
        <f t="shared" si="0"/>
        <v>GAC - EMZOOM</v>
      </c>
      <c r="G31" s="3" t="str">
        <f t="shared" si="1"/>
        <v>GAC - Serie Emzoom</v>
      </c>
      <c r="H31" s="3" t="str">
        <f t="shared" si="2"/>
        <v>EMZOOM - (1.5L)</v>
      </c>
    </row>
    <row r="32" spans="1:8" ht="14.25" x14ac:dyDescent="0.2">
      <c r="A32" s="3"/>
      <c r="B32" s="3" t="s">
        <v>10</v>
      </c>
      <c r="C32" s="3" t="s">
        <v>4980</v>
      </c>
      <c r="D32" s="3" t="s">
        <v>4914</v>
      </c>
      <c r="E32" s="3" t="s">
        <v>4981</v>
      </c>
      <c r="F32" s="3" t="str">
        <f t="shared" si="0"/>
        <v>GAC - AION UT</v>
      </c>
      <c r="G32" s="3" t="str">
        <f t="shared" si="1"/>
        <v>GAC - Serie Aion</v>
      </c>
      <c r="H32" s="3" t="str">
        <f t="shared" si="2"/>
        <v>AION UT - (EV)</v>
      </c>
    </row>
    <row r="33" spans="1:8" ht="14.25" x14ac:dyDescent="0.2">
      <c r="A33" s="3"/>
      <c r="B33" s="3" t="s">
        <v>10</v>
      </c>
      <c r="C33" s="3" t="s">
        <v>4971</v>
      </c>
      <c r="D33" s="3" t="s">
        <v>1764</v>
      </c>
      <c r="E33" s="3" t="s">
        <v>4982</v>
      </c>
      <c r="F33" s="3" t="str">
        <f t="shared" si="0"/>
        <v>GAC - SMILODON SE</v>
      </c>
      <c r="G33" s="3" t="str">
        <f t="shared" si="1"/>
        <v>GAC - Serie Smilodon</v>
      </c>
      <c r="H33" s="3" t="str">
        <f t="shared" si="2"/>
        <v>SMILODON SE - (2.8L)</v>
      </c>
    </row>
    <row r="34" spans="1:8" ht="14.25" x14ac:dyDescent="0.2">
      <c r="A34" s="3"/>
      <c r="B34" s="3" t="s">
        <v>10</v>
      </c>
      <c r="C34" s="3" t="s">
        <v>4974</v>
      </c>
      <c r="D34" s="3" t="s">
        <v>4485</v>
      </c>
      <c r="E34" s="3" t="s">
        <v>4957</v>
      </c>
      <c r="F34" s="3" t="str">
        <f t="shared" si="0"/>
        <v>GAC - GS3</v>
      </c>
      <c r="G34" s="3" t="str">
        <f t="shared" si="1"/>
        <v>GAC - Serie GS</v>
      </c>
      <c r="H34" s="3" t="str">
        <f t="shared" si="2"/>
        <v>GS3 - (1.5L)</v>
      </c>
    </row>
    <row r="35" spans="1:8" ht="14.25" x14ac:dyDescent="0.2">
      <c r="A35" s="3"/>
      <c r="B35" s="3" t="s">
        <v>7</v>
      </c>
      <c r="C35" s="3" t="s">
        <v>4983</v>
      </c>
      <c r="D35" s="3" t="s">
        <v>4984</v>
      </c>
      <c r="E35" s="3" t="s">
        <v>4985</v>
      </c>
      <c r="F35" s="3" t="str">
        <f t="shared" si="0"/>
        <v>SHINERAY - T30</v>
      </c>
      <c r="G35" s="3" t="str">
        <f t="shared" si="1"/>
        <v>SHINERAY - Serie T</v>
      </c>
      <c r="H35" s="3" t="str">
        <f t="shared" si="2"/>
        <v>T30 - (1.6L)</v>
      </c>
    </row>
    <row r="36" spans="1:8" ht="14.25" x14ac:dyDescent="0.2">
      <c r="A36" s="3"/>
      <c r="B36" s="3" t="s">
        <v>7</v>
      </c>
      <c r="C36" s="3" t="s">
        <v>4983</v>
      </c>
      <c r="D36" s="3" t="s">
        <v>4986</v>
      </c>
      <c r="E36" s="3" t="s">
        <v>4985</v>
      </c>
      <c r="F36" s="3" t="str">
        <f t="shared" si="0"/>
        <v>SHINERAY - T32</v>
      </c>
      <c r="G36" s="3" t="str">
        <f t="shared" si="1"/>
        <v>SHINERAY - Serie T</v>
      </c>
      <c r="H36" s="3" t="str">
        <f t="shared" si="2"/>
        <v>T32 - (1.6L)</v>
      </c>
    </row>
    <row r="37" spans="1:8" ht="14.25" x14ac:dyDescent="0.2">
      <c r="A37" s="3"/>
      <c r="B37" s="3" t="s">
        <v>7</v>
      </c>
      <c r="C37" s="3" t="s">
        <v>4987</v>
      </c>
      <c r="D37" s="3" t="s">
        <v>1771</v>
      </c>
      <c r="E37" s="3" t="s">
        <v>4957</v>
      </c>
      <c r="F37" s="3" t="str">
        <f t="shared" si="0"/>
        <v>SHINERAY - X30L CARGA</v>
      </c>
      <c r="G37" s="3" t="str">
        <f t="shared" si="1"/>
        <v>SHINERAY - Serie X30</v>
      </c>
      <c r="H37" s="3" t="str">
        <f t="shared" si="2"/>
        <v>X30L CARGA - (1.5L)</v>
      </c>
    </row>
    <row r="38" spans="1:8" ht="14.25" x14ac:dyDescent="0.2">
      <c r="A38" s="3"/>
      <c r="B38" s="3" t="s">
        <v>7</v>
      </c>
      <c r="C38" s="3" t="s">
        <v>4987</v>
      </c>
      <c r="D38" s="3" t="s">
        <v>1772</v>
      </c>
      <c r="E38" s="3" t="s">
        <v>4957</v>
      </c>
      <c r="F38" s="3" t="str">
        <f t="shared" si="0"/>
        <v>SHINERAY - X30L PASAJEROS</v>
      </c>
      <c r="G38" s="3" t="str">
        <f t="shared" si="1"/>
        <v>SHINERAY - Serie X30</v>
      </c>
      <c r="H38" s="3" t="str">
        <f t="shared" si="2"/>
        <v>X30L PASAJEROS - (1.5L)</v>
      </c>
    </row>
    <row r="39" spans="1:8" ht="14.25" x14ac:dyDescent="0.2">
      <c r="A39" s="3"/>
      <c r="B39" s="3" t="s">
        <v>7</v>
      </c>
      <c r="C39" s="3" t="s">
        <v>4983</v>
      </c>
      <c r="D39" s="3" t="s">
        <v>4984</v>
      </c>
      <c r="E39" s="3" t="s">
        <v>4957</v>
      </c>
      <c r="F39" s="3" t="str">
        <f t="shared" si="0"/>
        <v>SHINERAY - T30</v>
      </c>
      <c r="G39" s="3" t="str">
        <f t="shared" si="1"/>
        <v>SHINERAY - Serie T</v>
      </c>
      <c r="H39" s="3" t="str">
        <f t="shared" si="2"/>
        <v>T30 - (1.5L)</v>
      </c>
    </row>
    <row r="40" spans="1:8" ht="14.25" x14ac:dyDescent="0.2">
      <c r="A40" s="3"/>
      <c r="B40" s="3" t="s">
        <v>7</v>
      </c>
      <c r="C40" s="3" t="s">
        <v>4983</v>
      </c>
      <c r="D40" s="3" t="s">
        <v>4986</v>
      </c>
      <c r="E40" s="3" t="s">
        <v>4957</v>
      </c>
      <c r="F40" s="3" t="str">
        <f t="shared" si="0"/>
        <v>SHINERAY - T32</v>
      </c>
      <c r="G40" s="3" t="str">
        <f t="shared" si="1"/>
        <v>SHINERAY - Serie T</v>
      </c>
      <c r="H40" s="3" t="str">
        <f t="shared" si="2"/>
        <v>T32 - (1.5L)</v>
      </c>
    </row>
    <row r="41" spans="1:8" ht="14.25" x14ac:dyDescent="0.2">
      <c r="A41" s="3"/>
      <c r="B41" s="3" t="s">
        <v>7</v>
      </c>
      <c r="C41" s="3" t="s">
        <v>4987</v>
      </c>
      <c r="D41" s="3" t="s">
        <v>1771</v>
      </c>
      <c r="E41" s="3" t="s">
        <v>4985</v>
      </c>
      <c r="F41" s="3" t="str">
        <f t="shared" si="0"/>
        <v>SHINERAY - X30L CARGA</v>
      </c>
      <c r="G41" s="3" t="str">
        <f t="shared" si="1"/>
        <v>SHINERAY - Serie X30</v>
      </c>
      <c r="H41" s="3" t="str">
        <f t="shared" si="2"/>
        <v>X30L CARGA - (1.6L)</v>
      </c>
    </row>
    <row r="42" spans="1:8" ht="14.25" x14ac:dyDescent="0.2">
      <c r="A42" s="3"/>
      <c r="B42" s="3" t="s">
        <v>7</v>
      </c>
      <c r="C42" s="3" t="s">
        <v>4987</v>
      </c>
      <c r="D42" s="3" t="s">
        <v>1772</v>
      </c>
      <c r="E42" s="3" t="s">
        <v>4985</v>
      </c>
      <c r="F42" s="3" t="str">
        <f t="shared" si="0"/>
        <v>SHINERAY - X30L PASAJEROS</v>
      </c>
      <c r="G42" s="3" t="str">
        <f t="shared" si="1"/>
        <v>SHINERAY - Serie X30</v>
      </c>
      <c r="H42" s="3" t="str">
        <f t="shared" si="2"/>
        <v>X30L PASAJEROS - (1.6L)</v>
      </c>
    </row>
    <row r="43" spans="1:8" ht="14.25" x14ac:dyDescent="0.2">
      <c r="A43" s="3"/>
      <c r="B43" s="3" t="s">
        <v>4365</v>
      </c>
      <c r="C43" s="3" t="s">
        <v>3403</v>
      </c>
      <c r="D43" s="3" t="s">
        <v>4356</v>
      </c>
      <c r="E43" s="3" t="s">
        <v>4988</v>
      </c>
      <c r="F43" s="3" t="str">
        <f t="shared" si="0"/>
        <v>VALVOLINE - 5W-30</v>
      </c>
      <c r="G43" s="3" t="str">
        <f t="shared" si="1"/>
        <v>VALVOLINE - MOTOR</v>
      </c>
      <c r="H43" s="3" t="str">
        <f t="shared" si="2"/>
        <v>5W-30 - SINTETICO</v>
      </c>
    </row>
    <row r="44" spans="1:8" ht="14.25" x14ac:dyDescent="0.2">
      <c r="A44" s="3"/>
      <c r="B44" s="3" t="s">
        <v>4365</v>
      </c>
      <c r="C44" s="3" t="s">
        <v>3403</v>
      </c>
      <c r="D44" s="3" t="s">
        <v>4356</v>
      </c>
      <c r="E44" s="3" t="s">
        <v>4989</v>
      </c>
      <c r="F44" s="3" t="str">
        <f t="shared" si="0"/>
        <v>VALVOLINE - 5W-30</v>
      </c>
      <c r="G44" s="3" t="str">
        <f t="shared" si="1"/>
        <v>VALVOLINE - MOTOR</v>
      </c>
      <c r="H44" s="3" t="str">
        <f t="shared" si="2"/>
        <v>5W-30 - SEMISINTETICO</v>
      </c>
    </row>
    <row r="45" spans="1:8" ht="14.25" x14ac:dyDescent="0.2">
      <c r="A45" s="3"/>
      <c r="B45" s="3" t="s">
        <v>4365</v>
      </c>
      <c r="C45" s="3" t="s">
        <v>3403</v>
      </c>
      <c r="D45" s="3" t="s">
        <v>4990</v>
      </c>
      <c r="E45" s="3" t="s">
        <v>4988</v>
      </c>
      <c r="F45" s="3" t="str">
        <f t="shared" si="0"/>
        <v>VALVOLINE - 10W-40</v>
      </c>
      <c r="G45" s="3" t="str">
        <f t="shared" si="1"/>
        <v>VALVOLINE - MOTOR</v>
      </c>
      <c r="H45" s="3" t="str">
        <f t="shared" si="2"/>
        <v>10W-40 - SINTETICO</v>
      </c>
    </row>
    <row r="46" spans="1:8" ht="14.25" x14ac:dyDescent="0.2">
      <c r="A46" s="3"/>
      <c r="B46" s="3" t="s">
        <v>4365</v>
      </c>
      <c r="C46" s="3" t="s">
        <v>3403</v>
      </c>
      <c r="D46" s="3" t="s">
        <v>4990</v>
      </c>
      <c r="E46" s="3" t="s">
        <v>4989</v>
      </c>
      <c r="F46" s="3" t="str">
        <f t="shared" si="0"/>
        <v>VALVOLINE - 10W-40</v>
      </c>
      <c r="G46" s="3" t="str">
        <f t="shared" si="1"/>
        <v>VALVOLINE - MOTOR</v>
      </c>
      <c r="H46" s="3" t="str">
        <f t="shared" si="2"/>
        <v>10W-40 - SEMISINTETICO</v>
      </c>
    </row>
    <row r="47" spans="1:8" ht="14.25" x14ac:dyDescent="0.2">
      <c r="A47" s="3"/>
      <c r="B47" s="3" t="s">
        <v>4365</v>
      </c>
      <c r="C47" s="3" t="s">
        <v>3403</v>
      </c>
      <c r="D47" s="3" t="s">
        <v>4990</v>
      </c>
      <c r="E47" s="3" t="s">
        <v>4991</v>
      </c>
      <c r="F47" s="3" t="str">
        <f t="shared" si="0"/>
        <v>VALVOLINE - 10W-40</v>
      </c>
      <c r="G47" s="3" t="str">
        <f t="shared" si="1"/>
        <v>VALVOLINE - MOTOR</v>
      </c>
      <c r="H47" s="3" t="str">
        <f t="shared" si="2"/>
        <v>10W-40 - MINERAL</v>
      </c>
    </row>
    <row r="48" spans="1:8" ht="14.25" x14ac:dyDescent="0.2">
      <c r="A48" s="3"/>
      <c r="B48" s="3" t="s">
        <v>4365</v>
      </c>
      <c r="C48" s="3" t="s">
        <v>3403</v>
      </c>
      <c r="D48" s="3" t="s">
        <v>4354</v>
      </c>
      <c r="E48" s="3" t="s">
        <v>4988</v>
      </c>
      <c r="F48" s="3" t="str">
        <f t="shared" si="0"/>
        <v>VALVOLINE - 15W-40</v>
      </c>
      <c r="G48" s="3" t="str">
        <f t="shared" si="1"/>
        <v>VALVOLINE - MOTOR</v>
      </c>
      <c r="H48" s="3" t="str">
        <f t="shared" si="2"/>
        <v>15W-40 - SINTETICO</v>
      </c>
    </row>
    <row r="49" spans="1:8" ht="14.25" x14ac:dyDescent="0.2">
      <c r="A49" s="3"/>
      <c r="B49" s="3" t="s">
        <v>4365</v>
      </c>
      <c r="C49" s="3" t="s">
        <v>3403</v>
      </c>
      <c r="D49" s="3" t="s">
        <v>4354</v>
      </c>
      <c r="E49" s="3" t="s">
        <v>4989</v>
      </c>
      <c r="F49" s="3" t="str">
        <f t="shared" si="0"/>
        <v>VALVOLINE - 15W-40</v>
      </c>
      <c r="G49" s="3" t="str">
        <f t="shared" si="1"/>
        <v>VALVOLINE - MOTOR</v>
      </c>
      <c r="H49" s="3" t="str">
        <f t="shared" si="2"/>
        <v>15W-40 - SEMISINTETICO</v>
      </c>
    </row>
    <row r="50" spans="1:8" ht="14.25" x14ac:dyDescent="0.2">
      <c r="A50" s="3"/>
      <c r="B50" s="3" t="s">
        <v>4365</v>
      </c>
      <c r="C50" s="3" t="s">
        <v>3403</v>
      </c>
      <c r="D50" s="3" t="s">
        <v>4354</v>
      </c>
      <c r="E50" s="3" t="s">
        <v>4991</v>
      </c>
      <c r="F50" s="3" t="str">
        <f t="shared" si="0"/>
        <v>VALVOLINE - 15W-40</v>
      </c>
      <c r="G50" s="3" t="str">
        <f t="shared" si="1"/>
        <v>VALVOLINE - MOTOR</v>
      </c>
      <c r="H50" s="3" t="str">
        <f t="shared" si="2"/>
        <v>15W-40 - MINERAL</v>
      </c>
    </row>
    <row r="51" spans="1:8" ht="14.25" x14ac:dyDescent="0.2">
      <c r="A51" s="3"/>
      <c r="B51" s="3" t="s">
        <v>4365</v>
      </c>
      <c r="C51" s="3" t="s">
        <v>3403</v>
      </c>
      <c r="D51" s="3" t="s">
        <v>4352</v>
      </c>
      <c r="E51" s="3" t="s">
        <v>4988</v>
      </c>
      <c r="F51" s="3" t="str">
        <f t="shared" si="0"/>
        <v>VALVOLINE - 20W-50</v>
      </c>
      <c r="G51" s="3" t="str">
        <f t="shared" si="1"/>
        <v>VALVOLINE - MOTOR</v>
      </c>
      <c r="H51" s="3" t="str">
        <f t="shared" si="2"/>
        <v>20W-50 - SINTETICO</v>
      </c>
    </row>
    <row r="52" spans="1:8" ht="14.25" x14ac:dyDescent="0.2">
      <c r="A52" s="3"/>
      <c r="B52" s="3" t="s">
        <v>4365</v>
      </c>
      <c r="C52" s="3" t="s">
        <v>3403</v>
      </c>
      <c r="D52" s="3" t="s">
        <v>4352</v>
      </c>
      <c r="E52" s="3" t="s">
        <v>4989</v>
      </c>
      <c r="F52" s="3" t="str">
        <f t="shared" si="0"/>
        <v>VALVOLINE - 20W-50</v>
      </c>
      <c r="G52" s="3" t="str">
        <f t="shared" si="1"/>
        <v>VALVOLINE - MOTOR</v>
      </c>
      <c r="H52" s="3" t="str">
        <f t="shared" si="2"/>
        <v>20W-50 - SEMISINTETICO</v>
      </c>
    </row>
    <row r="53" spans="1:8" ht="14.25" x14ac:dyDescent="0.2">
      <c r="A53" s="3"/>
      <c r="B53" s="3" t="s">
        <v>4365</v>
      </c>
      <c r="C53" s="3" t="s">
        <v>3403</v>
      </c>
      <c r="D53" s="3" t="s">
        <v>4352</v>
      </c>
      <c r="E53" s="3" t="s">
        <v>4991</v>
      </c>
      <c r="F53" s="3" t="str">
        <f t="shared" si="0"/>
        <v>VALVOLINE - 20W-50</v>
      </c>
      <c r="G53" s="3" t="str">
        <f t="shared" si="1"/>
        <v>VALVOLINE - MOTOR</v>
      </c>
      <c r="H53" s="3" t="str">
        <f t="shared" si="2"/>
        <v>20W-50 - MINERAL</v>
      </c>
    </row>
    <row r="54" spans="1:8" ht="14.25" x14ac:dyDescent="0.2">
      <c r="A54" s="3"/>
      <c r="B54" s="3" t="s">
        <v>4501</v>
      </c>
      <c r="C54" s="3" t="s">
        <v>3403</v>
      </c>
      <c r="D54" s="3" t="s">
        <v>4356</v>
      </c>
      <c r="E54" s="3" t="s">
        <v>4988</v>
      </c>
      <c r="F54" s="3" t="str">
        <f t="shared" si="0"/>
        <v>MOTUL - 5W-30</v>
      </c>
      <c r="G54" s="3" t="str">
        <f t="shared" si="1"/>
        <v>MOTUL - MOTOR</v>
      </c>
      <c r="H54" s="3" t="str">
        <f t="shared" si="2"/>
        <v>5W-30 - SINTETICO</v>
      </c>
    </row>
    <row r="55" spans="1:8" ht="14.25" x14ac:dyDescent="0.2">
      <c r="A55" s="3"/>
      <c r="B55" s="3" t="s">
        <v>4501</v>
      </c>
      <c r="C55" s="3" t="s">
        <v>3403</v>
      </c>
      <c r="D55" s="3" t="s">
        <v>4356</v>
      </c>
      <c r="E55" s="3" t="s">
        <v>4989</v>
      </c>
      <c r="F55" s="3" t="str">
        <f t="shared" si="0"/>
        <v>MOTUL - 5W-30</v>
      </c>
      <c r="G55" s="3" t="str">
        <f t="shared" si="1"/>
        <v>MOTUL - MOTOR</v>
      </c>
      <c r="H55" s="3" t="str">
        <f t="shared" si="2"/>
        <v>5W-30 - SEMISINTETICO</v>
      </c>
    </row>
    <row r="56" spans="1:8" ht="14.25" x14ac:dyDescent="0.2">
      <c r="A56" s="3"/>
      <c r="B56" s="3" t="s">
        <v>4501</v>
      </c>
      <c r="C56" s="3" t="s">
        <v>3403</v>
      </c>
      <c r="D56" s="3" t="s">
        <v>4990</v>
      </c>
      <c r="E56" s="3" t="s">
        <v>4988</v>
      </c>
      <c r="F56" s="3" t="str">
        <f t="shared" si="0"/>
        <v>MOTUL - 10W-40</v>
      </c>
      <c r="G56" s="3" t="str">
        <f t="shared" si="1"/>
        <v>MOTUL - MOTOR</v>
      </c>
      <c r="H56" s="3" t="str">
        <f t="shared" si="2"/>
        <v>10W-40 - SINTETICO</v>
      </c>
    </row>
    <row r="57" spans="1:8" ht="14.25" x14ac:dyDescent="0.2">
      <c r="A57" s="3"/>
      <c r="B57" s="3" t="s">
        <v>4501</v>
      </c>
      <c r="C57" s="3" t="s">
        <v>3403</v>
      </c>
      <c r="D57" s="3" t="s">
        <v>4990</v>
      </c>
      <c r="E57" s="3" t="s">
        <v>4989</v>
      </c>
      <c r="F57" s="3" t="str">
        <f t="shared" si="0"/>
        <v>MOTUL - 10W-40</v>
      </c>
      <c r="G57" s="3" t="str">
        <f t="shared" si="1"/>
        <v>MOTUL - MOTOR</v>
      </c>
      <c r="H57" s="3" t="str">
        <f t="shared" si="2"/>
        <v>10W-40 - SEMISINTETICO</v>
      </c>
    </row>
    <row r="58" spans="1:8" ht="14.25" x14ac:dyDescent="0.2">
      <c r="A58" s="3"/>
      <c r="B58" s="3" t="s">
        <v>4501</v>
      </c>
      <c r="C58" s="3" t="s">
        <v>3403</v>
      </c>
      <c r="D58" s="3" t="s">
        <v>4990</v>
      </c>
      <c r="E58" s="3" t="s">
        <v>4991</v>
      </c>
      <c r="F58" s="3" t="str">
        <f t="shared" si="0"/>
        <v>MOTUL - 10W-40</v>
      </c>
      <c r="G58" s="3" t="str">
        <f t="shared" si="1"/>
        <v>MOTUL - MOTOR</v>
      </c>
      <c r="H58" s="3" t="str">
        <f t="shared" si="2"/>
        <v>10W-40 - MINERAL</v>
      </c>
    </row>
    <row r="59" spans="1:8" ht="14.25" x14ac:dyDescent="0.2">
      <c r="A59" s="3"/>
      <c r="B59" s="3" t="s">
        <v>4501</v>
      </c>
      <c r="C59" s="3" t="s">
        <v>3403</v>
      </c>
      <c r="D59" s="3" t="s">
        <v>4354</v>
      </c>
      <c r="E59" s="3" t="s">
        <v>4988</v>
      </c>
      <c r="F59" s="3" t="str">
        <f t="shared" si="0"/>
        <v>MOTUL - 15W-40</v>
      </c>
      <c r="G59" s="3" t="str">
        <f t="shared" si="1"/>
        <v>MOTUL - MOTOR</v>
      </c>
      <c r="H59" s="3" t="str">
        <f t="shared" si="2"/>
        <v>15W-40 - SINTETICO</v>
      </c>
    </row>
    <row r="60" spans="1:8" ht="14.25" x14ac:dyDescent="0.2">
      <c r="A60" s="3"/>
      <c r="B60" s="3" t="s">
        <v>4501</v>
      </c>
      <c r="C60" s="3" t="s">
        <v>3403</v>
      </c>
      <c r="D60" s="3" t="s">
        <v>4354</v>
      </c>
      <c r="E60" s="3" t="s">
        <v>4989</v>
      </c>
      <c r="F60" s="3" t="str">
        <f t="shared" si="0"/>
        <v>MOTUL - 15W-40</v>
      </c>
      <c r="G60" s="3" t="str">
        <f t="shared" si="1"/>
        <v>MOTUL - MOTOR</v>
      </c>
      <c r="H60" s="3" t="str">
        <f t="shared" si="2"/>
        <v>15W-40 - SEMISINTETICO</v>
      </c>
    </row>
    <row r="61" spans="1:8" ht="14.25" x14ac:dyDescent="0.2">
      <c r="A61" s="3"/>
      <c r="B61" s="3" t="s">
        <v>4501</v>
      </c>
      <c r="C61" s="3" t="s">
        <v>3403</v>
      </c>
      <c r="D61" s="3" t="s">
        <v>4354</v>
      </c>
      <c r="E61" s="3" t="s">
        <v>4991</v>
      </c>
      <c r="F61" s="3" t="str">
        <f t="shared" si="0"/>
        <v>MOTUL - 15W-40</v>
      </c>
      <c r="G61" s="3" t="str">
        <f t="shared" si="1"/>
        <v>MOTUL - MOTOR</v>
      </c>
      <c r="H61" s="3" t="str">
        <f t="shared" si="2"/>
        <v>15W-40 - MINERAL</v>
      </c>
    </row>
    <row r="62" spans="1:8" ht="14.25" x14ac:dyDescent="0.2">
      <c r="A62" s="3"/>
      <c r="B62" s="3" t="s">
        <v>4501</v>
      </c>
      <c r="C62" s="3" t="s">
        <v>3403</v>
      </c>
      <c r="D62" s="3" t="s">
        <v>4352</v>
      </c>
      <c r="E62" s="3" t="s">
        <v>4988</v>
      </c>
      <c r="F62" s="3" t="str">
        <f t="shared" si="0"/>
        <v>MOTUL - 20W-50</v>
      </c>
      <c r="G62" s="3" t="str">
        <f t="shared" si="1"/>
        <v>MOTUL - MOTOR</v>
      </c>
      <c r="H62" s="3" t="str">
        <f t="shared" si="2"/>
        <v>20W-50 - SINTETICO</v>
      </c>
    </row>
    <row r="63" spans="1:8" ht="14.25" x14ac:dyDescent="0.2">
      <c r="A63" s="3"/>
      <c r="B63" s="3" t="s">
        <v>4501</v>
      </c>
      <c r="C63" s="3" t="s">
        <v>3403</v>
      </c>
      <c r="D63" s="3" t="s">
        <v>4352</v>
      </c>
      <c r="E63" s="3" t="s">
        <v>4989</v>
      </c>
      <c r="F63" s="3" t="str">
        <f t="shared" si="0"/>
        <v>MOTUL - 20W-50</v>
      </c>
      <c r="G63" s="3" t="str">
        <f t="shared" si="1"/>
        <v>MOTUL - MOTOR</v>
      </c>
      <c r="H63" s="3" t="str">
        <f t="shared" si="2"/>
        <v>20W-50 - SEMISINTETICO</v>
      </c>
    </row>
    <row r="64" spans="1:8" ht="14.25" x14ac:dyDescent="0.2">
      <c r="A64" s="3"/>
      <c r="B64" s="3" t="s">
        <v>4501</v>
      </c>
      <c r="C64" s="3" t="s">
        <v>3403</v>
      </c>
      <c r="D64" s="3" t="s">
        <v>4352</v>
      </c>
      <c r="E64" s="3" t="s">
        <v>4991</v>
      </c>
      <c r="F64" s="3" t="str">
        <f t="shared" si="0"/>
        <v>MOTUL - 20W-50</v>
      </c>
      <c r="G64" s="3" t="str">
        <f t="shared" si="1"/>
        <v>MOTUL - MOTOR</v>
      </c>
      <c r="H64" s="3" t="str">
        <f t="shared" si="2"/>
        <v>20W-50 - MINERAL</v>
      </c>
    </row>
    <row r="65" spans="1:7" ht="14.25" x14ac:dyDescent="0.2">
      <c r="A65" s="3"/>
      <c r="B65" s="3" t="s">
        <v>4501</v>
      </c>
      <c r="C65" s="3" t="s">
        <v>4992</v>
      </c>
      <c r="D65" s="3" t="s">
        <v>4993</v>
      </c>
      <c r="F65" s="3" t="str">
        <f t="shared" si="0"/>
        <v>MOTUL - 75W-90</v>
      </c>
      <c r="G65" s="3" t="str">
        <f t="shared" si="1"/>
        <v>MOTUL - TRASMISION</v>
      </c>
    </row>
    <row r="66" spans="1:7" ht="14.25" x14ac:dyDescent="0.2">
      <c r="A66" s="3"/>
      <c r="B66" s="3" t="s">
        <v>4501</v>
      </c>
      <c r="C66" s="3" t="s">
        <v>4992</v>
      </c>
      <c r="D66" s="3" t="s">
        <v>4366</v>
      </c>
      <c r="F66" s="3" t="str">
        <f t="shared" si="0"/>
        <v>MOTUL - 80W-90</v>
      </c>
      <c r="G66" s="3" t="str">
        <f t="shared" si="1"/>
        <v>MOTUL - TRASMISION</v>
      </c>
    </row>
    <row r="67" spans="1:7" ht="14.25" x14ac:dyDescent="0.2">
      <c r="A67" s="3"/>
      <c r="B67" s="3" t="s">
        <v>4501</v>
      </c>
      <c r="C67" s="3" t="s">
        <v>4992</v>
      </c>
      <c r="D67" s="3" t="s">
        <v>4538</v>
      </c>
      <c r="F67" s="3" t="str">
        <f t="shared" si="0"/>
        <v>MOTUL - DCTF</v>
      </c>
      <c r="G67" s="3" t="str">
        <f t="shared" si="1"/>
        <v>MOTUL - TRASMISION</v>
      </c>
    </row>
    <row r="68" spans="1:7" ht="14.25" x14ac:dyDescent="0.2">
      <c r="A68" s="3"/>
      <c r="B68" s="3" t="s">
        <v>4501</v>
      </c>
      <c r="C68" s="3" t="s">
        <v>4992</v>
      </c>
      <c r="D68" s="3" t="s">
        <v>4385</v>
      </c>
      <c r="F68" s="3" t="str">
        <f t="shared" si="0"/>
        <v>MOTUL - CVTF</v>
      </c>
      <c r="G68" s="3" t="str">
        <f t="shared" si="1"/>
        <v>MOTUL - TRASMISION</v>
      </c>
    </row>
    <row r="69" spans="1:7" ht="14.25" x14ac:dyDescent="0.2">
      <c r="A69" s="3"/>
      <c r="B69" s="3" t="s">
        <v>4365</v>
      </c>
      <c r="C69" s="3" t="s">
        <v>4992</v>
      </c>
      <c r="D69" s="3" t="s">
        <v>4993</v>
      </c>
      <c r="F69" s="3" t="str">
        <f t="shared" si="0"/>
        <v>VALVOLINE - 75W-90</v>
      </c>
      <c r="G69" s="3" t="str">
        <f t="shared" si="1"/>
        <v>VALVOLINE - TRASMISION</v>
      </c>
    </row>
    <row r="70" spans="1:7" ht="14.25" x14ac:dyDescent="0.2">
      <c r="A70" s="3"/>
      <c r="B70" s="3" t="s">
        <v>4365</v>
      </c>
      <c r="C70" s="3" t="s">
        <v>4992</v>
      </c>
      <c r="D70" s="3" t="s">
        <v>4366</v>
      </c>
      <c r="F70" s="3" t="str">
        <f t="shared" si="0"/>
        <v>VALVOLINE - 80W-90</v>
      </c>
      <c r="G70" s="3" t="str">
        <f t="shared" si="1"/>
        <v>VALVOLINE - TRASMISION</v>
      </c>
    </row>
    <row r="71" spans="1:7" ht="14.25" x14ac:dyDescent="0.2">
      <c r="A71" s="3"/>
      <c r="B71" s="3" t="s">
        <v>4365</v>
      </c>
      <c r="C71" s="3" t="s">
        <v>4992</v>
      </c>
      <c r="D71" s="3" t="s">
        <v>4538</v>
      </c>
      <c r="F71" s="3" t="str">
        <f t="shared" si="0"/>
        <v>VALVOLINE - DCTF</v>
      </c>
      <c r="G71" s="3" t="str">
        <f t="shared" si="1"/>
        <v>VALVOLINE - TRASMISION</v>
      </c>
    </row>
    <row r="72" spans="1:7" ht="14.25" x14ac:dyDescent="0.2">
      <c r="B72" s="3" t="s">
        <v>4365</v>
      </c>
      <c r="C72" s="3" t="s">
        <v>4992</v>
      </c>
      <c r="D72" s="3" t="s">
        <v>4385</v>
      </c>
      <c r="F72" s="3" t="str">
        <f t="shared" si="0"/>
        <v>VALVOLINE - CVTF</v>
      </c>
      <c r="G72" s="3" t="str">
        <f t="shared" si="1"/>
        <v>VALVOLINE - TRASMISION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Repuestos</vt:lpstr>
      <vt:lpstr>Base_Datos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Solorzano</cp:lastModifiedBy>
  <dcterms:modified xsi:type="dcterms:W3CDTF">2026-10-27T17:19:16Z</dcterms:modified>
</cp:coreProperties>
</file>